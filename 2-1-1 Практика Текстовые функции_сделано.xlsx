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ramovaO\Documents\мое\эксель\"/>
    </mc:Choice>
  </mc:AlternateContent>
  <bookViews>
    <workbookView xWindow="-105" yWindow="-105" windowWidth="21825" windowHeight="14025" activeTab="1"/>
  </bookViews>
  <sheets>
    <sheet name="Тема урока" sheetId="1" r:id="rId1"/>
    <sheet name="Выполнить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 s="1"/>
  <c r="G11" i="4"/>
  <c r="H11" i="4"/>
  <c r="I11" i="4"/>
  <c r="J11" i="4"/>
  <c r="K11" i="4" s="1"/>
  <c r="G12" i="4"/>
  <c r="H12" i="4"/>
  <c r="I12" i="4"/>
  <c r="J12" i="4"/>
  <c r="K12" i="4" s="1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 s="1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7" i="4"/>
  <c r="H7" i="4"/>
  <c r="I7" i="4"/>
  <c r="K7" i="4"/>
  <c r="J7" i="4"/>
  <c r="BL4" i="4" l="1"/>
  <c r="BK5" i="4"/>
  <c r="BK6" i="4"/>
  <c r="BK7" i="4"/>
  <c r="BK8" i="4"/>
  <c r="BL8" i="4" s="1"/>
  <c r="BK9" i="4"/>
  <c r="BL9" i="4" s="1"/>
  <c r="BK10" i="4"/>
  <c r="BK11" i="4"/>
  <c r="BL11" i="4" s="1"/>
  <c r="BK12" i="4"/>
  <c r="BL12" i="4" s="1"/>
  <c r="BK13" i="4"/>
  <c r="BK14" i="4"/>
  <c r="BK15" i="4"/>
  <c r="BL15" i="4" s="1"/>
  <c r="BK16" i="4"/>
  <c r="BL16" i="4" s="1"/>
  <c r="BK4" i="4"/>
  <c r="BI4" i="4"/>
  <c r="BL10" i="4"/>
  <c r="BL5" i="4"/>
  <c r="BL6" i="4"/>
  <c r="BL7" i="4"/>
  <c r="BL13" i="4"/>
  <c r="BL14" i="4"/>
  <c r="BJ5" i="4"/>
  <c r="BJ6" i="4"/>
  <c r="BJ7" i="4"/>
  <c r="BJ8" i="4"/>
  <c r="BJ9" i="4"/>
  <c r="BJ10" i="4"/>
  <c r="BJ11" i="4"/>
  <c r="BJ12" i="4"/>
  <c r="BJ13" i="4"/>
  <c r="BJ14" i="4"/>
  <c r="BJ15" i="4"/>
  <c r="BJ16" i="4"/>
  <c r="BJ4" i="4"/>
  <c r="BI5" i="4"/>
  <c r="BI6" i="4"/>
  <c r="BI7" i="4"/>
  <c r="BI8" i="4"/>
  <c r="BI9" i="4"/>
  <c r="BI10" i="4"/>
  <c r="BI11" i="4"/>
  <c r="BI12" i="4"/>
  <c r="BI13" i="4"/>
  <c r="BI14" i="4"/>
  <c r="BI15" i="4"/>
  <c r="BI16" i="4"/>
  <c r="BH5" i="4"/>
  <c r="BH6" i="4"/>
  <c r="BH7" i="4"/>
  <c r="BH8" i="4"/>
  <c r="BH9" i="4"/>
  <c r="BH10" i="4"/>
  <c r="BH11" i="4"/>
  <c r="BH12" i="4"/>
  <c r="BH13" i="4"/>
  <c r="BH14" i="4"/>
  <c r="BH15" i="4"/>
  <c r="BH16" i="4"/>
  <c r="BH4" i="4"/>
</calcChain>
</file>

<file path=xl/sharedStrings.xml><?xml version="1.0" encoding="utf-8"?>
<sst xmlns="http://schemas.openxmlformats.org/spreadsheetml/2006/main" count="32" uniqueCount="19">
  <si>
    <t>42878137-AA-МСК_Small</t>
  </si>
  <si>
    <t>20722-BB-ЕКБ_Medium</t>
  </si>
  <si>
    <t>43285093-BC-СПБ_XL</t>
  </si>
  <si>
    <t>24821549-AB-РНД_Large</t>
  </si>
  <si>
    <t>54817-BB-КРД_XL</t>
  </si>
  <si>
    <t>47022441-BC-ЕКБ_XXL</t>
  </si>
  <si>
    <t>19707368-AA-МСК_Small</t>
  </si>
  <si>
    <t>34673078-BA-РНД_Medium</t>
  </si>
  <si>
    <t>35979277-BB-КРД_Small</t>
  </si>
  <si>
    <t>193-BC-ЕКБ_Medium</t>
  </si>
  <si>
    <t>69267996-AB-СПБ_XL</t>
  </si>
  <si>
    <t>99011817-BB-МСК_Large</t>
  </si>
  <si>
    <t>2279987-AA-КРД_XL</t>
  </si>
  <si>
    <t>ID продукта</t>
  </si>
  <si>
    <t>Категория продукта</t>
  </si>
  <si>
    <t>Размер продукта</t>
  </si>
  <si>
    <t>Город</t>
  </si>
  <si>
    <t>Новый ID</t>
  </si>
  <si>
    <t>Отчет партнера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</si>
</sst>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Univers"/>
      <family val="2"/>
      <charset val="204"/>
    </font>
    <font>
      <sz val="11"/>
      <color rgb="FFFF9933"/>
      <name val="Univers"/>
      <family val="2"/>
      <charset val="204"/>
    </font>
    <font>
      <b/>
      <sz val="11"/>
      <color rgb="FFFA7D00"/>
      <name val="Univers"/>
      <family val="2"/>
      <charset val="204"/>
    </font>
    <font>
      <b/>
      <sz val="11"/>
      <name val="Univers"/>
      <family val="2"/>
    </font>
    <font>
      <i/>
      <sz val="11"/>
      <name val="Univers"/>
      <family val="2"/>
    </font>
    <font>
      <b/>
      <sz val="11"/>
      <color theme="1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4" borderId="1" applyNumberFormat="0" applyAlignment="0" applyProtection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3" borderId="1" xfId="1" applyFont="1" applyFill="1"/>
    <xf numFmtId="0" fontId="3" fillId="3" borderId="1" xfId="1" applyFont="1" applyFill="1" applyAlignment="1">
      <alignment horizontal="center" vertical="center"/>
    </xf>
    <xf numFmtId="0" fontId="4" fillId="3" borderId="1" xfId="1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Вычисление" xfId="1" builtinId="22"/>
    <cellStyle name="Обычный" xfId="0" builtinId="0"/>
  </cellStyles>
  <dxfs count="0"/>
  <tableStyles count="1" defaultTableStyle="TableStyleMedium2" defaultPivotStyle="PivotStyleLight16">
    <tableStyle name="Invisible" pivot="0" table="0" count="0"/>
  </tableStyles>
  <colors>
    <mruColors>
      <color rgb="FFFF9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hyperlink" Target="#&#1042;&#1099;&#1087;&#1086;&#1083;&#1085;&#1080;&#1090;&#1100;!BO1"/><Relationship Id="rId5" Type="http://schemas.openxmlformats.org/officeDocument/2006/relationships/image" Target="../media/image5.svg"/><Relationship Id="rId10" Type="http://schemas.openxmlformats.org/officeDocument/2006/relationships/hyperlink" Target="#&#1042;&#1099;&#1087;&#1086;&#1083;&#1085;&#1080;&#1090;&#1100;!A1"/><Relationship Id="rId4" Type="http://schemas.openxmlformats.org/officeDocument/2006/relationships/image" Target="../media/image3.png"/><Relationship Id="rId9" Type="http://schemas.openxmlformats.org/officeDocument/2006/relationships/image" Target="../media/image9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2;&#1099;&#1087;&#1086;&#1083;&#1085;&#1080;&#1090;&#1100;!BO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139700</xdr:rowOff>
    </xdr:from>
    <xdr:to>
      <xdr:col>11</xdr:col>
      <xdr:colOff>393700</xdr:colOff>
      <xdr:row>32</xdr:row>
      <xdr:rowOff>38100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5BE2D0FC-602F-0A26-883F-21D43B33CB88}"/>
            </a:ext>
          </a:extLst>
        </xdr:cNvPr>
        <xdr:cNvSpPr/>
      </xdr:nvSpPr>
      <xdr:spPr>
        <a:xfrm>
          <a:off x="1371600" y="139700"/>
          <a:ext cx="6248400" cy="5791200"/>
        </a:xfrm>
        <a:prstGeom prst="rect">
          <a:avLst/>
        </a:prstGeom>
        <a:solidFill>
          <a:srgbClr val="FF9600"/>
        </a:solidFill>
        <a:ln>
          <a:noFill/>
        </a:ln>
        <a:effectLst>
          <a:glow rad="101600">
            <a:schemeClr val="accent2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ru-RU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133350</xdr:colOff>
      <xdr:row>28</xdr:row>
      <xdr:rowOff>120650</xdr:rowOff>
    </xdr:from>
    <xdr:to>
      <xdr:col>1</xdr:col>
      <xdr:colOff>285750</xdr:colOff>
      <xdr:row>32</xdr:row>
      <xdr:rowOff>24000</xdr:rowOff>
    </xdr:to>
    <xdr:pic>
      <xdr:nvPicPr>
        <xdr:cNvPr id="7" name="Google Shape;63;p14">
          <a:extLst>
            <a:ext uri="{FF2B5EF4-FFF2-40B4-BE49-F238E27FC236}">
              <a16:creationId xmlns:a16="http://schemas.microsoft.com/office/drawing/2014/main" id="{366B56AD-675E-0DB5-436F-FA38D022C4A1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33350" y="5276850"/>
          <a:ext cx="571500" cy="63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1028700</xdr:colOff>
      <xdr:row>1</xdr:row>
      <xdr:rowOff>120650</xdr:rowOff>
    </xdr:from>
    <xdr:to>
      <xdr:col>5</xdr:col>
      <xdr:colOff>63500</xdr:colOff>
      <xdr:row>9</xdr:row>
      <xdr:rowOff>133350</xdr:rowOff>
    </xdr:to>
    <xdr:pic>
      <xdr:nvPicPr>
        <xdr:cNvPr id="5" name="Рисунок 4" descr="Мужской профиль контур">
          <a:extLst>
            <a:ext uri="{FF2B5EF4-FFF2-40B4-BE49-F238E27FC236}">
              <a16:creationId xmlns:a16="http://schemas.microsoft.com/office/drawing/2014/main" id="{2BEF9A60-454B-2D0C-89A5-105DD39D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1841500" y="30480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2</xdr:row>
      <xdr:rowOff>50800</xdr:rowOff>
    </xdr:from>
    <xdr:to>
      <xdr:col>6</xdr:col>
      <xdr:colOff>177800</xdr:colOff>
      <xdr:row>6</xdr:row>
      <xdr:rowOff>63500</xdr:rowOff>
    </xdr:to>
    <xdr:pic>
      <xdr:nvPicPr>
        <xdr:cNvPr id="9" name="Рисунок 8" descr="Конверт контур">
          <a:extLst>
            <a:ext uri="{FF2B5EF4-FFF2-40B4-BE49-F238E27FC236}">
              <a16:creationId xmlns:a16="http://schemas.microsoft.com/office/drawing/2014/main" id="{04C1FC32-4A77-BD01-8CCB-BABF9F015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xmlns="" r:embed="rId5"/>
            </a:ext>
          </a:extLst>
        </a:blip>
        <a:stretch>
          <a:fillRect/>
        </a:stretch>
      </xdr:blipFill>
      <xdr:spPr>
        <a:xfrm>
          <a:off x="3390900" y="419100"/>
          <a:ext cx="749300" cy="749300"/>
        </a:xfrm>
        <a:prstGeom prst="rect">
          <a:avLst/>
        </a:prstGeom>
      </xdr:spPr>
    </xdr:pic>
    <xdr:clientData/>
  </xdr:twoCellAnchor>
  <xdr:twoCellAnchor>
    <xdr:from>
      <xdr:col>6</xdr:col>
      <xdr:colOff>165100</xdr:colOff>
      <xdr:row>2</xdr:row>
      <xdr:rowOff>152400</xdr:rowOff>
    </xdr:from>
    <xdr:to>
      <xdr:col>10</xdr:col>
      <xdr:colOff>520700</xdr:colOff>
      <xdr:row>5</xdr:row>
      <xdr:rowOff>120650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ADF2C05-8FC2-F677-20F5-A0072284A6C7}"/>
            </a:ext>
          </a:extLst>
        </xdr:cNvPr>
        <xdr:cNvSpPr txBox="1"/>
      </xdr:nvSpPr>
      <xdr:spPr>
        <a:xfrm>
          <a:off x="4127500" y="520700"/>
          <a:ext cx="2997200" cy="520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2400" b="1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Новое сообщение</a:t>
          </a:r>
          <a: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/>
          </a:r>
          <a:br>
            <a:rPr lang="ru-RU" sz="1800" b="0" i="0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</a:br>
          <a:r>
            <a:rPr lang="ru-RU" sz="1100" b="0" i="1" u="none" strike="noStrike" cap="none">
              <a:solidFill>
                <a:srgbClr val="000000"/>
              </a:solidFill>
              <a:latin typeface="Fira Sans"/>
              <a:ea typeface="Fira Sans"/>
              <a:cs typeface="Fira Sans"/>
              <a:sym typeface="Arial"/>
            </a:rPr>
            <a:t>23 марта 2024</a:t>
          </a:r>
          <a:endParaRPr lang="ru-RU" sz="1800" b="0" i="1" u="none" strike="noStrike" cap="none">
            <a:solidFill>
              <a:srgbClr val="000000"/>
            </a:solidFill>
            <a:latin typeface="Fira Sans"/>
            <a:ea typeface="Fira Sans"/>
            <a:cs typeface="Fira Sans"/>
            <a:sym typeface="Arial"/>
          </a:endParaRPr>
        </a:p>
      </xdr:txBody>
    </xdr:sp>
    <xdr:clientData/>
  </xdr:twoCellAnchor>
  <xdr:twoCellAnchor editAs="oneCell">
    <xdr:from>
      <xdr:col>5</xdr:col>
      <xdr:colOff>520700</xdr:colOff>
      <xdr:row>1</xdr:row>
      <xdr:rowOff>120650</xdr:rowOff>
    </xdr:from>
    <xdr:to>
      <xdr:col>6</xdr:col>
      <xdr:colOff>298450</xdr:colOff>
      <xdr:row>4</xdr:row>
      <xdr:rowOff>6350</xdr:rowOff>
    </xdr:to>
    <xdr:pic>
      <xdr:nvPicPr>
        <xdr:cNvPr id="12" name="Рисунок 11" descr="Значок 1 со сплошной заливкой">
          <a:extLst>
            <a:ext uri="{FF2B5EF4-FFF2-40B4-BE49-F238E27FC236}">
              <a16:creationId xmlns:a16="http://schemas.microsoft.com/office/drawing/2014/main" id="{EDF55D29-9580-8B8A-C6AE-6ABF1A28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xmlns="" r:embed="rId7"/>
            </a:ext>
          </a:extLst>
        </a:blip>
        <a:stretch>
          <a:fillRect/>
        </a:stretch>
      </xdr:blipFill>
      <xdr:spPr>
        <a:xfrm>
          <a:off x="3822700" y="304800"/>
          <a:ext cx="438150" cy="438150"/>
        </a:xfrm>
        <a:prstGeom prst="rect">
          <a:avLst/>
        </a:prstGeom>
      </xdr:spPr>
    </xdr:pic>
    <xdr:clientData/>
  </xdr:twoCellAnchor>
  <xdr:twoCellAnchor>
    <xdr:from>
      <xdr:col>5</xdr:col>
      <xdr:colOff>82550</xdr:colOff>
      <xdr:row>6</xdr:row>
      <xdr:rowOff>25400</xdr:rowOff>
    </xdr:from>
    <xdr:to>
      <xdr:col>10</xdr:col>
      <xdr:colOff>412750</xdr:colOff>
      <xdr:row>9</xdr:row>
      <xdr:rowOff>88900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9F8172-B9CC-427F-F49B-60921070EEA7}"/>
            </a:ext>
          </a:extLst>
        </xdr:cNvPr>
        <xdr:cNvSpPr txBox="1"/>
      </xdr:nvSpPr>
      <xdr:spPr>
        <a:xfrm>
          <a:off x="3384550" y="1130300"/>
          <a:ext cx="3632200" cy="615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400" u="sng"/>
            <a:t>От кого:</a:t>
          </a:r>
          <a:r>
            <a:rPr lang="ru-RU" sz="1400" u="sng" baseline="0"/>
            <a:t> </a:t>
          </a:r>
          <a:r>
            <a:rPr lang="ru-RU" sz="1400" b="1" u="sng" baseline="0"/>
            <a:t>Андрон Алексанян </a:t>
          </a:r>
          <a:r>
            <a:rPr lang="ru-RU" sz="1400" i="1" u="sng" baseline="0"/>
            <a:t>(</a:t>
          </a:r>
          <a:r>
            <a:rPr lang="en-US" sz="1400" i="1" u="sng" baseline="0"/>
            <a:t>CEO Simulative)</a:t>
          </a:r>
          <a:r>
            <a:rPr lang="en-US" sz="1400" u="sng" baseline="0"/>
            <a:t/>
          </a:r>
          <a:br>
            <a:rPr lang="en-US" sz="1400" u="sng" baseline="0"/>
          </a:br>
          <a:r>
            <a:rPr lang="ru-RU" sz="1400" u="sng" baseline="0"/>
            <a:t>Тема: Извлечь данные из ячеек</a:t>
          </a:r>
          <a:endParaRPr lang="ru-RU" sz="1400" u="sng"/>
        </a:p>
      </xdr:txBody>
    </xdr:sp>
    <xdr:clientData/>
  </xdr:twoCellAnchor>
  <xdr:twoCellAnchor>
    <xdr:from>
      <xdr:col>3</xdr:col>
      <xdr:colOff>44450</xdr:colOff>
      <xdr:row>10</xdr:row>
      <xdr:rowOff>133350</xdr:rowOff>
    </xdr:from>
    <xdr:to>
      <xdr:col>10</xdr:col>
      <xdr:colOff>330200</xdr:colOff>
      <xdr:row>28</xdr:row>
      <xdr:rowOff>101600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F3DAD7-CFAA-DCEE-0B71-751DC95A97C6}"/>
            </a:ext>
          </a:extLst>
        </xdr:cNvPr>
        <xdr:cNvSpPr txBox="1"/>
      </xdr:nvSpPr>
      <xdr:spPr>
        <a:xfrm>
          <a:off x="1987550" y="1974850"/>
          <a:ext cx="4908550" cy="32829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    Привет! </a:t>
          </a:r>
        </a:p>
        <a:p>
          <a:r>
            <a:rPr lang="ru-RU" sz="1100" baseline="0"/>
            <a:t>    </a:t>
          </a:r>
          <a:r>
            <a:rPr lang="ru-RU" sz="1100"/>
            <a:t>Это Андрон, у</a:t>
          </a:r>
          <a:r>
            <a:rPr lang="ru-RU" sz="1100" baseline="0"/>
            <a:t> нас скоро с тобой будет встреча-знакомство, но уже сейчас нужна твоя помощь.</a:t>
          </a:r>
          <a:br>
            <a:rPr lang="ru-RU" sz="1100" baseline="0"/>
          </a:br>
          <a:r>
            <a:rPr lang="ru-RU" sz="1100"/>
            <a:t>   Наши</a:t>
          </a:r>
          <a:r>
            <a:rPr lang="ru-RU" sz="1100" baseline="0"/>
            <a:t> партнеры прислали данные по новой продукции, но там какая-то "кривая" выгрузка произошла. Суть в чем, необходимо извлечь данные по столбцам в соответствии с нашими параметрами отчета: </a:t>
          </a:r>
          <a:r>
            <a:rPr lang="en-US" sz="1100" baseline="0"/>
            <a:t>ID </a:t>
          </a:r>
          <a:r>
            <a:rPr lang="ru-RU" sz="1100" baseline="0"/>
            <a:t>продукта, Категория продукта, Размер продукта, Новый </a:t>
          </a:r>
          <a:r>
            <a:rPr lang="en-US" sz="1100" baseline="0"/>
            <a:t>ID </a:t>
          </a:r>
          <a:r>
            <a:rPr lang="ru-RU" sz="1100" baseline="0"/>
            <a:t>и Город.</a:t>
          </a:r>
          <a:br>
            <a:rPr lang="ru-RU" sz="1100" baseline="0"/>
          </a:br>
          <a:r>
            <a:rPr lang="ru-RU" sz="1100" baseline="0"/>
            <a:t/>
          </a:r>
          <a:br>
            <a:rPr lang="ru-RU" sz="1100" baseline="0"/>
          </a:br>
          <a:r>
            <a:rPr lang="ru-RU" sz="1100" baseline="0"/>
            <a:t>Сможешь?</a:t>
          </a:r>
          <a:r>
            <a:rPr lang="en-US" sz="1100" baseline="0"/>
            <a:t/>
          </a:r>
          <a:br>
            <a:rPr lang="en-US" sz="1100" baseline="0"/>
          </a:br>
          <a:r>
            <a:rPr lang="ru-RU" sz="1100" baseline="0"/>
            <a:t/>
          </a:r>
          <a:br>
            <a:rPr lang="ru-RU" sz="1100" baseline="0"/>
          </a:br>
          <a:r>
            <a:rPr lang="ru-RU" sz="1100" baseline="0"/>
            <a:t>Вот пример: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42878137-AA-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МСК_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Small</a:t>
          </a:r>
          <a:r>
            <a:rPr lang="en-US"/>
            <a:t> </a:t>
          </a:r>
          <a:endParaRPr lang="ru-RU" sz="1100" baseline="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продукта -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42878137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Категория продукта -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Размер продукта -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Small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Новый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42878137-AA/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МСК_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Small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Город -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МСК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Файл во вложении</a:t>
          </a:r>
          <a:endParaRPr lang="ru-RU" sz="1100" baseline="0"/>
        </a:p>
        <a:p>
          <a:endParaRPr lang="ru-RU" sz="1100"/>
        </a:p>
        <a:p>
          <a:endParaRPr lang="ru-RU" sz="1100"/>
        </a:p>
        <a:p>
          <a:endParaRPr lang="ru-RU" sz="1100"/>
        </a:p>
      </xdr:txBody>
    </xdr:sp>
    <xdr:clientData/>
  </xdr:twoCellAnchor>
  <xdr:twoCellAnchor editAs="oneCell">
    <xdr:from>
      <xdr:col>3</xdr:col>
      <xdr:colOff>141422</xdr:colOff>
      <xdr:row>29</xdr:row>
      <xdr:rowOff>20262</xdr:rowOff>
    </xdr:from>
    <xdr:to>
      <xdr:col>3</xdr:col>
      <xdr:colOff>418930</xdr:colOff>
      <xdr:row>30</xdr:row>
      <xdr:rowOff>113620</xdr:rowOff>
    </xdr:to>
    <xdr:pic>
      <xdr:nvPicPr>
        <xdr:cNvPr id="16" name="Рисунок 15" descr="Скрепка со сплошной заливкой">
          <a:extLst>
            <a:ext uri="{FF2B5EF4-FFF2-40B4-BE49-F238E27FC236}">
              <a16:creationId xmlns:a16="http://schemas.microsoft.com/office/drawing/2014/main" id="{D511AD92-337A-2586-25C6-9DA14009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 rot="1890577">
          <a:off x="2084522" y="5360612"/>
          <a:ext cx="277508" cy="277508"/>
        </a:xfrm>
        <a:prstGeom prst="rect">
          <a:avLst/>
        </a:prstGeom>
      </xdr:spPr>
    </xdr:pic>
    <xdr:clientData/>
  </xdr:twoCellAnchor>
  <xdr:twoCellAnchor>
    <xdr:from>
      <xdr:col>7</xdr:col>
      <xdr:colOff>476250</xdr:colOff>
      <xdr:row>29</xdr:row>
      <xdr:rowOff>44450</xdr:rowOff>
    </xdr:from>
    <xdr:to>
      <xdr:col>9</xdr:col>
      <xdr:colOff>6350</xdr:colOff>
      <xdr:row>30</xdr:row>
      <xdr:rowOff>88900</xdr:rowOff>
    </xdr:to>
    <xdr:sp macro="" textlink="">
      <xdr:nvSpPr>
        <xdr:cNvPr id="21" name="TextBox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8C3A6C-1142-431D-8E1A-B4BC9E838043}"/>
            </a:ext>
          </a:extLst>
        </xdr:cNvPr>
        <xdr:cNvSpPr txBox="1"/>
      </xdr:nvSpPr>
      <xdr:spPr>
        <a:xfrm>
          <a:off x="5060950" y="53848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900" b="1">
              <a:latin typeface="Fira Sans" panose="020B0503050000020004" pitchFamily="34" charset="0"/>
            </a:rPr>
            <a:t>Выполнить</a:t>
          </a:r>
          <a:endParaRPr lang="ru-RU" sz="1200" b="1"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146050</xdr:colOff>
      <xdr:row>29</xdr:row>
      <xdr:rowOff>44450</xdr:rowOff>
    </xdr:from>
    <xdr:to>
      <xdr:col>10</xdr:col>
      <xdr:colOff>336550</xdr:colOff>
      <xdr:row>30</xdr:row>
      <xdr:rowOff>88900</xdr:rowOff>
    </xdr:to>
    <xdr:sp macro="" textlink="">
      <xdr:nvSpPr>
        <xdr:cNvPr id="22" name="TextBox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23B60D0-BD43-49A0-8C79-EAFC41C2E927}"/>
            </a:ext>
          </a:extLst>
        </xdr:cNvPr>
        <xdr:cNvSpPr txBox="1"/>
      </xdr:nvSpPr>
      <xdr:spPr>
        <a:xfrm>
          <a:off x="6051550" y="53848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  <xdr:twoCellAnchor>
    <xdr:from>
      <xdr:col>0</xdr:col>
      <xdr:colOff>107950</xdr:colOff>
      <xdr:row>2</xdr:row>
      <xdr:rowOff>38100</xdr:rowOff>
    </xdr:from>
    <xdr:to>
      <xdr:col>1</xdr:col>
      <xdr:colOff>260350</xdr:colOff>
      <xdr:row>26</xdr:row>
      <xdr:rowOff>152400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B2B66EE9-C89B-41CB-827A-C344E7E43F07}"/>
            </a:ext>
          </a:extLst>
        </xdr:cNvPr>
        <xdr:cNvSpPr txBox="1"/>
      </xdr:nvSpPr>
      <xdr:spPr>
        <a:xfrm rot="-5400000">
          <a:off x="-1873250" y="2387600"/>
          <a:ext cx="453390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2000">
              <a:latin typeface="Fira Sans"/>
              <a:ea typeface="Fira Sans"/>
              <a:cs typeface="Fira Sans"/>
              <a:sym typeface="Fira Sans"/>
            </a:rPr>
            <a:t>Работа с функциями</a:t>
          </a:r>
          <a:r>
            <a:rPr lang="ru-RU" sz="2000" baseline="0">
              <a:latin typeface="Fira Sans"/>
              <a:ea typeface="Fira Sans"/>
              <a:cs typeface="Fira Sans"/>
              <a:sym typeface="Fira Sans"/>
            </a:rPr>
            <a:t> </a:t>
          </a:r>
          <a:r>
            <a:rPr lang="ru" sz="2000">
              <a:latin typeface="Fira Sans"/>
              <a:ea typeface="Fira Sans"/>
              <a:cs typeface="Fira Sans"/>
              <a:sym typeface="Fira Sans"/>
            </a:rPr>
            <a:t>/ Текстовые</a:t>
          </a:r>
          <a:endParaRPr sz="20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3</xdr:col>
      <xdr:colOff>311150</xdr:colOff>
      <xdr:row>28</xdr:row>
      <xdr:rowOff>152400</xdr:rowOff>
    </xdr:from>
    <xdr:to>
      <xdr:col>6</xdr:col>
      <xdr:colOff>146050</xdr:colOff>
      <xdr:row>30</xdr:row>
      <xdr:rowOff>139700</xdr:rowOff>
    </xdr:to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4A79FFF-F60D-408F-8390-2C53E100281E}"/>
            </a:ext>
          </a:extLst>
        </xdr:cNvPr>
        <xdr:cNvSpPr txBox="1"/>
      </xdr:nvSpPr>
      <xdr:spPr>
        <a:xfrm>
          <a:off x="2254250" y="5308600"/>
          <a:ext cx="18161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ru-RU" sz="1050" b="0" i="1" u="none"/>
            <a:t>партнерский отчет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406400</xdr:colOff>
      <xdr:row>8</xdr:row>
      <xdr:rowOff>25400</xdr:rowOff>
    </xdr:from>
    <xdr:to>
      <xdr:col>56</xdr:col>
      <xdr:colOff>50800</xdr:colOff>
      <xdr:row>27</xdr:row>
      <xdr:rowOff>165100</xdr:rowOff>
    </xdr:to>
    <xdr:sp macro="" textlink="">
      <xdr:nvSpPr>
        <xdr:cNvPr id="2" name="Google Shape;64;p14">
          <a:extLst>
            <a:ext uri="{FF2B5EF4-FFF2-40B4-BE49-F238E27FC236}">
              <a16:creationId xmlns:a16="http://schemas.microsoft.com/office/drawing/2014/main" id="{D446B8C7-9950-4904-AFE7-9D71479D1B0C}"/>
            </a:ext>
          </a:extLst>
        </xdr:cNvPr>
        <xdr:cNvSpPr txBox="1"/>
      </xdr:nvSpPr>
      <xdr:spPr>
        <a:xfrm rot="-5400000">
          <a:off x="3382962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Решение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406400</xdr:colOff>
      <xdr:row>8</xdr:row>
      <xdr:rowOff>25400</xdr:rowOff>
    </xdr:from>
    <xdr:to>
      <xdr:col>2</xdr:col>
      <xdr:colOff>50800</xdr:colOff>
      <xdr:row>27</xdr:row>
      <xdr:rowOff>165100</xdr:rowOff>
    </xdr:to>
    <xdr:sp macro="" textlink="">
      <xdr:nvSpPr>
        <xdr:cNvPr id="3" name="Google Shape;64;p14">
          <a:extLst>
            <a:ext uri="{FF2B5EF4-FFF2-40B4-BE49-F238E27FC236}">
              <a16:creationId xmlns:a16="http://schemas.microsoft.com/office/drawing/2014/main" id="{CFB7591F-0EFC-48B0-9C97-C3BAAF93B06D}"/>
            </a:ext>
          </a:extLst>
        </xdr:cNvPr>
        <xdr:cNvSpPr txBox="1"/>
      </xdr:nvSpPr>
      <xdr:spPr>
        <a:xfrm rot="-5400000">
          <a:off x="33829625" y="3076575"/>
          <a:ext cx="3638550" cy="482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ru-RU" sz="4400">
              <a:latin typeface="Fira Sans"/>
              <a:ea typeface="Fira Sans"/>
              <a:cs typeface="Fira Sans"/>
              <a:sym typeface="Fira Sans"/>
            </a:rPr>
            <a:t>Практика</a:t>
          </a:r>
          <a:endParaRPr sz="4400">
            <a:latin typeface="Fira Sans"/>
            <a:ea typeface="Fira Sans"/>
            <a:cs typeface="Fira Sans"/>
            <a:sym typeface="Fira Sans"/>
          </a:endParaRPr>
        </a:p>
      </xdr:txBody>
    </xdr:sp>
    <xdr:clientData/>
  </xdr:twoCellAnchor>
  <xdr:twoCellAnchor>
    <xdr:from>
      <xdr:col>0</xdr:col>
      <xdr:colOff>222250</xdr:colOff>
      <xdr:row>30</xdr:row>
      <xdr:rowOff>88900</xdr:rowOff>
    </xdr:from>
    <xdr:to>
      <xdr:col>2</xdr:col>
      <xdr:colOff>234950</xdr:colOff>
      <xdr:row>31</xdr:row>
      <xdr:rowOff>133350</xdr:rowOff>
    </xdr:to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6052E8-C5BA-4398-8EDE-F0A338E0353F}"/>
            </a:ext>
          </a:extLst>
        </xdr:cNvPr>
        <xdr:cNvSpPr txBox="1"/>
      </xdr:nvSpPr>
      <xdr:spPr>
        <a:xfrm>
          <a:off x="222250" y="5613400"/>
          <a:ext cx="850900" cy="228600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ru-RU" sz="900" b="1">
              <a:solidFill>
                <a:schemeClr val="dk1"/>
              </a:solidFill>
              <a:latin typeface="Fira Sans" panose="020B0503050000020004" pitchFamily="34" charset="0"/>
              <a:ea typeface="+mn-ea"/>
              <a:cs typeface="+mn-cs"/>
            </a:rPr>
            <a:t>Решение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"/>
  <sheetViews>
    <sheetView showGridLines="0" zoomScaleNormal="100" workbookViewId="0">
      <selection activeCell="O21" sqref="O21"/>
    </sheetView>
  </sheetViews>
  <sheetFormatPr defaultColWidth="0" defaultRowHeight="14.25" zeroHeight="1"/>
  <cols>
    <col min="1" max="1" width="5.5" style="2" customWidth="1"/>
    <col min="2" max="2" width="5.125" style="2" customWidth="1"/>
    <col min="3" max="3" width="14.875" style="1" customWidth="1"/>
    <col min="4" max="20" width="8.625" style="1" customWidth="1"/>
    <col min="21" max="16384" width="8.625" style="1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1:1"/>
    <row r="18" spans="1:1"/>
    <row r="19" spans="1:1"/>
    <row r="20" spans="1:1"/>
    <row r="21" spans="1:1"/>
    <row r="22" spans="1:1"/>
    <row r="23" spans="1:1"/>
    <row r="24" spans="1:1"/>
    <row r="25" spans="1:1"/>
    <row r="26" spans="1:1"/>
    <row r="27" spans="1:1"/>
    <row r="28" spans="1:1"/>
    <row r="29" spans="1:1"/>
    <row r="30" spans="1:1"/>
    <row r="31" spans="1:1"/>
    <row r="32" spans="1:1">
      <c r="A32" s="2">
        <v>1</v>
      </c>
    </row>
    <row r="33"/>
    <row r="34"/>
    <row r="66" spans="1:1" hidden="1">
      <c r="A66" s="2">
        <v>1</v>
      </c>
    </row>
    <row r="99" spans="1:1" hidden="1">
      <c r="A99" s="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L22"/>
  <sheetViews>
    <sheetView tabSelected="1" workbookViewId="0">
      <selection activeCell="F6" sqref="F6"/>
    </sheetView>
  </sheetViews>
  <sheetFormatPr defaultColWidth="8.625" defaultRowHeight="14.25"/>
  <cols>
    <col min="1" max="1" width="4.625" style="2" customWidth="1"/>
    <col min="2" max="3" width="5.5" style="2" customWidth="1"/>
    <col min="4" max="5" width="8.625" style="1"/>
    <col min="6" max="6" width="24.625" style="1" bestFit="1" customWidth="1"/>
    <col min="7" max="7" width="12.125" style="1" customWidth="1"/>
    <col min="8" max="8" width="12" style="1" customWidth="1"/>
    <col min="9" max="9" width="12.625" style="1" customWidth="1"/>
    <col min="10" max="10" width="23.875" style="1" bestFit="1" customWidth="1"/>
    <col min="11" max="11" width="8.125" style="1" customWidth="1"/>
    <col min="12" max="54" width="8.625" style="1"/>
    <col min="55" max="57" width="5.5" style="2" customWidth="1"/>
    <col min="58" max="58" width="8.625" style="1"/>
    <col min="59" max="59" width="27.625" style="1" customWidth="1"/>
    <col min="60" max="60" width="19" style="1" customWidth="1"/>
    <col min="61" max="61" width="21.625" style="1" customWidth="1"/>
    <col min="62" max="62" width="19.125" style="1" customWidth="1"/>
    <col min="63" max="63" width="25.375" style="1" customWidth="1"/>
    <col min="64" max="64" width="8.875" style="1" customWidth="1"/>
    <col min="65" max="65" width="8.625" style="1"/>
    <col min="66" max="66" width="24.625" style="1" bestFit="1" customWidth="1"/>
    <col min="67" max="16384" width="8.625" style="1"/>
  </cols>
  <sheetData>
    <row r="3" spans="5:64" ht="15"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BG3" s="3"/>
      <c r="BH3" s="4" t="s">
        <v>13</v>
      </c>
      <c r="BI3" s="4" t="s">
        <v>14</v>
      </c>
      <c r="BJ3" s="4" t="s">
        <v>15</v>
      </c>
      <c r="BK3" s="4" t="s">
        <v>17</v>
      </c>
      <c r="BL3" s="4" t="s">
        <v>16</v>
      </c>
    </row>
    <row r="4" spans="5:64" ht="15">
      <c r="E4" s="9"/>
      <c r="F4"/>
      <c r="G4"/>
      <c r="H4"/>
      <c r="I4"/>
      <c r="J4"/>
      <c r="K4"/>
      <c r="L4"/>
      <c r="M4"/>
      <c r="N4"/>
      <c r="O4"/>
      <c r="P4"/>
      <c r="Q4"/>
      <c r="R4" s="10"/>
      <c r="BG4" s="3" t="s">
        <v>0</v>
      </c>
      <c r="BH4" s="5" t="str">
        <f>LEFT(BG4,SEARCH("-",BG4)-1)</f>
        <v>42878137</v>
      </c>
      <c r="BI4" s="5" t="str">
        <f>MID(BG4,SEARCH("-",BG4)+1,2)</f>
        <v>AA</v>
      </c>
      <c r="BJ4" s="5" t="str">
        <f>RIGHT(BG4,LEN(BG4)-SEARCH("_",BG4))</f>
        <v>Small</v>
      </c>
      <c r="BK4" s="5" t="str">
        <f>SUBSTITUTE(BG4,"-","/",2)</f>
        <v>42878137-AA/МСК_Small</v>
      </c>
      <c r="BL4" s="5" t="str">
        <f>MID(BK4,SEARCH("/",BK4)+1,3)</f>
        <v>МСК</v>
      </c>
    </row>
    <row r="5" spans="5:64" ht="15">
      <c r="E5" s="9"/>
      <c r="F5"/>
      <c r="G5"/>
      <c r="H5"/>
      <c r="I5"/>
      <c r="J5"/>
      <c r="K5"/>
      <c r="L5"/>
      <c r="M5"/>
      <c r="N5"/>
      <c r="O5"/>
      <c r="P5"/>
      <c r="Q5"/>
      <c r="R5" s="10"/>
      <c r="BG5" s="3" t="s">
        <v>1</v>
      </c>
      <c r="BH5" s="5" t="str">
        <f t="shared" ref="BH5:BH16" si="0">LEFT(BG5,SEARCH("-",BG5)-1)</f>
        <v>20722</v>
      </c>
      <c r="BI5" s="5" t="str">
        <f t="shared" ref="BI5:BI16" si="1">MID(BG5,SEARCH("-",BG5)+1,2)</f>
        <v>BB</v>
      </c>
      <c r="BJ5" s="5" t="str">
        <f t="shared" ref="BJ5:BJ16" si="2">RIGHT(BG5,LEN(BG5)-SEARCH("_",BG5))</f>
        <v>Medium</v>
      </c>
      <c r="BK5" s="5" t="str">
        <f t="shared" ref="BK5:BK16" si="3">SUBSTITUTE(BG5,"-","/",2)</f>
        <v>20722-BB/ЕКБ_Medium</v>
      </c>
      <c r="BL5" s="5" t="str">
        <f t="shared" ref="BL5:BL16" si="4">MID(BK5,SEARCH("/",BK5)+1,3)</f>
        <v>ЕКБ</v>
      </c>
    </row>
    <row r="6" spans="5:64" ht="15">
      <c r="E6" s="9"/>
      <c r="F6" s="11" t="s">
        <v>18</v>
      </c>
      <c r="G6"/>
      <c r="H6"/>
      <c r="I6"/>
      <c r="J6"/>
      <c r="K6"/>
      <c r="L6"/>
      <c r="M6"/>
      <c r="N6"/>
      <c r="O6"/>
      <c r="P6"/>
      <c r="Q6"/>
      <c r="R6" s="10"/>
      <c r="BG6" s="3" t="s">
        <v>2</v>
      </c>
      <c r="BH6" s="5" t="str">
        <f t="shared" si="0"/>
        <v>43285093</v>
      </c>
      <c r="BI6" s="5" t="str">
        <f t="shared" si="1"/>
        <v>BC</v>
      </c>
      <c r="BJ6" s="5" t="str">
        <f t="shared" si="2"/>
        <v>XL</v>
      </c>
      <c r="BK6" s="5" t="str">
        <f t="shared" si="3"/>
        <v>43285093-BC/СПБ_XL</v>
      </c>
      <c r="BL6" s="5" t="str">
        <f t="shared" si="4"/>
        <v>СПБ</v>
      </c>
    </row>
    <row r="7" spans="5:64" ht="15">
      <c r="E7" s="9"/>
      <c r="F7" t="s">
        <v>0</v>
      </c>
      <c r="G7" t="str">
        <f>LEFT(F7,SEARCH("-",F7)-1)</f>
        <v>42878137</v>
      </c>
      <c r="H7" t="str">
        <f>LEFT(RIGHT(F7,LEN(F7)-SEARCH("-",F7)),2)</f>
        <v>AA</v>
      </c>
      <c r="I7" t="str">
        <f>RIGHT(F7,LEN($F7)-SEARCH("_",F7))</f>
        <v>Small</v>
      </c>
      <c r="J7" t="str">
        <f>SUBSTITUTE(F7,"-","/",2)</f>
        <v>42878137-AA/МСК_Small</v>
      </c>
      <c r="K7" t="str">
        <f>MID(J7,SEARCH("/",J7)+1,3)</f>
        <v>МСК</v>
      </c>
      <c r="L7"/>
      <c r="M7"/>
      <c r="N7"/>
      <c r="O7"/>
      <c r="P7"/>
      <c r="Q7"/>
      <c r="R7" s="10"/>
      <c r="BG7" s="3" t="s">
        <v>3</v>
      </c>
      <c r="BH7" s="5" t="str">
        <f t="shared" si="0"/>
        <v>24821549</v>
      </c>
      <c r="BI7" s="5" t="str">
        <f t="shared" si="1"/>
        <v>AB</v>
      </c>
      <c r="BJ7" s="5" t="str">
        <f t="shared" si="2"/>
        <v>Large</v>
      </c>
      <c r="BK7" s="5" t="str">
        <f t="shared" si="3"/>
        <v>24821549-AB/РНД_Large</v>
      </c>
      <c r="BL7" s="5" t="str">
        <f t="shared" si="4"/>
        <v>РНД</v>
      </c>
    </row>
    <row r="8" spans="5:64" ht="15">
      <c r="E8" s="9"/>
      <c r="F8" t="s">
        <v>1</v>
      </c>
      <c r="G8" t="str">
        <f t="shared" ref="G8:G19" si="5">LEFT(F8,SEARCH("-",F8)-1)</f>
        <v>20722</v>
      </c>
      <c r="H8" t="str">
        <f t="shared" ref="H8:H19" si="6">LEFT(RIGHT(F8,LEN(F8)-SEARCH("-",F8)),2)</f>
        <v>BB</v>
      </c>
      <c r="I8" t="str">
        <f t="shared" ref="I8:I19" si="7">RIGHT(F8,LEN($F8)-SEARCH("_",F8))</f>
        <v>Medium</v>
      </c>
      <c r="J8" t="str">
        <f t="shared" ref="J8:J19" si="8">SUBSTITUTE(F8,"-","/",2)</f>
        <v>20722-BB/ЕКБ_Medium</v>
      </c>
      <c r="K8" t="str">
        <f t="shared" ref="K8:K19" si="9">MID(J8,SEARCH("/",J8)+1,3)</f>
        <v>ЕКБ</v>
      </c>
      <c r="L8"/>
      <c r="M8"/>
      <c r="N8"/>
      <c r="O8"/>
      <c r="P8"/>
      <c r="Q8"/>
      <c r="R8" s="10"/>
      <c r="BG8" s="3" t="s">
        <v>4</v>
      </c>
      <c r="BH8" s="5" t="str">
        <f t="shared" si="0"/>
        <v>54817</v>
      </c>
      <c r="BI8" s="5" t="str">
        <f t="shared" si="1"/>
        <v>BB</v>
      </c>
      <c r="BJ8" s="5" t="str">
        <f t="shared" si="2"/>
        <v>XL</v>
      </c>
      <c r="BK8" s="5" t="str">
        <f t="shared" si="3"/>
        <v>54817-BB/КРД_XL</v>
      </c>
      <c r="BL8" s="5" t="str">
        <f t="shared" si="4"/>
        <v>КРД</v>
      </c>
    </row>
    <row r="9" spans="5:64" ht="15">
      <c r="E9" s="9"/>
      <c r="F9" t="s">
        <v>2</v>
      </c>
      <c r="G9" t="str">
        <f t="shared" si="5"/>
        <v>43285093</v>
      </c>
      <c r="H9" t="str">
        <f t="shared" si="6"/>
        <v>BC</v>
      </c>
      <c r="I9" t="str">
        <f t="shared" si="7"/>
        <v>XL</v>
      </c>
      <c r="J9" t="str">
        <f t="shared" si="8"/>
        <v>43285093-BC/СПБ_XL</v>
      </c>
      <c r="K9" t="str">
        <f t="shared" si="9"/>
        <v>СПБ</v>
      </c>
      <c r="L9"/>
      <c r="M9"/>
      <c r="N9"/>
      <c r="O9"/>
      <c r="P9"/>
      <c r="Q9"/>
      <c r="R9" s="10"/>
      <c r="BG9" s="3" t="s">
        <v>5</v>
      </c>
      <c r="BH9" s="5" t="str">
        <f t="shared" si="0"/>
        <v>47022441</v>
      </c>
      <c r="BI9" s="5" t="str">
        <f t="shared" si="1"/>
        <v>BC</v>
      </c>
      <c r="BJ9" s="5" t="str">
        <f t="shared" si="2"/>
        <v>XXL</v>
      </c>
      <c r="BK9" s="5" t="str">
        <f t="shared" si="3"/>
        <v>47022441-BC/ЕКБ_XXL</v>
      </c>
      <c r="BL9" s="5" t="str">
        <f t="shared" si="4"/>
        <v>ЕКБ</v>
      </c>
    </row>
    <row r="10" spans="5:64" ht="15">
      <c r="E10" s="9"/>
      <c r="F10" t="s">
        <v>3</v>
      </c>
      <c r="G10" t="str">
        <f t="shared" si="5"/>
        <v>24821549</v>
      </c>
      <c r="H10" t="str">
        <f t="shared" si="6"/>
        <v>AB</v>
      </c>
      <c r="I10" t="str">
        <f t="shared" si="7"/>
        <v>Large</v>
      </c>
      <c r="J10" t="str">
        <f t="shared" si="8"/>
        <v>24821549-AB/РНД_Large</v>
      </c>
      <c r="K10" t="str">
        <f t="shared" si="9"/>
        <v>РНД</v>
      </c>
      <c r="L10"/>
      <c r="M10"/>
      <c r="N10"/>
      <c r="O10"/>
      <c r="P10"/>
      <c r="Q10"/>
      <c r="R10" s="10"/>
      <c r="BG10" s="3" t="s">
        <v>6</v>
      </c>
      <c r="BH10" s="5" t="str">
        <f t="shared" si="0"/>
        <v>19707368</v>
      </c>
      <c r="BI10" s="5" t="str">
        <f t="shared" si="1"/>
        <v>AA</v>
      </c>
      <c r="BJ10" s="5" t="str">
        <f t="shared" si="2"/>
        <v>Small</v>
      </c>
      <c r="BK10" s="5" t="str">
        <f t="shared" si="3"/>
        <v>19707368-AA/МСК_Small</v>
      </c>
      <c r="BL10" s="5" t="str">
        <f t="shared" si="4"/>
        <v>МСК</v>
      </c>
    </row>
    <row r="11" spans="5:64" ht="15">
      <c r="E11" s="9"/>
      <c r="F11" t="s">
        <v>4</v>
      </c>
      <c r="G11" t="str">
        <f t="shared" si="5"/>
        <v>54817</v>
      </c>
      <c r="H11" t="str">
        <f t="shared" si="6"/>
        <v>BB</v>
      </c>
      <c r="I11" t="str">
        <f t="shared" si="7"/>
        <v>XL</v>
      </c>
      <c r="J11" t="str">
        <f t="shared" si="8"/>
        <v>54817-BB/КРД_XL</v>
      </c>
      <c r="K11" t="str">
        <f t="shared" si="9"/>
        <v>КРД</v>
      </c>
      <c r="L11"/>
      <c r="M11"/>
      <c r="N11"/>
      <c r="O11"/>
      <c r="P11"/>
      <c r="Q11"/>
      <c r="R11" s="10"/>
      <c r="BG11" s="3" t="s">
        <v>7</v>
      </c>
      <c r="BH11" s="5" t="str">
        <f t="shared" si="0"/>
        <v>34673078</v>
      </c>
      <c r="BI11" s="5" t="str">
        <f t="shared" si="1"/>
        <v>BA</v>
      </c>
      <c r="BJ11" s="5" t="str">
        <f t="shared" si="2"/>
        <v>Medium</v>
      </c>
      <c r="BK11" s="5" t="str">
        <f t="shared" si="3"/>
        <v>34673078-BA/РНД_Medium</v>
      </c>
      <c r="BL11" s="5" t="str">
        <f t="shared" si="4"/>
        <v>РНД</v>
      </c>
    </row>
    <row r="12" spans="5:64" ht="15">
      <c r="E12" s="9"/>
      <c r="F12" t="s">
        <v>5</v>
      </c>
      <c r="G12" t="str">
        <f t="shared" si="5"/>
        <v>47022441</v>
      </c>
      <c r="H12" t="str">
        <f t="shared" si="6"/>
        <v>BC</v>
      </c>
      <c r="I12" t="str">
        <f t="shared" si="7"/>
        <v>XXL</v>
      </c>
      <c r="J12" t="str">
        <f t="shared" si="8"/>
        <v>47022441-BC/ЕКБ_XXL</v>
      </c>
      <c r="K12" t="str">
        <f t="shared" si="9"/>
        <v>ЕКБ</v>
      </c>
      <c r="L12"/>
      <c r="M12"/>
      <c r="N12"/>
      <c r="O12"/>
      <c r="P12"/>
      <c r="Q12"/>
      <c r="R12" s="10"/>
      <c r="BG12" s="3" t="s">
        <v>8</v>
      </c>
      <c r="BH12" s="5" t="str">
        <f t="shared" si="0"/>
        <v>35979277</v>
      </c>
      <c r="BI12" s="5" t="str">
        <f t="shared" si="1"/>
        <v>BB</v>
      </c>
      <c r="BJ12" s="5" t="str">
        <f t="shared" si="2"/>
        <v>Small</v>
      </c>
      <c r="BK12" s="5" t="str">
        <f t="shared" si="3"/>
        <v>35979277-BB/КРД_Small</v>
      </c>
      <c r="BL12" s="5" t="str">
        <f t="shared" si="4"/>
        <v>КРД</v>
      </c>
    </row>
    <row r="13" spans="5:64" ht="15">
      <c r="E13" s="9"/>
      <c r="F13" t="s">
        <v>6</v>
      </c>
      <c r="G13" t="str">
        <f t="shared" si="5"/>
        <v>19707368</v>
      </c>
      <c r="H13" t="str">
        <f t="shared" si="6"/>
        <v>AA</v>
      </c>
      <c r="I13" t="str">
        <f t="shared" si="7"/>
        <v>Small</v>
      </c>
      <c r="J13" t="str">
        <f t="shared" si="8"/>
        <v>19707368-AA/МСК_Small</v>
      </c>
      <c r="K13" t="str">
        <f t="shared" si="9"/>
        <v>МСК</v>
      </c>
      <c r="L13"/>
      <c r="M13"/>
      <c r="N13"/>
      <c r="O13"/>
      <c r="P13"/>
      <c r="Q13"/>
      <c r="R13" s="10"/>
      <c r="BG13" s="3" t="s">
        <v>9</v>
      </c>
      <c r="BH13" s="5" t="str">
        <f t="shared" si="0"/>
        <v>193</v>
      </c>
      <c r="BI13" s="5" t="str">
        <f t="shared" si="1"/>
        <v>BC</v>
      </c>
      <c r="BJ13" s="5" t="str">
        <f t="shared" si="2"/>
        <v>Medium</v>
      </c>
      <c r="BK13" s="5" t="str">
        <f t="shared" si="3"/>
        <v>193-BC/ЕКБ_Medium</v>
      </c>
      <c r="BL13" s="5" t="str">
        <f t="shared" si="4"/>
        <v>ЕКБ</v>
      </c>
    </row>
    <row r="14" spans="5:64" ht="15">
      <c r="E14" s="9"/>
      <c r="F14" t="s">
        <v>7</v>
      </c>
      <c r="G14" t="str">
        <f t="shared" si="5"/>
        <v>34673078</v>
      </c>
      <c r="H14" t="str">
        <f t="shared" si="6"/>
        <v>BA</v>
      </c>
      <c r="I14" t="str">
        <f t="shared" si="7"/>
        <v>Medium</v>
      </c>
      <c r="J14" t="str">
        <f t="shared" si="8"/>
        <v>34673078-BA/РНД_Medium</v>
      </c>
      <c r="K14" t="str">
        <f t="shared" si="9"/>
        <v>РНД</v>
      </c>
      <c r="L14"/>
      <c r="M14"/>
      <c r="N14"/>
      <c r="O14"/>
      <c r="P14"/>
      <c r="Q14"/>
      <c r="R14" s="10"/>
      <c r="BG14" s="3" t="s">
        <v>10</v>
      </c>
      <c r="BH14" s="5" t="str">
        <f t="shared" si="0"/>
        <v>69267996</v>
      </c>
      <c r="BI14" s="5" t="str">
        <f t="shared" si="1"/>
        <v>AB</v>
      </c>
      <c r="BJ14" s="5" t="str">
        <f t="shared" si="2"/>
        <v>XL</v>
      </c>
      <c r="BK14" s="5" t="str">
        <f t="shared" si="3"/>
        <v>69267996-AB/СПБ_XL</v>
      </c>
      <c r="BL14" s="5" t="str">
        <f t="shared" si="4"/>
        <v>СПБ</v>
      </c>
    </row>
    <row r="15" spans="5:64" ht="15">
      <c r="E15" s="9"/>
      <c r="F15" t="s">
        <v>8</v>
      </c>
      <c r="G15" t="str">
        <f t="shared" si="5"/>
        <v>35979277</v>
      </c>
      <c r="H15" t="str">
        <f t="shared" si="6"/>
        <v>BB</v>
      </c>
      <c r="I15" t="str">
        <f t="shared" si="7"/>
        <v>Small</v>
      </c>
      <c r="J15" t="str">
        <f t="shared" si="8"/>
        <v>35979277-BB/КРД_Small</v>
      </c>
      <c r="K15" t="str">
        <f t="shared" si="9"/>
        <v>КРД</v>
      </c>
      <c r="L15"/>
      <c r="M15"/>
      <c r="N15"/>
      <c r="O15"/>
      <c r="P15"/>
      <c r="Q15"/>
      <c r="R15" s="10"/>
      <c r="BG15" s="3" t="s">
        <v>11</v>
      </c>
      <c r="BH15" s="5" t="str">
        <f t="shared" si="0"/>
        <v>99011817</v>
      </c>
      <c r="BI15" s="5" t="str">
        <f t="shared" si="1"/>
        <v>BB</v>
      </c>
      <c r="BJ15" s="5" t="str">
        <f t="shared" si="2"/>
        <v>Large</v>
      </c>
      <c r="BK15" s="5" t="str">
        <f t="shared" si="3"/>
        <v>99011817-BB/МСК_Large</v>
      </c>
      <c r="BL15" s="5" t="str">
        <f t="shared" si="4"/>
        <v>МСК</v>
      </c>
    </row>
    <row r="16" spans="5:64" ht="15">
      <c r="E16" s="9"/>
      <c r="F16" t="s">
        <v>9</v>
      </c>
      <c r="G16" t="str">
        <f t="shared" si="5"/>
        <v>193</v>
      </c>
      <c r="H16" t="str">
        <f t="shared" si="6"/>
        <v>BC</v>
      </c>
      <c r="I16" t="str">
        <f t="shared" si="7"/>
        <v>Medium</v>
      </c>
      <c r="J16" t="str">
        <f t="shared" si="8"/>
        <v>193-BC/ЕКБ_Medium</v>
      </c>
      <c r="K16" t="str">
        <f t="shared" si="9"/>
        <v>ЕКБ</v>
      </c>
      <c r="L16"/>
      <c r="M16"/>
      <c r="N16"/>
      <c r="O16"/>
      <c r="P16"/>
      <c r="Q16"/>
      <c r="R16" s="10"/>
      <c r="BG16" s="3" t="s">
        <v>12</v>
      </c>
      <c r="BH16" s="5" t="str">
        <f t="shared" si="0"/>
        <v>2279987</v>
      </c>
      <c r="BI16" s="5" t="str">
        <f t="shared" si="1"/>
        <v>AA</v>
      </c>
      <c r="BJ16" s="5" t="str">
        <f t="shared" si="2"/>
        <v>XL</v>
      </c>
      <c r="BK16" s="5" t="str">
        <f t="shared" si="3"/>
        <v>2279987-AA/КРД_XL</v>
      </c>
      <c r="BL16" s="5" t="str">
        <f t="shared" si="4"/>
        <v>КРД</v>
      </c>
    </row>
    <row r="17" spans="5:18">
      <c r="E17" s="9"/>
      <c r="F17" t="s">
        <v>10</v>
      </c>
      <c r="G17" t="str">
        <f t="shared" si="5"/>
        <v>69267996</v>
      </c>
      <c r="H17" t="str">
        <f t="shared" si="6"/>
        <v>AB</v>
      </c>
      <c r="I17" t="str">
        <f t="shared" si="7"/>
        <v>XL</v>
      </c>
      <c r="J17" t="str">
        <f t="shared" si="8"/>
        <v>69267996-AB/СПБ_XL</v>
      </c>
      <c r="K17" t="str">
        <f t="shared" si="9"/>
        <v>СПБ</v>
      </c>
      <c r="L17"/>
      <c r="M17"/>
      <c r="N17"/>
      <c r="O17"/>
      <c r="P17"/>
      <c r="Q17"/>
      <c r="R17" s="10"/>
    </row>
    <row r="18" spans="5:18">
      <c r="E18" s="9"/>
      <c r="F18" t="s">
        <v>11</v>
      </c>
      <c r="G18" t="str">
        <f t="shared" si="5"/>
        <v>99011817</v>
      </c>
      <c r="H18" t="str">
        <f t="shared" si="6"/>
        <v>BB</v>
      </c>
      <c r="I18" t="str">
        <f t="shared" si="7"/>
        <v>Large</v>
      </c>
      <c r="J18" t="str">
        <f t="shared" si="8"/>
        <v>99011817-BB/МСК_Large</v>
      </c>
      <c r="K18" t="str">
        <f t="shared" si="9"/>
        <v>МСК</v>
      </c>
      <c r="L18"/>
      <c r="M18"/>
      <c r="N18"/>
      <c r="O18"/>
      <c r="P18"/>
      <c r="Q18"/>
      <c r="R18" s="10"/>
    </row>
    <row r="19" spans="5:18">
      <c r="E19" s="9"/>
      <c r="F19" t="s">
        <v>12</v>
      </c>
      <c r="G19" t="str">
        <f t="shared" si="5"/>
        <v>2279987</v>
      </c>
      <c r="H19" t="str">
        <f t="shared" si="6"/>
        <v>AA</v>
      </c>
      <c r="I19" t="str">
        <f t="shared" si="7"/>
        <v>XL</v>
      </c>
      <c r="J19" t="str">
        <f t="shared" si="8"/>
        <v>2279987-AA/КРД_XL</v>
      </c>
      <c r="K19" t="str">
        <f t="shared" si="9"/>
        <v>КРД</v>
      </c>
      <c r="L19"/>
      <c r="M19"/>
      <c r="N19"/>
      <c r="O19"/>
      <c r="P19"/>
      <c r="Q19"/>
      <c r="R19" s="10"/>
    </row>
    <row r="20" spans="5:18">
      <c r="E20" s="9"/>
      <c r="F20"/>
      <c r="G20"/>
      <c r="H20"/>
      <c r="I20"/>
      <c r="J20"/>
      <c r="K20"/>
      <c r="L20"/>
      <c r="M20"/>
      <c r="N20"/>
      <c r="O20"/>
      <c r="P20"/>
      <c r="Q20"/>
      <c r="R20" s="10"/>
    </row>
    <row r="21" spans="5:18">
      <c r="E21" s="9"/>
      <c r="F21"/>
      <c r="G21"/>
      <c r="H21"/>
      <c r="I21"/>
      <c r="J21"/>
      <c r="K21"/>
      <c r="L21"/>
      <c r="M21"/>
      <c r="N21"/>
      <c r="O21"/>
      <c r="P21"/>
      <c r="Q21"/>
      <c r="R21" s="10"/>
    </row>
    <row r="22" spans="5:18"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Тема урока</vt:lpstr>
      <vt:lpstr>Выполнить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Alikperov</dc:creator>
  <cp:lastModifiedBy>Oksana Abramova</cp:lastModifiedBy>
  <dcterms:created xsi:type="dcterms:W3CDTF">2024-08-24T22:17:11Z</dcterms:created>
  <dcterms:modified xsi:type="dcterms:W3CDTF">2025-05-23T02:39:00Z</dcterms:modified>
</cp:coreProperties>
</file>