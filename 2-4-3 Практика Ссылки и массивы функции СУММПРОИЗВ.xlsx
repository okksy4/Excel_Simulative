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D:\я\учеба\Simulative\Simulative BI\Excel\"/>
    </mc:Choice>
  </mc:AlternateContent>
  <xr:revisionPtr revIDLastSave="0" documentId="13_ncr:1_{C24928C9-32CB-4C16-9F8C-D84D33A1A112}" xr6:coauthVersionLast="37" xr6:coauthVersionMax="47" xr10:uidLastSave="{00000000-0000-0000-0000-000000000000}"/>
  <bookViews>
    <workbookView xWindow="0" yWindow="0" windowWidth="28800" windowHeight="11910" tabRatio="737" activeTab="1" xr2:uid="{BE275577-B430-4DCB-AA1E-9DF443D9D709}"/>
  </bookViews>
  <sheets>
    <sheet name="Тема урока" sheetId="16" r:id="rId1"/>
    <sheet name="Выполнить" sheetId="17" r:id="rId2"/>
    <sheet name="Продажи_отчет" sheetId="21" r:id="rId3"/>
    <sheet name="Продажи" sheetId="22" state="hidden" r:id="rId4"/>
    <sheet name="Справка" sheetId="3" r:id="rId5"/>
  </sheets>
  <definedNames>
    <definedName name="_xlnm._FilterDatabase" localSheetId="1" hidden="1">Выполнить!#REF!</definedName>
    <definedName name="_xlnm._FilterDatabase" localSheetId="3" hidden="1">Продажи!$E$8:$N$2004</definedName>
    <definedName name="_xlnm._FilterDatabase" localSheetId="2" hidden="1">Продажи_отчет!$E$8:$M$1006</definedName>
    <definedName name="_xlnm.Extract" localSheetId="1">Выполнить!#REF!</definedName>
    <definedName name="_xlnm.Extract" localSheetId="2">Продажи_отчет!#REF!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" i="17" l="1" a="1"/>
  <c r="I15" i="17" s="1"/>
  <c r="I14" i="17" a="1"/>
  <c r="I14" i="17" s="1"/>
  <c r="H15" i="17"/>
  <c r="H14" i="17"/>
  <c r="M2005" i="21"/>
  <c r="L3" i="22" l="1"/>
  <c r="M3" i="22"/>
  <c r="Q4" i="22" a="1"/>
  <c r="Q4" i="22" s="1"/>
  <c r="Q3" i="22"/>
  <c r="AW11" i="17" a="1"/>
  <c r="AV11" i="17" a="1"/>
  <c r="N10" i="22"/>
  <c r="N11" i="22"/>
  <c r="N12" i="22"/>
  <c r="N13" i="22"/>
  <c r="N14" i="22"/>
  <c r="N15" i="22"/>
  <c r="N16" i="22"/>
  <c r="N17" i="22"/>
  <c r="N18" i="22"/>
  <c r="N19" i="22"/>
  <c r="N20" i="22"/>
  <c r="N21" i="22"/>
  <c r="N22" i="22"/>
  <c r="N23" i="22"/>
  <c r="N24" i="22"/>
  <c r="N25" i="22"/>
  <c r="N26" i="22"/>
  <c r="N27" i="22"/>
  <c r="N28" i="22"/>
  <c r="N29" i="22"/>
  <c r="N30" i="22"/>
  <c r="N31" i="22"/>
  <c r="N32" i="22"/>
  <c r="N33" i="22"/>
  <c r="N34" i="22"/>
  <c r="N35" i="22"/>
  <c r="N36" i="22"/>
  <c r="N37" i="22"/>
  <c r="N38" i="22"/>
  <c r="N39" i="22"/>
  <c r="N40" i="22"/>
  <c r="N41" i="22"/>
  <c r="N42" i="22"/>
  <c r="N43" i="22"/>
  <c r="N44" i="22"/>
  <c r="N45" i="22"/>
  <c r="N46" i="22"/>
  <c r="N47" i="22"/>
  <c r="N48" i="22"/>
  <c r="N49" i="22"/>
  <c r="N50" i="22"/>
  <c r="N51" i="22"/>
  <c r="N52" i="22"/>
  <c r="N53" i="22"/>
  <c r="N54" i="22"/>
  <c r="N55" i="22"/>
  <c r="N56" i="22"/>
  <c r="N57" i="22"/>
  <c r="N58" i="22"/>
  <c r="N59" i="22"/>
  <c r="N60" i="22"/>
  <c r="N61" i="22"/>
  <c r="N62" i="22"/>
  <c r="N63" i="22"/>
  <c r="N64" i="22"/>
  <c r="N65" i="22"/>
  <c r="N66" i="22"/>
  <c r="N67" i="22"/>
  <c r="N68" i="22"/>
  <c r="N69" i="22"/>
  <c r="N70" i="22"/>
  <c r="N71" i="22"/>
  <c r="N72" i="22"/>
  <c r="N73" i="22"/>
  <c r="N74" i="22"/>
  <c r="N75" i="22"/>
  <c r="N76" i="22"/>
  <c r="N77" i="22"/>
  <c r="N78" i="22"/>
  <c r="N79" i="22"/>
  <c r="N80" i="22"/>
  <c r="N81" i="22"/>
  <c r="N82" i="22"/>
  <c r="N83" i="22"/>
  <c r="N84" i="22"/>
  <c r="N85" i="22"/>
  <c r="N86" i="22"/>
  <c r="N87" i="22"/>
  <c r="N88" i="22"/>
  <c r="N89" i="22"/>
  <c r="N90" i="22"/>
  <c r="N91" i="22"/>
  <c r="N92" i="22"/>
  <c r="N93" i="22"/>
  <c r="N94" i="22"/>
  <c r="N95" i="22"/>
  <c r="N96" i="22"/>
  <c r="N97" i="22"/>
  <c r="N98" i="22"/>
  <c r="N99" i="22"/>
  <c r="N100" i="22"/>
  <c r="N101" i="22"/>
  <c r="N102" i="22"/>
  <c r="N103" i="22"/>
  <c r="N104" i="22"/>
  <c r="N105" i="22"/>
  <c r="N106" i="22"/>
  <c r="N107" i="22"/>
  <c r="N108" i="22"/>
  <c r="N109" i="22"/>
  <c r="N110" i="22"/>
  <c r="N111" i="22"/>
  <c r="N112" i="22"/>
  <c r="N113" i="22"/>
  <c r="N114" i="22"/>
  <c r="N115" i="22"/>
  <c r="N116" i="22"/>
  <c r="N117" i="22"/>
  <c r="N118" i="22"/>
  <c r="N119" i="22"/>
  <c r="N120" i="22"/>
  <c r="N121" i="22"/>
  <c r="N122" i="22"/>
  <c r="N123" i="22"/>
  <c r="N124" i="22"/>
  <c r="N125" i="22"/>
  <c r="N126" i="22"/>
  <c r="N127" i="22"/>
  <c r="N128" i="22"/>
  <c r="N129" i="22"/>
  <c r="N130" i="22"/>
  <c r="N131" i="22"/>
  <c r="N132" i="22"/>
  <c r="N133" i="22"/>
  <c r="N134" i="22"/>
  <c r="N135" i="22"/>
  <c r="N136" i="22"/>
  <c r="N137" i="22"/>
  <c r="N138" i="22"/>
  <c r="N139" i="22"/>
  <c r="N140" i="22"/>
  <c r="N141" i="22"/>
  <c r="N142" i="22"/>
  <c r="N143" i="22"/>
  <c r="N144" i="22"/>
  <c r="N145" i="22"/>
  <c r="N146" i="22"/>
  <c r="N147" i="22"/>
  <c r="N148" i="22"/>
  <c r="N149" i="22"/>
  <c r="N150" i="22"/>
  <c r="N151" i="22"/>
  <c r="N152" i="22"/>
  <c r="N153" i="22"/>
  <c r="N154" i="22"/>
  <c r="N155" i="22"/>
  <c r="N156" i="22"/>
  <c r="N157" i="22"/>
  <c r="N158" i="22"/>
  <c r="N159" i="22"/>
  <c r="N160" i="22"/>
  <c r="N161" i="22"/>
  <c r="N162" i="22"/>
  <c r="N163" i="22"/>
  <c r="N164" i="22"/>
  <c r="N165" i="22"/>
  <c r="N166" i="22"/>
  <c r="N167" i="22"/>
  <c r="N168" i="22"/>
  <c r="N169" i="22"/>
  <c r="N170" i="22"/>
  <c r="N171" i="22"/>
  <c r="N172" i="22"/>
  <c r="N173" i="22"/>
  <c r="N174" i="22"/>
  <c r="N175" i="22"/>
  <c r="N176" i="22"/>
  <c r="N177" i="22"/>
  <c r="N178" i="22"/>
  <c r="N179" i="22"/>
  <c r="N180" i="22"/>
  <c r="N181" i="22"/>
  <c r="N182" i="22"/>
  <c r="N183" i="22"/>
  <c r="N184" i="22"/>
  <c r="N185" i="22"/>
  <c r="N186" i="22"/>
  <c r="N187" i="22"/>
  <c r="N188" i="22"/>
  <c r="N189" i="22"/>
  <c r="N190" i="22"/>
  <c r="N191" i="22"/>
  <c r="N192" i="22"/>
  <c r="N193" i="22"/>
  <c r="N194" i="22"/>
  <c r="N195" i="22"/>
  <c r="N196" i="22"/>
  <c r="N197" i="22"/>
  <c r="N198" i="22"/>
  <c r="N199" i="22"/>
  <c r="N200" i="22"/>
  <c r="N201" i="22"/>
  <c r="N202" i="22"/>
  <c r="N203" i="22"/>
  <c r="N204" i="22"/>
  <c r="N205" i="22"/>
  <c r="N206" i="22"/>
  <c r="N207" i="22"/>
  <c r="N208" i="22"/>
  <c r="N209" i="22"/>
  <c r="N210" i="22"/>
  <c r="N211" i="22"/>
  <c r="N212" i="22"/>
  <c r="N213" i="22"/>
  <c r="N214" i="22"/>
  <c r="N215" i="22"/>
  <c r="N216" i="22"/>
  <c r="N217" i="22"/>
  <c r="N218" i="22"/>
  <c r="N219" i="22"/>
  <c r="N220" i="22"/>
  <c r="N221" i="22"/>
  <c r="N222" i="22"/>
  <c r="N223" i="22"/>
  <c r="N224" i="22"/>
  <c r="N225" i="22"/>
  <c r="N226" i="22"/>
  <c r="N227" i="22"/>
  <c r="N228" i="22"/>
  <c r="N229" i="22"/>
  <c r="N230" i="22"/>
  <c r="N231" i="22"/>
  <c r="N232" i="22"/>
  <c r="N233" i="22"/>
  <c r="N234" i="22"/>
  <c r="N235" i="22"/>
  <c r="N236" i="22"/>
  <c r="N237" i="22"/>
  <c r="N238" i="22"/>
  <c r="N239" i="22"/>
  <c r="N240" i="22"/>
  <c r="N241" i="22"/>
  <c r="N242" i="22"/>
  <c r="N243" i="22"/>
  <c r="N244" i="22"/>
  <c r="N245" i="22"/>
  <c r="N246" i="22"/>
  <c r="N247" i="22"/>
  <c r="N248" i="22"/>
  <c r="N249" i="22"/>
  <c r="N250" i="22"/>
  <c r="N251" i="22"/>
  <c r="N252" i="22"/>
  <c r="N253" i="22"/>
  <c r="N254" i="22"/>
  <c r="N255" i="22"/>
  <c r="N256" i="22"/>
  <c r="N257" i="22"/>
  <c r="N258" i="22"/>
  <c r="N259" i="22"/>
  <c r="N260" i="22"/>
  <c r="N261" i="22"/>
  <c r="N262" i="22"/>
  <c r="N263" i="22"/>
  <c r="N264" i="22"/>
  <c r="N265" i="22"/>
  <c r="N266" i="22"/>
  <c r="N267" i="22"/>
  <c r="N268" i="22"/>
  <c r="N269" i="22"/>
  <c r="N270" i="22"/>
  <c r="N271" i="22"/>
  <c r="N272" i="22"/>
  <c r="N273" i="22"/>
  <c r="N274" i="22"/>
  <c r="N275" i="22"/>
  <c r="N276" i="22"/>
  <c r="N277" i="22"/>
  <c r="N278" i="22"/>
  <c r="N279" i="22"/>
  <c r="N280" i="22"/>
  <c r="N281" i="22"/>
  <c r="N282" i="22"/>
  <c r="N283" i="22"/>
  <c r="N284" i="22"/>
  <c r="N285" i="22"/>
  <c r="N286" i="22"/>
  <c r="N287" i="22"/>
  <c r="N288" i="22"/>
  <c r="N289" i="22"/>
  <c r="N290" i="22"/>
  <c r="N291" i="22"/>
  <c r="N292" i="22"/>
  <c r="N293" i="22"/>
  <c r="N294" i="22"/>
  <c r="N295" i="22"/>
  <c r="N296" i="22"/>
  <c r="N297" i="22"/>
  <c r="N298" i="22"/>
  <c r="N299" i="22"/>
  <c r="N300" i="22"/>
  <c r="N301" i="22"/>
  <c r="N302" i="22"/>
  <c r="N303" i="22"/>
  <c r="N304" i="22"/>
  <c r="N305" i="22"/>
  <c r="N306" i="22"/>
  <c r="N307" i="22"/>
  <c r="N308" i="22"/>
  <c r="N309" i="22"/>
  <c r="N310" i="22"/>
  <c r="N311" i="22"/>
  <c r="N312" i="22"/>
  <c r="N313" i="22"/>
  <c r="N314" i="22"/>
  <c r="N315" i="22"/>
  <c r="N316" i="22"/>
  <c r="N317" i="22"/>
  <c r="N318" i="22"/>
  <c r="N319" i="22"/>
  <c r="N320" i="22"/>
  <c r="N321" i="22"/>
  <c r="N322" i="22"/>
  <c r="N323" i="22"/>
  <c r="N324" i="22"/>
  <c r="N325" i="22"/>
  <c r="N326" i="22"/>
  <c r="N327" i="22"/>
  <c r="N328" i="22"/>
  <c r="N329" i="22"/>
  <c r="N330" i="22"/>
  <c r="N331" i="22"/>
  <c r="N332" i="22"/>
  <c r="N333" i="22"/>
  <c r="N334" i="22"/>
  <c r="N335" i="22"/>
  <c r="N336" i="22"/>
  <c r="N337" i="22"/>
  <c r="N338" i="22"/>
  <c r="N339" i="22"/>
  <c r="N340" i="22"/>
  <c r="N341" i="22"/>
  <c r="N342" i="22"/>
  <c r="N343" i="22"/>
  <c r="N344" i="22"/>
  <c r="N345" i="22"/>
  <c r="N346" i="22"/>
  <c r="N347" i="22"/>
  <c r="N348" i="22"/>
  <c r="N349" i="22"/>
  <c r="N350" i="22"/>
  <c r="N351" i="22"/>
  <c r="N352" i="22"/>
  <c r="N353" i="22"/>
  <c r="N354" i="22"/>
  <c r="N355" i="22"/>
  <c r="N356" i="22"/>
  <c r="N357" i="22"/>
  <c r="N358" i="22"/>
  <c r="N359" i="22"/>
  <c r="N360" i="22"/>
  <c r="N361" i="22"/>
  <c r="N362" i="22"/>
  <c r="N363" i="22"/>
  <c r="N364" i="22"/>
  <c r="N365" i="22"/>
  <c r="N366" i="22"/>
  <c r="N367" i="22"/>
  <c r="N368" i="22"/>
  <c r="N369" i="22"/>
  <c r="N370" i="22"/>
  <c r="N371" i="22"/>
  <c r="N372" i="22"/>
  <c r="N373" i="22"/>
  <c r="N374" i="22"/>
  <c r="N375" i="22"/>
  <c r="N376" i="22"/>
  <c r="N377" i="22"/>
  <c r="N378" i="22"/>
  <c r="N379" i="22"/>
  <c r="N380" i="22"/>
  <c r="N381" i="22"/>
  <c r="N382" i="22"/>
  <c r="N383" i="22"/>
  <c r="N384" i="22"/>
  <c r="N385" i="22"/>
  <c r="N386" i="22"/>
  <c r="N387" i="22"/>
  <c r="N388" i="22"/>
  <c r="N389" i="22"/>
  <c r="N390" i="22"/>
  <c r="N391" i="22"/>
  <c r="N392" i="22"/>
  <c r="N393" i="22"/>
  <c r="N394" i="22"/>
  <c r="N395" i="22"/>
  <c r="N396" i="22"/>
  <c r="N397" i="22"/>
  <c r="N398" i="22"/>
  <c r="N399" i="22"/>
  <c r="N400" i="22"/>
  <c r="N401" i="22"/>
  <c r="N402" i="22"/>
  <c r="N403" i="22"/>
  <c r="N404" i="22"/>
  <c r="N405" i="22"/>
  <c r="N406" i="22"/>
  <c r="N407" i="22"/>
  <c r="N408" i="22"/>
  <c r="N409" i="22"/>
  <c r="N410" i="22"/>
  <c r="N411" i="22"/>
  <c r="N412" i="22"/>
  <c r="N413" i="22"/>
  <c r="N414" i="22"/>
  <c r="N415" i="22"/>
  <c r="N416" i="22"/>
  <c r="N417" i="22"/>
  <c r="N418" i="22"/>
  <c r="N419" i="22"/>
  <c r="N420" i="22"/>
  <c r="N421" i="22"/>
  <c r="N422" i="22"/>
  <c r="N423" i="22"/>
  <c r="N424" i="22"/>
  <c r="N425" i="22"/>
  <c r="N426" i="22"/>
  <c r="N427" i="22"/>
  <c r="N428" i="22"/>
  <c r="N429" i="22"/>
  <c r="N430" i="22"/>
  <c r="N431" i="22"/>
  <c r="N432" i="22"/>
  <c r="N433" i="22"/>
  <c r="N434" i="22"/>
  <c r="N435" i="22"/>
  <c r="N436" i="22"/>
  <c r="N437" i="22"/>
  <c r="N438" i="22"/>
  <c r="N439" i="22"/>
  <c r="N440" i="22"/>
  <c r="N441" i="22"/>
  <c r="N442" i="22"/>
  <c r="N443" i="22"/>
  <c r="N444" i="22"/>
  <c r="N445" i="22"/>
  <c r="N446" i="22"/>
  <c r="N447" i="22"/>
  <c r="N448" i="22"/>
  <c r="N449" i="22"/>
  <c r="N450" i="22"/>
  <c r="N451" i="22"/>
  <c r="N452" i="22"/>
  <c r="N453" i="22"/>
  <c r="N454" i="22"/>
  <c r="N455" i="22"/>
  <c r="N456" i="22"/>
  <c r="N457" i="22"/>
  <c r="N458" i="22"/>
  <c r="N459" i="22"/>
  <c r="N460" i="22"/>
  <c r="N461" i="22"/>
  <c r="N462" i="22"/>
  <c r="N463" i="22"/>
  <c r="N464" i="22"/>
  <c r="N465" i="22"/>
  <c r="N466" i="22"/>
  <c r="N467" i="22"/>
  <c r="N468" i="22"/>
  <c r="N469" i="22"/>
  <c r="N470" i="22"/>
  <c r="N471" i="22"/>
  <c r="N472" i="22"/>
  <c r="N473" i="22"/>
  <c r="N474" i="22"/>
  <c r="N475" i="22"/>
  <c r="N476" i="22"/>
  <c r="N477" i="22"/>
  <c r="N478" i="22"/>
  <c r="N479" i="22"/>
  <c r="N480" i="22"/>
  <c r="N481" i="22"/>
  <c r="N482" i="22"/>
  <c r="N483" i="22"/>
  <c r="N484" i="22"/>
  <c r="N485" i="22"/>
  <c r="N486" i="22"/>
  <c r="N487" i="22"/>
  <c r="N488" i="22"/>
  <c r="N489" i="22"/>
  <c r="N490" i="22"/>
  <c r="N491" i="22"/>
  <c r="N492" i="22"/>
  <c r="N493" i="22"/>
  <c r="N494" i="22"/>
  <c r="N495" i="22"/>
  <c r="N496" i="22"/>
  <c r="N497" i="22"/>
  <c r="N498" i="22"/>
  <c r="N499" i="22"/>
  <c r="N500" i="22"/>
  <c r="N501" i="22"/>
  <c r="N502" i="22"/>
  <c r="N503" i="22"/>
  <c r="N504" i="22"/>
  <c r="N505" i="22"/>
  <c r="N506" i="22"/>
  <c r="N507" i="22"/>
  <c r="N508" i="22"/>
  <c r="N509" i="22"/>
  <c r="N510" i="22"/>
  <c r="N511" i="22"/>
  <c r="N512" i="22"/>
  <c r="N513" i="22"/>
  <c r="N514" i="22"/>
  <c r="N515" i="22"/>
  <c r="N516" i="22"/>
  <c r="N517" i="22"/>
  <c r="N518" i="22"/>
  <c r="N519" i="22"/>
  <c r="N520" i="22"/>
  <c r="N521" i="22"/>
  <c r="N522" i="22"/>
  <c r="N523" i="22"/>
  <c r="N524" i="22"/>
  <c r="N525" i="22"/>
  <c r="N526" i="22"/>
  <c r="N527" i="22"/>
  <c r="N528" i="22"/>
  <c r="N529" i="22"/>
  <c r="N530" i="22"/>
  <c r="N531" i="22"/>
  <c r="N532" i="22"/>
  <c r="N533" i="22"/>
  <c r="N534" i="22"/>
  <c r="N535" i="22"/>
  <c r="N536" i="22"/>
  <c r="N537" i="22"/>
  <c r="N538" i="22"/>
  <c r="N539" i="22"/>
  <c r="N540" i="22"/>
  <c r="N541" i="22"/>
  <c r="N542" i="22"/>
  <c r="N543" i="22"/>
  <c r="N544" i="22"/>
  <c r="N545" i="22"/>
  <c r="N546" i="22"/>
  <c r="N547" i="22"/>
  <c r="N548" i="22"/>
  <c r="N549" i="22"/>
  <c r="N550" i="22"/>
  <c r="N551" i="22"/>
  <c r="N552" i="22"/>
  <c r="N553" i="22"/>
  <c r="N554" i="22"/>
  <c r="N555" i="22"/>
  <c r="N556" i="22"/>
  <c r="N557" i="22"/>
  <c r="N558" i="22"/>
  <c r="N559" i="22"/>
  <c r="N560" i="22"/>
  <c r="N561" i="22"/>
  <c r="N562" i="22"/>
  <c r="N563" i="22"/>
  <c r="N564" i="22"/>
  <c r="N565" i="22"/>
  <c r="N566" i="22"/>
  <c r="N567" i="22"/>
  <c r="N568" i="22"/>
  <c r="N569" i="22"/>
  <c r="N570" i="22"/>
  <c r="N571" i="22"/>
  <c r="N572" i="22"/>
  <c r="N573" i="22"/>
  <c r="N574" i="22"/>
  <c r="N575" i="22"/>
  <c r="N576" i="22"/>
  <c r="N577" i="22"/>
  <c r="N578" i="22"/>
  <c r="N579" i="22"/>
  <c r="N580" i="22"/>
  <c r="N581" i="22"/>
  <c r="N582" i="22"/>
  <c r="N583" i="22"/>
  <c r="N584" i="22"/>
  <c r="N585" i="22"/>
  <c r="N586" i="22"/>
  <c r="N587" i="22"/>
  <c r="N588" i="22"/>
  <c r="N589" i="22"/>
  <c r="N590" i="22"/>
  <c r="N591" i="22"/>
  <c r="N592" i="22"/>
  <c r="N593" i="22"/>
  <c r="N594" i="22"/>
  <c r="N595" i="22"/>
  <c r="N596" i="22"/>
  <c r="N597" i="22"/>
  <c r="N598" i="22"/>
  <c r="N599" i="22"/>
  <c r="N600" i="22"/>
  <c r="N601" i="22"/>
  <c r="N602" i="22"/>
  <c r="N603" i="22"/>
  <c r="N604" i="22"/>
  <c r="N605" i="22"/>
  <c r="N606" i="22"/>
  <c r="N607" i="22"/>
  <c r="N608" i="22"/>
  <c r="N609" i="22"/>
  <c r="N610" i="22"/>
  <c r="N611" i="22"/>
  <c r="N612" i="22"/>
  <c r="N613" i="22"/>
  <c r="N614" i="22"/>
  <c r="N615" i="22"/>
  <c r="N616" i="22"/>
  <c r="N617" i="22"/>
  <c r="N618" i="22"/>
  <c r="N619" i="22"/>
  <c r="N620" i="22"/>
  <c r="N621" i="22"/>
  <c r="N622" i="22"/>
  <c r="N623" i="22"/>
  <c r="N624" i="22"/>
  <c r="N625" i="22"/>
  <c r="N626" i="22"/>
  <c r="N627" i="22"/>
  <c r="N628" i="22"/>
  <c r="N629" i="22"/>
  <c r="N630" i="22"/>
  <c r="N631" i="22"/>
  <c r="N632" i="22"/>
  <c r="N633" i="22"/>
  <c r="N634" i="22"/>
  <c r="N635" i="22"/>
  <c r="N636" i="22"/>
  <c r="N637" i="22"/>
  <c r="N638" i="22"/>
  <c r="N639" i="22"/>
  <c r="N640" i="22"/>
  <c r="N641" i="22"/>
  <c r="N642" i="22"/>
  <c r="N643" i="22"/>
  <c r="N644" i="22"/>
  <c r="N645" i="22"/>
  <c r="N646" i="22"/>
  <c r="N647" i="22"/>
  <c r="N648" i="22"/>
  <c r="N649" i="22"/>
  <c r="N650" i="22"/>
  <c r="N651" i="22"/>
  <c r="N652" i="22"/>
  <c r="N653" i="22"/>
  <c r="N654" i="22"/>
  <c r="N655" i="22"/>
  <c r="N656" i="22"/>
  <c r="N657" i="22"/>
  <c r="N658" i="22"/>
  <c r="N659" i="22"/>
  <c r="N660" i="22"/>
  <c r="N661" i="22"/>
  <c r="N662" i="22"/>
  <c r="N663" i="22"/>
  <c r="N664" i="22"/>
  <c r="N665" i="22"/>
  <c r="N666" i="22"/>
  <c r="N667" i="22"/>
  <c r="N668" i="22"/>
  <c r="N669" i="22"/>
  <c r="N670" i="22"/>
  <c r="N671" i="22"/>
  <c r="N672" i="22"/>
  <c r="N673" i="22"/>
  <c r="N674" i="22"/>
  <c r="N675" i="22"/>
  <c r="N676" i="22"/>
  <c r="N677" i="22"/>
  <c r="N678" i="22"/>
  <c r="N679" i="22"/>
  <c r="N680" i="22"/>
  <c r="N681" i="22"/>
  <c r="N682" i="22"/>
  <c r="N683" i="22"/>
  <c r="N684" i="22"/>
  <c r="N685" i="22"/>
  <c r="N686" i="22"/>
  <c r="N687" i="22"/>
  <c r="N688" i="22"/>
  <c r="N689" i="22"/>
  <c r="N690" i="22"/>
  <c r="N691" i="22"/>
  <c r="N692" i="22"/>
  <c r="N693" i="22"/>
  <c r="N694" i="22"/>
  <c r="N695" i="22"/>
  <c r="N696" i="22"/>
  <c r="N697" i="22"/>
  <c r="N698" i="22"/>
  <c r="N699" i="22"/>
  <c r="N700" i="22"/>
  <c r="N701" i="22"/>
  <c r="N702" i="22"/>
  <c r="N703" i="22"/>
  <c r="N704" i="22"/>
  <c r="N705" i="22"/>
  <c r="N706" i="22"/>
  <c r="N707" i="22"/>
  <c r="N708" i="22"/>
  <c r="N709" i="22"/>
  <c r="N710" i="22"/>
  <c r="N711" i="22"/>
  <c r="N712" i="22"/>
  <c r="N713" i="22"/>
  <c r="N714" i="22"/>
  <c r="N715" i="22"/>
  <c r="N716" i="22"/>
  <c r="N717" i="22"/>
  <c r="N718" i="22"/>
  <c r="N719" i="22"/>
  <c r="N720" i="22"/>
  <c r="N721" i="22"/>
  <c r="N722" i="22"/>
  <c r="N723" i="22"/>
  <c r="N724" i="22"/>
  <c r="N725" i="22"/>
  <c r="N726" i="22"/>
  <c r="N727" i="22"/>
  <c r="N728" i="22"/>
  <c r="N729" i="22"/>
  <c r="N730" i="22"/>
  <c r="N731" i="22"/>
  <c r="N732" i="22"/>
  <c r="N733" i="22"/>
  <c r="N734" i="22"/>
  <c r="N735" i="22"/>
  <c r="N736" i="22"/>
  <c r="N737" i="22"/>
  <c r="N738" i="22"/>
  <c r="N739" i="22"/>
  <c r="N740" i="22"/>
  <c r="N741" i="22"/>
  <c r="N742" i="22"/>
  <c r="N743" i="22"/>
  <c r="N744" i="22"/>
  <c r="N745" i="22"/>
  <c r="N746" i="22"/>
  <c r="N747" i="22"/>
  <c r="N748" i="22"/>
  <c r="N749" i="22"/>
  <c r="N750" i="22"/>
  <c r="N751" i="22"/>
  <c r="N752" i="22"/>
  <c r="N753" i="22"/>
  <c r="N754" i="22"/>
  <c r="N755" i="22"/>
  <c r="N756" i="22"/>
  <c r="N757" i="22"/>
  <c r="N758" i="22"/>
  <c r="N759" i="22"/>
  <c r="N760" i="22"/>
  <c r="N761" i="22"/>
  <c r="N762" i="22"/>
  <c r="N763" i="22"/>
  <c r="N764" i="22"/>
  <c r="N765" i="22"/>
  <c r="N766" i="22"/>
  <c r="N767" i="22"/>
  <c r="N768" i="22"/>
  <c r="N769" i="22"/>
  <c r="N770" i="22"/>
  <c r="N771" i="22"/>
  <c r="N772" i="22"/>
  <c r="N773" i="22"/>
  <c r="N774" i="22"/>
  <c r="N775" i="22"/>
  <c r="N776" i="22"/>
  <c r="N777" i="22"/>
  <c r="N778" i="22"/>
  <c r="N779" i="22"/>
  <c r="N780" i="22"/>
  <c r="N781" i="22"/>
  <c r="N782" i="22"/>
  <c r="N783" i="22"/>
  <c r="N784" i="22"/>
  <c r="N785" i="22"/>
  <c r="N786" i="22"/>
  <c r="N787" i="22"/>
  <c r="N788" i="22"/>
  <c r="N789" i="22"/>
  <c r="N790" i="22"/>
  <c r="N791" i="22"/>
  <c r="N792" i="22"/>
  <c r="N793" i="22"/>
  <c r="N794" i="22"/>
  <c r="N795" i="22"/>
  <c r="N796" i="22"/>
  <c r="N797" i="22"/>
  <c r="N798" i="22"/>
  <c r="N799" i="22"/>
  <c r="N800" i="22"/>
  <c r="N801" i="22"/>
  <c r="N802" i="22"/>
  <c r="N803" i="22"/>
  <c r="N804" i="22"/>
  <c r="N805" i="22"/>
  <c r="N806" i="22"/>
  <c r="N807" i="22"/>
  <c r="N808" i="22"/>
  <c r="N809" i="22"/>
  <c r="N810" i="22"/>
  <c r="N811" i="22"/>
  <c r="N812" i="22"/>
  <c r="N813" i="22"/>
  <c r="N814" i="22"/>
  <c r="N815" i="22"/>
  <c r="N816" i="22"/>
  <c r="N817" i="22"/>
  <c r="N818" i="22"/>
  <c r="N819" i="22"/>
  <c r="N820" i="22"/>
  <c r="N821" i="22"/>
  <c r="N822" i="22"/>
  <c r="N823" i="22"/>
  <c r="N824" i="22"/>
  <c r="N825" i="22"/>
  <c r="N826" i="22"/>
  <c r="N827" i="22"/>
  <c r="N828" i="22"/>
  <c r="N829" i="22"/>
  <c r="N830" i="22"/>
  <c r="N831" i="22"/>
  <c r="N832" i="22"/>
  <c r="N833" i="22"/>
  <c r="N834" i="22"/>
  <c r="N835" i="22"/>
  <c r="N836" i="22"/>
  <c r="N837" i="22"/>
  <c r="N838" i="22"/>
  <c r="N839" i="22"/>
  <c r="N840" i="22"/>
  <c r="N841" i="22"/>
  <c r="N842" i="22"/>
  <c r="N843" i="22"/>
  <c r="N844" i="22"/>
  <c r="N845" i="22"/>
  <c r="N846" i="22"/>
  <c r="N847" i="22"/>
  <c r="N848" i="22"/>
  <c r="N849" i="22"/>
  <c r="N850" i="22"/>
  <c r="N851" i="22"/>
  <c r="N852" i="22"/>
  <c r="N853" i="22"/>
  <c r="N854" i="22"/>
  <c r="N855" i="22"/>
  <c r="N856" i="22"/>
  <c r="N857" i="22"/>
  <c r="N858" i="22"/>
  <c r="N859" i="22"/>
  <c r="N860" i="22"/>
  <c r="N861" i="22"/>
  <c r="N862" i="22"/>
  <c r="N863" i="22"/>
  <c r="N864" i="22"/>
  <c r="N865" i="22"/>
  <c r="N866" i="22"/>
  <c r="N867" i="22"/>
  <c r="N868" i="22"/>
  <c r="N869" i="22"/>
  <c r="N870" i="22"/>
  <c r="N871" i="22"/>
  <c r="N872" i="22"/>
  <c r="N873" i="22"/>
  <c r="N874" i="22"/>
  <c r="N875" i="22"/>
  <c r="N876" i="22"/>
  <c r="N877" i="22"/>
  <c r="N878" i="22"/>
  <c r="N879" i="22"/>
  <c r="N880" i="22"/>
  <c r="N881" i="22"/>
  <c r="N882" i="22"/>
  <c r="N883" i="22"/>
  <c r="N884" i="22"/>
  <c r="N885" i="22"/>
  <c r="N886" i="22"/>
  <c r="N887" i="22"/>
  <c r="N888" i="22"/>
  <c r="N889" i="22"/>
  <c r="N890" i="22"/>
  <c r="N891" i="22"/>
  <c r="N892" i="22"/>
  <c r="N893" i="22"/>
  <c r="N894" i="22"/>
  <c r="N895" i="22"/>
  <c r="N896" i="22"/>
  <c r="N897" i="22"/>
  <c r="N898" i="22"/>
  <c r="N899" i="22"/>
  <c r="N900" i="22"/>
  <c r="N901" i="22"/>
  <c r="N902" i="22"/>
  <c r="N903" i="22"/>
  <c r="N904" i="22"/>
  <c r="N905" i="22"/>
  <c r="N906" i="22"/>
  <c r="N907" i="22"/>
  <c r="N908" i="22"/>
  <c r="N909" i="22"/>
  <c r="N910" i="22"/>
  <c r="N911" i="22"/>
  <c r="N912" i="22"/>
  <c r="N913" i="22"/>
  <c r="N914" i="22"/>
  <c r="N915" i="22"/>
  <c r="N916" i="22"/>
  <c r="N917" i="22"/>
  <c r="N918" i="22"/>
  <c r="N919" i="22"/>
  <c r="N920" i="22"/>
  <c r="N921" i="22"/>
  <c r="N922" i="22"/>
  <c r="N923" i="22"/>
  <c r="N924" i="22"/>
  <c r="N925" i="22"/>
  <c r="N926" i="22"/>
  <c r="N927" i="22"/>
  <c r="N928" i="22"/>
  <c r="N929" i="22"/>
  <c r="N930" i="22"/>
  <c r="N931" i="22"/>
  <c r="N932" i="22"/>
  <c r="N933" i="22"/>
  <c r="N934" i="22"/>
  <c r="N935" i="22"/>
  <c r="N936" i="22"/>
  <c r="N937" i="22"/>
  <c r="N938" i="22"/>
  <c r="N939" i="22"/>
  <c r="N940" i="22"/>
  <c r="N941" i="22"/>
  <c r="N942" i="22"/>
  <c r="N943" i="22"/>
  <c r="N944" i="22"/>
  <c r="N945" i="22"/>
  <c r="N946" i="22"/>
  <c r="N947" i="22"/>
  <c r="N948" i="22"/>
  <c r="N949" i="22"/>
  <c r="N950" i="22"/>
  <c r="N951" i="22"/>
  <c r="N952" i="22"/>
  <c r="N953" i="22"/>
  <c r="N954" i="22"/>
  <c r="N955" i="22"/>
  <c r="N956" i="22"/>
  <c r="N957" i="22"/>
  <c r="N958" i="22"/>
  <c r="N959" i="22"/>
  <c r="N960" i="22"/>
  <c r="N961" i="22"/>
  <c r="N962" i="22"/>
  <c r="N963" i="22"/>
  <c r="N964" i="22"/>
  <c r="N965" i="22"/>
  <c r="N966" i="22"/>
  <c r="N967" i="22"/>
  <c r="N968" i="22"/>
  <c r="N969" i="22"/>
  <c r="N970" i="22"/>
  <c r="N971" i="22"/>
  <c r="N972" i="22"/>
  <c r="N973" i="22"/>
  <c r="N974" i="22"/>
  <c r="N975" i="22"/>
  <c r="N976" i="22"/>
  <c r="N977" i="22"/>
  <c r="N978" i="22"/>
  <c r="N979" i="22"/>
  <c r="N980" i="22"/>
  <c r="N981" i="22"/>
  <c r="N982" i="22"/>
  <c r="N983" i="22"/>
  <c r="N984" i="22"/>
  <c r="N985" i="22"/>
  <c r="N986" i="22"/>
  <c r="N987" i="22"/>
  <c r="N988" i="22"/>
  <c r="N989" i="22"/>
  <c r="N990" i="22"/>
  <c r="N991" i="22"/>
  <c r="N992" i="22"/>
  <c r="N993" i="22"/>
  <c r="N994" i="22"/>
  <c r="N995" i="22"/>
  <c r="N996" i="22"/>
  <c r="N997" i="22"/>
  <c r="N998" i="22"/>
  <c r="N999" i="22"/>
  <c r="N1000" i="22"/>
  <c r="N1001" i="22"/>
  <c r="N1002" i="22"/>
  <c r="N1003" i="22"/>
  <c r="N1004" i="22"/>
  <c r="N1005" i="22"/>
  <c r="N1006" i="22"/>
  <c r="N1007" i="22"/>
  <c r="N1008" i="22"/>
  <c r="N1009" i="22"/>
  <c r="N1010" i="22"/>
  <c r="N1011" i="22"/>
  <c r="N1012" i="22"/>
  <c r="N1013" i="22"/>
  <c r="N1014" i="22"/>
  <c r="N1015" i="22"/>
  <c r="N1016" i="22"/>
  <c r="N1017" i="22"/>
  <c r="N1018" i="22"/>
  <c r="N1019" i="22"/>
  <c r="N1020" i="22"/>
  <c r="N1021" i="22"/>
  <c r="N1022" i="22"/>
  <c r="N1023" i="22"/>
  <c r="N1024" i="22"/>
  <c r="N1025" i="22"/>
  <c r="N1026" i="22"/>
  <c r="N1027" i="22"/>
  <c r="N1028" i="22"/>
  <c r="N1029" i="22"/>
  <c r="N1030" i="22"/>
  <c r="N1031" i="22"/>
  <c r="N1032" i="22"/>
  <c r="N1033" i="22"/>
  <c r="N1034" i="22"/>
  <c r="N1035" i="22"/>
  <c r="N1036" i="22"/>
  <c r="N1037" i="22"/>
  <c r="N1038" i="22"/>
  <c r="N1039" i="22"/>
  <c r="N1040" i="22"/>
  <c r="N1041" i="22"/>
  <c r="N1042" i="22"/>
  <c r="N1043" i="22"/>
  <c r="N1044" i="22"/>
  <c r="N1045" i="22"/>
  <c r="N1046" i="22"/>
  <c r="N1047" i="22"/>
  <c r="N1048" i="22"/>
  <c r="N1049" i="22"/>
  <c r="N1050" i="22"/>
  <c r="N1051" i="22"/>
  <c r="N1052" i="22"/>
  <c r="N1053" i="22"/>
  <c r="N1054" i="22"/>
  <c r="N1055" i="22"/>
  <c r="N1056" i="22"/>
  <c r="N1057" i="22"/>
  <c r="N1058" i="22"/>
  <c r="N1059" i="22"/>
  <c r="N1060" i="22"/>
  <c r="N1061" i="22"/>
  <c r="N1062" i="22"/>
  <c r="N1063" i="22"/>
  <c r="N1064" i="22"/>
  <c r="N1065" i="22"/>
  <c r="N1066" i="22"/>
  <c r="N1067" i="22"/>
  <c r="N1068" i="22"/>
  <c r="N1069" i="22"/>
  <c r="N1070" i="22"/>
  <c r="N1071" i="22"/>
  <c r="N1072" i="22"/>
  <c r="N1073" i="22"/>
  <c r="N1074" i="22"/>
  <c r="N1075" i="22"/>
  <c r="N1076" i="22"/>
  <c r="N1077" i="22"/>
  <c r="N1078" i="22"/>
  <c r="N1079" i="22"/>
  <c r="N1080" i="22"/>
  <c r="N1081" i="22"/>
  <c r="N1082" i="22"/>
  <c r="N1083" i="22"/>
  <c r="N1084" i="22"/>
  <c r="N1085" i="22"/>
  <c r="N1086" i="22"/>
  <c r="N1087" i="22"/>
  <c r="N1088" i="22"/>
  <c r="N1089" i="22"/>
  <c r="N1090" i="22"/>
  <c r="N1091" i="22"/>
  <c r="N1092" i="22"/>
  <c r="N1093" i="22"/>
  <c r="N1094" i="22"/>
  <c r="N1095" i="22"/>
  <c r="N1096" i="22"/>
  <c r="N1097" i="22"/>
  <c r="N1098" i="22"/>
  <c r="N1099" i="22"/>
  <c r="N1100" i="22"/>
  <c r="N1101" i="22"/>
  <c r="N1102" i="22"/>
  <c r="N1103" i="22"/>
  <c r="N1104" i="22"/>
  <c r="N1105" i="22"/>
  <c r="N1106" i="22"/>
  <c r="N1107" i="22"/>
  <c r="N1108" i="22"/>
  <c r="N1109" i="22"/>
  <c r="N1110" i="22"/>
  <c r="N1111" i="22"/>
  <c r="N1112" i="22"/>
  <c r="N1113" i="22"/>
  <c r="N1114" i="22"/>
  <c r="N1115" i="22"/>
  <c r="N1116" i="22"/>
  <c r="N1117" i="22"/>
  <c r="N1118" i="22"/>
  <c r="N1119" i="22"/>
  <c r="N1120" i="22"/>
  <c r="N1121" i="22"/>
  <c r="N1122" i="22"/>
  <c r="N1123" i="22"/>
  <c r="N1124" i="22"/>
  <c r="N1125" i="22"/>
  <c r="N1126" i="22"/>
  <c r="N1127" i="22"/>
  <c r="N1128" i="22"/>
  <c r="N1129" i="22"/>
  <c r="N1130" i="22"/>
  <c r="N1131" i="22"/>
  <c r="N1132" i="22"/>
  <c r="N1133" i="22"/>
  <c r="N1134" i="22"/>
  <c r="N1135" i="22"/>
  <c r="N1136" i="22"/>
  <c r="N1137" i="22"/>
  <c r="N1138" i="22"/>
  <c r="N1139" i="22"/>
  <c r="N1140" i="22"/>
  <c r="N1141" i="22"/>
  <c r="N1142" i="22"/>
  <c r="N1143" i="22"/>
  <c r="N1144" i="22"/>
  <c r="N1145" i="22"/>
  <c r="N1146" i="22"/>
  <c r="N1147" i="22"/>
  <c r="N1148" i="22"/>
  <c r="N1149" i="22"/>
  <c r="N1150" i="22"/>
  <c r="N1151" i="22"/>
  <c r="N1152" i="22"/>
  <c r="N1153" i="22"/>
  <c r="N1154" i="22"/>
  <c r="N1155" i="22"/>
  <c r="N1156" i="22"/>
  <c r="N1157" i="22"/>
  <c r="N1158" i="22"/>
  <c r="N1159" i="22"/>
  <c r="N1160" i="22"/>
  <c r="N1161" i="22"/>
  <c r="N1162" i="22"/>
  <c r="N1163" i="22"/>
  <c r="N1164" i="22"/>
  <c r="N1165" i="22"/>
  <c r="N1166" i="22"/>
  <c r="N1167" i="22"/>
  <c r="N1168" i="22"/>
  <c r="N1169" i="22"/>
  <c r="N1170" i="22"/>
  <c r="N1171" i="22"/>
  <c r="N1172" i="22"/>
  <c r="N1173" i="22"/>
  <c r="N1174" i="22"/>
  <c r="N1175" i="22"/>
  <c r="N1176" i="22"/>
  <c r="N1177" i="22"/>
  <c r="N1178" i="22"/>
  <c r="N1179" i="22"/>
  <c r="N1180" i="22"/>
  <c r="N1181" i="22"/>
  <c r="N1182" i="22"/>
  <c r="N1183" i="22"/>
  <c r="N1184" i="22"/>
  <c r="N1185" i="22"/>
  <c r="N1186" i="22"/>
  <c r="N1187" i="22"/>
  <c r="N1188" i="22"/>
  <c r="N1189" i="22"/>
  <c r="N1190" i="22"/>
  <c r="N1191" i="22"/>
  <c r="N1192" i="22"/>
  <c r="N1193" i="22"/>
  <c r="N1194" i="22"/>
  <c r="N1195" i="22"/>
  <c r="N1196" i="22"/>
  <c r="N1197" i="22"/>
  <c r="N1198" i="22"/>
  <c r="N1199" i="22"/>
  <c r="N1200" i="22"/>
  <c r="N1201" i="22"/>
  <c r="N1202" i="22"/>
  <c r="N1203" i="22"/>
  <c r="N1204" i="22"/>
  <c r="N1205" i="22"/>
  <c r="N1206" i="22"/>
  <c r="N1207" i="22"/>
  <c r="N1208" i="22"/>
  <c r="N1209" i="22"/>
  <c r="N1210" i="22"/>
  <c r="N1211" i="22"/>
  <c r="N1212" i="22"/>
  <c r="N1213" i="22"/>
  <c r="N1214" i="22"/>
  <c r="N1215" i="22"/>
  <c r="N1216" i="22"/>
  <c r="N1217" i="22"/>
  <c r="N1218" i="22"/>
  <c r="N1219" i="22"/>
  <c r="N1220" i="22"/>
  <c r="N1221" i="22"/>
  <c r="N1222" i="22"/>
  <c r="N1223" i="22"/>
  <c r="N1224" i="22"/>
  <c r="N1225" i="22"/>
  <c r="N1226" i="22"/>
  <c r="N1227" i="22"/>
  <c r="N1228" i="22"/>
  <c r="N1229" i="22"/>
  <c r="N1230" i="22"/>
  <c r="N1231" i="22"/>
  <c r="N1232" i="22"/>
  <c r="N1233" i="22"/>
  <c r="N1234" i="22"/>
  <c r="N1235" i="22"/>
  <c r="N1236" i="22"/>
  <c r="N1237" i="22"/>
  <c r="N1238" i="22"/>
  <c r="N1239" i="22"/>
  <c r="N1240" i="22"/>
  <c r="N1241" i="22"/>
  <c r="N1242" i="22"/>
  <c r="N1243" i="22"/>
  <c r="N1244" i="22"/>
  <c r="N1245" i="22"/>
  <c r="N1246" i="22"/>
  <c r="N1247" i="22"/>
  <c r="N1248" i="22"/>
  <c r="N1249" i="22"/>
  <c r="N1250" i="22"/>
  <c r="N1251" i="22"/>
  <c r="N1252" i="22"/>
  <c r="N1253" i="22"/>
  <c r="N1254" i="22"/>
  <c r="N1255" i="22"/>
  <c r="N1256" i="22"/>
  <c r="N1257" i="22"/>
  <c r="N1258" i="22"/>
  <c r="N1259" i="22"/>
  <c r="N1260" i="22"/>
  <c r="N1261" i="22"/>
  <c r="N1262" i="22"/>
  <c r="N1263" i="22"/>
  <c r="N1264" i="22"/>
  <c r="N1265" i="22"/>
  <c r="N1266" i="22"/>
  <c r="N1267" i="22"/>
  <c r="N1268" i="22"/>
  <c r="N1269" i="22"/>
  <c r="N1270" i="22"/>
  <c r="N1271" i="22"/>
  <c r="N1272" i="22"/>
  <c r="N1273" i="22"/>
  <c r="N1274" i="22"/>
  <c r="N1275" i="22"/>
  <c r="N1276" i="22"/>
  <c r="N1277" i="22"/>
  <c r="N1278" i="22"/>
  <c r="N1279" i="22"/>
  <c r="N1280" i="22"/>
  <c r="N1281" i="22"/>
  <c r="N1282" i="22"/>
  <c r="N1283" i="22"/>
  <c r="N1284" i="22"/>
  <c r="N1285" i="22"/>
  <c r="N1286" i="22"/>
  <c r="N1287" i="22"/>
  <c r="N1288" i="22"/>
  <c r="N1289" i="22"/>
  <c r="N1290" i="22"/>
  <c r="N1291" i="22"/>
  <c r="N1292" i="22"/>
  <c r="N1293" i="22"/>
  <c r="N1294" i="22"/>
  <c r="N1295" i="22"/>
  <c r="N1296" i="22"/>
  <c r="N1297" i="22"/>
  <c r="N1298" i="22"/>
  <c r="N1299" i="22"/>
  <c r="N1300" i="22"/>
  <c r="N1301" i="22"/>
  <c r="N1302" i="22"/>
  <c r="N1303" i="22"/>
  <c r="N1304" i="22"/>
  <c r="N1305" i="22"/>
  <c r="N1306" i="22"/>
  <c r="N1307" i="22"/>
  <c r="N1308" i="22"/>
  <c r="N1309" i="22"/>
  <c r="N1310" i="22"/>
  <c r="N1311" i="22"/>
  <c r="N1312" i="22"/>
  <c r="N1313" i="22"/>
  <c r="N1314" i="22"/>
  <c r="N1315" i="22"/>
  <c r="N1316" i="22"/>
  <c r="N1317" i="22"/>
  <c r="N1318" i="22"/>
  <c r="N1319" i="22"/>
  <c r="N1320" i="22"/>
  <c r="N1321" i="22"/>
  <c r="N1322" i="22"/>
  <c r="N1323" i="22"/>
  <c r="N1324" i="22"/>
  <c r="N1325" i="22"/>
  <c r="N1326" i="22"/>
  <c r="N1327" i="22"/>
  <c r="N1328" i="22"/>
  <c r="N1329" i="22"/>
  <c r="N1330" i="22"/>
  <c r="N1331" i="22"/>
  <c r="N1332" i="22"/>
  <c r="N1333" i="22"/>
  <c r="N1334" i="22"/>
  <c r="N1335" i="22"/>
  <c r="N1336" i="22"/>
  <c r="N1337" i="22"/>
  <c r="N1338" i="22"/>
  <c r="N1339" i="22"/>
  <c r="N1340" i="22"/>
  <c r="N1341" i="22"/>
  <c r="N1342" i="22"/>
  <c r="N1343" i="22"/>
  <c r="N1344" i="22"/>
  <c r="N1345" i="22"/>
  <c r="N1346" i="22"/>
  <c r="N1347" i="22"/>
  <c r="N1348" i="22"/>
  <c r="N1349" i="22"/>
  <c r="N1350" i="22"/>
  <c r="N1351" i="22"/>
  <c r="N1352" i="22"/>
  <c r="N1353" i="22"/>
  <c r="N1354" i="22"/>
  <c r="N1355" i="22"/>
  <c r="N1356" i="22"/>
  <c r="N1357" i="22"/>
  <c r="N1358" i="22"/>
  <c r="N1359" i="22"/>
  <c r="N1360" i="22"/>
  <c r="N1361" i="22"/>
  <c r="N1362" i="22"/>
  <c r="N1363" i="22"/>
  <c r="N1364" i="22"/>
  <c r="N1365" i="22"/>
  <c r="N1366" i="22"/>
  <c r="N1367" i="22"/>
  <c r="N1368" i="22"/>
  <c r="N1369" i="22"/>
  <c r="N1370" i="22"/>
  <c r="N1371" i="22"/>
  <c r="N1372" i="22"/>
  <c r="N1373" i="22"/>
  <c r="N1374" i="22"/>
  <c r="N1375" i="22"/>
  <c r="N1376" i="22"/>
  <c r="N1377" i="22"/>
  <c r="N1378" i="22"/>
  <c r="N1379" i="22"/>
  <c r="N1380" i="22"/>
  <c r="N1381" i="22"/>
  <c r="N1382" i="22"/>
  <c r="N1383" i="22"/>
  <c r="N1384" i="22"/>
  <c r="N1385" i="22"/>
  <c r="N1386" i="22"/>
  <c r="N1387" i="22"/>
  <c r="N1388" i="22"/>
  <c r="N1389" i="22"/>
  <c r="N1390" i="22"/>
  <c r="N1391" i="22"/>
  <c r="N1392" i="22"/>
  <c r="N1393" i="22"/>
  <c r="N1394" i="22"/>
  <c r="N1395" i="22"/>
  <c r="N1396" i="22"/>
  <c r="N1397" i="22"/>
  <c r="N1398" i="22"/>
  <c r="N1399" i="22"/>
  <c r="N1400" i="22"/>
  <c r="N1401" i="22"/>
  <c r="N1402" i="22"/>
  <c r="N1403" i="22"/>
  <c r="N1404" i="22"/>
  <c r="N1405" i="22"/>
  <c r="N1406" i="22"/>
  <c r="N1407" i="22"/>
  <c r="N1408" i="22"/>
  <c r="N1409" i="22"/>
  <c r="N1410" i="22"/>
  <c r="N1411" i="22"/>
  <c r="N1412" i="22"/>
  <c r="N1413" i="22"/>
  <c r="N1414" i="22"/>
  <c r="N1415" i="22"/>
  <c r="N1416" i="22"/>
  <c r="N1417" i="22"/>
  <c r="N1418" i="22"/>
  <c r="N1419" i="22"/>
  <c r="N1420" i="22"/>
  <c r="N1421" i="22"/>
  <c r="N1422" i="22"/>
  <c r="N1423" i="22"/>
  <c r="N1424" i="22"/>
  <c r="N1425" i="22"/>
  <c r="N1426" i="22"/>
  <c r="N1427" i="22"/>
  <c r="N1428" i="22"/>
  <c r="N1429" i="22"/>
  <c r="N1430" i="22"/>
  <c r="N1431" i="22"/>
  <c r="N1432" i="22"/>
  <c r="N1433" i="22"/>
  <c r="N1434" i="22"/>
  <c r="N1435" i="22"/>
  <c r="N1436" i="22"/>
  <c r="N1437" i="22"/>
  <c r="N1438" i="22"/>
  <c r="N1439" i="22"/>
  <c r="N1440" i="22"/>
  <c r="N1441" i="22"/>
  <c r="N1442" i="22"/>
  <c r="N1443" i="22"/>
  <c r="N1444" i="22"/>
  <c r="N1445" i="22"/>
  <c r="N1446" i="22"/>
  <c r="N1447" i="22"/>
  <c r="N1448" i="22"/>
  <c r="N1449" i="22"/>
  <c r="N1450" i="22"/>
  <c r="N1451" i="22"/>
  <c r="N1452" i="22"/>
  <c r="N1453" i="22"/>
  <c r="N1454" i="22"/>
  <c r="N1455" i="22"/>
  <c r="N1456" i="22"/>
  <c r="N1457" i="22"/>
  <c r="N1458" i="22"/>
  <c r="N1459" i="22"/>
  <c r="N1460" i="22"/>
  <c r="N1461" i="22"/>
  <c r="N1462" i="22"/>
  <c r="N1463" i="22"/>
  <c r="N1464" i="22"/>
  <c r="N1465" i="22"/>
  <c r="N1466" i="22"/>
  <c r="N1467" i="22"/>
  <c r="N1468" i="22"/>
  <c r="N1469" i="22"/>
  <c r="N1470" i="22"/>
  <c r="N1471" i="22"/>
  <c r="N1472" i="22"/>
  <c r="N1473" i="22"/>
  <c r="N1474" i="22"/>
  <c r="N1475" i="22"/>
  <c r="N1476" i="22"/>
  <c r="N1477" i="22"/>
  <c r="N1478" i="22"/>
  <c r="N1479" i="22"/>
  <c r="N1480" i="22"/>
  <c r="N1481" i="22"/>
  <c r="N1482" i="22"/>
  <c r="N1483" i="22"/>
  <c r="N1484" i="22"/>
  <c r="N1485" i="22"/>
  <c r="N1486" i="22"/>
  <c r="N1487" i="22"/>
  <c r="N1488" i="22"/>
  <c r="N1489" i="22"/>
  <c r="N1490" i="22"/>
  <c r="N1491" i="22"/>
  <c r="N1492" i="22"/>
  <c r="N1493" i="22"/>
  <c r="N1494" i="22"/>
  <c r="N1495" i="22"/>
  <c r="N1496" i="22"/>
  <c r="N1497" i="22"/>
  <c r="N1498" i="22"/>
  <c r="N1499" i="22"/>
  <c r="N1500" i="22"/>
  <c r="N1501" i="22"/>
  <c r="N1502" i="22"/>
  <c r="N1503" i="22"/>
  <c r="N1504" i="22"/>
  <c r="N1505" i="22"/>
  <c r="N1506" i="22"/>
  <c r="N1507" i="22"/>
  <c r="N1508" i="22"/>
  <c r="N1509" i="22"/>
  <c r="N1510" i="22"/>
  <c r="N1511" i="22"/>
  <c r="N1512" i="22"/>
  <c r="N1513" i="22"/>
  <c r="N1514" i="22"/>
  <c r="N1515" i="22"/>
  <c r="N1516" i="22"/>
  <c r="N1517" i="22"/>
  <c r="N1518" i="22"/>
  <c r="N1519" i="22"/>
  <c r="N1520" i="22"/>
  <c r="N1521" i="22"/>
  <c r="N1522" i="22"/>
  <c r="N1523" i="22"/>
  <c r="N1524" i="22"/>
  <c r="N1525" i="22"/>
  <c r="N1526" i="22"/>
  <c r="N1527" i="22"/>
  <c r="N1528" i="22"/>
  <c r="N1529" i="22"/>
  <c r="N1530" i="22"/>
  <c r="N1531" i="22"/>
  <c r="N1532" i="22"/>
  <c r="N1533" i="22"/>
  <c r="N1534" i="22"/>
  <c r="N1535" i="22"/>
  <c r="N1536" i="22"/>
  <c r="N1537" i="22"/>
  <c r="N1538" i="22"/>
  <c r="N1539" i="22"/>
  <c r="N1540" i="22"/>
  <c r="N1541" i="22"/>
  <c r="N1542" i="22"/>
  <c r="N1543" i="22"/>
  <c r="N1544" i="22"/>
  <c r="N1545" i="22"/>
  <c r="N1546" i="22"/>
  <c r="N1547" i="22"/>
  <c r="N1548" i="22"/>
  <c r="N1549" i="22"/>
  <c r="N1550" i="22"/>
  <c r="N1551" i="22"/>
  <c r="N1552" i="22"/>
  <c r="N1553" i="22"/>
  <c r="N1554" i="22"/>
  <c r="N1555" i="22"/>
  <c r="N1556" i="22"/>
  <c r="N1557" i="22"/>
  <c r="N1558" i="22"/>
  <c r="N1559" i="22"/>
  <c r="N1560" i="22"/>
  <c r="N1561" i="22"/>
  <c r="N1562" i="22"/>
  <c r="N1563" i="22"/>
  <c r="N1564" i="22"/>
  <c r="N1565" i="22"/>
  <c r="N1566" i="22"/>
  <c r="N1567" i="22"/>
  <c r="N1568" i="22"/>
  <c r="N1569" i="22"/>
  <c r="N1570" i="22"/>
  <c r="N1571" i="22"/>
  <c r="N1572" i="22"/>
  <c r="N1573" i="22"/>
  <c r="N1574" i="22"/>
  <c r="N1575" i="22"/>
  <c r="N1576" i="22"/>
  <c r="N1577" i="22"/>
  <c r="N1578" i="22"/>
  <c r="N1579" i="22"/>
  <c r="N1580" i="22"/>
  <c r="N1581" i="22"/>
  <c r="N1582" i="22"/>
  <c r="N1583" i="22"/>
  <c r="N1584" i="22"/>
  <c r="N1585" i="22"/>
  <c r="N1586" i="22"/>
  <c r="N1587" i="22"/>
  <c r="N1588" i="22"/>
  <c r="N1589" i="22"/>
  <c r="N1590" i="22"/>
  <c r="N1591" i="22"/>
  <c r="N1592" i="22"/>
  <c r="N1593" i="22"/>
  <c r="N1594" i="22"/>
  <c r="N1595" i="22"/>
  <c r="N1596" i="22"/>
  <c r="N1597" i="22"/>
  <c r="N1598" i="22"/>
  <c r="N1599" i="22"/>
  <c r="N1600" i="22"/>
  <c r="N1601" i="22"/>
  <c r="N1602" i="22"/>
  <c r="N1603" i="22"/>
  <c r="N1604" i="22"/>
  <c r="N1605" i="22"/>
  <c r="N1606" i="22"/>
  <c r="N1607" i="22"/>
  <c r="N1608" i="22"/>
  <c r="N1609" i="22"/>
  <c r="N1610" i="22"/>
  <c r="N1611" i="22"/>
  <c r="N1612" i="22"/>
  <c r="N1613" i="22"/>
  <c r="N1614" i="22"/>
  <c r="N1615" i="22"/>
  <c r="N1616" i="22"/>
  <c r="N1617" i="22"/>
  <c r="N1618" i="22"/>
  <c r="N1619" i="22"/>
  <c r="N1620" i="22"/>
  <c r="N1621" i="22"/>
  <c r="N1622" i="22"/>
  <c r="N1623" i="22"/>
  <c r="N1624" i="22"/>
  <c r="N1625" i="22"/>
  <c r="N1626" i="22"/>
  <c r="N1627" i="22"/>
  <c r="N1628" i="22"/>
  <c r="N1629" i="22"/>
  <c r="N1630" i="22"/>
  <c r="N1631" i="22"/>
  <c r="N1632" i="22"/>
  <c r="N1633" i="22"/>
  <c r="N1634" i="22"/>
  <c r="N1635" i="22"/>
  <c r="N1636" i="22"/>
  <c r="N1637" i="22"/>
  <c r="N1638" i="22"/>
  <c r="N1639" i="22"/>
  <c r="N1640" i="22"/>
  <c r="N1641" i="22"/>
  <c r="N1642" i="22"/>
  <c r="N1643" i="22"/>
  <c r="N1644" i="22"/>
  <c r="N1645" i="22"/>
  <c r="N1646" i="22"/>
  <c r="N1647" i="22"/>
  <c r="N1648" i="22"/>
  <c r="N1649" i="22"/>
  <c r="N1650" i="22"/>
  <c r="N1651" i="22"/>
  <c r="N1652" i="22"/>
  <c r="N1653" i="22"/>
  <c r="N1654" i="22"/>
  <c r="N1655" i="22"/>
  <c r="N1656" i="22"/>
  <c r="N1657" i="22"/>
  <c r="N1658" i="22"/>
  <c r="N1659" i="22"/>
  <c r="N1660" i="22"/>
  <c r="N1661" i="22"/>
  <c r="N1662" i="22"/>
  <c r="N1663" i="22"/>
  <c r="N1664" i="22"/>
  <c r="N1665" i="22"/>
  <c r="N1666" i="22"/>
  <c r="N1667" i="22"/>
  <c r="N1668" i="22"/>
  <c r="N1669" i="22"/>
  <c r="N1670" i="22"/>
  <c r="N1671" i="22"/>
  <c r="N1672" i="22"/>
  <c r="N1673" i="22"/>
  <c r="N1674" i="22"/>
  <c r="N1675" i="22"/>
  <c r="N1676" i="22"/>
  <c r="N1677" i="22"/>
  <c r="N1678" i="22"/>
  <c r="N1679" i="22"/>
  <c r="N1680" i="22"/>
  <c r="N1681" i="22"/>
  <c r="N1682" i="22"/>
  <c r="N1683" i="22"/>
  <c r="N1684" i="22"/>
  <c r="N1685" i="22"/>
  <c r="N1686" i="22"/>
  <c r="N1687" i="22"/>
  <c r="N1688" i="22"/>
  <c r="N1689" i="22"/>
  <c r="N1690" i="22"/>
  <c r="N1691" i="22"/>
  <c r="N1692" i="22"/>
  <c r="N1693" i="22"/>
  <c r="N1694" i="22"/>
  <c r="N1695" i="22"/>
  <c r="N1696" i="22"/>
  <c r="N1697" i="22"/>
  <c r="N1698" i="22"/>
  <c r="N1699" i="22"/>
  <c r="N1700" i="22"/>
  <c r="N1701" i="22"/>
  <c r="N1702" i="22"/>
  <c r="N1703" i="22"/>
  <c r="N1704" i="22"/>
  <c r="N1705" i="22"/>
  <c r="N1706" i="22"/>
  <c r="N1707" i="22"/>
  <c r="N1708" i="22"/>
  <c r="N1709" i="22"/>
  <c r="N1710" i="22"/>
  <c r="N1711" i="22"/>
  <c r="N1712" i="22"/>
  <c r="N1713" i="22"/>
  <c r="N1714" i="22"/>
  <c r="N1715" i="22"/>
  <c r="N1716" i="22"/>
  <c r="N1717" i="22"/>
  <c r="N1718" i="22"/>
  <c r="N1719" i="22"/>
  <c r="N1720" i="22"/>
  <c r="N1721" i="22"/>
  <c r="N1722" i="22"/>
  <c r="N1723" i="22"/>
  <c r="N1724" i="22"/>
  <c r="N1725" i="22"/>
  <c r="N1726" i="22"/>
  <c r="N1727" i="22"/>
  <c r="N1728" i="22"/>
  <c r="N1729" i="22"/>
  <c r="N1730" i="22"/>
  <c r="N1731" i="22"/>
  <c r="N1732" i="22"/>
  <c r="N1733" i="22"/>
  <c r="N1734" i="22"/>
  <c r="N1735" i="22"/>
  <c r="N1736" i="22"/>
  <c r="N1737" i="22"/>
  <c r="N1738" i="22"/>
  <c r="N1739" i="22"/>
  <c r="N1740" i="22"/>
  <c r="N1741" i="22"/>
  <c r="N1742" i="22"/>
  <c r="N1743" i="22"/>
  <c r="N1744" i="22"/>
  <c r="N1745" i="22"/>
  <c r="N1746" i="22"/>
  <c r="N1747" i="22"/>
  <c r="N1748" i="22"/>
  <c r="N1749" i="22"/>
  <c r="N1750" i="22"/>
  <c r="N1751" i="22"/>
  <c r="N1752" i="22"/>
  <c r="N1753" i="22"/>
  <c r="N1754" i="22"/>
  <c r="N1755" i="22"/>
  <c r="N1756" i="22"/>
  <c r="N1757" i="22"/>
  <c r="N1758" i="22"/>
  <c r="N1759" i="22"/>
  <c r="N1760" i="22"/>
  <c r="N1761" i="22"/>
  <c r="N1762" i="22"/>
  <c r="N1763" i="22"/>
  <c r="N1764" i="22"/>
  <c r="N1765" i="22"/>
  <c r="N1766" i="22"/>
  <c r="N1767" i="22"/>
  <c r="N1768" i="22"/>
  <c r="N1769" i="22"/>
  <c r="N1770" i="22"/>
  <c r="N1771" i="22"/>
  <c r="N1772" i="22"/>
  <c r="N1773" i="22"/>
  <c r="N1774" i="22"/>
  <c r="N1775" i="22"/>
  <c r="N1776" i="22"/>
  <c r="N1777" i="22"/>
  <c r="N1778" i="22"/>
  <c r="N1779" i="22"/>
  <c r="N1780" i="22"/>
  <c r="N1781" i="22"/>
  <c r="N1782" i="22"/>
  <c r="N1783" i="22"/>
  <c r="N1784" i="22"/>
  <c r="N1785" i="22"/>
  <c r="N1786" i="22"/>
  <c r="N1787" i="22"/>
  <c r="N1788" i="22"/>
  <c r="N1789" i="22"/>
  <c r="N1790" i="22"/>
  <c r="N1791" i="22"/>
  <c r="N1792" i="22"/>
  <c r="N1793" i="22"/>
  <c r="N1794" i="22"/>
  <c r="N1795" i="22"/>
  <c r="N1796" i="22"/>
  <c r="N1797" i="22"/>
  <c r="N1798" i="22"/>
  <c r="N1799" i="22"/>
  <c r="N1800" i="22"/>
  <c r="N1801" i="22"/>
  <c r="N1802" i="22"/>
  <c r="N1803" i="22"/>
  <c r="N1804" i="22"/>
  <c r="N1805" i="22"/>
  <c r="N1806" i="22"/>
  <c r="N1807" i="22"/>
  <c r="N1808" i="22"/>
  <c r="N1809" i="22"/>
  <c r="N1810" i="22"/>
  <c r="N1811" i="22"/>
  <c r="N1812" i="22"/>
  <c r="N1813" i="22"/>
  <c r="N1814" i="22"/>
  <c r="N1815" i="22"/>
  <c r="N1816" i="22"/>
  <c r="N1817" i="22"/>
  <c r="N1818" i="22"/>
  <c r="N1819" i="22"/>
  <c r="N1820" i="22"/>
  <c r="N1821" i="22"/>
  <c r="N1822" i="22"/>
  <c r="N1823" i="22"/>
  <c r="N1824" i="22"/>
  <c r="N1825" i="22"/>
  <c r="N1826" i="22"/>
  <c r="N1827" i="22"/>
  <c r="N1828" i="22"/>
  <c r="N1829" i="22"/>
  <c r="N1830" i="22"/>
  <c r="N1831" i="22"/>
  <c r="N1832" i="22"/>
  <c r="N1833" i="22"/>
  <c r="N1834" i="22"/>
  <c r="N1835" i="22"/>
  <c r="N1836" i="22"/>
  <c r="N1837" i="22"/>
  <c r="N1838" i="22"/>
  <c r="N1839" i="22"/>
  <c r="N1840" i="22"/>
  <c r="N1841" i="22"/>
  <c r="N1842" i="22"/>
  <c r="N1843" i="22"/>
  <c r="N1844" i="22"/>
  <c r="N1845" i="22"/>
  <c r="N1846" i="22"/>
  <c r="N1847" i="22"/>
  <c r="N1848" i="22"/>
  <c r="N1849" i="22"/>
  <c r="N1850" i="22"/>
  <c r="N1851" i="22"/>
  <c r="N1852" i="22"/>
  <c r="N1853" i="22"/>
  <c r="N1854" i="22"/>
  <c r="N1855" i="22"/>
  <c r="N1856" i="22"/>
  <c r="N1857" i="22"/>
  <c r="N1858" i="22"/>
  <c r="N1859" i="22"/>
  <c r="N1860" i="22"/>
  <c r="N1861" i="22"/>
  <c r="N1862" i="22"/>
  <c r="N1863" i="22"/>
  <c r="N1864" i="22"/>
  <c r="N1865" i="22"/>
  <c r="N1866" i="22"/>
  <c r="N1867" i="22"/>
  <c r="N1868" i="22"/>
  <c r="N1869" i="22"/>
  <c r="N1870" i="22"/>
  <c r="N1871" i="22"/>
  <c r="N1872" i="22"/>
  <c r="N1873" i="22"/>
  <c r="N1874" i="22"/>
  <c r="N1875" i="22"/>
  <c r="N1876" i="22"/>
  <c r="N1877" i="22"/>
  <c r="N1878" i="22"/>
  <c r="N1879" i="22"/>
  <c r="N1880" i="22"/>
  <c r="N1881" i="22"/>
  <c r="N1882" i="22"/>
  <c r="N1883" i="22"/>
  <c r="N1884" i="22"/>
  <c r="N1885" i="22"/>
  <c r="N1886" i="22"/>
  <c r="N1887" i="22"/>
  <c r="N1888" i="22"/>
  <c r="N1889" i="22"/>
  <c r="N1890" i="22"/>
  <c r="N1891" i="22"/>
  <c r="N1892" i="22"/>
  <c r="N1893" i="22"/>
  <c r="N1894" i="22"/>
  <c r="N1895" i="22"/>
  <c r="N1896" i="22"/>
  <c r="N1897" i="22"/>
  <c r="N1898" i="22"/>
  <c r="N1899" i="22"/>
  <c r="N1900" i="22"/>
  <c r="N1901" i="22"/>
  <c r="N1902" i="22"/>
  <c r="N1903" i="22"/>
  <c r="N1904" i="22"/>
  <c r="N1905" i="22"/>
  <c r="N1906" i="22"/>
  <c r="N1907" i="22"/>
  <c r="N1908" i="22"/>
  <c r="N1909" i="22"/>
  <c r="N1910" i="22"/>
  <c r="N1911" i="22"/>
  <c r="N1912" i="22"/>
  <c r="N1913" i="22"/>
  <c r="N1914" i="22"/>
  <c r="N1915" i="22"/>
  <c r="N1916" i="22"/>
  <c r="N1917" i="22"/>
  <c r="N1918" i="22"/>
  <c r="N1919" i="22"/>
  <c r="N1920" i="22"/>
  <c r="N1921" i="22"/>
  <c r="N1922" i="22"/>
  <c r="N1923" i="22"/>
  <c r="N1924" i="22"/>
  <c r="N1925" i="22"/>
  <c r="N1926" i="22"/>
  <c r="N1927" i="22"/>
  <c r="N1928" i="22"/>
  <c r="N1929" i="22"/>
  <c r="N1930" i="22"/>
  <c r="N1931" i="22"/>
  <c r="N1932" i="22"/>
  <c r="N1933" i="22"/>
  <c r="N1934" i="22"/>
  <c r="N1935" i="22"/>
  <c r="N1936" i="22"/>
  <c r="N1937" i="22"/>
  <c r="N1938" i="22"/>
  <c r="N1939" i="22"/>
  <c r="N1940" i="22"/>
  <c r="N1941" i="22"/>
  <c r="N1942" i="22"/>
  <c r="N1943" i="22"/>
  <c r="N1944" i="22"/>
  <c r="N1945" i="22"/>
  <c r="N1946" i="22"/>
  <c r="N1947" i="22"/>
  <c r="N1948" i="22"/>
  <c r="N1949" i="22"/>
  <c r="N1950" i="22"/>
  <c r="N1951" i="22"/>
  <c r="N1952" i="22"/>
  <c r="N1953" i="22"/>
  <c r="N1954" i="22"/>
  <c r="N1955" i="22"/>
  <c r="N1956" i="22"/>
  <c r="N1957" i="22"/>
  <c r="N1958" i="22"/>
  <c r="N1959" i="22"/>
  <c r="N1960" i="22"/>
  <c r="N1961" i="22"/>
  <c r="N1962" i="22"/>
  <c r="N1963" i="22"/>
  <c r="N1964" i="22"/>
  <c r="N1965" i="22"/>
  <c r="N1966" i="22"/>
  <c r="N1967" i="22"/>
  <c r="N1968" i="22"/>
  <c r="N1969" i="22"/>
  <c r="N1970" i="22"/>
  <c r="N1971" i="22"/>
  <c r="N1972" i="22"/>
  <c r="N1973" i="22"/>
  <c r="N1974" i="22"/>
  <c r="N1975" i="22"/>
  <c r="N1976" i="22"/>
  <c r="N1977" i="22"/>
  <c r="N1978" i="22"/>
  <c r="N1979" i="22"/>
  <c r="N1980" i="22"/>
  <c r="N1981" i="22"/>
  <c r="N1982" i="22"/>
  <c r="N1983" i="22"/>
  <c r="N1984" i="22"/>
  <c r="N1985" i="22"/>
  <c r="N1986" i="22"/>
  <c r="N1987" i="22"/>
  <c r="N1988" i="22"/>
  <c r="N1989" i="22"/>
  <c r="N1990" i="22"/>
  <c r="N1991" i="22"/>
  <c r="N1992" i="22"/>
  <c r="N1993" i="22"/>
  <c r="N1994" i="22"/>
  <c r="N1995" i="22"/>
  <c r="N1996" i="22"/>
  <c r="N1997" i="22"/>
  <c r="N1998" i="22"/>
  <c r="N1999" i="22"/>
  <c r="N2000" i="22"/>
  <c r="N2001" i="22"/>
  <c r="N2002" i="22"/>
  <c r="N2003" i="22"/>
  <c r="N2004" i="22"/>
  <c r="N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H201" i="22"/>
  <c r="H202" i="22"/>
  <c r="H203" i="22"/>
  <c r="H204" i="22"/>
  <c r="H205" i="22"/>
  <c r="H206" i="22"/>
  <c r="H207" i="22"/>
  <c r="H208" i="22"/>
  <c r="H209" i="22"/>
  <c r="H210" i="22"/>
  <c r="H211" i="22"/>
  <c r="H212" i="22"/>
  <c r="H213" i="22"/>
  <c r="H214" i="22"/>
  <c r="H215" i="22"/>
  <c r="H216" i="22"/>
  <c r="H217" i="22"/>
  <c r="H218" i="22"/>
  <c r="H219" i="22"/>
  <c r="H220" i="22"/>
  <c r="H221" i="22"/>
  <c r="H222" i="22"/>
  <c r="H223" i="22"/>
  <c r="H224" i="22"/>
  <c r="H225" i="22"/>
  <c r="H226" i="22"/>
  <c r="H227" i="22"/>
  <c r="H228" i="22"/>
  <c r="H229" i="22"/>
  <c r="H230" i="22"/>
  <c r="H231" i="22"/>
  <c r="H232" i="22"/>
  <c r="H233" i="22"/>
  <c r="H234" i="22"/>
  <c r="H235" i="22"/>
  <c r="H236" i="22"/>
  <c r="H237" i="22"/>
  <c r="H238" i="22"/>
  <c r="H239" i="22"/>
  <c r="H240" i="22"/>
  <c r="H241" i="22"/>
  <c r="H242" i="22"/>
  <c r="H243" i="22"/>
  <c r="H244" i="22"/>
  <c r="H245" i="22"/>
  <c r="H246" i="22"/>
  <c r="H247" i="22"/>
  <c r="H248" i="22"/>
  <c r="H249" i="22"/>
  <c r="H250" i="22"/>
  <c r="H251" i="22"/>
  <c r="H252" i="22"/>
  <c r="H253" i="22"/>
  <c r="H254" i="22"/>
  <c r="H255" i="22"/>
  <c r="H256" i="22"/>
  <c r="H257" i="22"/>
  <c r="H258" i="22"/>
  <c r="H259" i="22"/>
  <c r="H260" i="22"/>
  <c r="H261" i="22"/>
  <c r="H262" i="22"/>
  <c r="H263" i="22"/>
  <c r="H264" i="22"/>
  <c r="H265" i="22"/>
  <c r="H266" i="22"/>
  <c r="H267" i="22"/>
  <c r="H268" i="22"/>
  <c r="H269" i="22"/>
  <c r="H270" i="22"/>
  <c r="H271" i="22"/>
  <c r="H272" i="22"/>
  <c r="H273" i="22"/>
  <c r="H274" i="22"/>
  <c r="H275" i="22"/>
  <c r="H276" i="22"/>
  <c r="H277" i="22"/>
  <c r="H278" i="22"/>
  <c r="H279" i="22"/>
  <c r="H280" i="22"/>
  <c r="H281" i="22"/>
  <c r="H282" i="22"/>
  <c r="H283" i="22"/>
  <c r="H284" i="22"/>
  <c r="H285" i="22"/>
  <c r="H286" i="22"/>
  <c r="H287" i="22"/>
  <c r="H288" i="22"/>
  <c r="H289" i="22"/>
  <c r="H290" i="22"/>
  <c r="H291" i="22"/>
  <c r="H292" i="22"/>
  <c r="H293" i="22"/>
  <c r="H294" i="22"/>
  <c r="H295" i="22"/>
  <c r="H296" i="22"/>
  <c r="H297" i="22"/>
  <c r="H298" i="22"/>
  <c r="H299" i="22"/>
  <c r="H300" i="22"/>
  <c r="H301" i="22"/>
  <c r="H302" i="22"/>
  <c r="H303" i="22"/>
  <c r="H304" i="22"/>
  <c r="H305" i="22"/>
  <c r="H306" i="22"/>
  <c r="H307" i="22"/>
  <c r="H308" i="22"/>
  <c r="H309" i="22"/>
  <c r="H310" i="22"/>
  <c r="H311" i="22"/>
  <c r="H312" i="22"/>
  <c r="H313" i="22"/>
  <c r="H314" i="22"/>
  <c r="H315" i="22"/>
  <c r="H316" i="22"/>
  <c r="H317" i="22"/>
  <c r="H318" i="22"/>
  <c r="H319" i="22"/>
  <c r="H320" i="22"/>
  <c r="H321" i="22"/>
  <c r="H322" i="22"/>
  <c r="H323" i="22"/>
  <c r="H324" i="22"/>
  <c r="H325" i="22"/>
  <c r="H326" i="22"/>
  <c r="H327" i="22"/>
  <c r="H328" i="22"/>
  <c r="H329" i="22"/>
  <c r="H330" i="22"/>
  <c r="H331" i="22"/>
  <c r="H332" i="22"/>
  <c r="H333" i="22"/>
  <c r="H334" i="22"/>
  <c r="H335" i="22"/>
  <c r="H336" i="22"/>
  <c r="H337" i="22"/>
  <c r="H338" i="22"/>
  <c r="H339" i="22"/>
  <c r="H340" i="22"/>
  <c r="H341" i="22"/>
  <c r="H342" i="22"/>
  <c r="H343" i="22"/>
  <c r="H344" i="22"/>
  <c r="H345" i="22"/>
  <c r="H346" i="22"/>
  <c r="H347" i="22"/>
  <c r="H348" i="22"/>
  <c r="H349" i="22"/>
  <c r="H350" i="22"/>
  <c r="H351" i="22"/>
  <c r="H352" i="22"/>
  <c r="H353" i="22"/>
  <c r="H354" i="22"/>
  <c r="H355" i="22"/>
  <c r="H356" i="22"/>
  <c r="H357" i="22"/>
  <c r="H358" i="22"/>
  <c r="H359" i="22"/>
  <c r="H360" i="22"/>
  <c r="H361" i="22"/>
  <c r="H362" i="22"/>
  <c r="H363" i="22"/>
  <c r="H364" i="22"/>
  <c r="H365" i="22"/>
  <c r="H366" i="22"/>
  <c r="H367" i="22"/>
  <c r="H368" i="22"/>
  <c r="H369" i="22"/>
  <c r="H370" i="22"/>
  <c r="H371" i="22"/>
  <c r="H372" i="22"/>
  <c r="H373" i="22"/>
  <c r="H374" i="22"/>
  <c r="H375" i="22"/>
  <c r="H376" i="22"/>
  <c r="H377" i="22"/>
  <c r="H378" i="22"/>
  <c r="H379" i="22"/>
  <c r="H380" i="22"/>
  <c r="H381" i="22"/>
  <c r="H382" i="22"/>
  <c r="H383" i="22"/>
  <c r="H384" i="22"/>
  <c r="H385" i="22"/>
  <c r="H386" i="22"/>
  <c r="H387" i="22"/>
  <c r="H388" i="22"/>
  <c r="H389" i="22"/>
  <c r="H390" i="22"/>
  <c r="H391" i="22"/>
  <c r="H392" i="22"/>
  <c r="H393" i="22"/>
  <c r="H394" i="22"/>
  <c r="H395" i="22"/>
  <c r="H396" i="22"/>
  <c r="H397" i="22"/>
  <c r="H398" i="22"/>
  <c r="H399" i="22"/>
  <c r="H400" i="22"/>
  <c r="H401" i="22"/>
  <c r="H402" i="22"/>
  <c r="H403" i="22"/>
  <c r="H404" i="22"/>
  <c r="H405" i="22"/>
  <c r="H406" i="22"/>
  <c r="H407" i="22"/>
  <c r="H408" i="22"/>
  <c r="H409" i="22"/>
  <c r="H410" i="22"/>
  <c r="H411" i="22"/>
  <c r="H412" i="22"/>
  <c r="H413" i="22"/>
  <c r="H414" i="22"/>
  <c r="H415" i="22"/>
  <c r="H416" i="22"/>
  <c r="H417" i="22"/>
  <c r="H418" i="22"/>
  <c r="H419" i="22"/>
  <c r="H420" i="22"/>
  <c r="H421" i="22"/>
  <c r="H422" i="22"/>
  <c r="H423" i="22"/>
  <c r="H424" i="22"/>
  <c r="H425" i="22"/>
  <c r="H426" i="22"/>
  <c r="H427" i="22"/>
  <c r="H428" i="22"/>
  <c r="H429" i="22"/>
  <c r="H430" i="22"/>
  <c r="H431" i="22"/>
  <c r="H432" i="22"/>
  <c r="H433" i="22"/>
  <c r="H434" i="22"/>
  <c r="H435" i="22"/>
  <c r="H436" i="22"/>
  <c r="H437" i="22"/>
  <c r="H438" i="22"/>
  <c r="H439" i="22"/>
  <c r="H440" i="22"/>
  <c r="H441" i="22"/>
  <c r="H442" i="22"/>
  <c r="H443" i="22"/>
  <c r="H444" i="22"/>
  <c r="H445" i="22"/>
  <c r="H446" i="22"/>
  <c r="H447" i="22"/>
  <c r="H448" i="22"/>
  <c r="H449" i="22"/>
  <c r="H450" i="22"/>
  <c r="H451" i="22"/>
  <c r="H452" i="22"/>
  <c r="H453" i="22"/>
  <c r="H454" i="22"/>
  <c r="H455" i="22"/>
  <c r="H456" i="22"/>
  <c r="H457" i="22"/>
  <c r="H458" i="22"/>
  <c r="H459" i="22"/>
  <c r="H460" i="22"/>
  <c r="H461" i="22"/>
  <c r="H462" i="22"/>
  <c r="H463" i="22"/>
  <c r="H464" i="22"/>
  <c r="H465" i="22"/>
  <c r="H466" i="22"/>
  <c r="H467" i="22"/>
  <c r="H468" i="22"/>
  <c r="H469" i="22"/>
  <c r="H470" i="22"/>
  <c r="H471" i="22"/>
  <c r="H472" i="22"/>
  <c r="H473" i="22"/>
  <c r="H474" i="22"/>
  <c r="H475" i="22"/>
  <c r="H476" i="22"/>
  <c r="H477" i="22"/>
  <c r="H478" i="22"/>
  <c r="H479" i="22"/>
  <c r="H480" i="22"/>
  <c r="H481" i="22"/>
  <c r="H482" i="22"/>
  <c r="H483" i="22"/>
  <c r="H484" i="22"/>
  <c r="H485" i="22"/>
  <c r="H486" i="22"/>
  <c r="H487" i="22"/>
  <c r="H488" i="22"/>
  <c r="H489" i="22"/>
  <c r="H490" i="22"/>
  <c r="H491" i="22"/>
  <c r="H492" i="22"/>
  <c r="H493" i="22"/>
  <c r="H494" i="22"/>
  <c r="H495" i="22"/>
  <c r="H496" i="22"/>
  <c r="H497" i="22"/>
  <c r="H498" i="22"/>
  <c r="H499" i="22"/>
  <c r="H500" i="22"/>
  <c r="H501" i="22"/>
  <c r="H502" i="22"/>
  <c r="H503" i="22"/>
  <c r="H504" i="22"/>
  <c r="H505" i="22"/>
  <c r="H506" i="22"/>
  <c r="H507" i="22"/>
  <c r="H508" i="22"/>
  <c r="H509" i="22"/>
  <c r="H510" i="22"/>
  <c r="H511" i="22"/>
  <c r="H512" i="22"/>
  <c r="H513" i="22"/>
  <c r="H514" i="22"/>
  <c r="H515" i="22"/>
  <c r="H516" i="22"/>
  <c r="H517" i="22"/>
  <c r="H518" i="22"/>
  <c r="H519" i="22"/>
  <c r="H520" i="22"/>
  <c r="H521" i="22"/>
  <c r="H522" i="22"/>
  <c r="H523" i="22"/>
  <c r="H524" i="22"/>
  <c r="H525" i="22"/>
  <c r="H526" i="22"/>
  <c r="H527" i="22"/>
  <c r="H528" i="22"/>
  <c r="H529" i="22"/>
  <c r="H530" i="22"/>
  <c r="H531" i="22"/>
  <c r="H532" i="22"/>
  <c r="H533" i="22"/>
  <c r="H534" i="22"/>
  <c r="H535" i="22"/>
  <c r="H536" i="22"/>
  <c r="H537" i="22"/>
  <c r="H538" i="22"/>
  <c r="H539" i="22"/>
  <c r="H540" i="22"/>
  <c r="H541" i="22"/>
  <c r="H542" i="22"/>
  <c r="H543" i="22"/>
  <c r="H544" i="22"/>
  <c r="H545" i="22"/>
  <c r="H546" i="22"/>
  <c r="H547" i="22"/>
  <c r="H548" i="22"/>
  <c r="H549" i="22"/>
  <c r="H550" i="22"/>
  <c r="H551" i="22"/>
  <c r="H552" i="22"/>
  <c r="H553" i="22"/>
  <c r="H554" i="22"/>
  <c r="H555" i="22"/>
  <c r="H556" i="22"/>
  <c r="H557" i="22"/>
  <c r="H558" i="22"/>
  <c r="H559" i="22"/>
  <c r="H560" i="22"/>
  <c r="H561" i="22"/>
  <c r="H562" i="22"/>
  <c r="H563" i="22"/>
  <c r="H564" i="22"/>
  <c r="H565" i="22"/>
  <c r="H566" i="22"/>
  <c r="H567" i="22"/>
  <c r="H568" i="22"/>
  <c r="H569" i="22"/>
  <c r="H570" i="22"/>
  <c r="H571" i="22"/>
  <c r="H572" i="22"/>
  <c r="H573" i="22"/>
  <c r="H574" i="22"/>
  <c r="H575" i="22"/>
  <c r="H576" i="22"/>
  <c r="H577" i="22"/>
  <c r="H578" i="22"/>
  <c r="H579" i="22"/>
  <c r="H580" i="22"/>
  <c r="H581" i="22"/>
  <c r="H582" i="22"/>
  <c r="H583" i="22"/>
  <c r="H584" i="22"/>
  <c r="H585" i="22"/>
  <c r="H586" i="22"/>
  <c r="H587" i="22"/>
  <c r="H588" i="22"/>
  <c r="H589" i="22"/>
  <c r="H590" i="22"/>
  <c r="H591" i="22"/>
  <c r="H592" i="22"/>
  <c r="H593" i="22"/>
  <c r="H594" i="22"/>
  <c r="H595" i="22"/>
  <c r="H596" i="22"/>
  <c r="H597" i="22"/>
  <c r="H598" i="22"/>
  <c r="H599" i="22"/>
  <c r="H600" i="22"/>
  <c r="H601" i="22"/>
  <c r="H602" i="22"/>
  <c r="H603" i="22"/>
  <c r="H604" i="22"/>
  <c r="H605" i="22"/>
  <c r="H606" i="22"/>
  <c r="H607" i="22"/>
  <c r="H608" i="22"/>
  <c r="H609" i="22"/>
  <c r="H610" i="22"/>
  <c r="H611" i="22"/>
  <c r="H612" i="22"/>
  <c r="H613" i="22"/>
  <c r="H614" i="22"/>
  <c r="H615" i="22"/>
  <c r="H616" i="22"/>
  <c r="H617" i="22"/>
  <c r="H618" i="22"/>
  <c r="H619" i="22"/>
  <c r="H620" i="22"/>
  <c r="H621" i="22"/>
  <c r="H622" i="22"/>
  <c r="H623" i="22"/>
  <c r="H624" i="22"/>
  <c r="H625" i="22"/>
  <c r="H626" i="22"/>
  <c r="H627" i="22"/>
  <c r="H628" i="22"/>
  <c r="H629" i="22"/>
  <c r="H630" i="22"/>
  <c r="H631" i="22"/>
  <c r="H632" i="22"/>
  <c r="H633" i="22"/>
  <c r="H634" i="22"/>
  <c r="H635" i="22"/>
  <c r="H636" i="22"/>
  <c r="H637" i="22"/>
  <c r="H638" i="22"/>
  <c r="H639" i="22"/>
  <c r="H640" i="22"/>
  <c r="H641" i="22"/>
  <c r="H642" i="22"/>
  <c r="H643" i="22"/>
  <c r="H644" i="22"/>
  <c r="H645" i="22"/>
  <c r="H646" i="22"/>
  <c r="H647" i="22"/>
  <c r="H648" i="22"/>
  <c r="H649" i="22"/>
  <c r="H650" i="22"/>
  <c r="H651" i="22"/>
  <c r="H652" i="22"/>
  <c r="H653" i="22"/>
  <c r="H654" i="22"/>
  <c r="H655" i="22"/>
  <c r="H656" i="22"/>
  <c r="H657" i="22"/>
  <c r="H658" i="22"/>
  <c r="H659" i="22"/>
  <c r="H660" i="22"/>
  <c r="H661" i="22"/>
  <c r="H662" i="22"/>
  <c r="H663" i="22"/>
  <c r="H664" i="22"/>
  <c r="H665" i="22"/>
  <c r="H666" i="22"/>
  <c r="H667" i="22"/>
  <c r="H668" i="22"/>
  <c r="H669" i="22"/>
  <c r="H670" i="22"/>
  <c r="H671" i="22"/>
  <c r="H672" i="22"/>
  <c r="H673" i="22"/>
  <c r="H674" i="22"/>
  <c r="H675" i="22"/>
  <c r="H676" i="22"/>
  <c r="H677" i="22"/>
  <c r="H678" i="22"/>
  <c r="H679" i="22"/>
  <c r="H680" i="22"/>
  <c r="H681" i="22"/>
  <c r="H682" i="22"/>
  <c r="H683" i="22"/>
  <c r="H684" i="22"/>
  <c r="H685" i="22"/>
  <c r="H686" i="22"/>
  <c r="H687" i="22"/>
  <c r="H688" i="22"/>
  <c r="H689" i="22"/>
  <c r="H690" i="22"/>
  <c r="H691" i="22"/>
  <c r="H692" i="22"/>
  <c r="H693" i="22"/>
  <c r="H694" i="22"/>
  <c r="H695" i="22"/>
  <c r="H696" i="22"/>
  <c r="H697" i="22"/>
  <c r="H698" i="22"/>
  <c r="H699" i="22"/>
  <c r="H700" i="22"/>
  <c r="H701" i="22"/>
  <c r="H702" i="22"/>
  <c r="H703" i="22"/>
  <c r="H704" i="22"/>
  <c r="H705" i="22"/>
  <c r="H706" i="22"/>
  <c r="H707" i="22"/>
  <c r="H708" i="22"/>
  <c r="H709" i="22"/>
  <c r="H710" i="22"/>
  <c r="H711" i="22"/>
  <c r="H712" i="22"/>
  <c r="H713" i="22"/>
  <c r="H714" i="22"/>
  <c r="H715" i="22"/>
  <c r="H716" i="22"/>
  <c r="H717" i="22"/>
  <c r="H718" i="22"/>
  <c r="H719" i="22"/>
  <c r="H720" i="22"/>
  <c r="H721" i="22"/>
  <c r="H722" i="22"/>
  <c r="H723" i="22"/>
  <c r="H724" i="22"/>
  <c r="H725" i="22"/>
  <c r="H726" i="22"/>
  <c r="H727" i="22"/>
  <c r="H728" i="22"/>
  <c r="H729" i="22"/>
  <c r="H730" i="22"/>
  <c r="H731" i="22"/>
  <c r="H732" i="22"/>
  <c r="H733" i="22"/>
  <c r="H734" i="22"/>
  <c r="H735" i="22"/>
  <c r="H736" i="22"/>
  <c r="H737" i="22"/>
  <c r="H738" i="22"/>
  <c r="H739" i="22"/>
  <c r="H740" i="22"/>
  <c r="H741" i="22"/>
  <c r="H742" i="22"/>
  <c r="H743" i="22"/>
  <c r="H744" i="22"/>
  <c r="H745" i="22"/>
  <c r="H746" i="22"/>
  <c r="H747" i="22"/>
  <c r="H748" i="22"/>
  <c r="H749" i="22"/>
  <c r="H750" i="22"/>
  <c r="H751" i="22"/>
  <c r="H752" i="22"/>
  <c r="H753" i="22"/>
  <c r="H754" i="22"/>
  <c r="H755" i="22"/>
  <c r="H756" i="22"/>
  <c r="H757" i="22"/>
  <c r="H758" i="22"/>
  <c r="H759" i="22"/>
  <c r="H760" i="22"/>
  <c r="H761" i="22"/>
  <c r="H762" i="22"/>
  <c r="H763" i="22"/>
  <c r="H764" i="22"/>
  <c r="H765" i="22"/>
  <c r="H766" i="22"/>
  <c r="H767" i="22"/>
  <c r="H768" i="22"/>
  <c r="H769" i="22"/>
  <c r="H770" i="22"/>
  <c r="H771" i="22"/>
  <c r="H772" i="22"/>
  <c r="H773" i="22"/>
  <c r="H774" i="22"/>
  <c r="H775" i="22"/>
  <c r="H776" i="22"/>
  <c r="H777" i="22"/>
  <c r="H778" i="22"/>
  <c r="H779" i="22"/>
  <c r="H780" i="22"/>
  <c r="H781" i="22"/>
  <c r="H782" i="22"/>
  <c r="H783" i="22"/>
  <c r="H784" i="22"/>
  <c r="H785" i="22"/>
  <c r="H786" i="22"/>
  <c r="H787" i="22"/>
  <c r="H788" i="22"/>
  <c r="H789" i="22"/>
  <c r="H790" i="22"/>
  <c r="H791" i="22"/>
  <c r="H792" i="22"/>
  <c r="H793" i="22"/>
  <c r="H794" i="22"/>
  <c r="H795" i="22"/>
  <c r="H796" i="22"/>
  <c r="H797" i="22"/>
  <c r="H798" i="22"/>
  <c r="H799" i="22"/>
  <c r="H800" i="22"/>
  <c r="H801" i="22"/>
  <c r="H802" i="22"/>
  <c r="H803" i="22"/>
  <c r="H804" i="22"/>
  <c r="H805" i="22"/>
  <c r="H806" i="22"/>
  <c r="H807" i="22"/>
  <c r="H808" i="22"/>
  <c r="H809" i="22"/>
  <c r="H810" i="22"/>
  <c r="H811" i="22"/>
  <c r="H812" i="22"/>
  <c r="H813" i="22"/>
  <c r="H814" i="22"/>
  <c r="H815" i="22"/>
  <c r="H816" i="22"/>
  <c r="H817" i="22"/>
  <c r="H818" i="22"/>
  <c r="H819" i="22"/>
  <c r="H820" i="22"/>
  <c r="H821" i="22"/>
  <c r="H822" i="22"/>
  <c r="H823" i="22"/>
  <c r="H824" i="22"/>
  <c r="H825" i="22"/>
  <c r="H826" i="22"/>
  <c r="H827" i="22"/>
  <c r="H828" i="22"/>
  <c r="H829" i="22"/>
  <c r="H830" i="22"/>
  <c r="H831" i="22"/>
  <c r="H832" i="22"/>
  <c r="H833" i="22"/>
  <c r="H834" i="22"/>
  <c r="H835" i="22"/>
  <c r="H836" i="22"/>
  <c r="H837" i="22"/>
  <c r="H838" i="22"/>
  <c r="H839" i="22"/>
  <c r="H840" i="22"/>
  <c r="H841" i="22"/>
  <c r="H842" i="22"/>
  <c r="H843" i="22"/>
  <c r="H844" i="22"/>
  <c r="H845" i="22"/>
  <c r="H846" i="22"/>
  <c r="H847" i="22"/>
  <c r="H848" i="22"/>
  <c r="H849" i="22"/>
  <c r="H850" i="22"/>
  <c r="H851" i="22"/>
  <c r="H852" i="22"/>
  <c r="H853" i="22"/>
  <c r="H854" i="22"/>
  <c r="H855" i="22"/>
  <c r="H856" i="22"/>
  <c r="H857" i="22"/>
  <c r="H858" i="22"/>
  <c r="H859" i="22"/>
  <c r="H860" i="22"/>
  <c r="H861" i="22"/>
  <c r="H862" i="22"/>
  <c r="H863" i="22"/>
  <c r="H864" i="22"/>
  <c r="H865" i="22"/>
  <c r="H866" i="22"/>
  <c r="H867" i="22"/>
  <c r="H868" i="22"/>
  <c r="H869" i="22"/>
  <c r="H870" i="22"/>
  <c r="H871" i="22"/>
  <c r="H872" i="22"/>
  <c r="H873" i="22"/>
  <c r="H874" i="22"/>
  <c r="H875" i="22"/>
  <c r="H876" i="22"/>
  <c r="H877" i="22"/>
  <c r="H878" i="22"/>
  <c r="H879" i="22"/>
  <c r="H880" i="22"/>
  <c r="H881" i="22"/>
  <c r="H882" i="22"/>
  <c r="H883" i="22"/>
  <c r="H884" i="22"/>
  <c r="H885" i="22"/>
  <c r="H886" i="22"/>
  <c r="H887" i="22"/>
  <c r="H888" i="22"/>
  <c r="H889" i="22"/>
  <c r="H890" i="22"/>
  <c r="H891" i="22"/>
  <c r="H892" i="22"/>
  <c r="H893" i="22"/>
  <c r="H894" i="22"/>
  <c r="H895" i="22"/>
  <c r="H896" i="22"/>
  <c r="H897" i="22"/>
  <c r="H898" i="22"/>
  <c r="H899" i="22"/>
  <c r="H900" i="22"/>
  <c r="H901" i="22"/>
  <c r="H902" i="22"/>
  <c r="H903" i="22"/>
  <c r="H904" i="22"/>
  <c r="H905" i="22"/>
  <c r="H906" i="22"/>
  <c r="H907" i="22"/>
  <c r="H908" i="22"/>
  <c r="H909" i="22"/>
  <c r="H910" i="22"/>
  <c r="H911" i="22"/>
  <c r="H912" i="22"/>
  <c r="H913" i="22"/>
  <c r="H914" i="22"/>
  <c r="H915" i="22"/>
  <c r="H916" i="22"/>
  <c r="H917" i="22"/>
  <c r="H918" i="22"/>
  <c r="H919" i="22"/>
  <c r="H920" i="22"/>
  <c r="H921" i="22"/>
  <c r="H922" i="22"/>
  <c r="H923" i="22"/>
  <c r="H924" i="22"/>
  <c r="H925" i="22"/>
  <c r="H926" i="22"/>
  <c r="H927" i="22"/>
  <c r="H928" i="22"/>
  <c r="H929" i="22"/>
  <c r="H930" i="22"/>
  <c r="H931" i="22"/>
  <c r="H932" i="22"/>
  <c r="H933" i="22"/>
  <c r="H934" i="22"/>
  <c r="H935" i="22"/>
  <c r="H936" i="22"/>
  <c r="H937" i="22"/>
  <c r="H938" i="22"/>
  <c r="H939" i="22"/>
  <c r="H940" i="22"/>
  <c r="H941" i="22"/>
  <c r="H942" i="22"/>
  <c r="H943" i="22"/>
  <c r="H944" i="22"/>
  <c r="H945" i="22"/>
  <c r="H946" i="22"/>
  <c r="H947" i="22"/>
  <c r="H948" i="22"/>
  <c r="H949" i="22"/>
  <c r="H950" i="22"/>
  <c r="H951" i="22"/>
  <c r="H952" i="22"/>
  <c r="H953" i="22"/>
  <c r="H954" i="22"/>
  <c r="H955" i="22"/>
  <c r="H956" i="22"/>
  <c r="H957" i="22"/>
  <c r="H958" i="22"/>
  <c r="H959" i="22"/>
  <c r="H960" i="22"/>
  <c r="H961" i="22"/>
  <c r="H962" i="22"/>
  <c r="H963" i="22"/>
  <c r="H964" i="22"/>
  <c r="H965" i="22"/>
  <c r="H966" i="22"/>
  <c r="H967" i="22"/>
  <c r="H968" i="22"/>
  <c r="H969" i="22"/>
  <c r="H970" i="22"/>
  <c r="H971" i="22"/>
  <c r="H972" i="22"/>
  <c r="H973" i="22"/>
  <c r="H974" i="22"/>
  <c r="H975" i="22"/>
  <c r="H976" i="22"/>
  <c r="H977" i="22"/>
  <c r="H978" i="22"/>
  <c r="H979" i="22"/>
  <c r="H980" i="22"/>
  <c r="H981" i="22"/>
  <c r="H982" i="22"/>
  <c r="H983" i="22"/>
  <c r="H984" i="22"/>
  <c r="H985" i="22"/>
  <c r="H986" i="22"/>
  <c r="H987" i="22"/>
  <c r="H988" i="22"/>
  <c r="H989" i="22"/>
  <c r="H990" i="22"/>
  <c r="H991" i="22"/>
  <c r="H992" i="22"/>
  <c r="H993" i="22"/>
  <c r="H994" i="22"/>
  <c r="H995" i="22"/>
  <c r="H996" i="22"/>
  <c r="H997" i="22"/>
  <c r="H998" i="22"/>
  <c r="H999" i="22"/>
  <c r="H1000" i="22"/>
  <c r="H1001" i="22"/>
  <c r="H1002" i="22"/>
  <c r="H1003" i="22"/>
  <c r="H1004" i="22"/>
  <c r="H1005" i="22"/>
  <c r="H1006" i="22"/>
  <c r="H1007" i="22"/>
  <c r="H1008" i="22"/>
  <c r="H1009" i="22"/>
  <c r="H1010" i="22"/>
  <c r="H1011" i="22"/>
  <c r="H1012" i="22"/>
  <c r="H1013" i="22"/>
  <c r="H1014" i="22"/>
  <c r="H1015" i="22"/>
  <c r="H1016" i="22"/>
  <c r="H1017" i="22"/>
  <c r="H1018" i="22"/>
  <c r="H1019" i="22"/>
  <c r="H1020" i="22"/>
  <c r="H1021" i="22"/>
  <c r="H1022" i="22"/>
  <c r="H1023" i="22"/>
  <c r="H1024" i="22"/>
  <c r="H1025" i="22"/>
  <c r="H1026" i="22"/>
  <c r="H1027" i="22"/>
  <c r="H1028" i="22"/>
  <c r="H1029" i="22"/>
  <c r="H1030" i="22"/>
  <c r="H1031" i="22"/>
  <c r="H1032" i="22"/>
  <c r="H1033" i="22"/>
  <c r="H1034" i="22"/>
  <c r="H1035" i="22"/>
  <c r="H1036" i="22"/>
  <c r="H1037" i="22"/>
  <c r="H1038" i="22"/>
  <c r="H1039" i="22"/>
  <c r="H1040" i="22"/>
  <c r="H1041" i="22"/>
  <c r="H1042" i="22"/>
  <c r="H1043" i="22"/>
  <c r="H1044" i="22"/>
  <c r="H1045" i="22"/>
  <c r="H1046" i="22"/>
  <c r="H1047" i="22"/>
  <c r="H1048" i="22"/>
  <c r="H1049" i="22"/>
  <c r="H1050" i="22"/>
  <c r="H1051" i="22"/>
  <c r="H1052" i="22"/>
  <c r="H1053" i="22"/>
  <c r="H1054" i="22"/>
  <c r="H1055" i="22"/>
  <c r="H1056" i="22"/>
  <c r="H1057" i="22"/>
  <c r="H1058" i="22"/>
  <c r="H1059" i="22"/>
  <c r="H1060" i="22"/>
  <c r="H1061" i="22"/>
  <c r="H1062" i="22"/>
  <c r="H1063" i="22"/>
  <c r="H1064" i="22"/>
  <c r="H1065" i="22"/>
  <c r="H1066" i="22"/>
  <c r="H1067" i="22"/>
  <c r="H1068" i="22"/>
  <c r="H1069" i="22"/>
  <c r="H1070" i="22"/>
  <c r="H1071" i="22"/>
  <c r="H1072" i="22"/>
  <c r="H1073" i="22"/>
  <c r="H1074" i="22"/>
  <c r="H1075" i="22"/>
  <c r="H1076" i="22"/>
  <c r="H1077" i="22"/>
  <c r="H1078" i="22"/>
  <c r="H1079" i="22"/>
  <c r="H1080" i="22"/>
  <c r="H1081" i="22"/>
  <c r="H1082" i="22"/>
  <c r="H1083" i="22"/>
  <c r="H1084" i="22"/>
  <c r="H1085" i="22"/>
  <c r="H1086" i="22"/>
  <c r="H1087" i="22"/>
  <c r="H1088" i="22"/>
  <c r="H1089" i="22"/>
  <c r="H1090" i="22"/>
  <c r="H1091" i="22"/>
  <c r="H1092" i="22"/>
  <c r="H1093" i="22"/>
  <c r="H1094" i="22"/>
  <c r="H1095" i="22"/>
  <c r="H1096" i="22"/>
  <c r="H1097" i="22"/>
  <c r="H1098" i="22"/>
  <c r="H1099" i="22"/>
  <c r="H1100" i="22"/>
  <c r="H1101" i="22"/>
  <c r="H1102" i="22"/>
  <c r="H1103" i="22"/>
  <c r="H1104" i="22"/>
  <c r="H1105" i="22"/>
  <c r="H1106" i="22"/>
  <c r="H1107" i="22"/>
  <c r="H1108" i="22"/>
  <c r="H1109" i="22"/>
  <c r="H1110" i="22"/>
  <c r="H1111" i="22"/>
  <c r="H1112" i="22"/>
  <c r="H1113" i="22"/>
  <c r="H1114" i="22"/>
  <c r="H1115" i="22"/>
  <c r="H1116" i="22"/>
  <c r="H1117" i="22"/>
  <c r="H1118" i="22"/>
  <c r="H1119" i="22"/>
  <c r="H1120" i="22"/>
  <c r="H1121" i="22"/>
  <c r="H1122" i="22"/>
  <c r="H1123" i="22"/>
  <c r="H1124" i="22"/>
  <c r="H1125" i="22"/>
  <c r="H1126" i="22"/>
  <c r="H1127" i="22"/>
  <c r="H1128" i="22"/>
  <c r="H1129" i="22"/>
  <c r="H1130" i="22"/>
  <c r="H1131" i="22"/>
  <c r="H1132" i="22"/>
  <c r="H1133" i="22"/>
  <c r="H1134" i="22"/>
  <c r="H1135" i="22"/>
  <c r="H1136" i="22"/>
  <c r="H1137" i="22"/>
  <c r="H1138" i="22"/>
  <c r="H1139" i="22"/>
  <c r="H1140" i="22"/>
  <c r="H1141" i="22"/>
  <c r="H1142" i="22"/>
  <c r="H1143" i="22"/>
  <c r="H1144" i="22"/>
  <c r="H1145" i="22"/>
  <c r="H1146" i="22"/>
  <c r="H1147" i="22"/>
  <c r="H1148" i="22"/>
  <c r="H1149" i="22"/>
  <c r="H1150" i="22"/>
  <c r="H1151" i="22"/>
  <c r="H1152" i="22"/>
  <c r="H1153" i="22"/>
  <c r="H1154" i="22"/>
  <c r="H1155" i="22"/>
  <c r="H1156" i="22"/>
  <c r="H1157" i="22"/>
  <c r="H1158" i="22"/>
  <c r="H1159" i="22"/>
  <c r="H1160" i="22"/>
  <c r="H1161" i="22"/>
  <c r="H1162" i="22"/>
  <c r="H1163" i="22"/>
  <c r="H1164" i="22"/>
  <c r="H1165" i="22"/>
  <c r="H1166" i="22"/>
  <c r="H1167" i="22"/>
  <c r="H1168" i="22"/>
  <c r="H1169" i="22"/>
  <c r="H1170" i="22"/>
  <c r="H1171" i="22"/>
  <c r="H1172" i="22"/>
  <c r="H1173" i="22"/>
  <c r="H1174" i="22"/>
  <c r="H1175" i="22"/>
  <c r="H1176" i="22"/>
  <c r="H1177" i="22"/>
  <c r="H1178" i="22"/>
  <c r="H1179" i="22"/>
  <c r="H1180" i="22"/>
  <c r="H1181" i="22"/>
  <c r="H1182" i="22"/>
  <c r="H1183" i="22"/>
  <c r="H1184" i="22"/>
  <c r="H1185" i="22"/>
  <c r="H1186" i="22"/>
  <c r="H1187" i="22"/>
  <c r="H1188" i="22"/>
  <c r="H1189" i="22"/>
  <c r="H1190" i="22"/>
  <c r="H1191" i="22"/>
  <c r="H1192" i="22"/>
  <c r="H1193" i="22"/>
  <c r="H1194" i="22"/>
  <c r="H1195" i="22"/>
  <c r="H1196" i="22"/>
  <c r="H1197" i="22"/>
  <c r="H1198" i="22"/>
  <c r="H1199" i="22"/>
  <c r="H1200" i="22"/>
  <c r="H1201" i="22"/>
  <c r="H1202" i="22"/>
  <c r="H1203" i="22"/>
  <c r="H1204" i="22"/>
  <c r="H1205" i="22"/>
  <c r="H1206" i="22"/>
  <c r="H1207" i="22"/>
  <c r="H1208" i="22"/>
  <c r="H1209" i="22"/>
  <c r="H1210" i="22"/>
  <c r="H1211" i="22"/>
  <c r="H1212" i="22"/>
  <c r="H1213" i="22"/>
  <c r="H1214" i="22"/>
  <c r="H1215" i="22"/>
  <c r="H1216" i="22"/>
  <c r="H1217" i="22"/>
  <c r="H1218" i="22"/>
  <c r="H1219" i="22"/>
  <c r="H1220" i="22"/>
  <c r="H1221" i="22"/>
  <c r="H1222" i="22"/>
  <c r="H1223" i="22"/>
  <c r="H1224" i="22"/>
  <c r="H1225" i="22"/>
  <c r="H1226" i="22"/>
  <c r="H1227" i="22"/>
  <c r="H1228" i="22"/>
  <c r="H1229" i="22"/>
  <c r="H1230" i="22"/>
  <c r="H1231" i="22"/>
  <c r="H1232" i="22"/>
  <c r="H1233" i="22"/>
  <c r="H1234" i="22"/>
  <c r="H1235" i="22"/>
  <c r="H1236" i="22"/>
  <c r="H1237" i="22"/>
  <c r="H1238" i="22"/>
  <c r="H1239" i="22"/>
  <c r="H1240" i="22"/>
  <c r="H1241" i="22"/>
  <c r="H1242" i="22"/>
  <c r="H1243" i="22"/>
  <c r="H1244" i="22"/>
  <c r="H1245" i="22"/>
  <c r="H1246" i="22"/>
  <c r="H1247" i="22"/>
  <c r="H1248" i="22"/>
  <c r="H1249" i="22"/>
  <c r="H1250" i="22"/>
  <c r="H1251" i="22"/>
  <c r="H1252" i="22"/>
  <c r="H1253" i="22"/>
  <c r="H1254" i="22"/>
  <c r="H1255" i="22"/>
  <c r="H1256" i="22"/>
  <c r="H1257" i="22"/>
  <c r="H1258" i="22"/>
  <c r="H1259" i="22"/>
  <c r="H1260" i="22"/>
  <c r="H1261" i="22"/>
  <c r="H1262" i="22"/>
  <c r="H1263" i="22"/>
  <c r="H1264" i="22"/>
  <c r="H1265" i="22"/>
  <c r="H1266" i="22"/>
  <c r="H1267" i="22"/>
  <c r="H1268" i="22"/>
  <c r="H1269" i="22"/>
  <c r="H1270" i="22"/>
  <c r="H1271" i="22"/>
  <c r="H1272" i="22"/>
  <c r="H1273" i="22"/>
  <c r="H1274" i="22"/>
  <c r="H1275" i="22"/>
  <c r="H1276" i="22"/>
  <c r="H1277" i="22"/>
  <c r="H1278" i="22"/>
  <c r="H1279" i="22"/>
  <c r="H1280" i="22"/>
  <c r="H1281" i="22"/>
  <c r="H1282" i="22"/>
  <c r="H1283" i="22"/>
  <c r="H1284" i="22"/>
  <c r="H1285" i="22"/>
  <c r="H1286" i="22"/>
  <c r="H1287" i="22"/>
  <c r="H1288" i="22"/>
  <c r="H1289" i="22"/>
  <c r="H1290" i="22"/>
  <c r="H1291" i="22"/>
  <c r="H1292" i="22"/>
  <c r="H1293" i="22"/>
  <c r="H1294" i="22"/>
  <c r="H1295" i="22"/>
  <c r="H1296" i="22"/>
  <c r="H1297" i="22"/>
  <c r="H1298" i="22"/>
  <c r="H1299" i="22"/>
  <c r="H1300" i="22"/>
  <c r="H1301" i="22"/>
  <c r="H1302" i="22"/>
  <c r="H1303" i="22"/>
  <c r="H1304" i="22"/>
  <c r="H1305" i="22"/>
  <c r="H1306" i="22"/>
  <c r="H1307" i="22"/>
  <c r="H1308" i="22"/>
  <c r="H1309" i="22"/>
  <c r="H1310" i="22"/>
  <c r="H1311" i="22"/>
  <c r="H1312" i="22"/>
  <c r="H1313" i="22"/>
  <c r="H1314" i="22"/>
  <c r="H1315" i="22"/>
  <c r="H1316" i="22"/>
  <c r="H1317" i="22"/>
  <c r="H1318" i="22"/>
  <c r="H1319" i="22"/>
  <c r="H1320" i="22"/>
  <c r="H1321" i="22"/>
  <c r="H1322" i="22"/>
  <c r="H1323" i="22"/>
  <c r="H1324" i="22"/>
  <c r="H1325" i="22"/>
  <c r="H1326" i="22"/>
  <c r="H1327" i="22"/>
  <c r="H1328" i="22"/>
  <c r="H1329" i="22"/>
  <c r="H1330" i="22"/>
  <c r="H1331" i="22"/>
  <c r="H1332" i="22"/>
  <c r="H1333" i="22"/>
  <c r="H1334" i="22"/>
  <c r="H1335" i="22"/>
  <c r="H1336" i="22"/>
  <c r="H1337" i="22"/>
  <c r="H1338" i="22"/>
  <c r="H1339" i="22"/>
  <c r="H1340" i="22"/>
  <c r="H1341" i="22"/>
  <c r="H1342" i="22"/>
  <c r="H1343" i="22"/>
  <c r="H1344" i="22"/>
  <c r="H1345" i="22"/>
  <c r="H1346" i="22"/>
  <c r="H1347" i="22"/>
  <c r="H1348" i="22"/>
  <c r="H1349" i="22"/>
  <c r="H1350" i="22"/>
  <c r="H1351" i="22"/>
  <c r="H1352" i="22"/>
  <c r="H1353" i="22"/>
  <c r="H1354" i="22"/>
  <c r="H1355" i="22"/>
  <c r="H1356" i="22"/>
  <c r="H1357" i="22"/>
  <c r="H1358" i="22"/>
  <c r="H1359" i="22"/>
  <c r="H1360" i="22"/>
  <c r="H1361" i="22"/>
  <c r="H1362" i="22"/>
  <c r="H1363" i="22"/>
  <c r="H1364" i="22"/>
  <c r="H1365" i="22"/>
  <c r="H1366" i="22"/>
  <c r="H1367" i="22"/>
  <c r="H1368" i="22"/>
  <c r="H1369" i="22"/>
  <c r="H1370" i="22"/>
  <c r="H1371" i="22"/>
  <c r="H1372" i="22"/>
  <c r="H1373" i="22"/>
  <c r="H1374" i="22"/>
  <c r="H1375" i="22"/>
  <c r="H1376" i="22"/>
  <c r="H1377" i="22"/>
  <c r="H1378" i="22"/>
  <c r="H1379" i="22"/>
  <c r="H1380" i="22"/>
  <c r="H1381" i="22"/>
  <c r="H1382" i="22"/>
  <c r="H1383" i="22"/>
  <c r="H1384" i="22"/>
  <c r="H1385" i="22"/>
  <c r="H1386" i="22"/>
  <c r="H1387" i="22"/>
  <c r="H1388" i="22"/>
  <c r="H1389" i="22"/>
  <c r="H1390" i="22"/>
  <c r="H1391" i="22"/>
  <c r="H1392" i="22"/>
  <c r="H1393" i="22"/>
  <c r="H1394" i="22"/>
  <c r="H1395" i="22"/>
  <c r="H1396" i="22"/>
  <c r="H1397" i="22"/>
  <c r="H1398" i="22"/>
  <c r="H1399" i="22"/>
  <c r="H1400" i="22"/>
  <c r="H1401" i="22"/>
  <c r="H1402" i="22"/>
  <c r="H1403" i="22"/>
  <c r="H1404" i="22"/>
  <c r="H1405" i="22"/>
  <c r="H1406" i="22"/>
  <c r="H1407" i="22"/>
  <c r="H1408" i="22"/>
  <c r="H1409" i="22"/>
  <c r="H1410" i="22"/>
  <c r="H1411" i="22"/>
  <c r="H1412" i="22"/>
  <c r="H1413" i="22"/>
  <c r="H1414" i="22"/>
  <c r="H1415" i="22"/>
  <c r="H1416" i="22"/>
  <c r="H1417" i="22"/>
  <c r="H1418" i="22"/>
  <c r="H1419" i="22"/>
  <c r="H1420" i="22"/>
  <c r="H1421" i="22"/>
  <c r="H1422" i="22"/>
  <c r="H1423" i="22"/>
  <c r="H1424" i="22"/>
  <c r="H1425" i="22"/>
  <c r="H1426" i="22"/>
  <c r="H1427" i="22"/>
  <c r="H1428" i="22"/>
  <c r="H1429" i="22"/>
  <c r="H1430" i="22"/>
  <c r="H1431" i="22"/>
  <c r="H1432" i="22"/>
  <c r="H1433" i="22"/>
  <c r="H1434" i="22"/>
  <c r="H1435" i="22"/>
  <c r="H1436" i="22"/>
  <c r="H1437" i="22"/>
  <c r="H1438" i="22"/>
  <c r="H1439" i="22"/>
  <c r="H1440" i="22"/>
  <c r="H1441" i="22"/>
  <c r="H1442" i="22"/>
  <c r="H1443" i="22"/>
  <c r="H1444" i="22"/>
  <c r="H1445" i="22"/>
  <c r="H1446" i="22"/>
  <c r="H1447" i="22"/>
  <c r="H1448" i="22"/>
  <c r="H1449" i="22"/>
  <c r="H1450" i="22"/>
  <c r="H1451" i="22"/>
  <c r="H1452" i="22"/>
  <c r="H1453" i="22"/>
  <c r="H1454" i="22"/>
  <c r="H1455" i="22"/>
  <c r="H1456" i="22"/>
  <c r="H1457" i="22"/>
  <c r="H1458" i="22"/>
  <c r="H1459" i="22"/>
  <c r="H1460" i="22"/>
  <c r="H1461" i="22"/>
  <c r="H1462" i="22"/>
  <c r="H1463" i="22"/>
  <c r="H1464" i="22"/>
  <c r="H1465" i="22"/>
  <c r="H1466" i="22"/>
  <c r="H1467" i="22"/>
  <c r="H1468" i="22"/>
  <c r="H1469" i="22"/>
  <c r="H1470" i="22"/>
  <c r="H1471" i="22"/>
  <c r="H1472" i="22"/>
  <c r="H1473" i="22"/>
  <c r="H1474" i="22"/>
  <c r="H1475" i="22"/>
  <c r="H1476" i="22"/>
  <c r="H1477" i="22"/>
  <c r="H1478" i="22"/>
  <c r="H1479" i="22"/>
  <c r="H1480" i="22"/>
  <c r="H1481" i="22"/>
  <c r="H1482" i="22"/>
  <c r="H1483" i="22"/>
  <c r="H1484" i="22"/>
  <c r="H1485" i="22"/>
  <c r="H1486" i="22"/>
  <c r="H1487" i="22"/>
  <c r="H1488" i="22"/>
  <c r="H1489" i="22"/>
  <c r="H1490" i="22"/>
  <c r="H1491" i="22"/>
  <c r="H1492" i="22"/>
  <c r="H1493" i="22"/>
  <c r="H1494" i="22"/>
  <c r="H1495" i="22"/>
  <c r="H1496" i="22"/>
  <c r="H1497" i="22"/>
  <c r="H1498" i="22"/>
  <c r="H1499" i="22"/>
  <c r="H1500" i="22"/>
  <c r="H1501" i="22"/>
  <c r="H1502" i="22"/>
  <c r="H1503" i="22"/>
  <c r="H1504" i="22"/>
  <c r="H1505" i="22"/>
  <c r="H1506" i="22"/>
  <c r="H1507" i="22"/>
  <c r="H1508" i="22"/>
  <c r="H1509" i="22"/>
  <c r="H1510" i="22"/>
  <c r="H1511" i="22"/>
  <c r="H1512" i="22"/>
  <c r="H1513" i="22"/>
  <c r="H1514" i="22"/>
  <c r="H1515" i="22"/>
  <c r="H1516" i="22"/>
  <c r="H1517" i="22"/>
  <c r="H1518" i="22"/>
  <c r="H1519" i="22"/>
  <c r="H1520" i="22"/>
  <c r="H1521" i="22"/>
  <c r="H1522" i="22"/>
  <c r="H1523" i="22"/>
  <c r="H1524" i="22"/>
  <c r="H1525" i="22"/>
  <c r="H1526" i="22"/>
  <c r="H1527" i="22"/>
  <c r="H1528" i="22"/>
  <c r="H1529" i="22"/>
  <c r="H1530" i="22"/>
  <c r="H1531" i="22"/>
  <c r="H1532" i="22"/>
  <c r="H1533" i="22"/>
  <c r="H1534" i="22"/>
  <c r="H1535" i="22"/>
  <c r="H1536" i="22"/>
  <c r="H1537" i="22"/>
  <c r="H1538" i="22"/>
  <c r="H1539" i="22"/>
  <c r="H1540" i="22"/>
  <c r="H1541" i="22"/>
  <c r="H1542" i="22"/>
  <c r="H1543" i="22"/>
  <c r="H1544" i="22"/>
  <c r="H1545" i="22"/>
  <c r="H1546" i="22"/>
  <c r="H1547" i="22"/>
  <c r="H1548" i="22"/>
  <c r="H1549" i="22"/>
  <c r="H1550" i="22"/>
  <c r="H1551" i="22"/>
  <c r="H1552" i="22"/>
  <c r="H1553" i="22"/>
  <c r="H1554" i="22"/>
  <c r="H1555" i="22"/>
  <c r="H1556" i="22"/>
  <c r="H1557" i="22"/>
  <c r="H1558" i="22"/>
  <c r="H1559" i="22"/>
  <c r="H1560" i="22"/>
  <c r="H1561" i="22"/>
  <c r="H1562" i="22"/>
  <c r="H1563" i="22"/>
  <c r="H1564" i="22"/>
  <c r="H1565" i="22"/>
  <c r="H1566" i="22"/>
  <c r="H1567" i="22"/>
  <c r="H1568" i="22"/>
  <c r="H1569" i="22"/>
  <c r="H1570" i="22"/>
  <c r="H1571" i="22"/>
  <c r="H1572" i="22"/>
  <c r="H1573" i="22"/>
  <c r="H1574" i="22"/>
  <c r="H1575" i="22"/>
  <c r="H1576" i="22"/>
  <c r="H1577" i="22"/>
  <c r="H1578" i="22"/>
  <c r="H1579" i="22"/>
  <c r="H1580" i="22"/>
  <c r="H1581" i="22"/>
  <c r="H1582" i="22"/>
  <c r="H1583" i="22"/>
  <c r="H1584" i="22"/>
  <c r="H1585" i="22"/>
  <c r="H1586" i="22"/>
  <c r="H1587" i="22"/>
  <c r="H1588" i="22"/>
  <c r="H1589" i="22"/>
  <c r="H1590" i="22"/>
  <c r="H1591" i="22"/>
  <c r="H1592" i="22"/>
  <c r="H1593" i="22"/>
  <c r="H1594" i="22"/>
  <c r="H1595" i="22"/>
  <c r="H1596" i="22"/>
  <c r="H1597" i="22"/>
  <c r="H1598" i="22"/>
  <c r="H1599" i="22"/>
  <c r="H1600" i="22"/>
  <c r="H1601" i="22"/>
  <c r="H1602" i="22"/>
  <c r="H1603" i="22"/>
  <c r="H1604" i="22"/>
  <c r="H1605" i="22"/>
  <c r="H1606" i="22"/>
  <c r="H1607" i="22"/>
  <c r="H1608" i="22"/>
  <c r="H1609" i="22"/>
  <c r="H1610" i="22"/>
  <c r="H1611" i="22"/>
  <c r="H1612" i="22"/>
  <c r="H1613" i="22"/>
  <c r="H1614" i="22"/>
  <c r="H1615" i="22"/>
  <c r="H1616" i="22"/>
  <c r="H1617" i="22"/>
  <c r="H1618" i="22"/>
  <c r="H1619" i="22"/>
  <c r="H1620" i="22"/>
  <c r="H1621" i="22"/>
  <c r="H1622" i="22"/>
  <c r="H1623" i="22"/>
  <c r="H1624" i="22"/>
  <c r="H1625" i="22"/>
  <c r="H1626" i="22"/>
  <c r="H1627" i="22"/>
  <c r="H1628" i="22"/>
  <c r="H1629" i="22"/>
  <c r="H1630" i="22"/>
  <c r="H1631" i="22"/>
  <c r="H1632" i="22"/>
  <c r="H1633" i="22"/>
  <c r="H1634" i="22"/>
  <c r="H1635" i="22"/>
  <c r="H1636" i="22"/>
  <c r="H1637" i="22"/>
  <c r="H1638" i="22"/>
  <c r="H1639" i="22"/>
  <c r="H1640" i="22"/>
  <c r="H1641" i="22"/>
  <c r="H1642" i="22"/>
  <c r="H1643" i="22"/>
  <c r="H1644" i="22"/>
  <c r="H1645" i="22"/>
  <c r="H1646" i="22"/>
  <c r="H1647" i="22"/>
  <c r="H1648" i="22"/>
  <c r="H1649" i="22"/>
  <c r="H1650" i="22"/>
  <c r="H1651" i="22"/>
  <c r="H1652" i="22"/>
  <c r="H1653" i="22"/>
  <c r="H1654" i="22"/>
  <c r="H1655" i="22"/>
  <c r="H1656" i="22"/>
  <c r="H1657" i="22"/>
  <c r="H1658" i="22"/>
  <c r="H1659" i="22"/>
  <c r="H1660" i="22"/>
  <c r="H1661" i="22"/>
  <c r="H1662" i="22"/>
  <c r="H1663" i="22"/>
  <c r="H1664" i="22"/>
  <c r="H1665" i="22"/>
  <c r="H1666" i="22"/>
  <c r="H1667" i="22"/>
  <c r="H1668" i="22"/>
  <c r="H1669" i="22"/>
  <c r="H1670" i="22"/>
  <c r="H1671" i="22"/>
  <c r="H1672" i="22"/>
  <c r="H1673" i="22"/>
  <c r="H1674" i="22"/>
  <c r="H1675" i="22"/>
  <c r="H1676" i="22"/>
  <c r="H1677" i="22"/>
  <c r="H1678" i="22"/>
  <c r="H1679" i="22"/>
  <c r="H1680" i="22"/>
  <c r="H1681" i="22"/>
  <c r="H1682" i="22"/>
  <c r="H1683" i="22"/>
  <c r="H1684" i="22"/>
  <c r="H1685" i="22"/>
  <c r="H1686" i="22"/>
  <c r="H1687" i="22"/>
  <c r="H1688" i="22"/>
  <c r="H1689" i="22"/>
  <c r="H1690" i="22"/>
  <c r="H1691" i="22"/>
  <c r="H1692" i="22"/>
  <c r="H1693" i="22"/>
  <c r="H1694" i="22"/>
  <c r="H1695" i="22"/>
  <c r="H1696" i="22"/>
  <c r="H1697" i="22"/>
  <c r="H1698" i="22"/>
  <c r="H1699" i="22"/>
  <c r="H1700" i="22"/>
  <c r="H1701" i="22"/>
  <c r="H1702" i="22"/>
  <c r="H1703" i="22"/>
  <c r="H1704" i="22"/>
  <c r="H1705" i="22"/>
  <c r="H1706" i="22"/>
  <c r="H1707" i="22"/>
  <c r="H1708" i="22"/>
  <c r="H1709" i="22"/>
  <c r="H1710" i="22"/>
  <c r="H1711" i="22"/>
  <c r="H1712" i="22"/>
  <c r="H1713" i="22"/>
  <c r="H1714" i="22"/>
  <c r="H1715" i="22"/>
  <c r="H1716" i="22"/>
  <c r="H1717" i="22"/>
  <c r="H1718" i="22"/>
  <c r="H1719" i="22"/>
  <c r="H1720" i="22"/>
  <c r="H1721" i="22"/>
  <c r="H1722" i="22"/>
  <c r="H1723" i="22"/>
  <c r="H1724" i="22"/>
  <c r="H1725" i="22"/>
  <c r="H1726" i="22"/>
  <c r="H1727" i="22"/>
  <c r="H1728" i="22"/>
  <c r="H1729" i="22"/>
  <c r="H1730" i="22"/>
  <c r="H1731" i="22"/>
  <c r="H1732" i="22"/>
  <c r="H1733" i="22"/>
  <c r="H1734" i="22"/>
  <c r="H1735" i="22"/>
  <c r="H1736" i="22"/>
  <c r="H1737" i="22"/>
  <c r="H1738" i="22"/>
  <c r="H1739" i="22"/>
  <c r="H1740" i="22"/>
  <c r="H1741" i="22"/>
  <c r="H1742" i="22"/>
  <c r="H1743" i="22"/>
  <c r="H1744" i="22"/>
  <c r="H1745" i="22"/>
  <c r="H1746" i="22"/>
  <c r="H1747" i="22"/>
  <c r="H1748" i="22"/>
  <c r="H1749" i="22"/>
  <c r="H1750" i="22"/>
  <c r="H1751" i="22"/>
  <c r="H1752" i="22"/>
  <c r="H1753" i="22"/>
  <c r="H1754" i="22"/>
  <c r="H1755" i="22"/>
  <c r="H1756" i="22"/>
  <c r="H1757" i="22"/>
  <c r="H1758" i="22"/>
  <c r="H1759" i="22"/>
  <c r="H1760" i="22"/>
  <c r="H1761" i="22"/>
  <c r="H1762" i="22"/>
  <c r="H1763" i="22"/>
  <c r="H1764" i="22"/>
  <c r="H1765" i="22"/>
  <c r="H1766" i="22"/>
  <c r="H1767" i="22"/>
  <c r="H1768" i="22"/>
  <c r="H1769" i="22"/>
  <c r="H1770" i="22"/>
  <c r="H1771" i="22"/>
  <c r="H1772" i="22"/>
  <c r="H1773" i="22"/>
  <c r="H1774" i="22"/>
  <c r="H1775" i="22"/>
  <c r="H1776" i="22"/>
  <c r="H1777" i="22"/>
  <c r="H1778" i="22"/>
  <c r="H1779" i="22"/>
  <c r="H1780" i="22"/>
  <c r="H1781" i="22"/>
  <c r="H1782" i="22"/>
  <c r="H1783" i="22"/>
  <c r="H1784" i="22"/>
  <c r="H1785" i="22"/>
  <c r="H1786" i="22"/>
  <c r="H1787" i="22"/>
  <c r="H1788" i="22"/>
  <c r="H1789" i="22"/>
  <c r="H1790" i="22"/>
  <c r="H1791" i="22"/>
  <c r="H1792" i="22"/>
  <c r="H1793" i="22"/>
  <c r="H1794" i="22"/>
  <c r="H1795" i="22"/>
  <c r="H1796" i="22"/>
  <c r="H1797" i="22"/>
  <c r="H1798" i="22"/>
  <c r="H1799" i="22"/>
  <c r="H1800" i="22"/>
  <c r="H1801" i="22"/>
  <c r="H1802" i="22"/>
  <c r="H1803" i="22"/>
  <c r="H1804" i="22"/>
  <c r="H1805" i="22"/>
  <c r="H1806" i="22"/>
  <c r="H1807" i="22"/>
  <c r="H1808" i="22"/>
  <c r="H1809" i="22"/>
  <c r="H1810" i="22"/>
  <c r="H1811" i="22"/>
  <c r="H1812" i="22"/>
  <c r="H1813" i="22"/>
  <c r="H1814" i="22"/>
  <c r="H1815" i="22"/>
  <c r="H1816" i="22"/>
  <c r="H1817" i="22"/>
  <c r="H1818" i="22"/>
  <c r="H1819" i="22"/>
  <c r="H1820" i="22"/>
  <c r="H1821" i="22"/>
  <c r="H1822" i="22"/>
  <c r="H1823" i="22"/>
  <c r="H1824" i="22"/>
  <c r="H1825" i="22"/>
  <c r="H1826" i="22"/>
  <c r="H1827" i="22"/>
  <c r="H1828" i="22"/>
  <c r="H1829" i="22"/>
  <c r="H1830" i="22"/>
  <c r="H1831" i="22"/>
  <c r="H1832" i="22"/>
  <c r="H1833" i="22"/>
  <c r="H1834" i="22"/>
  <c r="H1835" i="22"/>
  <c r="H1836" i="22"/>
  <c r="H1837" i="22"/>
  <c r="H1838" i="22"/>
  <c r="H1839" i="22"/>
  <c r="H1840" i="22"/>
  <c r="H1841" i="22"/>
  <c r="H1842" i="22"/>
  <c r="H1843" i="22"/>
  <c r="H1844" i="22"/>
  <c r="H1845" i="22"/>
  <c r="H1846" i="22"/>
  <c r="H1847" i="22"/>
  <c r="H1848" i="22"/>
  <c r="H1849" i="22"/>
  <c r="H1850" i="22"/>
  <c r="H1851" i="22"/>
  <c r="H1852" i="22"/>
  <c r="H1853" i="22"/>
  <c r="H1854" i="22"/>
  <c r="H1855" i="22"/>
  <c r="H1856" i="22"/>
  <c r="H1857" i="22"/>
  <c r="H1858" i="22"/>
  <c r="H1859" i="22"/>
  <c r="H1860" i="22"/>
  <c r="H1861" i="22"/>
  <c r="H1862" i="22"/>
  <c r="H1863" i="22"/>
  <c r="H1864" i="22"/>
  <c r="H1865" i="22"/>
  <c r="H1866" i="22"/>
  <c r="H1867" i="22"/>
  <c r="H1868" i="22"/>
  <c r="H1869" i="22"/>
  <c r="H1870" i="22"/>
  <c r="H1871" i="22"/>
  <c r="H1872" i="22"/>
  <c r="H1873" i="22"/>
  <c r="H1874" i="22"/>
  <c r="H1875" i="22"/>
  <c r="H1876" i="22"/>
  <c r="H1877" i="22"/>
  <c r="H1878" i="22"/>
  <c r="H1879" i="22"/>
  <c r="H1880" i="22"/>
  <c r="H1881" i="22"/>
  <c r="H1882" i="22"/>
  <c r="H1883" i="22"/>
  <c r="H1884" i="22"/>
  <c r="H1885" i="22"/>
  <c r="H1886" i="22"/>
  <c r="H1887" i="22"/>
  <c r="H1888" i="22"/>
  <c r="H1889" i="22"/>
  <c r="H1890" i="22"/>
  <c r="H1891" i="22"/>
  <c r="H1892" i="22"/>
  <c r="H1893" i="22"/>
  <c r="H1894" i="22"/>
  <c r="H1895" i="22"/>
  <c r="H1896" i="22"/>
  <c r="H1897" i="22"/>
  <c r="H1898" i="22"/>
  <c r="H1899" i="22"/>
  <c r="H1900" i="22"/>
  <c r="H1901" i="22"/>
  <c r="H1902" i="22"/>
  <c r="H1903" i="22"/>
  <c r="H1904" i="22"/>
  <c r="H1905" i="22"/>
  <c r="H1906" i="22"/>
  <c r="H1907" i="22"/>
  <c r="H1908" i="22"/>
  <c r="H1909" i="22"/>
  <c r="H1910" i="22"/>
  <c r="H1911" i="22"/>
  <c r="H1912" i="22"/>
  <c r="H1913" i="22"/>
  <c r="H1914" i="22"/>
  <c r="H1915" i="22"/>
  <c r="H1916" i="22"/>
  <c r="H1917" i="22"/>
  <c r="H1918" i="22"/>
  <c r="H1919" i="22"/>
  <c r="H1920" i="22"/>
  <c r="H1921" i="22"/>
  <c r="H1922" i="22"/>
  <c r="H1923" i="22"/>
  <c r="H1924" i="22"/>
  <c r="H1925" i="22"/>
  <c r="H1926" i="22"/>
  <c r="H1927" i="22"/>
  <c r="H1928" i="22"/>
  <c r="H1929" i="22"/>
  <c r="H1930" i="22"/>
  <c r="H1931" i="22"/>
  <c r="H1932" i="22"/>
  <c r="H1933" i="22"/>
  <c r="H1934" i="22"/>
  <c r="H1935" i="22"/>
  <c r="H1936" i="22"/>
  <c r="H1937" i="22"/>
  <c r="H1938" i="22"/>
  <c r="H1939" i="22"/>
  <c r="H1940" i="22"/>
  <c r="H1941" i="22"/>
  <c r="H1942" i="22"/>
  <c r="H1943" i="22"/>
  <c r="H1944" i="22"/>
  <c r="H1945" i="22"/>
  <c r="H1946" i="22"/>
  <c r="H1947" i="22"/>
  <c r="H1948" i="22"/>
  <c r="H1949" i="22"/>
  <c r="H1950" i="22"/>
  <c r="H1951" i="22"/>
  <c r="H1952" i="22"/>
  <c r="H1953" i="22"/>
  <c r="H1954" i="22"/>
  <c r="H1955" i="22"/>
  <c r="H1956" i="22"/>
  <c r="H1957" i="22"/>
  <c r="H1958" i="22"/>
  <c r="H1959" i="22"/>
  <c r="H1960" i="22"/>
  <c r="H1961" i="22"/>
  <c r="H1962" i="22"/>
  <c r="H1963" i="22"/>
  <c r="H1964" i="22"/>
  <c r="H1965" i="22"/>
  <c r="H1966" i="22"/>
  <c r="H1967" i="22"/>
  <c r="H1968" i="22"/>
  <c r="H1969" i="22"/>
  <c r="H1970" i="22"/>
  <c r="H1971" i="22"/>
  <c r="H1972" i="22"/>
  <c r="H1973" i="22"/>
  <c r="H1974" i="22"/>
  <c r="H1975" i="22"/>
  <c r="H1976" i="22"/>
  <c r="H1977" i="22"/>
  <c r="H1978" i="22"/>
  <c r="H1979" i="22"/>
  <c r="H1980" i="22"/>
  <c r="H1981" i="22"/>
  <c r="H1982" i="22"/>
  <c r="H1983" i="22"/>
  <c r="H1984" i="22"/>
  <c r="H1985" i="22"/>
  <c r="H1986" i="22"/>
  <c r="H1987" i="22"/>
  <c r="H1988" i="22"/>
  <c r="H1989" i="22"/>
  <c r="H1990" i="22"/>
  <c r="H1991" i="22"/>
  <c r="H1992" i="22"/>
  <c r="H1993" i="22"/>
  <c r="H1994" i="22"/>
  <c r="H1995" i="22"/>
  <c r="H1996" i="22"/>
  <c r="H1997" i="22"/>
  <c r="H1998" i="22"/>
  <c r="H1999" i="22"/>
  <c r="H2000" i="22"/>
  <c r="H2001" i="22"/>
  <c r="H2002" i="22"/>
  <c r="H2003" i="22"/>
  <c r="H2004" i="22"/>
  <c r="H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G201" i="22"/>
  <c r="G202" i="22"/>
  <c r="G203" i="22"/>
  <c r="G204" i="22"/>
  <c r="G205" i="22"/>
  <c r="G206" i="22"/>
  <c r="G207" i="22"/>
  <c r="G208" i="22"/>
  <c r="G209" i="22"/>
  <c r="G210" i="22"/>
  <c r="G211" i="22"/>
  <c r="G212" i="22"/>
  <c r="G213" i="22"/>
  <c r="G214" i="22"/>
  <c r="G215" i="22"/>
  <c r="G216" i="22"/>
  <c r="G217" i="22"/>
  <c r="G218" i="22"/>
  <c r="G219" i="22"/>
  <c r="G220" i="22"/>
  <c r="G221" i="22"/>
  <c r="G222" i="22"/>
  <c r="G223" i="22"/>
  <c r="G224" i="22"/>
  <c r="G225" i="22"/>
  <c r="G226" i="22"/>
  <c r="G227" i="22"/>
  <c r="G228" i="22"/>
  <c r="G229" i="22"/>
  <c r="G230" i="22"/>
  <c r="G231" i="22"/>
  <c r="G232" i="22"/>
  <c r="G233" i="22"/>
  <c r="G234" i="22"/>
  <c r="G235" i="22"/>
  <c r="G236" i="22"/>
  <c r="G237" i="22"/>
  <c r="G238" i="22"/>
  <c r="G239" i="22"/>
  <c r="G240" i="22"/>
  <c r="G241" i="22"/>
  <c r="G242" i="22"/>
  <c r="G243" i="22"/>
  <c r="G244" i="22"/>
  <c r="G245" i="22"/>
  <c r="G246" i="22"/>
  <c r="G247" i="22"/>
  <c r="G248" i="22"/>
  <c r="G249" i="22"/>
  <c r="G250" i="22"/>
  <c r="G251" i="22"/>
  <c r="G252" i="22"/>
  <c r="G253" i="22"/>
  <c r="G254" i="22"/>
  <c r="G255" i="22"/>
  <c r="G256" i="22"/>
  <c r="G257" i="22"/>
  <c r="G258" i="22"/>
  <c r="G259" i="22"/>
  <c r="G260" i="22"/>
  <c r="G261" i="22"/>
  <c r="G262" i="22"/>
  <c r="G263" i="22"/>
  <c r="G264" i="22"/>
  <c r="G265" i="22"/>
  <c r="G266" i="22"/>
  <c r="G267" i="22"/>
  <c r="G268" i="22"/>
  <c r="G269" i="22"/>
  <c r="G270" i="22"/>
  <c r="G271" i="22"/>
  <c r="G272" i="22"/>
  <c r="G273" i="22"/>
  <c r="G274" i="22"/>
  <c r="G275" i="22"/>
  <c r="G276" i="22"/>
  <c r="G277" i="22"/>
  <c r="G278" i="22"/>
  <c r="G279" i="22"/>
  <c r="G280" i="22"/>
  <c r="G281" i="22"/>
  <c r="G282" i="22"/>
  <c r="G283" i="22"/>
  <c r="G284" i="22"/>
  <c r="G285" i="22"/>
  <c r="G286" i="22"/>
  <c r="G287" i="22"/>
  <c r="G288" i="22"/>
  <c r="G289" i="22"/>
  <c r="G290" i="22"/>
  <c r="G291" i="22"/>
  <c r="G292" i="22"/>
  <c r="G293" i="22"/>
  <c r="G294" i="22"/>
  <c r="G295" i="22"/>
  <c r="G296" i="22"/>
  <c r="G297" i="22"/>
  <c r="G298" i="22"/>
  <c r="G299" i="22"/>
  <c r="G300" i="22"/>
  <c r="G301" i="22"/>
  <c r="G302" i="22"/>
  <c r="G303" i="22"/>
  <c r="G304" i="22"/>
  <c r="G305" i="22"/>
  <c r="G306" i="22"/>
  <c r="G307" i="22"/>
  <c r="G308" i="22"/>
  <c r="G309" i="22"/>
  <c r="G310" i="22"/>
  <c r="G311" i="22"/>
  <c r="G312" i="22"/>
  <c r="G313" i="22"/>
  <c r="G314" i="22"/>
  <c r="G315" i="22"/>
  <c r="G316" i="22"/>
  <c r="G317" i="22"/>
  <c r="G318" i="22"/>
  <c r="G319" i="22"/>
  <c r="G320" i="22"/>
  <c r="G321" i="22"/>
  <c r="G322" i="22"/>
  <c r="G323" i="22"/>
  <c r="G324" i="22"/>
  <c r="G325" i="22"/>
  <c r="G326" i="22"/>
  <c r="G327" i="22"/>
  <c r="G328" i="22"/>
  <c r="G329" i="22"/>
  <c r="G330" i="22"/>
  <c r="G331" i="22"/>
  <c r="G332" i="22"/>
  <c r="G333" i="22"/>
  <c r="G334" i="22"/>
  <c r="G335" i="22"/>
  <c r="G336" i="22"/>
  <c r="G337" i="22"/>
  <c r="G338" i="22"/>
  <c r="G339" i="22"/>
  <c r="G340" i="22"/>
  <c r="G341" i="22"/>
  <c r="G342" i="22"/>
  <c r="G343" i="22"/>
  <c r="G344" i="22"/>
  <c r="G345" i="22"/>
  <c r="G346" i="22"/>
  <c r="G347" i="22"/>
  <c r="G348" i="22"/>
  <c r="G349" i="22"/>
  <c r="G350" i="22"/>
  <c r="G351" i="22"/>
  <c r="G352" i="22"/>
  <c r="G353" i="22"/>
  <c r="G354" i="22"/>
  <c r="G355" i="22"/>
  <c r="G356" i="22"/>
  <c r="G357" i="22"/>
  <c r="G358" i="22"/>
  <c r="G359" i="22"/>
  <c r="G360" i="22"/>
  <c r="G361" i="22"/>
  <c r="G362" i="22"/>
  <c r="G363" i="22"/>
  <c r="G364" i="22"/>
  <c r="G365" i="22"/>
  <c r="G366" i="22"/>
  <c r="G367" i="22"/>
  <c r="G368" i="22"/>
  <c r="G369" i="22"/>
  <c r="G370" i="22"/>
  <c r="G371" i="22"/>
  <c r="G372" i="22"/>
  <c r="G373" i="22"/>
  <c r="G374" i="22"/>
  <c r="G375" i="22"/>
  <c r="G376" i="22"/>
  <c r="G377" i="22"/>
  <c r="G378" i="22"/>
  <c r="G379" i="22"/>
  <c r="G380" i="22"/>
  <c r="G381" i="22"/>
  <c r="G382" i="22"/>
  <c r="G383" i="22"/>
  <c r="G384" i="22"/>
  <c r="G385" i="22"/>
  <c r="G386" i="22"/>
  <c r="G387" i="22"/>
  <c r="G388" i="22"/>
  <c r="G389" i="22"/>
  <c r="G390" i="22"/>
  <c r="G391" i="22"/>
  <c r="G392" i="22"/>
  <c r="G393" i="22"/>
  <c r="G394" i="22"/>
  <c r="G395" i="22"/>
  <c r="G396" i="22"/>
  <c r="G397" i="22"/>
  <c r="G398" i="22"/>
  <c r="G399" i="22"/>
  <c r="G400" i="22"/>
  <c r="G401" i="22"/>
  <c r="G402" i="22"/>
  <c r="G403" i="22"/>
  <c r="G404" i="22"/>
  <c r="G405" i="22"/>
  <c r="G406" i="22"/>
  <c r="G407" i="22"/>
  <c r="G408" i="22"/>
  <c r="G409" i="22"/>
  <c r="G410" i="22"/>
  <c r="G411" i="22"/>
  <c r="G412" i="22"/>
  <c r="G413" i="22"/>
  <c r="G414" i="22"/>
  <c r="G415" i="22"/>
  <c r="G416" i="22"/>
  <c r="G417" i="22"/>
  <c r="G418" i="22"/>
  <c r="G419" i="22"/>
  <c r="G420" i="22"/>
  <c r="G421" i="22"/>
  <c r="G422" i="22"/>
  <c r="G423" i="22"/>
  <c r="G424" i="22"/>
  <c r="G425" i="22"/>
  <c r="G426" i="22"/>
  <c r="G427" i="22"/>
  <c r="G428" i="22"/>
  <c r="G429" i="22"/>
  <c r="G430" i="22"/>
  <c r="G431" i="22"/>
  <c r="G432" i="22"/>
  <c r="G433" i="22"/>
  <c r="G434" i="22"/>
  <c r="G435" i="22"/>
  <c r="G436" i="22"/>
  <c r="G437" i="22"/>
  <c r="G438" i="22"/>
  <c r="G439" i="22"/>
  <c r="G440" i="22"/>
  <c r="G441" i="22"/>
  <c r="G442" i="22"/>
  <c r="G443" i="22"/>
  <c r="G444" i="22"/>
  <c r="G445" i="22"/>
  <c r="G446" i="22"/>
  <c r="G447" i="22"/>
  <c r="G448" i="22"/>
  <c r="G449" i="22"/>
  <c r="G450" i="22"/>
  <c r="G451" i="22"/>
  <c r="G452" i="22"/>
  <c r="G453" i="22"/>
  <c r="G454" i="22"/>
  <c r="G455" i="22"/>
  <c r="G456" i="22"/>
  <c r="G457" i="22"/>
  <c r="G458" i="22"/>
  <c r="G459" i="22"/>
  <c r="G460" i="22"/>
  <c r="G461" i="22"/>
  <c r="G462" i="22"/>
  <c r="G463" i="22"/>
  <c r="G464" i="22"/>
  <c r="G465" i="22"/>
  <c r="G466" i="22"/>
  <c r="G467" i="22"/>
  <c r="G468" i="22"/>
  <c r="G469" i="22"/>
  <c r="G470" i="22"/>
  <c r="G471" i="22"/>
  <c r="G472" i="22"/>
  <c r="G473" i="22"/>
  <c r="G474" i="22"/>
  <c r="G475" i="22"/>
  <c r="G476" i="22"/>
  <c r="G477" i="22"/>
  <c r="G478" i="22"/>
  <c r="G479" i="22"/>
  <c r="G480" i="22"/>
  <c r="G481" i="22"/>
  <c r="G482" i="22"/>
  <c r="G483" i="22"/>
  <c r="G484" i="22"/>
  <c r="G485" i="22"/>
  <c r="G486" i="22"/>
  <c r="G487" i="22"/>
  <c r="G488" i="22"/>
  <c r="G489" i="22"/>
  <c r="G490" i="22"/>
  <c r="G491" i="22"/>
  <c r="G492" i="22"/>
  <c r="G493" i="22"/>
  <c r="G494" i="22"/>
  <c r="G495" i="22"/>
  <c r="G496" i="22"/>
  <c r="G497" i="22"/>
  <c r="G498" i="22"/>
  <c r="G499" i="22"/>
  <c r="G500" i="22"/>
  <c r="G501" i="22"/>
  <c r="G502" i="22"/>
  <c r="G503" i="22"/>
  <c r="G504" i="22"/>
  <c r="G505" i="22"/>
  <c r="G506" i="22"/>
  <c r="G507" i="22"/>
  <c r="G508" i="22"/>
  <c r="G509" i="22"/>
  <c r="G510" i="22"/>
  <c r="G511" i="22"/>
  <c r="G512" i="22"/>
  <c r="G513" i="22"/>
  <c r="G514" i="22"/>
  <c r="G515" i="22"/>
  <c r="G516" i="22"/>
  <c r="G517" i="22"/>
  <c r="G518" i="22"/>
  <c r="G519" i="22"/>
  <c r="G520" i="22"/>
  <c r="G521" i="22"/>
  <c r="G522" i="22"/>
  <c r="G523" i="22"/>
  <c r="G524" i="22"/>
  <c r="G525" i="22"/>
  <c r="G526" i="22"/>
  <c r="G527" i="22"/>
  <c r="G528" i="22"/>
  <c r="G529" i="22"/>
  <c r="G530" i="22"/>
  <c r="G531" i="22"/>
  <c r="G532" i="22"/>
  <c r="G533" i="22"/>
  <c r="G534" i="22"/>
  <c r="G535" i="22"/>
  <c r="G536" i="22"/>
  <c r="G537" i="22"/>
  <c r="G538" i="22"/>
  <c r="G539" i="22"/>
  <c r="G540" i="22"/>
  <c r="G541" i="22"/>
  <c r="G542" i="22"/>
  <c r="G543" i="22"/>
  <c r="G544" i="22"/>
  <c r="G545" i="22"/>
  <c r="G546" i="22"/>
  <c r="G547" i="22"/>
  <c r="G548" i="22"/>
  <c r="G549" i="22"/>
  <c r="G550" i="22"/>
  <c r="G551" i="22"/>
  <c r="G552" i="22"/>
  <c r="G553" i="22"/>
  <c r="G554" i="22"/>
  <c r="G555" i="22"/>
  <c r="G556" i="22"/>
  <c r="G557" i="22"/>
  <c r="G558" i="22"/>
  <c r="G559" i="22"/>
  <c r="G560" i="22"/>
  <c r="G561" i="22"/>
  <c r="G562" i="22"/>
  <c r="G563" i="22"/>
  <c r="G564" i="22"/>
  <c r="G565" i="22"/>
  <c r="G566" i="22"/>
  <c r="G567" i="22"/>
  <c r="G568" i="22"/>
  <c r="G569" i="22"/>
  <c r="G570" i="22"/>
  <c r="G571" i="22"/>
  <c r="G572" i="22"/>
  <c r="G573" i="22"/>
  <c r="G574" i="22"/>
  <c r="G575" i="22"/>
  <c r="G576" i="22"/>
  <c r="G577" i="22"/>
  <c r="G578" i="22"/>
  <c r="G579" i="22"/>
  <c r="G580" i="22"/>
  <c r="G581" i="22"/>
  <c r="G582" i="22"/>
  <c r="G583" i="22"/>
  <c r="G584" i="22"/>
  <c r="G585" i="22"/>
  <c r="G586" i="22"/>
  <c r="G587" i="22"/>
  <c r="G588" i="22"/>
  <c r="G589" i="22"/>
  <c r="G590" i="22"/>
  <c r="G591" i="22"/>
  <c r="G592" i="22"/>
  <c r="G593" i="22"/>
  <c r="G594" i="22"/>
  <c r="G595" i="22"/>
  <c r="G596" i="22"/>
  <c r="G597" i="22"/>
  <c r="G598" i="22"/>
  <c r="G599" i="22"/>
  <c r="G600" i="22"/>
  <c r="G601" i="22"/>
  <c r="G602" i="22"/>
  <c r="G603" i="22"/>
  <c r="G604" i="22"/>
  <c r="G605" i="22"/>
  <c r="G606" i="22"/>
  <c r="G607" i="22"/>
  <c r="G608" i="22"/>
  <c r="G609" i="22"/>
  <c r="G610" i="22"/>
  <c r="G611" i="22"/>
  <c r="G612" i="22"/>
  <c r="G613" i="22"/>
  <c r="G614" i="22"/>
  <c r="G615" i="22"/>
  <c r="G616" i="22"/>
  <c r="G617" i="22"/>
  <c r="G618" i="22"/>
  <c r="G619" i="22"/>
  <c r="G620" i="22"/>
  <c r="G621" i="22"/>
  <c r="G622" i="22"/>
  <c r="G623" i="22"/>
  <c r="G624" i="22"/>
  <c r="G625" i="22"/>
  <c r="G626" i="22"/>
  <c r="G627" i="22"/>
  <c r="G628" i="22"/>
  <c r="G629" i="22"/>
  <c r="G630" i="22"/>
  <c r="G631" i="22"/>
  <c r="G632" i="22"/>
  <c r="G633" i="22"/>
  <c r="G634" i="22"/>
  <c r="G635" i="22"/>
  <c r="G636" i="22"/>
  <c r="G637" i="22"/>
  <c r="G638" i="22"/>
  <c r="G639" i="22"/>
  <c r="G640" i="22"/>
  <c r="G641" i="22"/>
  <c r="G642" i="22"/>
  <c r="G643" i="22"/>
  <c r="G644" i="22"/>
  <c r="G645" i="22"/>
  <c r="G646" i="22"/>
  <c r="G647" i="22"/>
  <c r="G648" i="22"/>
  <c r="G649" i="22"/>
  <c r="G650" i="22"/>
  <c r="G651" i="22"/>
  <c r="G652" i="22"/>
  <c r="G653" i="22"/>
  <c r="G654" i="22"/>
  <c r="G655" i="22"/>
  <c r="G656" i="22"/>
  <c r="G657" i="22"/>
  <c r="G658" i="22"/>
  <c r="G659" i="22"/>
  <c r="G660" i="22"/>
  <c r="G661" i="22"/>
  <c r="G662" i="22"/>
  <c r="G663" i="22"/>
  <c r="G664" i="22"/>
  <c r="G665" i="22"/>
  <c r="G666" i="22"/>
  <c r="G667" i="22"/>
  <c r="G668" i="22"/>
  <c r="G669" i="22"/>
  <c r="G670" i="22"/>
  <c r="G671" i="22"/>
  <c r="G672" i="22"/>
  <c r="G673" i="22"/>
  <c r="G674" i="22"/>
  <c r="G675" i="22"/>
  <c r="G676" i="22"/>
  <c r="G677" i="22"/>
  <c r="G678" i="22"/>
  <c r="G679" i="22"/>
  <c r="G680" i="22"/>
  <c r="G681" i="22"/>
  <c r="G682" i="22"/>
  <c r="G683" i="22"/>
  <c r="G684" i="22"/>
  <c r="G685" i="22"/>
  <c r="G686" i="22"/>
  <c r="G687" i="22"/>
  <c r="G688" i="22"/>
  <c r="G689" i="22"/>
  <c r="G690" i="22"/>
  <c r="G691" i="22"/>
  <c r="G692" i="22"/>
  <c r="G693" i="22"/>
  <c r="G694" i="22"/>
  <c r="G695" i="22"/>
  <c r="G696" i="22"/>
  <c r="G697" i="22"/>
  <c r="G698" i="22"/>
  <c r="G699" i="22"/>
  <c r="G700" i="22"/>
  <c r="G701" i="22"/>
  <c r="G702" i="22"/>
  <c r="G703" i="22"/>
  <c r="G704" i="22"/>
  <c r="G705" i="22"/>
  <c r="G706" i="22"/>
  <c r="G707" i="22"/>
  <c r="G708" i="22"/>
  <c r="G709" i="22"/>
  <c r="G710" i="22"/>
  <c r="G711" i="22"/>
  <c r="G712" i="22"/>
  <c r="G713" i="22"/>
  <c r="G714" i="22"/>
  <c r="G715" i="22"/>
  <c r="G716" i="22"/>
  <c r="G717" i="22"/>
  <c r="G718" i="22"/>
  <c r="G719" i="22"/>
  <c r="G720" i="22"/>
  <c r="G721" i="22"/>
  <c r="G722" i="22"/>
  <c r="G723" i="22"/>
  <c r="G724" i="22"/>
  <c r="G725" i="22"/>
  <c r="G726" i="22"/>
  <c r="G727" i="22"/>
  <c r="G728" i="22"/>
  <c r="G729" i="22"/>
  <c r="G730" i="22"/>
  <c r="G731" i="22"/>
  <c r="G732" i="22"/>
  <c r="G733" i="22"/>
  <c r="G734" i="22"/>
  <c r="G735" i="22"/>
  <c r="G736" i="22"/>
  <c r="G737" i="22"/>
  <c r="G738" i="22"/>
  <c r="G739" i="22"/>
  <c r="G740" i="22"/>
  <c r="G741" i="22"/>
  <c r="G742" i="22"/>
  <c r="G743" i="22"/>
  <c r="G744" i="22"/>
  <c r="G745" i="22"/>
  <c r="G746" i="22"/>
  <c r="G747" i="22"/>
  <c r="G748" i="22"/>
  <c r="G749" i="22"/>
  <c r="G750" i="22"/>
  <c r="G751" i="22"/>
  <c r="G752" i="22"/>
  <c r="G753" i="22"/>
  <c r="G754" i="22"/>
  <c r="G755" i="22"/>
  <c r="G756" i="22"/>
  <c r="G757" i="22"/>
  <c r="G758" i="22"/>
  <c r="G759" i="22"/>
  <c r="G760" i="22"/>
  <c r="G761" i="22"/>
  <c r="G762" i="22"/>
  <c r="G763" i="22"/>
  <c r="G764" i="22"/>
  <c r="G765" i="22"/>
  <c r="G766" i="22"/>
  <c r="G767" i="22"/>
  <c r="G768" i="22"/>
  <c r="G769" i="22"/>
  <c r="G770" i="22"/>
  <c r="G771" i="22"/>
  <c r="G772" i="22"/>
  <c r="G773" i="22"/>
  <c r="G774" i="22"/>
  <c r="G775" i="22"/>
  <c r="G776" i="22"/>
  <c r="G777" i="22"/>
  <c r="G778" i="22"/>
  <c r="G779" i="22"/>
  <c r="G780" i="22"/>
  <c r="G781" i="22"/>
  <c r="G782" i="22"/>
  <c r="G783" i="22"/>
  <c r="G784" i="22"/>
  <c r="G785" i="22"/>
  <c r="G786" i="22"/>
  <c r="G787" i="22"/>
  <c r="G788" i="22"/>
  <c r="G789" i="22"/>
  <c r="G790" i="22"/>
  <c r="G791" i="22"/>
  <c r="G792" i="22"/>
  <c r="G793" i="22"/>
  <c r="G794" i="22"/>
  <c r="G795" i="22"/>
  <c r="G796" i="22"/>
  <c r="G797" i="22"/>
  <c r="G798" i="22"/>
  <c r="G799" i="22"/>
  <c r="G800" i="22"/>
  <c r="G801" i="22"/>
  <c r="G802" i="22"/>
  <c r="G803" i="22"/>
  <c r="G804" i="22"/>
  <c r="G805" i="22"/>
  <c r="G806" i="22"/>
  <c r="G807" i="22"/>
  <c r="G808" i="22"/>
  <c r="G809" i="22"/>
  <c r="G810" i="22"/>
  <c r="G811" i="22"/>
  <c r="G812" i="22"/>
  <c r="G813" i="22"/>
  <c r="G814" i="22"/>
  <c r="G815" i="22"/>
  <c r="G816" i="22"/>
  <c r="G817" i="22"/>
  <c r="G818" i="22"/>
  <c r="G819" i="22"/>
  <c r="G820" i="22"/>
  <c r="G821" i="22"/>
  <c r="G822" i="22"/>
  <c r="G823" i="22"/>
  <c r="G824" i="22"/>
  <c r="G825" i="22"/>
  <c r="G826" i="22"/>
  <c r="G827" i="22"/>
  <c r="G828" i="22"/>
  <c r="G829" i="22"/>
  <c r="G830" i="22"/>
  <c r="G831" i="22"/>
  <c r="G832" i="22"/>
  <c r="G833" i="22"/>
  <c r="G834" i="22"/>
  <c r="G835" i="22"/>
  <c r="G836" i="22"/>
  <c r="G837" i="22"/>
  <c r="G838" i="22"/>
  <c r="G839" i="22"/>
  <c r="G840" i="22"/>
  <c r="G841" i="22"/>
  <c r="G842" i="22"/>
  <c r="G843" i="22"/>
  <c r="G844" i="22"/>
  <c r="G845" i="22"/>
  <c r="G846" i="22"/>
  <c r="G847" i="22"/>
  <c r="G848" i="22"/>
  <c r="G849" i="22"/>
  <c r="G850" i="22"/>
  <c r="G851" i="22"/>
  <c r="G852" i="22"/>
  <c r="G853" i="22"/>
  <c r="G854" i="22"/>
  <c r="G855" i="22"/>
  <c r="G856" i="22"/>
  <c r="G857" i="22"/>
  <c r="G858" i="22"/>
  <c r="G859" i="22"/>
  <c r="G860" i="22"/>
  <c r="G861" i="22"/>
  <c r="G862" i="22"/>
  <c r="G863" i="22"/>
  <c r="G864" i="22"/>
  <c r="G865" i="22"/>
  <c r="G866" i="22"/>
  <c r="G867" i="22"/>
  <c r="G868" i="22"/>
  <c r="G869" i="22"/>
  <c r="G870" i="22"/>
  <c r="G871" i="22"/>
  <c r="G872" i="22"/>
  <c r="G873" i="22"/>
  <c r="G874" i="22"/>
  <c r="G875" i="22"/>
  <c r="G876" i="22"/>
  <c r="G877" i="22"/>
  <c r="G878" i="22"/>
  <c r="G879" i="22"/>
  <c r="G880" i="22"/>
  <c r="G881" i="22"/>
  <c r="G882" i="22"/>
  <c r="G883" i="22"/>
  <c r="G884" i="22"/>
  <c r="G885" i="22"/>
  <c r="G886" i="22"/>
  <c r="G887" i="22"/>
  <c r="G888" i="22"/>
  <c r="G889" i="22"/>
  <c r="G890" i="22"/>
  <c r="G891" i="22"/>
  <c r="G892" i="22"/>
  <c r="G893" i="22"/>
  <c r="G894" i="22"/>
  <c r="G895" i="22"/>
  <c r="G896" i="22"/>
  <c r="G897" i="22"/>
  <c r="G898" i="22"/>
  <c r="G899" i="22"/>
  <c r="G900" i="22"/>
  <c r="G901" i="22"/>
  <c r="G902" i="22"/>
  <c r="G903" i="22"/>
  <c r="G904" i="22"/>
  <c r="G905" i="22"/>
  <c r="G906" i="22"/>
  <c r="G907" i="22"/>
  <c r="G908" i="22"/>
  <c r="G909" i="22"/>
  <c r="G910" i="22"/>
  <c r="G911" i="22"/>
  <c r="G912" i="22"/>
  <c r="G913" i="22"/>
  <c r="G914" i="22"/>
  <c r="G915" i="22"/>
  <c r="G916" i="22"/>
  <c r="G917" i="22"/>
  <c r="G918" i="22"/>
  <c r="G919" i="22"/>
  <c r="G920" i="22"/>
  <c r="G921" i="22"/>
  <c r="G922" i="22"/>
  <c r="G923" i="22"/>
  <c r="G924" i="22"/>
  <c r="G925" i="22"/>
  <c r="G926" i="22"/>
  <c r="G927" i="22"/>
  <c r="G928" i="22"/>
  <c r="G929" i="22"/>
  <c r="G930" i="22"/>
  <c r="G931" i="22"/>
  <c r="G932" i="22"/>
  <c r="G933" i="22"/>
  <c r="G934" i="22"/>
  <c r="G935" i="22"/>
  <c r="G936" i="22"/>
  <c r="G937" i="22"/>
  <c r="G938" i="22"/>
  <c r="G939" i="22"/>
  <c r="G940" i="22"/>
  <c r="G941" i="22"/>
  <c r="G942" i="22"/>
  <c r="G943" i="22"/>
  <c r="G944" i="22"/>
  <c r="G945" i="22"/>
  <c r="G946" i="22"/>
  <c r="G947" i="22"/>
  <c r="G948" i="22"/>
  <c r="G949" i="22"/>
  <c r="G950" i="22"/>
  <c r="G951" i="22"/>
  <c r="G952" i="22"/>
  <c r="G953" i="22"/>
  <c r="G954" i="22"/>
  <c r="G955" i="22"/>
  <c r="G956" i="22"/>
  <c r="G957" i="22"/>
  <c r="G958" i="22"/>
  <c r="G959" i="22"/>
  <c r="G960" i="22"/>
  <c r="G961" i="22"/>
  <c r="G962" i="22"/>
  <c r="G963" i="22"/>
  <c r="G964" i="22"/>
  <c r="G965" i="22"/>
  <c r="G966" i="22"/>
  <c r="G967" i="22"/>
  <c r="G968" i="22"/>
  <c r="G969" i="22"/>
  <c r="G970" i="22"/>
  <c r="G971" i="22"/>
  <c r="G972" i="22"/>
  <c r="G973" i="22"/>
  <c r="G974" i="22"/>
  <c r="G975" i="22"/>
  <c r="G976" i="22"/>
  <c r="G977" i="22"/>
  <c r="G978" i="22"/>
  <c r="G979" i="22"/>
  <c r="G980" i="22"/>
  <c r="G981" i="22"/>
  <c r="G982" i="22"/>
  <c r="G983" i="22"/>
  <c r="G984" i="22"/>
  <c r="G985" i="22"/>
  <c r="G986" i="22"/>
  <c r="G987" i="22"/>
  <c r="G988" i="22"/>
  <c r="G989" i="22"/>
  <c r="G990" i="22"/>
  <c r="G991" i="22"/>
  <c r="G992" i="22"/>
  <c r="G993" i="22"/>
  <c r="G994" i="22"/>
  <c r="G995" i="22"/>
  <c r="G996" i="22"/>
  <c r="G997" i="22"/>
  <c r="G998" i="22"/>
  <c r="G999" i="22"/>
  <c r="G1000" i="22"/>
  <c r="G1001" i="22"/>
  <c r="G1002" i="22"/>
  <c r="G1003" i="22"/>
  <c r="G1004" i="22"/>
  <c r="G1005" i="22"/>
  <c r="G1006" i="22"/>
  <c r="G1007" i="22"/>
  <c r="G1008" i="22"/>
  <c r="G1009" i="22"/>
  <c r="G1010" i="22"/>
  <c r="G1011" i="22"/>
  <c r="G1012" i="22"/>
  <c r="G1013" i="22"/>
  <c r="G1014" i="22"/>
  <c r="G1015" i="22"/>
  <c r="G1016" i="22"/>
  <c r="G1017" i="22"/>
  <c r="G1018" i="22"/>
  <c r="G1019" i="22"/>
  <c r="G1020" i="22"/>
  <c r="G1021" i="22"/>
  <c r="G1022" i="22"/>
  <c r="G1023" i="22"/>
  <c r="G1024" i="22"/>
  <c r="G1025" i="22"/>
  <c r="G1026" i="22"/>
  <c r="G1027" i="22"/>
  <c r="G1028" i="22"/>
  <c r="G1029" i="22"/>
  <c r="G1030" i="22"/>
  <c r="G1031" i="22"/>
  <c r="G1032" i="22"/>
  <c r="G1033" i="22"/>
  <c r="G1034" i="22"/>
  <c r="G1035" i="22"/>
  <c r="G1036" i="22"/>
  <c r="G1037" i="22"/>
  <c r="G1038" i="22"/>
  <c r="G1039" i="22"/>
  <c r="G1040" i="22"/>
  <c r="G1041" i="22"/>
  <c r="G1042" i="22"/>
  <c r="G1043" i="22"/>
  <c r="G1044" i="22"/>
  <c r="G1045" i="22"/>
  <c r="G1046" i="22"/>
  <c r="G1047" i="22"/>
  <c r="G1048" i="22"/>
  <c r="G1049" i="22"/>
  <c r="G1050" i="22"/>
  <c r="G1051" i="22"/>
  <c r="G1052" i="22"/>
  <c r="G1053" i="22"/>
  <c r="G1054" i="22"/>
  <c r="G1055" i="22"/>
  <c r="G1056" i="22"/>
  <c r="G1057" i="22"/>
  <c r="G1058" i="22"/>
  <c r="G1059" i="22"/>
  <c r="G1060" i="22"/>
  <c r="G1061" i="22"/>
  <c r="G1062" i="22"/>
  <c r="G1063" i="22"/>
  <c r="G1064" i="22"/>
  <c r="G1065" i="22"/>
  <c r="G1066" i="22"/>
  <c r="G1067" i="22"/>
  <c r="G1068" i="22"/>
  <c r="G1069" i="22"/>
  <c r="G1070" i="22"/>
  <c r="G1071" i="22"/>
  <c r="G1072" i="22"/>
  <c r="G1073" i="22"/>
  <c r="G1074" i="22"/>
  <c r="G1075" i="22"/>
  <c r="G1076" i="22"/>
  <c r="G1077" i="22"/>
  <c r="G1078" i="22"/>
  <c r="G1079" i="22"/>
  <c r="G1080" i="22"/>
  <c r="G1081" i="22"/>
  <c r="G1082" i="22"/>
  <c r="G1083" i="22"/>
  <c r="G1084" i="22"/>
  <c r="G1085" i="22"/>
  <c r="G1086" i="22"/>
  <c r="G1087" i="22"/>
  <c r="G1088" i="22"/>
  <c r="G1089" i="22"/>
  <c r="G1090" i="22"/>
  <c r="G1091" i="22"/>
  <c r="G1092" i="22"/>
  <c r="G1093" i="22"/>
  <c r="G1094" i="22"/>
  <c r="G1095" i="22"/>
  <c r="G1096" i="22"/>
  <c r="G1097" i="22"/>
  <c r="G1098" i="22"/>
  <c r="G1099" i="22"/>
  <c r="G1100" i="22"/>
  <c r="G1101" i="22"/>
  <c r="G1102" i="22"/>
  <c r="G1103" i="22"/>
  <c r="G1104" i="22"/>
  <c r="G1105" i="22"/>
  <c r="G1106" i="22"/>
  <c r="G1107" i="22"/>
  <c r="G1108" i="22"/>
  <c r="G1109" i="22"/>
  <c r="G1110" i="22"/>
  <c r="G1111" i="22"/>
  <c r="G1112" i="22"/>
  <c r="G1113" i="22"/>
  <c r="G1114" i="22"/>
  <c r="G1115" i="22"/>
  <c r="G1116" i="22"/>
  <c r="G1117" i="22"/>
  <c r="G1118" i="22"/>
  <c r="G1119" i="22"/>
  <c r="G1120" i="22"/>
  <c r="G1121" i="22"/>
  <c r="G1122" i="22"/>
  <c r="G1123" i="22"/>
  <c r="G1124" i="22"/>
  <c r="G1125" i="22"/>
  <c r="G1126" i="22"/>
  <c r="G1127" i="22"/>
  <c r="G1128" i="22"/>
  <c r="G1129" i="22"/>
  <c r="G1130" i="22"/>
  <c r="G1131" i="22"/>
  <c r="G1132" i="22"/>
  <c r="G1133" i="22"/>
  <c r="G1134" i="22"/>
  <c r="G1135" i="22"/>
  <c r="G1136" i="22"/>
  <c r="G1137" i="22"/>
  <c r="G1138" i="22"/>
  <c r="G1139" i="22"/>
  <c r="G1140" i="22"/>
  <c r="G1141" i="22"/>
  <c r="G1142" i="22"/>
  <c r="G1143" i="22"/>
  <c r="G1144" i="22"/>
  <c r="G1145" i="22"/>
  <c r="G1146" i="22"/>
  <c r="G1147" i="22"/>
  <c r="G1148" i="22"/>
  <c r="G1149" i="22"/>
  <c r="G1150" i="22"/>
  <c r="G1151" i="22"/>
  <c r="G1152" i="22"/>
  <c r="G1153" i="22"/>
  <c r="G1154" i="22"/>
  <c r="G1155" i="22"/>
  <c r="G1156" i="22"/>
  <c r="G1157" i="22"/>
  <c r="G1158" i="22"/>
  <c r="G1159" i="22"/>
  <c r="G1160" i="22"/>
  <c r="G1161" i="22"/>
  <c r="G1162" i="22"/>
  <c r="G1163" i="22"/>
  <c r="G1164" i="22"/>
  <c r="G1165" i="22"/>
  <c r="G1166" i="22"/>
  <c r="G1167" i="22"/>
  <c r="G1168" i="22"/>
  <c r="G1169" i="22"/>
  <c r="G1170" i="22"/>
  <c r="G1171" i="22"/>
  <c r="G1172" i="22"/>
  <c r="G1173" i="22"/>
  <c r="G1174" i="22"/>
  <c r="G1175" i="22"/>
  <c r="G1176" i="22"/>
  <c r="G1177" i="22"/>
  <c r="G1178" i="22"/>
  <c r="G1179" i="22"/>
  <c r="G1180" i="22"/>
  <c r="G1181" i="22"/>
  <c r="G1182" i="22"/>
  <c r="G1183" i="22"/>
  <c r="G1184" i="22"/>
  <c r="G1185" i="22"/>
  <c r="G1186" i="22"/>
  <c r="G1187" i="22"/>
  <c r="G1188" i="22"/>
  <c r="G1189" i="22"/>
  <c r="G1190" i="22"/>
  <c r="G1191" i="22"/>
  <c r="G1192" i="22"/>
  <c r="G1193" i="22"/>
  <c r="G1194" i="22"/>
  <c r="G1195" i="22"/>
  <c r="G1196" i="22"/>
  <c r="G1197" i="22"/>
  <c r="G1198" i="22"/>
  <c r="G1199" i="22"/>
  <c r="G1200" i="22"/>
  <c r="G1201" i="22"/>
  <c r="G1202" i="22"/>
  <c r="G1203" i="22"/>
  <c r="G1204" i="22"/>
  <c r="G1205" i="22"/>
  <c r="G1206" i="22"/>
  <c r="G1207" i="22"/>
  <c r="G1208" i="22"/>
  <c r="G1209" i="22"/>
  <c r="G1210" i="22"/>
  <c r="G1211" i="22"/>
  <c r="G1212" i="22"/>
  <c r="G1213" i="22"/>
  <c r="G1214" i="22"/>
  <c r="G1215" i="22"/>
  <c r="G1216" i="22"/>
  <c r="G1217" i="22"/>
  <c r="G1218" i="22"/>
  <c r="G1219" i="22"/>
  <c r="G1220" i="22"/>
  <c r="G1221" i="22"/>
  <c r="G1222" i="22"/>
  <c r="G1223" i="22"/>
  <c r="G1224" i="22"/>
  <c r="G1225" i="22"/>
  <c r="G1226" i="22"/>
  <c r="G1227" i="22"/>
  <c r="G1228" i="22"/>
  <c r="G1229" i="22"/>
  <c r="G1230" i="22"/>
  <c r="G1231" i="22"/>
  <c r="G1232" i="22"/>
  <c r="G1233" i="22"/>
  <c r="G1234" i="22"/>
  <c r="G1235" i="22"/>
  <c r="G1236" i="22"/>
  <c r="G1237" i="22"/>
  <c r="G1238" i="22"/>
  <c r="G1239" i="22"/>
  <c r="G1240" i="22"/>
  <c r="G1241" i="22"/>
  <c r="G1242" i="22"/>
  <c r="G1243" i="22"/>
  <c r="G1244" i="22"/>
  <c r="G1245" i="22"/>
  <c r="G1246" i="22"/>
  <c r="G1247" i="22"/>
  <c r="G1248" i="22"/>
  <c r="G1249" i="22"/>
  <c r="G1250" i="22"/>
  <c r="G1251" i="22"/>
  <c r="G1252" i="22"/>
  <c r="G1253" i="22"/>
  <c r="G1254" i="22"/>
  <c r="G1255" i="22"/>
  <c r="G1256" i="22"/>
  <c r="G1257" i="22"/>
  <c r="G1258" i="22"/>
  <c r="G1259" i="22"/>
  <c r="G1260" i="22"/>
  <c r="G1261" i="22"/>
  <c r="G1262" i="22"/>
  <c r="G1263" i="22"/>
  <c r="G1264" i="22"/>
  <c r="G1265" i="22"/>
  <c r="G1266" i="22"/>
  <c r="G1267" i="22"/>
  <c r="G1268" i="22"/>
  <c r="G1269" i="22"/>
  <c r="G1270" i="22"/>
  <c r="G1271" i="22"/>
  <c r="G1272" i="22"/>
  <c r="G1273" i="22"/>
  <c r="G1274" i="22"/>
  <c r="G1275" i="22"/>
  <c r="G1276" i="22"/>
  <c r="G1277" i="22"/>
  <c r="G1278" i="22"/>
  <c r="G1279" i="22"/>
  <c r="G1280" i="22"/>
  <c r="G1281" i="22"/>
  <c r="G1282" i="22"/>
  <c r="G1283" i="22"/>
  <c r="G1284" i="22"/>
  <c r="G1285" i="22"/>
  <c r="G1286" i="22"/>
  <c r="G1287" i="22"/>
  <c r="G1288" i="22"/>
  <c r="G1289" i="22"/>
  <c r="G1290" i="22"/>
  <c r="G1291" i="22"/>
  <c r="G1292" i="22"/>
  <c r="G1293" i="22"/>
  <c r="G1294" i="22"/>
  <c r="G1295" i="22"/>
  <c r="G1296" i="22"/>
  <c r="G1297" i="22"/>
  <c r="G1298" i="22"/>
  <c r="G1299" i="22"/>
  <c r="G1300" i="22"/>
  <c r="G1301" i="22"/>
  <c r="G1302" i="22"/>
  <c r="G1303" i="22"/>
  <c r="G1304" i="22"/>
  <c r="G1305" i="22"/>
  <c r="G1306" i="22"/>
  <c r="G1307" i="22"/>
  <c r="G1308" i="22"/>
  <c r="G1309" i="22"/>
  <c r="G1310" i="22"/>
  <c r="G1311" i="22"/>
  <c r="G1312" i="22"/>
  <c r="G1313" i="22"/>
  <c r="G1314" i="22"/>
  <c r="G1315" i="22"/>
  <c r="G1316" i="22"/>
  <c r="G1317" i="22"/>
  <c r="G1318" i="22"/>
  <c r="G1319" i="22"/>
  <c r="G1320" i="22"/>
  <c r="G1321" i="22"/>
  <c r="G1322" i="22"/>
  <c r="G1323" i="22"/>
  <c r="G1324" i="22"/>
  <c r="G1325" i="22"/>
  <c r="G1326" i="22"/>
  <c r="G1327" i="22"/>
  <c r="G1328" i="22"/>
  <c r="G1329" i="22"/>
  <c r="G1330" i="22"/>
  <c r="G1331" i="22"/>
  <c r="G1332" i="22"/>
  <c r="G1333" i="22"/>
  <c r="G1334" i="22"/>
  <c r="G1335" i="22"/>
  <c r="G1336" i="22"/>
  <c r="G1337" i="22"/>
  <c r="G1338" i="22"/>
  <c r="G1339" i="22"/>
  <c r="G1340" i="22"/>
  <c r="G1341" i="22"/>
  <c r="G1342" i="22"/>
  <c r="G1343" i="22"/>
  <c r="G1344" i="22"/>
  <c r="G1345" i="22"/>
  <c r="G1346" i="22"/>
  <c r="G1347" i="22"/>
  <c r="G1348" i="22"/>
  <c r="G1349" i="22"/>
  <c r="G1350" i="22"/>
  <c r="G1351" i="22"/>
  <c r="G1352" i="22"/>
  <c r="G1353" i="22"/>
  <c r="G1354" i="22"/>
  <c r="G1355" i="22"/>
  <c r="G1356" i="22"/>
  <c r="G1357" i="22"/>
  <c r="G1358" i="22"/>
  <c r="G1359" i="22"/>
  <c r="G1360" i="22"/>
  <c r="G1361" i="22"/>
  <c r="G1362" i="22"/>
  <c r="G1363" i="22"/>
  <c r="G1364" i="22"/>
  <c r="G1365" i="22"/>
  <c r="G1366" i="22"/>
  <c r="G1367" i="22"/>
  <c r="G1368" i="22"/>
  <c r="G1369" i="22"/>
  <c r="G1370" i="22"/>
  <c r="G1371" i="22"/>
  <c r="G1372" i="22"/>
  <c r="G1373" i="22"/>
  <c r="G1374" i="22"/>
  <c r="G1375" i="22"/>
  <c r="G1376" i="22"/>
  <c r="G1377" i="22"/>
  <c r="G1378" i="22"/>
  <c r="G1379" i="22"/>
  <c r="G1380" i="22"/>
  <c r="G1381" i="22"/>
  <c r="G1382" i="22"/>
  <c r="G1383" i="22"/>
  <c r="G1384" i="22"/>
  <c r="G1385" i="22"/>
  <c r="G1386" i="22"/>
  <c r="G1387" i="22"/>
  <c r="G1388" i="22"/>
  <c r="G1389" i="22"/>
  <c r="G1390" i="22"/>
  <c r="G1391" i="22"/>
  <c r="G1392" i="22"/>
  <c r="G1393" i="22"/>
  <c r="G1394" i="22"/>
  <c r="G1395" i="22"/>
  <c r="G1396" i="22"/>
  <c r="G1397" i="22"/>
  <c r="G1398" i="22"/>
  <c r="G1399" i="22"/>
  <c r="G1400" i="22"/>
  <c r="G1401" i="22"/>
  <c r="G1402" i="22"/>
  <c r="G1403" i="22"/>
  <c r="G1404" i="22"/>
  <c r="G1405" i="22"/>
  <c r="G1406" i="22"/>
  <c r="G1407" i="22"/>
  <c r="G1408" i="22"/>
  <c r="G1409" i="22"/>
  <c r="G1410" i="22"/>
  <c r="G1411" i="22"/>
  <c r="G1412" i="22"/>
  <c r="G1413" i="22"/>
  <c r="G1414" i="22"/>
  <c r="G1415" i="22"/>
  <c r="G1416" i="22"/>
  <c r="G1417" i="22"/>
  <c r="G1418" i="22"/>
  <c r="G1419" i="22"/>
  <c r="G1420" i="22"/>
  <c r="G1421" i="22"/>
  <c r="G1422" i="22"/>
  <c r="G1423" i="22"/>
  <c r="G1424" i="22"/>
  <c r="G1425" i="22"/>
  <c r="G1426" i="22"/>
  <c r="G1427" i="22"/>
  <c r="G1428" i="22"/>
  <c r="G1429" i="22"/>
  <c r="G1430" i="22"/>
  <c r="G1431" i="22"/>
  <c r="G1432" i="22"/>
  <c r="G1433" i="22"/>
  <c r="G1434" i="22"/>
  <c r="G1435" i="22"/>
  <c r="G1436" i="22"/>
  <c r="G1437" i="22"/>
  <c r="G1438" i="22"/>
  <c r="G1439" i="22"/>
  <c r="G1440" i="22"/>
  <c r="G1441" i="22"/>
  <c r="G1442" i="22"/>
  <c r="G1443" i="22"/>
  <c r="G1444" i="22"/>
  <c r="G1445" i="22"/>
  <c r="G1446" i="22"/>
  <c r="G1447" i="22"/>
  <c r="G1448" i="22"/>
  <c r="G1449" i="22"/>
  <c r="G1450" i="22"/>
  <c r="G1451" i="22"/>
  <c r="G1452" i="22"/>
  <c r="G1453" i="22"/>
  <c r="G1454" i="22"/>
  <c r="G1455" i="22"/>
  <c r="G1456" i="22"/>
  <c r="G1457" i="22"/>
  <c r="G1458" i="22"/>
  <c r="G1459" i="22"/>
  <c r="G1460" i="22"/>
  <c r="G1461" i="22"/>
  <c r="G1462" i="22"/>
  <c r="G1463" i="22"/>
  <c r="G1464" i="22"/>
  <c r="G1465" i="22"/>
  <c r="G1466" i="22"/>
  <c r="G1467" i="22"/>
  <c r="G1468" i="22"/>
  <c r="G1469" i="22"/>
  <c r="G1470" i="22"/>
  <c r="G1471" i="22"/>
  <c r="G1472" i="22"/>
  <c r="G1473" i="22"/>
  <c r="G1474" i="22"/>
  <c r="G1475" i="22"/>
  <c r="G1476" i="22"/>
  <c r="G1477" i="22"/>
  <c r="G1478" i="22"/>
  <c r="G1479" i="22"/>
  <c r="G1480" i="22"/>
  <c r="G1481" i="22"/>
  <c r="G1482" i="22"/>
  <c r="G1483" i="22"/>
  <c r="G1484" i="22"/>
  <c r="G1485" i="22"/>
  <c r="G1486" i="22"/>
  <c r="G1487" i="22"/>
  <c r="G1488" i="22"/>
  <c r="G1489" i="22"/>
  <c r="G1490" i="22"/>
  <c r="G1491" i="22"/>
  <c r="G1492" i="22"/>
  <c r="G1493" i="22"/>
  <c r="G1494" i="22"/>
  <c r="G1495" i="22"/>
  <c r="G1496" i="22"/>
  <c r="G1497" i="22"/>
  <c r="G1498" i="22"/>
  <c r="G1499" i="22"/>
  <c r="G1500" i="22"/>
  <c r="G1501" i="22"/>
  <c r="G1502" i="22"/>
  <c r="G1503" i="22"/>
  <c r="G1504" i="22"/>
  <c r="G1505" i="22"/>
  <c r="G1506" i="22"/>
  <c r="G1507" i="22"/>
  <c r="G1508" i="22"/>
  <c r="G1509" i="22"/>
  <c r="G1510" i="22"/>
  <c r="G1511" i="22"/>
  <c r="G1512" i="22"/>
  <c r="G1513" i="22"/>
  <c r="G1514" i="22"/>
  <c r="G1515" i="22"/>
  <c r="G1516" i="22"/>
  <c r="G1517" i="22"/>
  <c r="G1518" i="22"/>
  <c r="G1519" i="22"/>
  <c r="G1520" i="22"/>
  <c r="G1521" i="22"/>
  <c r="G1522" i="22"/>
  <c r="G1523" i="22"/>
  <c r="G1524" i="22"/>
  <c r="G1525" i="22"/>
  <c r="G1526" i="22"/>
  <c r="G1527" i="22"/>
  <c r="G1528" i="22"/>
  <c r="G1529" i="22"/>
  <c r="G1530" i="22"/>
  <c r="G1531" i="22"/>
  <c r="G1532" i="22"/>
  <c r="G1533" i="22"/>
  <c r="G1534" i="22"/>
  <c r="G1535" i="22"/>
  <c r="G1536" i="22"/>
  <c r="G1537" i="22"/>
  <c r="G1538" i="22"/>
  <c r="G1539" i="22"/>
  <c r="G1540" i="22"/>
  <c r="G1541" i="22"/>
  <c r="G1542" i="22"/>
  <c r="G1543" i="22"/>
  <c r="G1544" i="22"/>
  <c r="G1545" i="22"/>
  <c r="G1546" i="22"/>
  <c r="G1547" i="22"/>
  <c r="G1548" i="22"/>
  <c r="G1549" i="22"/>
  <c r="G1550" i="22"/>
  <c r="G1551" i="22"/>
  <c r="G1552" i="22"/>
  <c r="G1553" i="22"/>
  <c r="G1554" i="22"/>
  <c r="G1555" i="22"/>
  <c r="G1556" i="22"/>
  <c r="G1557" i="22"/>
  <c r="G1558" i="22"/>
  <c r="G1559" i="22"/>
  <c r="G1560" i="22"/>
  <c r="G1561" i="22"/>
  <c r="G1562" i="22"/>
  <c r="G1563" i="22"/>
  <c r="G1564" i="22"/>
  <c r="G1565" i="22"/>
  <c r="G1566" i="22"/>
  <c r="G1567" i="22"/>
  <c r="G1568" i="22"/>
  <c r="G1569" i="22"/>
  <c r="G1570" i="22"/>
  <c r="G1571" i="22"/>
  <c r="G1572" i="22"/>
  <c r="G1573" i="22"/>
  <c r="G1574" i="22"/>
  <c r="G1575" i="22"/>
  <c r="G1576" i="22"/>
  <c r="G1577" i="22"/>
  <c r="G1578" i="22"/>
  <c r="G1579" i="22"/>
  <c r="G1580" i="22"/>
  <c r="G1581" i="22"/>
  <c r="G1582" i="22"/>
  <c r="G1583" i="22"/>
  <c r="G1584" i="22"/>
  <c r="G1585" i="22"/>
  <c r="G1586" i="22"/>
  <c r="G1587" i="22"/>
  <c r="G1588" i="22"/>
  <c r="G1589" i="22"/>
  <c r="G1590" i="22"/>
  <c r="G1591" i="22"/>
  <c r="G1592" i="22"/>
  <c r="G1593" i="22"/>
  <c r="G1594" i="22"/>
  <c r="G1595" i="22"/>
  <c r="G1596" i="22"/>
  <c r="G1597" i="22"/>
  <c r="G1598" i="22"/>
  <c r="G1599" i="22"/>
  <c r="G1600" i="22"/>
  <c r="G1601" i="22"/>
  <c r="G1602" i="22"/>
  <c r="G1603" i="22"/>
  <c r="G1604" i="22"/>
  <c r="G1605" i="22"/>
  <c r="G1606" i="22"/>
  <c r="G1607" i="22"/>
  <c r="G1608" i="22"/>
  <c r="G1609" i="22"/>
  <c r="G1610" i="22"/>
  <c r="G1611" i="22"/>
  <c r="G1612" i="22"/>
  <c r="G1613" i="22"/>
  <c r="G1614" i="22"/>
  <c r="G1615" i="22"/>
  <c r="G1616" i="22"/>
  <c r="G1617" i="22"/>
  <c r="G1618" i="22"/>
  <c r="G1619" i="22"/>
  <c r="G1620" i="22"/>
  <c r="G1621" i="22"/>
  <c r="G1622" i="22"/>
  <c r="G1623" i="22"/>
  <c r="G1624" i="22"/>
  <c r="G1625" i="22"/>
  <c r="G1626" i="22"/>
  <c r="G1627" i="22"/>
  <c r="G1628" i="22"/>
  <c r="G1629" i="22"/>
  <c r="G1630" i="22"/>
  <c r="G1631" i="22"/>
  <c r="G1632" i="22"/>
  <c r="G1633" i="22"/>
  <c r="G1634" i="22"/>
  <c r="G1635" i="22"/>
  <c r="G1636" i="22"/>
  <c r="G1637" i="22"/>
  <c r="G1638" i="22"/>
  <c r="G1639" i="22"/>
  <c r="G1640" i="22"/>
  <c r="G1641" i="22"/>
  <c r="G1642" i="22"/>
  <c r="G1643" i="22"/>
  <c r="G1644" i="22"/>
  <c r="G1645" i="22"/>
  <c r="G1646" i="22"/>
  <c r="G1647" i="22"/>
  <c r="G1648" i="22"/>
  <c r="G1649" i="22"/>
  <c r="G1650" i="22"/>
  <c r="G1651" i="22"/>
  <c r="G1652" i="22"/>
  <c r="G1653" i="22"/>
  <c r="G1654" i="22"/>
  <c r="G1655" i="22"/>
  <c r="G1656" i="22"/>
  <c r="G1657" i="22"/>
  <c r="G1658" i="22"/>
  <c r="G1659" i="22"/>
  <c r="G1660" i="22"/>
  <c r="G1661" i="22"/>
  <c r="G1662" i="22"/>
  <c r="G1663" i="22"/>
  <c r="G1664" i="22"/>
  <c r="G1665" i="22"/>
  <c r="G1666" i="22"/>
  <c r="G1667" i="22"/>
  <c r="G1668" i="22"/>
  <c r="G1669" i="22"/>
  <c r="G1670" i="22"/>
  <c r="G1671" i="22"/>
  <c r="G1672" i="22"/>
  <c r="G1673" i="22"/>
  <c r="G1674" i="22"/>
  <c r="G1675" i="22"/>
  <c r="G1676" i="22"/>
  <c r="G1677" i="22"/>
  <c r="G1678" i="22"/>
  <c r="G1679" i="22"/>
  <c r="G1680" i="22"/>
  <c r="G1681" i="22"/>
  <c r="G1682" i="22"/>
  <c r="G1683" i="22"/>
  <c r="G1684" i="22"/>
  <c r="G1685" i="22"/>
  <c r="G1686" i="22"/>
  <c r="G1687" i="22"/>
  <c r="G1688" i="22"/>
  <c r="G1689" i="22"/>
  <c r="G1690" i="22"/>
  <c r="G1691" i="22"/>
  <c r="G1692" i="22"/>
  <c r="G1693" i="22"/>
  <c r="G1694" i="22"/>
  <c r="G1695" i="22"/>
  <c r="G1696" i="22"/>
  <c r="G1697" i="22"/>
  <c r="G1698" i="22"/>
  <c r="G1699" i="22"/>
  <c r="G1700" i="22"/>
  <c r="G1701" i="22"/>
  <c r="G1702" i="22"/>
  <c r="G1703" i="22"/>
  <c r="G1704" i="22"/>
  <c r="G1705" i="22"/>
  <c r="G1706" i="22"/>
  <c r="G1707" i="22"/>
  <c r="G1708" i="22"/>
  <c r="G1709" i="22"/>
  <c r="G1710" i="22"/>
  <c r="G1711" i="22"/>
  <c r="G1712" i="22"/>
  <c r="G1713" i="22"/>
  <c r="G1714" i="22"/>
  <c r="G1715" i="22"/>
  <c r="G1716" i="22"/>
  <c r="G1717" i="22"/>
  <c r="G1718" i="22"/>
  <c r="G1719" i="22"/>
  <c r="G1720" i="22"/>
  <c r="G1721" i="22"/>
  <c r="G1722" i="22"/>
  <c r="G1723" i="22"/>
  <c r="G1724" i="22"/>
  <c r="G1725" i="22"/>
  <c r="G1726" i="22"/>
  <c r="G1727" i="22"/>
  <c r="G1728" i="22"/>
  <c r="G1729" i="22"/>
  <c r="G1730" i="22"/>
  <c r="G1731" i="22"/>
  <c r="G1732" i="22"/>
  <c r="G1733" i="22"/>
  <c r="G1734" i="22"/>
  <c r="G1735" i="22"/>
  <c r="G1736" i="22"/>
  <c r="G1737" i="22"/>
  <c r="G1738" i="22"/>
  <c r="G1739" i="22"/>
  <c r="G1740" i="22"/>
  <c r="G1741" i="22"/>
  <c r="G1742" i="22"/>
  <c r="G1743" i="22"/>
  <c r="G1744" i="22"/>
  <c r="G1745" i="22"/>
  <c r="G1746" i="22"/>
  <c r="G1747" i="22"/>
  <c r="G1748" i="22"/>
  <c r="G1749" i="22"/>
  <c r="G1750" i="22"/>
  <c r="G1751" i="22"/>
  <c r="G1752" i="22"/>
  <c r="G1753" i="22"/>
  <c r="G1754" i="22"/>
  <c r="G1755" i="22"/>
  <c r="G1756" i="22"/>
  <c r="G1757" i="22"/>
  <c r="G1758" i="22"/>
  <c r="G1759" i="22"/>
  <c r="G1760" i="22"/>
  <c r="G1761" i="22"/>
  <c r="G1762" i="22"/>
  <c r="G1763" i="22"/>
  <c r="G1764" i="22"/>
  <c r="G1765" i="22"/>
  <c r="G1766" i="22"/>
  <c r="G1767" i="22"/>
  <c r="G1768" i="22"/>
  <c r="G1769" i="22"/>
  <c r="G1770" i="22"/>
  <c r="G1771" i="22"/>
  <c r="G1772" i="22"/>
  <c r="G1773" i="22"/>
  <c r="G1774" i="22"/>
  <c r="G1775" i="22"/>
  <c r="G1776" i="22"/>
  <c r="G1777" i="22"/>
  <c r="G1778" i="22"/>
  <c r="G1779" i="22"/>
  <c r="G1780" i="22"/>
  <c r="G1781" i="22"/>
  <c r="G1782" i="22"/>
  <c r="G1783" i="22"/>
  <c r="G1784" i="22"/>
  <c r="G1785" i="22"/>
  <c r="G1786" i="22"/>
  <c r="G1787" i="22"/>
  <c r="G1788" i="22"/>
  <c r="G1789" i="22"/>
  <c r="G1790" i="22"/>
  <c r="G1791" i="22"/>
  <c r="G1792" i="22"/>
  <c r="G1793" i="22"/>
  <c r="G1794" i="22"/>
  <c r="G1795" i="22"/>
  <c r="G1796" i="22"/>
  <c r="G1797" i="22"/>
  <c r="G1798" i="22"/>
  <c r="G1799" i="22"/>
  <c r="G1800" i="22"/>
  <c r="G1801" i="22"/>
  <c r="G1802" i="22"/>
  <c r="G1803" i="22"/>
  <c r="G1804" i="22"/>
  <c r="G1805" i="22"/>
  <c r="G1806" i="22"/>
  <c r="G1807" i="22"/>
  <c r="G1808" i="22"/>
  <c r="G1809" i="22"/>
  <c r="G1810" i="22"/>
  <c r="G1811" i="22"/>
  <c r="G1812" i="22"/>
  <c r="G1813" i="22"/>
  <c r="G1814" i="22"/>
  <c r="G1815" i="22"/>
  <c r="G1816" i="22"/>
  <c r="G1817" i="22"/>
  <c r="G1818" i="22"/>
  <c r="G1819" i="22"/>
  <c r="G1820" i="22"/>
  <c r="G1821" i="22"/>
  <c r="G1822" i="22"/>
  <c r="G1823" i="22"/>
  <c r="G1824" i="22"/>
  <c r="G1825" i="22"/>
  <c r="G1826" i="22"/>
  <c r="G1827" i="22"/>
  <c r="G1828" i="22"/>
  <c r="G1829" i="22"/>
  <c r="G1830" i="22"/>
  <c r="G1831" i="22"/>
  <c r="G1832" i="22"/>
  <c r="G1833" i="22"/>
  <c r="G1834" i="22"/>
  <c r="G1835" i="22"/>
  <c r="G1836" i="22"/>
  <c r="G1837" i="22"/>
  <c r="G1838" i="22"/>
  <c r="G1839" i="22"/>
  <c r="G1840" i="22"/>
  <c r="G1841" i="22"/>
  <c r="G1842" i="22"/>
  <c r="G1843" i="22"/>
  <c r="G1844" i="22"/>
  <c r="G1845" i="22"/>
  <c r="G1846" i="22"/>
  <c r="G1847" i="22"/>
  <c r="G1848" i="22"/>
  <c r="G1849" i="22"/>
  <c r="G1850" i="22"/>
  <c r="G1851" i="22"/>
  <c r="G1852" i="22"/>
  <c r="G1853" i="22"/>
  <c r="G1854" i="22"/>
  <c r="G1855" i="22"/>
  <c r="G1856" i="22"/>
  <c r="G1857" i="22"/>
  <c r="G1858" i="22"/>
  <c r="G1859" i="22"/>
  <c r="G1860" i="22"/>
  <c r="G1861" i="22"/>
  <c r="G1862" i="22"/>
  <c r="G1863" i="22"/>
  <c r="G1864" i="22"/>
  <c r="G1865" i="22"/>
  <c r="G1866" i="22"/>
  <c r="G1867" i="22"/>
  <c r="G1868" i="22"/>
  <c r="G1869" i="22"/>
  <c r="G1870" i="22"/>
  <c r="G1871" i="22"/>
  <c r="G1872" i="22"/>
  <c r="G1873" i="22"/>
  <c r="G1874" i="22"/>
  <c r="G1875" i="22"/>
  <c r="G1876" i="22"/>
  <c r="G1877" i="22"/>
  <c r="G1878" i="22"/>
  <c r="G1879" i="22"/>
  <c r="G1880" i="22"/>
  <c r="G1881" i="22"/>
  <c r="G1882" i="22"/>
  <c r="G1883" i="22"/>
  <c r="G1884" i="22"/>
  <c r="G1885" i="22"/>
  <c r="G1886" i="22"/>
  <c r="G1887" i="22"/>
  <c r="G1888" i="22"/>
  <c r="G1889" i="22"/>
  <c r="G1890" i="22"/>
  <c r="G1891" i="22"/>
  <c r="G1892" i="22"/>
  <c r="G1893" i="22"/>
  <c r="G1894" i="22"/>
  <c r="G1895" i="22"/>
  <c r="G1896" i="22"/>
  <c r="G1897" i="22"/>
  <c r="G1898" i="22"/>
  <c r="G1899" i="22"/>
  <c r="G1900" i="22"/>
  <c r="G1901" i="22"/>
  <c r="G1902" i="22"/>
  <c r="G1903" i="22"/>
  <c r="G1904" i="22"/>
  <c r="G1905" i="22"/>
  <c r="G1906" i="22"/>
  <c r="G1907" i="22"/>
  <c r="G1908" i="22"/>
  <c r="G1909" i="22"/>
  <c r="G1910" i="22"/>
  <c r="G1911" i="22"/>
  <c r="G1912" i="22"/>
  <c r="G1913" i="22"/>
  <c r="G1914" i="22"/>
  <c r="G1915" i="22"/>
  <c r="G1916" i="22"/>
  <c r="G1917" i="22"/>
  <c r="G1918" i="22"/>
  <c r="G1919" i="22"/>
  <c r="G1920" i="22"/>
  <c r="G1921" i="22"/>
  <c r="G1922" i="22"/>
  <c r="G1923" i="22"/>
  <c r="G1924" i="22"/>
  <c r="G1925" i="22"/>
  <c r="G1926" i="22"/>
  <c r="G1927" i="22"/>
  <c r="G1928" i="22"/>
  <c r="G1929" i="22"/>
  <c r="G1930" i="22"/>
  <c r="G1931" i="22"/>
  <c r="G1932" i="22"/>
  <c r="G1933" i="22"/>
  <c r="G1934" i="22"/>
  <c r="G1935" i="22"/>
  <c r="G1936" i="22"/>
  <c r="G1937" i="22"/>
  <c r="G1938" i="22"/>
  <c r="G1939" i="22"/>
  <c r="G1940" i="22"/>
  <c r="G1941" i="22"/>
  <c r="G1942" i="22"/>
  <c r="G1943" i="22"/>
  <c r="G1944" i="22"/>
  <c r="G1945" i="22"/>
  <c r="G1946" i="22"/>
  <c r="G1947" i="22"/>
  <c r="G1948" i="22"/>
  <c r="G1949" i="22"/>
  <c r="G1950" i="22"/>
  <c r="G1951" i="22"/>
  <c r="G1952" i="22"/>
  <c r="G1953" i="22"/>
  <c r="G1954" i="22"/>
  <c r="G1955" i="22"/>
  <c r="G1956" i="22"/>
  <c r="G1957" i="22"/>
  <c r="G1958" i="22"/>
  <c r="G1959" i="22"/>
  <c r="G1960" i="22"/>
  <c r="G1961" i="22"/>
  <c r="G1962" i="22"/>
  <c r="G1963" i="22"/>
  <c r="G1964" i="22"/>
  <c r="G1965" i="22"/>
  <c r="G1966" i="22"/>
  <c r="G1967" i="22"/>
  <c r="G1968" i="22"/>
  <c r="G1969" i="22"/>
  <c r="G1970" i="22"/>
  <c r="G1971" i="22"/>
  <c r="G1972" i="22"/>
  <c r="G1973" i="22"/>
  <c r="G1974" i="22"/>
  <c r="G1975" i="22"/>
  <c r="G1976" i="22"/>
  <c r="G1977" i="22"/>
  <c r="G1978" i="22"/>
  <c r="G1979" i="22"/>
  <c r="G1980" i="22"/>
  <c r="G1981" i="22"/>
  <c r="G1982" i="22"/>
  <c r="G1983" i="22"/>
  <c r="G1984" i="22"/>
  <c r="G1985" i="22"/>
  <c r="G1986" i="22"/>
  <c r="G1987" i="22"/>
  <c r="G1988" i="22"/>
  <c r="G1989" i="22"/>
  <c r="G1990" i="22"/>
  <c r="G1991" i="22"/>
  <c r="G1992" i="22"/>
  <c r="G1993" i="22"/>
  <c r="G1994" i="22"/>
  <c r="G1995" i="22"/>
  <c r="G1996" i="22"/>
  <c r="G1997" i="22"/>
  <c r="G1998" i="22"/>
  <c r="G1999" i="22"/>
  <c r="G2000" i="22"/>
  <c r="G2001" i="22"/>
  <c r="G2002" i="22"/>
  <c r="G2003" i="22"/>
  <c r="G2004" i="22"/>
  <c r="G9" i="22"/>
  <c r="N3" i="22" l="1"/>
  <c r="AV10" i="17"/>
  <c r="AV11" i="17"/>
  <c r="AW11" i="17"/>
  <c r="Q2" i="22"/>
  <c r="AV14" i="17"/>
  <c r="AV9" i="17" a="1"/>
  <c r="AV9" i="17" s="1"/>
  <c r="AV13" i="17" a="1"/>
  <c r="AV13" i="1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<sst xmlns="http://schemas.openxmlformats.org/spreadsheetml/2006/main" count="10051" uniqueCount="35">
  <si>
    <t>Синтаксис и применение функций ссылок и массивов из официального источника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</si>
  <si>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</si>
  <si>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</si>
  <si>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</si>
  <si>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</si>
  <si>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</si>
  <si>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</si>
  <si>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</si>
  <si>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</si>
  <si>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</si>
  <si>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</si>
  <si>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</si>
  <si>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</si>
  <si>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Quantity</t>
  </si>
  <si>
    <t>Transaction ID</t>
  </si>
  <si>
    <t>Date</t>
  </si>
  <si>
    <t>Gender</t>
  </si>
  <si>
    <t>Age</t>
  </si>
  <si>
    <t>Product Category</t>
  </si>
  <si>
    <t>Price per Unit</t>
  </si>
  <si>
    <t>Male</t>
  </si>
  <si>
    <t>Beauty</t>
  </si>
  <si>
    <t>Female</t>
  </si>
  <si>
    <t>Clothing</t>
  </si>
  <si>
    <t>Electronics</t>
  </si>
  <si>
    <t>Year</t>
  </si>
  <si>
    <t>Month</t>
  </si>
  <si>
    <t>Проверка 1</t>
  </si>
  <si>
    <t>Проверка 2</t>
  </si>
  <si>
    <t>Sales Volume</t>
  </si>
  <si>
    <t>Total Quantity</t>
  </si>
  <si>
    <t>1 вар</t>
  </si>
  <si>
    <t>2 вар</t>
  </si>
  <si>
    <t>3 вар</t>
  </si>
  <si>
    <t>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</si>
</sst>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_-"/>
    <numFmt numFmtId="165" formatCode="_-* #,##0_-;\-* #,##0_-;_-* &quot;-&quot;??_-;_-@_-"/>
  </numFmts>
  <fonts count="16" x14ac:knownFonts="1">
    <font>
      <sz val="11"/>
      <color theme="1"/>
      <name val="Univers"/>
      <family val="2"/>
      <charset val="204"/>
    </font>
    <font>
      <sz val="11"/>
      <color rgb="FFFF9933"/>
      <name val="Univers"/>
      <family val="2"/>
      <charset val="204"/>
    </font>
    <font>
      <u/>
      <sz val="11"/>
      <color theme="10"/>
      <name val="Univers"/>
      <family val="2"/>
      <charset val="204"/>
    </font>
    <font>
      <sz val="11"/>
      <name val="Univers"/>
      <family val="2"/>
      <charset val="204"/>
    </font>
    <font>
      <sz val="11"/>
      <color theme="1"/>
      <name val="Univers"/>
      <family val="2"/>
      <charset val="204"/>
    </font>
    <font>
      <sz val="8"/>
      <name val="Univers"/>
      <family val="2"/>
      <charset val="204"/>
    </font>
    <font>
      <i/>
      <sz val="11"/>
      <color theme="1"/>
      <name val="Univers"/>
      <family val="2"/>
      <charset val="204"/>
    </font>
    <font>
      <b/>
      <sz val="11"/>
      <color theme="1"/>
      <name val="Univers"/>
      <family val="2"/>
    </font>
    <font>
      <sz val="11"/>
      <color theme="0"/>
      <name val="Univers"/>
      <family val="2"/>
      <charset val="204"/>
    </font>
    <font>
      <i/>
      <sz val="11"/>
      <color theme="1"/>
      <name val="Univers"/>
      <family val="2"/>
    </font>
    <font>
      <i/>
      <sz val="11"/>
      <color theme="0" tint="-0.249977111117893"/>
      <name val="Univers"/>
      <family val="2"/>
    </font>
    <font>
      <b/>
      <sz val="12"/>
      <color theme="1"/>
      <name val="Univers"/>
      <family val="2"/>
    </font>
    <font>
      <b/>
      <sz val="14"/>
      <color theme="1"/>
      <name val="Univers"/>
      <family val="2"/>
    </font>
    <font>
      <b/>
      <sz val="16"/>
      <color theme="1"/>
      <name val="Univers"/>
      <family val="2"/>
    </font>
    <font>
      <b/>
      <i/>
      <sz val="11"/>
      <color theme="0"/>
      <name val="Univers"/>
      <family val="2"/>
      <charset val="204"/>
    </font>
    <font>
      <b/>
      <sz val="11"/>
      <color theme="1"/>
      <name val="Univers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960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/>
      <top style="medium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medium">
        <color indexed="64"/>
      </top>
      <bottom style="thin">
        <color theme="4" tint="0.39997558519241921"/>
      </bottom>
      <diagonal/>
    </border>
    <border>
      <left style="thin">
        <color theme="4"/>
      </left>
      <right/>
      <top style="medium">
        <color indexed="64"/>
      </top>
      <bottom/>
      <diagonal/>
    </border>
    <border>
      <left style="thin">
        <color theme="4"/>
      </left>
      <right style="thin">
        <color theme="4" tint="0.39997558519241921"/>
      </right>
      <top style="medium">
        <color indexed="64"/>
      </top>
      <bottom/>
      <diagonal/>
    </border>
    <border>
      <left style="thin">
        <color theme="4"/>
      </left>
      <right/>
      <top style="thin">
        <color indexed="64"/>
      </top>
      <bottom/>
      <diagonal/>
    </border>
    <border>
      <left style="thin">
        <color theme="4"/>
      </left>
      <right style="thin">
        <color theme="4" tint="0.39997558519241921"/>
      </right>
      <top style="thin">
        <color indexed="64"/>
      </top>
      <bottom/>
      <diagonal/>
    </border>
    <border>
      <left style="thin">
        <color theme="4"/>
      </left>
      <right/>
      <top style="thin">
        <color theme="4" tint="0.39997558519241921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/>
      </left>
      <right/>
      <top style="medium">
        <color indexed="64"/>
      </top>
      <bottom style="thin">
        <color theme="4" tint="0.39997558519241921"/>
      </bottom>
      <diagonal/>
    </border>
    <border>
      <left style="thin">
        <color theme="4"/>
      </left>
      <right style="thin">
        <color theme="4" tint="0.39997558519241921"/>
      </right>
      <top style="medium">
        <color indexed="64"/>
      </top>
      <bottom style="thin">
        <color theme="4" tint="0.39997558519241921"/>
      </bottom>
      <diagonal/>
    </border>
    <border>
      <left style="thin">
        <color theme="4"/>
      </left>
      <right/>
      <top style="thin">
        <color theme="4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62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3" fillId="3" borderId="0" xfId="0" applyFont="1" applyFill="1"/>
    <xf numFmtId="0" fontId="2" fillId="3" borderId="0" xfId="1" applyFill="1"/>
    <xf numFmtId="0" fontId="6" fillId="0" borderId="1" xfId="0" applyFont="1" applyBorder="1" applyAlignment="1">
      <alignment horizontal="center"/>
    </xf>
    <xf numFmtId="14" fontId="0" fillId="0" borderId="0" xfId="0" applyNumberFormat="1"/>
    <xf numFmtId="0" fontId="10" fillId="2" borderId="0" xfId="0" applyFont="1" applyFill="1"/>
    <xf numFmtId="0" fontId="8" fillId="2" borderId="0" xfId="0" applyFont="1" applyFill="1"/>
    <xf numFmtId="0" fontId="7" fillId="4" borderId="2" xfId="0" applyFont="1" applyFill="1" applyBorder="1" applyAlignment="1">
      <alignment horizontal="right"/>
    </xf>
    <xf numFmtId="0" fontId="7" fillId="4" borderId="4" xfId="0" applyFont="1" applyFill="1" applyBorder="1" applyAlignment="1">
      <alignment horizontal="right"/>
    </xf>
    <xf numFmtId="0" fontId="7" fillId="4" borderId="6" xfId="0" applyFont="1" applyFill="1" applyBorder="1" applyAlignment="1">
      <alignment horizontal="right"/>
    </xf>
    <xf numFmtId="0" fontId="11" fillId="2" borderId="3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right"/>
    </xf>
    <xf numFmtId="165" fontId="13" fillId="2" borderId="5" xfId="2" applyNumberFormat="1" applyFont="1" applyFill="1" applyBorder="1" applyAlignment="1">
      <alignment horizontal="center" vertical="center"/>
    </xf>
    <xf numFmtId="0" fontId="3" fillId="2" borderId="0" xfId="0" applyFont="1" applyFill="1"/>
    <xf numFmtId="165" fontId="3" fillId="2" borderId="0" xfId="2" applyNumberFormat="1" applyFont="1" applyFill="1"/>
    <xf numFmtId="0" fontId="12" fillId="4" borderId="8" xfId="0" applyFont="1" applyFill="1" applyBorder="1" applyAlignment="1">
      <alignment horizontal="right"/>
    </xf>
    <xf numFmtId="0" fontId="12" fillId="4" borderId="9" xfId="0" applyFont="1" applyFill="1" applyBorder="1" applyAlignment="1">
      <alignment horizontal="right"/>
    </xf>
    <xf numFmtId="0" fontId="9" fillId="4" borderId="8" xfId="0" applyFont="1" applyFill="1" applyBorder="1" applyAlignment="1">
      <alignment horizontal="right"/>
    </xf>
    <xf numFmtId="0" fontId="9" fillId="4" borderId="10" xfId="0" applyFont="1" applyFill="1" applyBorder="1" applyAlignment="1">
      <alignment horizontal="right"/>
    </xf>
    <xf numFmtId="0" fontId="9" fillId="4" borderId="9" xfId="0" applyFont="1" applyFill="1" applyBorder="1" applyAlignment="1">
      <alignment horizontal="right"/>
    </xf>
    <xf numFmtId="0" fontId="0" fillId="0" borderId="11" xfId="0" applyBorder="1"/>
    <xf numFmtId="14" fontId="0" fillId="0" borderId="11" xfId="0" applyNumberFormat="1" applyBorder="1"/>
    <xf numFmtId="165" fontId="0" fillId="2" borderId="0" xfId="2" applyNumberFormat="1" applyFont="1" applyFill="1"/>
    <xf numFmtId="1" fontId="0" fillId="2" borderId="0" xfId="0" applyNumberFormat="1" applyFill="1"/>
    <xf numFmtId="0" fontId="0" fillId="2" borderId="0" xfId="0" applyNumberFormat="1" applyFill="1"/>
    <xf numFmtId="0" fontId="14" fillId="5" borderId="12" xfId="0" applyFont="1" applyFill="1" applyBorder="1" applyAlignment="1">
      <alignment horizontal="center"/>
    </xf>
    <xf numFmtId="0" fontId="0" fillId="6" borderId="13" xfId="0" applyFont="1" applyFill="1" applyBorder="1"/>
    <xf numFmtId="0" fontId="0" fillId="0" borderId="14" xfId="0" applyFont="1" applyBorder="1"/>
    <xf numFmtId="0" fontId="0" fillId="6" borderId="14" xfId="0" applyFont="1" applyFill="1" applyBorder="1"/>
    <xf numFmtId="0" fontId="14" fillId="5" borderId="16" xfId="0" applyFont="1" applyFill="1" applyBorder="1" applyAlignment="1">
      <alignment horizontal="center"/>
    </xf>
    <xf numFmtId="1" fontId="14" fillId="5" borderId="16" xfId="0" applyNumberFormat="1" applyFont="1" applyFill="1" applyBorder="1" applyAlignment="1">
      <alignment horizontal="center"/>
    </xf>
    <xf numFmtId="0" fontId="14" fillId="5" borderId="16" xfId="0" applyNumberFormat="1" applyFont="1" applyFill="1" applyBorder="1" applyAlignment="1">
      <alignment horizontal="center"/>
    </xf>
    <xf numFmtId="0" fontId="14" fillId="5" borderId="17" xfId="0" applyFont="1" applyFill="1" applyBorder="1" applyAlignment="1">
      <alignment horizontal="center"/>
    </xf>
    <xf numFmtId="14" fontId="0" fillId="6" borderId="18" xfId="0" applyNumberFormat="1" applyFont="1" applyFill="1" applyBorder="1"/>
    <xf numFmtId="1" fontId="0" fillId="6" borderId="18" xfId="0" applyNumberFormat="1" applyFont="1" applyFill="1" applyBorder="1"/>
    <xf numFmtId="0" fontId="0" fillId="6" borderId="18" xfId="0" applyNumberFormat="1" applyFont="1" applyFill="1" applyBorder="1"/>
    <xf numFmtId="0" fontId="0" fillId="6" borderId="18" xfId="0" applyFont="1" applyFill="1" applyBorder="1"/>
    <xf numFmtId="0" fontId="0" fillId="6" borderId="19" xfId="0" applyFont="1" applyFill="1" applyBorder="1"/>
    <xf numFmtId="14" fontId="0" fillId="0" borderId="20" xfId="0" applyNumberFormat="1" applyFont="1" applyBorder="1"/>
    <xf numFmtId="1" fontId="0" fillId="0" borderId="20" xfId="0" applyNumberFormat="1" applyFont="1" applyBorder="1"/>
    <xf numFmtId="0" fontId="0" fillId="6" borderId="21" xfId="0" applyNumberFormat="1" applyFont="1" applyFill="1" applyBorder="1"/>
    <xf numFmtId="0" fontId="0" fillId="0" borderId="20" xfId="0" applyFont="1" applyBorder="1"/>
    <xf numFmtId="0" fontId="0" fillId="0" borderId="22" xfId="0" applyFont="1" applyBorder="1"/>
    <xf numFmtId="14" fontId="0" fillId="6" borderId="20" xfId="0" applyNumberFormat="1" applyFont="1" applyFill="1" applyBorder="1"/>
    <xf numFmtId="1" fontId="0" fillId="6" borderId="20" xfId="0" applyNumberFormat="1" applyFont="1" applyFill="1" applyBorder="1"/>
    <xf numFmtId="0" fontId="0" fillId="6" borderId="20" xfId="0" applyFont="1" applyFill="1" applyBorder="1"/>
    <xf numFmtId="0" fontId="0" fillId="6" borderId="22" xfId="0" applyFont="1" applyFill="1" applyBorder="1"/>
    <xf numFmtId="0" fontId="0" fillId="0" borderId="21" xfId="0" applyNumberFormat="1" applyFont="1" applyBorder="1"/>
    <xf numFmtId="0" fontId="15" fillId="0" borderId="15" xfId="0" applyFont="1" applyBorder="1"/>
    <xf numFmtId="0" fontId="15" fillId="0" borderId="23" xfId="0" applyFont="1" applyBorder="1"/>
    <xf numFmtId="0" fontId="15" fillId="0" borderId="25" xfId="0" applyFont="1" applyBorder="1"/>
    <xf numFmtId="0" fontId="15" fillId="0" borderId="24" xfId="0" applyFont="1" applyBorder="1"/>
    <xf numFmtId="3" fontId="15" fillId="2" borderId="0" xfId="0" applyNumberFormat="1" applyFont="1" applyFill="1"/>
    <xf numFmtId="0" fontId="15" fillId="2" borderId="0" xfId="0" applyFont="1" applyFill="1"/>
    <xf numFmtId="0" fontId="15" fillId="2" borderId="0" xfId="0" applyNumberFormat="1" applyFont="1" applyFill="1" applyAlignment="1">
      <alignment horizontal="right"/>
    </xf>
    <xf numFmtId="0" fontId="15" fillId="2" borderId="0" xfId="0" applyFont="1" applyFill="1" applyAlignment="1">
      <alignment horizontal="right"/>
    </xf>
    <xf numFmtId="3" fontId="0" fillId="2" borderId="0" xfId="0" applyNumberFormat="1" applyFont="1" applyFill="1"/>
  </cellXfs>
  <cellStyles count="3">
    <cellStyle name="Гиперссылка" xfId="1" builtinId="8"/>
    <cellStyle name="Обычный" xfId="0" builtinId="0"/>
    <cellStyle name="Финансовый" xfId="2" builtinId="3"/>
  </cellStyles>
  <dxfs count="0"/>
  <tableStyles count="1" defaultTableStyle="TableStyleMedium2" defaultPivotStyle="PivotStyleLight16">
    <tableStyle name="Invisible" pivot="0" table="0" count="0" xr9:uid="{B5C0A367-8E28-4443-A3DF-2024ECE1942A}"/>
  </tableStyles>
  <colors>
    <mruColors>
      <color rgb="FFFF9933"/>
      <color rgb="FFFF9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svg"/><Relationship Id="rId7" Type="http://schemas.openxmlformats.org/officeDocument/2006/relationships/image" Target="../media/image7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svg"/><Relationship Id="rId10" Type="http://schemas.openxmlformats.org/officeDocument/2006/relationships/hyperlink" Target="#&#1042;&#1099;&#1087;&#1086;&#1083;&#1085;&#1080;&#1090;&#1100;!A1"/><Relationship Id="rId4" Type="http://schemas.openxmlformats.org/officeDocument/2006/relationships/image" Target="../media/image4.png"/><Relationship Id="rId9" Type="http://schemas.openxmlformats.org/officeDocument/2006/relationships/image" Target="../media/image9.sv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&#1042;&#1099;&#1087;&#1086;&#1083;&#1085;&#1080;&#1090;&#1100;!BO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558800</xdr:colOff>
      <xdr:row>0</xdr:row>
      <xdr:rowOff>139700</xdr:rowOff>
    </xdr:from>
    <xdr:to>
      <xdr:col>11</xdr:col>
      <xdr:colOff>393700</xdr:colOff>
      <xdr:row>32</xdr:row>
      <xdr:rowOff>38100</xdr:rowOff>
    </xdr:to>
    <xdr:sp macro="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C5D7CC1C-D370-4871-8139-601379A59711}"/>
            </a:ext>
          </a:extLst>
        </xdr:cNvPr>
        <xdr:cNvSpPr/>
      </xdr:nvSpPr>
      <xdr:spPr>
        <a:xfrm>
          <a:off x="1371600" y="139700"/>
          <a:ext cx="6248400" cy="5791200"/>
        </a:xfrm>
        <a:prstGeom prst="rect">
          <a:avLst/>
        </a:prstGeom>
        <a:solidFill>
          <a:srgbClr val="FF9600"/>
        </a:solidFill>
        <a:ln>
          <a:noFill/>
        </a:ln>
        <a:effectLst>
          <a:glow rad="101600">
            <a:schemeClr val="accent2">
              <a:satMod val="175000"/>
              <a:alpha val="40000"/>
            </a:schemeClr>
          </a:glow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ru-RU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133350</xdr:colOff>
      <xdr:row>28</xdr:row>
      <xdr:rowOff>120650</xdr:rowOff>
    </xdr:from>
    <xdr:to>
      <xdr:col>1</xdr:col>
      <xdr:colOff>285750</xdr:colOff>
      <xdr:row>32</xdr:row>
      <xdr:rowOff>24000</xdr:rowOff>
    </xdr:to>
    <xdr:pic>
      <xdr:nvPicPr>
        <xdr:cNvPr id="3" name="Google Shape;63;p14">
          <a:extLst>
            <a:ext uri="{FF2B5EF4-FFF2-40B4-BE49-F238E27FC236}">
              <a16:creationId xmlns:a16="http://schemas.microsoft.com/office/drawing/2014/main" id="{B4D7EC16-132A-43AE-857A-8CE3A3E8413F}"/>
            </a:ext>
          </a:extLst>
        </xdr:cNvPr>
        <xdr:cNvPicPr preferRelativeResize="0"/>
      </xdr:nvPicPr>
      <xdr:blipFill>
        <a:blip xmlns:r="http://schemas.openxmlformats.org/officeDocument/2006/relationships" r:embed="rId1">
          <a:alphaModFix/>
        </a:blip>
        <a:stretch>
          <a:fillRect/>
        </a:stretch>
      </xdr:blipFill>
      <xdr:spPr>
        <a:xfrm>
          <a:off x="133350" y="5276850"/>
          <a:ext cx="571500" cy="639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1028700</xdr:colOff>
      <xdr:row>1</xdr:row>
      <xdr:rowOff>120650</xdr:rowOff>
    </xdr:from>
    <xdr:to>
      <xdr:col>5</xdr:col>
      <xdr:colOff>63500</xdr:colOff>
      <xdr:row>9</xdr:row>
      <xdr:rowOff>133350</xdr:rowOff>
    </xdr:to>
    <xdr:pic>
      <xdr:nvPicPr>
        <xdr:cNvPr id="4" name="Рисунок 3" descr="Мужской профиль контур">
          <a:extLst>
            <a:ext uri="{FF2B5EF4-FFF2-40B4-BE49-F238E27FC236}">
              <a16:creationId xmlns:a16="http://schemas.microsoft.com/office/drawing/2014/main" id="{DF9D3284-ADD7-4741-B83C-A171C1193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841500" y="304800"/>
          <a:ext cx="1485900" cy="1485900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2</xdr:row>
      <xdr:rowOff>50800</xdr:rowOff>
    </xdr:from>
    <xdr:to>
      <xdr:col>6</xdr:col>
      <xdr:colOff>177800</xdr:colOff>
      <xdr:row>6</xdr:row>
      <xdr:rowOff>63500</xdr:rowOff>
    </xdr:to>
    <xdr:pic>
      <xdr:nvPicPr>
        <xdr:cNvPr id="5" name="Рисунок 4" descr="Конверт контур">
          <a:extLst>
            <a:ext uri="{FF2B5EF4-FFF2-40B4-BE49-F238E27FC236}">
              <a16:creationId xmlns:a16="http://schemas.microsoft.com/office/drawing/2014/main" id="{2D2FC3CA-CF9B-4493-8AF9-66F62E459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3352800" y="419100"/>
          <a:ext cx="749300" cy="749300"/>
        </a:xfrm>
        <a:prstGeom prst="rect">
          <a:avLst/>
        </a:prstGeom>
      </xdr:spPr>
    </xdr:pic>
    <xdr:clientData/>
  </xdr:twoCellAnchor>
  <xdr:twoCellAnchor>
    <xdr:from>
      <xdr:col>6</xdr:col>
      <xdr:colOff>165100</xdr:colOff>
      <xdr:row>2</xdr:row>
      <xdr:rowOff>152400</xdr:rowOff>
    </xdr:from>
    <xdr:to>
      <xdr:col>10</xdr:col>
      <xdr:colOff>520700</xdr:colOff>
      <xdr:row>5</xdr:row>
      <xdr:rowOff>120650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AECB7AE-4A33-4AEB-821B-6D00F8D1BF75}"/>
            </a:ext>
          </a:extLst>
        </xdr:cNvPr>
        <xdr:cNvSpPr txBox="1"/>
      </xdr:nvSpPr>
      <xdr:spPr>
        <a:xfrm>
          <a:off x="4089400" y="520700"/>
          <a:ext cx="2997200" cy="520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buNone/>
          </a:pPr>
          <a:r>
            <a:rPr lang="ru-RU" sz="2400" b="1" i="0" u="none" strike="noStrike" cap="none">
              <a:solidFill>
                <a:srgbClr val="000000"/>
              </a:solidFill>
              <a:latin typeface="Fira Sans"/>
              <a:ea typeface="Fira Sans"/>
              <a:cs typeface="Fira Sans"/>
              <a:sym typeface="Arial"/>
            </a:rPr>
            <a:t>Новое сообщение</a:t>
          </a:r>
          <a:br>
            <a:rPr lang="ru-RU" sz="1800" b="0" i="0" u="none" strike="noStrike" cap="none">
              <a:solidFill>
                <a:srgbClr val="000000"/>
              </a:solidFill>
              <a:latin typeface="Fira Sans"/>
              <a:ea typeface="Fira Sans"/>
              <a:cs typeface="Fira Sans"/>
              <a:sym typeface="Arial"/>
            </a:rPr>
          </a:br>
          <a:r>
            <a:rPr lang="ru-RU" sz="1100" b="0" i="1" u="none" strike="noStrike" cap="none">
              <a:solidFill>
                <a:srgbClr val="000000"/>
              </a:solidFill>
              <a:latin typeface="Fira Sans"/>
              <a:ea typeface="Fira Sans"/>
              <a:cs typeface="Fira Sans"/>
              <a:sym typeface="Arial"/>
            </a:rPr>
            <a:t>23 марта 2024</a:t>
          </a:r>
          <a:endParaRPr lang="ru-RU" sz="1800" b="0" i="1" u="none" strike="noStrike" cap="none">
            <a:solidFill>
              <a:srgbClr val="000000"/>
            </a:solidFill>
            <a:latin typeface="Fira Sans"/>
            <a:ea typeface="Fira Sans"/>
            <a:cs typeface="Fira Sans"/>
            <a:sym typeface="Arial"/>
          </a:endParaRPr>
        </a:p>
      </xdr:txBody>
    </xdr:sp>
    <xdr:clientData/>
  </xdr:twoCellAnchor>
  <xdr:twoCellAnchor editAs="oneCell">
    <xdr:from>
      <xdr:col>5</xdr:col>
      <xdr:colOff>520700</xdr:colOff>
      <xdr:row>1</xdr:row>
      <xdr:rowOff>120650</xdr:rowOff>
    </xdr:from>
    <xdr:to>
      <xdr:col>6</xdr:col>
      <xdr:colOff>298450</xdr:colOff>
      <xdr:row>4</xdr:row>
      <xdr:rowOff>6350</xdr:rowOff>
    </xdr:to>
    <xdr:pic>
      <xdr:nvPicPr>
        <xdr:cNvPr id="7" name="Рисунок 6" descr="Значок 1 со сплошной заливкой">
          <a:extLst>
            <a:ext uri="{FF2B5EF4-FFF2-40B4-BE49-F238E27FC236}">
              <a16:creationId xmlns:a16="http://schemas.microsoft.com/office/drawing/2014/main" id="{614F6A09-CDCC-4925-A24B-06D5C86DA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3784600" y="304800"/>
          <a:ext cx="438150" cy="438150"/>
        </a:xfrm>
        <a:prstGeom prst="rect">
          <a:avLst/>
        </a:prstGeom>
      </xdr:spPr>
    </xdr:pic>
    <xdr:clientData/>
  </xdr:twoCellAnchor>
  <xdr:twoCellAnchor>
    <xdr:from>
      <xdr:col>5</xdr:col>
      <xdr:colOff>82550</xdr:colOff>
      <xdr:row>6</xdr:row>
      <xdr:rowOff>25400</xdr:rowOff>
    </xdr:from>
    <xdr:to>
      <xdr:col>10</xdr:col>
      <xdr:colOff>412750</xdr:colOff>
      <xdr:row>9</xdr:row>
      <xdr:rowOff>88900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32418FB-4430-480D-90DB-1CA587A6C0F4}"/>
            </a:ext>
          </a:extLst>
        </xdr:cNvPr>
        <xdr:cNvSpPr txBox="1"/>
      </xdr:nvSpPr>
      <xdr:spPr>
        <a:xfrm>
          <a:off x="3346450" y="1130300"/>
          <a:ext cx="3632200" cy="615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ru-RU" sz="1400" u="sng"/>
            <a:t>От кого:</a:t>
          </a:r>
          <a:r>
            <a:rPr lang="ru-RU" sz="1400" u="sng" baseline="0"/>
            <a:t> </a:t>
          </a:r>
          <a:r>
            <a:rPr lang="ru-RU" sz="1400" b="1" u="sng" baseline="0"/>
            <a:t>Андрон Алексанян </a:t>
          </a:r>
          <a:r>
            <a:rPr lang="ru-RU" sz="1400" i="1" u="sng" baseline="0"/>
            <a:t>(</a:t>
          </a:r>
          <a:r>
            <a:rPr lang="en-US" sz="1400" i="1" u="sng" baseline="0"/>
            <a:t>CEO Simulative)</a:t>
          </a:r>
          <a:br>
            <a:rPr lang="en-US" sz="1400" u="sng" baseline="0"/>
          </a:br>
          <a:r>
            <a:rPr lang="ru-RU" sz="1400" u="sng" baseline="0"/>
            <a:t>Тема: Суммарные показатели по продажам</a:t>
          </a:r>
          <a:endParaRPr lang="ru-RU" sz="1400" u="sng"/>
        </a:p>
      </xdr:txBody>
    </xdr:sp>
    <xdr:clientData/>
  </xdr:twoCellAnchor>
  <xdr:twoCellAnchor>
    <xdr:from>
      <xdr:col>3</xdr:col>
      <xdr:colOff>44450</xdr:colOff>
      <xdr:row>10</xdr:row>
      <xdr:rowOff>133350</xdr:rowOff>
    </xdr:from>
    <xdr:to>
      <xdr:col>10</xdr:col>
      <xdr:colOff>330200</xdr:colOff>
      <xdr:row>28</xdr:row>
      <xdr:rowOff>101600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47D1480-E147-46B7-9177-05233F324B73}"/>
            </a:ext>
          </a:extLst>
        </xdr:cNvPr>
        <xdr:cNvSpPr txBox="1"/>
      </xdr:nvSpPr>
      <xdr:spPr>
        <a:xfrm>
          <a:off x="1987550" y="1974850"/>
          <a:ext cx="4908550" cy="32829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spcAft>
              <a:spcPts val="1000"/>
            </a:spcAft>
          </a:pPr>
          <a:endParaRPr lang="en-US" sz="900">
            <a:solidFill>
              <a:srgbClr val="000000"/>
            </a:solidFill>
            <a:effectLst/>
            <a:latin typeface="Liberation Sans"/>
          </a:endParaRPr>
        </a:p>
        <a:p>
          <a:pPr>
            <a:spcAft>
              <a:spcPts val="1000"/>
            </a:spcAft>
          </a:pPr>
          <a:endParaRPr lang="en-US" sz="900">
            <a:solidFill>
              <a:srgbClr val="000000"/>
            </a:solidFill>
            <a:effectLst/>
            <a:latin typeface="Liberation Sans"/>
          </a:endParaRPr>
        </a:p>
        <a:p>
          <a:pPr>
            <a:spcAft>
              <a:spcPts val="1000"/>
            </a:spcAft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Давай сделаем другой отчет (по данному прототипу мы впоследствии подставим свои данные).</a:t>
          </a:r>
          <a:endParaRPr lang="ru-RU" sz="900">
            <a:effectLst/>
          </a:endParaRPr>
        </a:p>
        <a:p>
          <a:pPr>
            <a:spcAft>
              <a:spcPts val="1000"/>
            </a:spcAft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Что нужно:</a:t>
          </a:r>
        </a:p>
        <a:p>
          <a:pPr>
            <a:spcAft>
              <a:spcPts val="1000"/>
            </a:spcAft>
          </a:pPr>
          <a:br>
            <a:rPr lang="ru-RU" sz="900">
              <a:solidFill>
                <a:srgbClr val="000000"/>
              </a:solidFill>
              <a:effectLst/>
              <a:latin typeface="Liberation Sans"/>
            </a:rPr>
          </a:br>
          <a:r>
            <a:rPr lang="ru-RU" sz="900">
              <a:solidFill>
                <a:srgbClr val="000000"/>
              </a:solidFill>
              <a:effectLst/>
              <a:latin typeface="Liberation Sans"/>
            </a:rPr>
            <a:t> На основании года, месяца и категории продукта необходимо:</a:t>
          </a:r>
          <a:endParaRPr lang="ru-RU" sz="900">
            <a:effectLst/>
          </a:endParaRPr>
        </a:p>
        <a:p>
          <a:pPr marL="449999" indent="-228600">
            <a:spcAft>
              <a:spcPts val="1000"/>
            </a:spcAft>
            <a:buFont typeface="+mj-lt"/>
            <a:buAutoNum type="arabicPeriod"/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Посчитать общий объем продаж (цена × количество).</a:t>
          </a:r>
          <a:endParaRPr lang="ru-RU" sz="900">
            <a:effectLst/>
          </a:endParaRPr>
        </a:p>
        <a:p>
          <a:pPr marL="449999" indent="-228600">
            <a:spcAft>
              <a:spcPts val="1000"/>
            </a:spcAft>
            <a:buFont typeface="+mj-lt"/>
            <a:buAutoNum type="arabicPeriod"/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Подсчитать суммарное количество проданных единиц.</a:t>
          </a:r>
          <a:endParaRPr lang="ru-RU" sz="900">
            <a:effectLst/>
          </a:endParaRPr>
        </a:p>
        <a:p>
          <a:pPr marL="449999" indent="-228600">
            <a:spcAft>
              <a:spcPts val="1000"/>
            </a:spcAft>
            <a:buFont typeface="+mj-lt"/>
            <a:buAutoNum type="arabicPeriod"/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Если есть возможность, добавить механизм самопроверки:</a:t>
          </a:r>
          <a:endParaRPr lang="ru-RU" sz="900">
            <a:effectLst/>
          </a:endParaRPr>
        </a:p>
        <a:p>
          <a:pPr marL="907199" lvl="1" indent="-228600">
            <a:spcAft>
              <a:spcPts val="1000"/>
            </a:spcAft>
            <a:buFont typeface="Arial" panose="020B0604020202020204" pitchFamily="34" charset="0"/>
            <a:buChar char="•"/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Например, сверить итоговые суммы с контрольными данными, чтобы убедиться в корректности расчетов.</a:t>
          </a:r>
          <a:endParaRPr lang="ru-RU" sz="900">
            <a:effectLst/>
          </a:endParaRPr>
        </a:p>
        <a:p>
          <a:pPr>
            <a:spcAft>
              <a:spcPts val="1000"/>
            </a:spcAft>
          </a:pPr>
          <a:endParaRPr lang="en-US" sz="900">
            <a:solidFill>
              <a:srgbClr val="000000"/>
            </a:solidFill>
            <a:effectLst/>
            <a:latin typeface="Liberation Sans"/>
          </a:endParaRPr>
        </a:p>
      </xdr:txBody>
    </xdr:sp>
    <xdr:clientData/>
  </xdr:twoCellAnchor>
  <xdr:twoCellAnchor editAs="oneCell">
    <xdr:from>
      <xdr:col>3</xdr:col>
      <xdr:colOff>141422</xdr:colOff>
      <xdr:row>29</xdr:row>
      <xdr:rowOff>20262</xdr:rowOff>
    </xdr:from>
    <xdr:to>
      <xdr:col>3</xdr:col>
      <xdr:colOff>418930</xdr:colOff>
      <xdr:row>30</xdr:row>
      <xdr:rowOff>113620</xdr:rowOff>
    </xdr:to>
    <xdr:pic>
      <xdr:nvPicPr>
        <xdr:cNvPr id="10" name="Рисунок 9" descr="Скрепка со сплошной заливкой">
          <a:extLst>
            <a:ext uri="{FF2B5EF4-FFF2-40B4-BE49-F238E27FC236}">
              <a16:creationId xmlns:a16="http://schemas.microsoft.com/office/drawing/2014/main" id="{3730A78C-5C26-4AE0-AFF2-2D6D4846C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 rot="1890577">
          <a:off x="2084522" y="5360612"/>
          <a:ext cx="277508" cy="277508"/>
        </a:xfrm>
        <a:prstGeom prst="rect">
          <a:avLst/>
        </a:prstGeom>
      </xdr:spPr>
    </xdr:pic>
    <xdr:clientData/>
  </xdr:twoCellAnchor>
  <xdr:twoCellAnchor>
    <xdr:from>
      <xdr:col>9</xdr:col>
      <xdr:colOff>139700</xdr:colOff>
      <xdr:row>29</xdr:row>
      <xdr:rowOff>57150</xdr:rowOff>
    </xdr:from>
    <xdr:to>
      <xdr:col>10</xdr:col>
      <xdr:colOff>330200</xdr:colOff>
      <xdr:row>30</xdr:row>
      <xdr:rowOff>101600</xdr:rowOff>
    </xdr:to>
    <xdr:sp macro="" textlink="">
      <xdr:nvSpPr>
        <xdr:cNvPr id="11" name="TextBox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8F6D33F-7048-4E84-8B5F-C46FEEC459A4}"/>
            </a:ext>
          </a:extLst>
        </xdr:cNvPr>
        <xdr:cNvSpPr txBox="1"/>
      </xdr:nvSpPr>
      <xdr:spPr>
        <a:xfrm>
          <a:off x="6045200" y="5397500"/>
          <a:ext cx="850900" cy="228600"/>
        </a:xfrm>
        <a:prstGeom prst="rect">
          <a:avLst/>
        </a:prstGeom>
        <a:noFill/>
        <a:ln w="9525" cmpd="sng">
          <a:solidFill>
            <a:sysClr val="windowText" lastClr="000000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900" b="1">
              <a:latin typeface="Fira Sans" panose="020B0503050000020004" pitchFamily="34" charset="0"/>
            </a:rPr>
            <a:t>Выполнить</a:t>
          </a:r>
          <a:endParaRPr lang="ru-RU" sz="1200" b="1">
            <a:latin typeface="Fira Sans" panose="020B0503050000020004" pitchFamily="34" charset="0"/>
          </a:endParaRPr>
        </a:p>
      </xdr:txBody>
    </xdr:sp>
    <xdr:clientData/>
  </xdr:twoCellAnchor>
  <xdr:twoCellAnchor>
    <xdr:from>
      <xdr:col>3</xdr:col>
      <xdr:colOff>311150</xdr:colOff>
      <xdr:row>28</xdr:row>
      <xdr:rowOff>152400</xdr:rowOff>
    </xdr:from>
    <xdr:to>
      <xdr:col>6</xdr:col>
      <xdr:colOff>146050</xdr:colOff>
      <xdr:row>30</xdr:row>
      <xdr:rowOff>139700</xdr:rowOff>
    </xdr:to>
    <xdr:sp macro="" textlink="">
      <xdr:nvSpPr>
        <xdr:cNvPr id="12" name="TextBox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FF3979F-564D-4E34-B1BC-CB98F7E5CEDA}"/>
            </a:ext>
          </a:extLst>
        </xdr:cNvPr>
        <xdr:cNvSpPr txBox="1"/>
      </xdr:nvSpPr>
      <xdr:spPr>
        <a:xfrm>
          <a:off x="2254250" y="5308600"/>
          <a:ext cx="1816100" cy="355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Прототип</a:t>
          </a:r>
          <a:endParaRPr lang="ru-RU" sz="1050" b="0" i="1" u="none"/>
        </a:p>
      </xdr:txBody>
    </xdr:sp>
    <xdr:clientData/>
  </xdr:twoCellAnchor>
  <xdr:twoCellAnchor>
    <xdr:from>
      <xdr:col>0</xdr:col>
      <xdr:colOff>114300</xdr:colOff>
      <xdr:row>0</xdr:row>
      <xdr:rowOff>133350</xdr:rowOff>
    </xdr:from>
    <xdr:to>
      <xdr:col>1</xdr:col>
      <xdr:colOff>266700</xdr:colOff>
      <xdr:row>27</xdr:row>
      <xdr:rowOff>127000</xdr:rowOff>
    </xdr:to>
    <xdr:sp macro="" textlink="">
      <xdr:nvSpPr>
        <xdr:cNvPr id="14" name="Google Shape;64;p14">
          <a:extLst>
            <a:ext uri="{FF2B5EF4-FFF2-40B4-BE49-F238E27FC236}">
              <a16:creationId xmlns:a16="http://schemas.microsoft.com/office/drawing/2014/main" id="{1B4F303C-07B4-4E4D-A292-C951DFE6A7EF}"/>
            </a:ext>
          </a:extLst>
        </xdr:cNvPr>
        <xdr:cNvSpPr txBox="1"/>
      </xdr:nvSpPr>
      <xdr:spPr>
        <a:xfrm rot="-5400000">
          <a:off x="-2082800" y="2330450"/>
          <a:ext cx="49657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1800">
              <a:latin typeface="Fira Sans"/>
              <a:ea typeface="Fira Sans"/>
              <a:cs typeface="Fira Sans"/>
              <a:sym typeface="Fira Sans"/>
            </a:rPr>
            <a:t>Работа с функциями</a:t>
          </a:r>
          <a:r>
            <a:rPr lang="ru-RU" sz="1800" baseline="0">
              <a:latin typeface="Fira Sans"/>
              <a:ea typeface="Fira Sans"/>
              <a:cs typeface="Fira Sans"/>
              <a:sym typeface="Fira Sans"/>
            </a:rPr>
            <a:t> </a:t>
          </a:r>
          <a:r>
            <a:rPr lang="ru" sz="1800">
              <a:latin typeface="Fira Sans"/>
              <a:ea typeface="Fira Sans"/>
              <a:cs typeface="Fira Sans"/>
              <a:sym typeface="Fira Sans"/>
            </a:rPr>
            <a:t>/</a:t>
          </a:r>
          <a:r>
            <a:rPr lang="ru" sz="1800" baseline="0">
              <a:latin typeface="Fira Sans"/>
              <a:ea typeface="Fira Sans"/>
              <a:cs typeface="Fira Sans"/>
              <a:sym typeface="Fira Sans"/>
            </a:rPr>
            <a:t> Ссылки и массивы</a:t>
          </a:r>
          <a:endParaRPr sz="18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406400</xdr:colOff>
      <xdr:row>8</xdr:row>
      <xdr:rowOff>25400</xdr:rowOff>
    </xdr:from>
    <xdr:to>
      <xdr:col>42</xdr:col>
      <xdr:colOff>50800</xdr:colOff>
      <xdr:row>27</xdr:row>
      <xdr:rowOff>165100</xdr:rowOff>
    </xdr:to>
    <xdr:sp macro="" textlink="">
      <xdr:nvSpPr>
        <xdr:cNvPr id="2" name="Google Shape;64;p14">
          <a:extLst>
            <a:ext uri="{FF2B5EF4-FFF2-40B4-BE49-F238E27FC236}">
              <a16:creationId xmlns:a16="http://schemas.microsoft.com/office/drawing/2014/main" id="{E3EBD803-524F-4966-A73B-7051C5483CA7}"/>
            </a:ext>
          </a:extLst>
        </xdr:cNvPr>
        <xdr:cNvSpPr txBox="1"/>
      </xdr:nvSpPr>
      <xdr:spPr>
        <a:xfrm rot="-5400000">
          <a:off x="28933775" y="3076575"/>
          <a:ext cx="3638550" cy="482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4400">
              <a:latin typeface="Fira Sans"/>
              <a:ea typeface="Fira Sans"/>
              <a:cs typeface="Fira Sans"/>
              <a:sym typeface="Fira Sans"/>
            </a:rPr>
            <a:t>Решение</a:t>
          </a:r>
          <a:endParaRPr sz="44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  <xdr:twoCellAnchor>
    <xdr:from>
      <xdr:col>0</xdr:col>
      <xdr:colOff>406400</xdr:colOff>
      <xdr:row>8</xdr:row>
      <xdr:rowOff>25400</xdr:rowOff>
    </xdr:from>
    <xdr:to>
      <xdr:col>2</xdr:col>
      <xdr:colOff>50800</xdr:colOff>
      <xdr:row>27</xdr:row>
      <xdr:rowOff>165100</xdr:rowOff>
    </xdr:to>
    <xdr:sp macro="" textlink="">
      <xdr:nvSpPr>
        <xdr:cNvPr id="3" name="Google Shape;64;p14">
          <a:extLst>
            <a:ext uri="{FF2B5EF4-FFF2-40B4-BE49-F238E27FC236}">
              <a16:creationId xmlns:a16="http://schemas.microsoft.com/office/drawing/2014/main" id="{51DAE9AF-C1ED-4F9D-B872-076F9DD85B45}"/>
            </a:ext>
          </a:extLst>
        </xdr:cNvPr>
        <xdr:cNvSpPr txBox="1"/>
      </xdr:nvSpPr>
      <xdr:spPr>
        <a:xfrm rot="-5400000">
          <a:off x="-1228725" y="3082925"/>
          <a:ext cx="3638550" cy="469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4400">
              <a:latin typeface="Fira Sans"/>
              <a:ea typeface="Fira Sans"/>
              <a:cs typeface="Fira Sans"/>
              <a:sym typeface="Fira Sans"/>
            </a:rPr>
            <a:t>Практика</a:t>
          </a:r>
          <a:endParaRPr sz="44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  <xdr:twoCellAnchor>
    <xdr:from>
      <xdr:col>0</xdr:col>
      <xdr:colOff>215900</xdr:colOff>
      <xdr:row>28</xdr:row>
      <xdr:rowOff>69850</xdr:rowOff>
    </xdr:from>
    <xdr:to>
      <xdr:col>2</xdr:col>
      <xdr:colOff>228600</xdr:colOff>
      <xdr:row>29</xdr:row>
      <xdr:rowOff>114300</xdr:rowOff>
    </xdr:to>
    <xdr:sp macro="" textlink="">
      <xdr:nvSpPr>
        <xdr:cNvPr id="4" name="TextBox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DCA1DF-D4D7-46FD-9433-A059D2C102D5}"/>
            </a:ext>
          </a:extLst>
        </xdr:cNvPr>
        <xdr:cNvSpPr txBox="1"/>
      </xdr:nvSpPr>
      <xdr:spPr>
        <a:xfrm>
          <a:off x="215900" y="5441950"/>
          <a:ext cx="787400" cy="228600"/>
        </a:xfrm>
        <a:prstGeom prst="rect">
          <a:avLst/>
        </a:prstGeom>
        <a:noFill/>
        <a:ln w="9525" cmpd="sng">
          <a:solidFill>
            <a:sysClr val="windowText" lastClr="000000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ru-RU" sz="900" b="1">
              <a:solidFill>
                <a:schemeClr val="dk1"/>
              </a:solidFill>
              <a:latin typeface="Fira Sans" panose="020B0503050000020004" pitchFamily="34" charset="0"/>
              <a:ea typeface="+mn-ea"/>
              <a:cs typeface="+mn-cs"/>
            </a:rPr>
            <a:t>Решение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406400</xdr:colOff>
      <xdr:row>8</xdr:row>
      <xdr:rowOff>25400</xdr:rowOff>
    </xdr:from>
    <xdr:to>
      <xdr:col>2</xdr:col>
      <xdr:colOff>50800</xdr:colOff>
      <xdr:row>27</xdr:row>
      <xdr:rowOff>165100</xdr:rowOff>
    </xdr:to>
    <xdr:sp macro="" textlink="">
      <xdr:nvSpPr>
        <xdr:cNvPr id="3" name="Google Shape;64;p14">
          <a:extLst>
            <a:ext uri="{FF2B5EF4-FFF2-40B4-BE49-F238E27FC236}">
              <a16:creationId xmlns:a16="http://schemas.microsoft.com/office/drawing/2014/main" id="{2244C8E6-E38D-49A2-A25A-D2904FA34F0E}"/>
            </a:ext>
          </a:extLst>
        </xdr:cNvPr>
        <xdr:cNvSpPr txBox="1"/>
      </xdr:nvSpPr>
      <xdr:spPr>
        <a:xfrm rot="-5400000">
          <a:off x="-1228725" y="3082925"/>
          <a:ext cx="3638550" cy="469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4400">
              <a:latin typeface="Fira Sans"/>
              <a:ea typeface="Fira Sans"/>
              <a:cs typeface="Fira Sans"/>
              <a:sym typeface="Fira Sans"/>
            </a:rPr>
            <a:t>Практика</a:t>
          </a:r>
          <a:endParaRPr sz="44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8</xdr:row>
      <xdr:rowOff>25400</xdr:rowOff>
    </xdr:from>
    <xdr:to>
      <xdr:col>2</xdr:col>
      <xdr:colOff>50800</xdr:colOff>
      <xdr:row>27</xdr:row>
      <xdr:rowOff>165100</xdr:rowOff>
    </xdr:to>
    <xdr:sp macro="" textlink="">
      <xdr:nvSpPr>
        <xdr:cNvPr id="2" name="Google Shape;64;p14">
          <a:extLst>
            <a:ext uri="{FF2B5EF4-FFF2-40B4-BE49-F238E27FC236}">
              <a16:creationId xmlns:a16="http://schemas.microsoft.com/office/drawing/2014/main" id="{3BD3995D-69A4-4A8C-9296-67E76061DD0B}"/>
            </a:ext>
          </a:extLst>
        </xdr:cNvPr>
        <xdr:cNvSpPr txBox="1"/>
      </xdr:nvSpPr>
      <xdr:spPr>
        <a:xfrm rot="-5400000">
          <a:off x="-1228725" y="3089275"/>
          <a:ext cx="3638550" cy="469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4400">
              <a:latin typeface="Fira Sans"/>
              <a:ea typeface="Fira Sans"/>
              <a:cs typeface="Fira Sans"/>
              <a:sym typeface="Fira Sans"/>
            </a:rPr>
            <a:t>Практика</a:t>
          </a:r>
          <a:endParaRPr sz="44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2</xdr:row>
      <xdr:rowOff>177800</xdr:rowOff>
    </xdr:from>
    <xdr:to>
      <xdr:col>1</xdr:col>
      <xdr:colOff>241300</xdr:colOff>
      <xdr:row>27</xdr:row>
      <xdr:rowOff>107950</xdr:rowOff>
    </xdr:to>
    <xdr:sp macro="" textlink="">
      <xdr:nvSpPr>
        <xdr:cNvPr id="2" name="Google Shape;64;p14">
          <a:extLst>
            <a:ext uri="{FF2B5EF4-FFF2-40B4-BE49-F238E27FC236}">
              <a16:creationId xmlns:a16="http://schemas.microsoft.com/office/drawing/2014/main" id="{011E4D0E-6AD3-4DCD-B7A8-883B55DD1F9B}"/>
            </a:ext>
          </a:extLst>
        </xdr:cNvPr>
        <xdr:cNvSpPr txBox="1"/>
      </xdr:nvSpPr>
      <xdr:spPr>
        <a:xfrm rot="-5400000">
          <a:off x="-1936750" y="2527300"/>
          <a:ext cx="45339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2000">
              <a:latin typeface="Fira Sans"/>
              <a:ea typeface="Fira Sans"/>
              <a:cs typeface="Fira Sans"/>
              <a:sym typeface="Fira Sans"/>
            </a:rPr>
            <a:t>Справка</a:t>
          </a:r>
          <a:endParaRPr sz="20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support.microsoft.com/ru-ru/office/%D1%84%D1%83%D0%BD%D0%BA%D1%86%D0%B8%D0%B8-%D1%81%D1%81%D1%8B%D0%BB%D0%BA%D0%B8-%D0%B8-%D0%BF%D0%BE%D0%B8%D1%81%D0%BA%D0%B0-%D1%81%D0%BF%D1%80%D0%B0%D0%B2%D0%BA%D0%B0-8aa21a3a-b56a-4055-8257-3ec89df2b23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488B4-BAE6-44EF-8043-D33E92246133}">
  <dimension ref="A1:T99"/>
  <sheetViews>
    <sheetView showGridLines="0" zoomScaleNormal="100" workbookViewId="0">
      <selection activeCell="O13" sqref="O13"/>
    </sheetView>
  </sheetViews>
  <sheetFormatPr defaultColWidth="0" defaultRowHeight="14.45" customHeight="1" zeroHeight="1" x14ac:dyDescent="0.25"/>
  <cols>
    <col min="1" max="1" width="5.5" style="2" customWidth="1"/>
    <col min="2" max="2" width="5.125" style="2" customWidth="1"/>
    <col min="3" max="3" width="14.875" style="1" customWidth="1"/>
    <col min="4" max="20" width="8.625" style="1" customWidth="1"/>
    <col min="21" max="16384" width="8.625" style="1" hidden="1"/>
  </cols>
  <sheetData>
    <row r="1" ht="15" x14ac:dyDescent="0.25"/>
    <row r="2" ht="15" x14ac:dyDescent="0.25"/>
    <row r="3" ht="15" x14ac:dyDescent="0.25"/>
    <row r="4" ht="15" x14ac:dyDescent="0.25"/>
    <row r="5" ht="15" x14ac:dyDescent="0.25"/>
    <row r="6" ht="15" x14ac:dyDescent="0.25"/>
    <row r="7" ht="15" x14ac:dyDescent="0.25"/>
    <row r="8" ht="15" x14ac:dyDescent="0.25"/>
    <row r="9" ht="15" x14ac:dyDescent="0.25"/>
    <row r="10" ht="15" x14ac:dyDescent="0.25"/>
    <row r="11" ht="15" x14ac:dyDescent="0.25"/>
    <row r="12" ht="15" x14ac:dyDescent="0.25"/>
    <row r="13" ht="15" x14ac:dyDescent="0.25"/>
    <row r="14" ht="15" x14ac:dyDescent="0.25"/>
    <row r="15" ht="15" x14ac:dyDescent="0.25"/>
    <row r="16" ht="15" x14ac:dyDescent="0.25"/>
    <row r="17" spans="1:1" ht="15" x14ac:dyDescent="0.25"/>
    <row r="18" spans="1:1" ht="15" x14ac:dyDescent="0.25"/>
    <row r="19" spans="1:1" ht="15" x14ac:dyDescent="0.25"/>
    <row r="20" spans="1:1" ht="15" x14ac:dyDescent="0.25"/>
    <row r="21" spans="1:1" ht="15" x14ac:dyDescent="0.25"/>
    <row r="22" spans="1:1" ht="15" x14ac:dyDescent="0.25"/>
    <row r="23" spans="1:1" ht="15" x14ac:dyDescent="0.25"/>
    <row r="24" spans="1:1" ht="15" x14ac:dyDescent="0.25"/>
    <row r="25" spans="1:1" ht="15" x14ac:dyDescent="0.25"/>
    <row r="26" spans="1:1" ht="15" x14ac:dyDescent="0.25"/>
    <row r="27" spans="1:1" ht="15" x14ac:dyDescent="0.25"/>
    <row r="28" spans="1:1" ht="15" x14ac:dyDescent="0.25"/>
    <row r="29" spans="1:1" ht="15" x14ac:dyDescent="0.25"/>
    <row r="30" spans="1:1" ht="15" x14ac:dyDescent="0.25"/>
    <row r="31" spans="1:1" ht="15" x14ac:dyDescent="0.25"/>
    <row r="32" spans="1:1" ht="15" x14ac:dyDescent="0.25">
      <c r="A32" s="2">
        <v>1</v>
      </c>
    </row>
    <row r="33" ht="15" x14ac:dyDescent="0.25"/>
    <row r="34" ht="15" x14ac:dyDescent="0.25"/>
    <row r="66" spans="1:1" ht="15" hidden="1" x14ac:dyDescent="0.25">
      <c r="A66" s="2">
        <v>1</v>
      </c>
    </row>
    <row r="99" spans="1:1" ht="15" hidden="1" x14ac:dyDescent="0.25">
      <c r="A99" s="2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48D21-9068-4F03-8E78-65BD6A355C57}">
  <dimension ref="A4:BG17"/>
  <sheetViews>
    <sheetView tabSelected="1" workbookViewId="0">
      <selection activeCell="M5" sqref="M5"/>
    </sheetView>
  </sheetViews>
  <sheetFormatPr defaultColWidth="8.625" defaultRowHeight="15" x14ac:dyDescent="0.25"/>
  <cols>
    <col min="1" max="1" width="2.125" style="2" customWidth="1"/>
    <col min="2" max="2" width="6.25" style="2" customWidth="1"/>
    <col min="3" max="3" width="4.75" style="2" customWidth="1"/>
    <col min="4" max="5" width="8.625" style="1"/>
    <col min="6" max="6" width="9.125" style="1" bestFit="1" customWidth="1"/>
    <col min="7" max="7" width="17.375" style="1" bestFit="1" customWidth="1"/>
    <col min="8" max="8" width="12.5" style="1" customWidth="1"/>
    <col min="9" max="9" width="11.625" style="1" bestFit="1" customWidth="1"/>
    <col min="10" max="11" width="8.625" style="1"/>
    <col min="12" max="12" width="9.625" style="1" bestFit="1" customWidth="1"/>
    <col min="13" max="13" width="22.125" style="1" customWidth="1"/>
    <col min="14" max="40" width="8.625" style="1"/>
    <col min="41" max="41" width="3.125" style="2" customWidth="1"/>
    <col min="42" max="42" width="2.875" style="2" customWidth="1"/>
    <col min="43" max="43" width="3.75" style="2" customWidth="1"/>
    <col min="44" max="44" width="5.125" style="1" customWidth="1"/>
    <col min="45" max="45" width="4.375" style="1" customWidth="1"/>
    <col min="46" max="46" width="8.625" style="1"/>
    <col min="47" max="47" width="17.375" style="1" bestFit="1" customWidth="1"/>
    <col min="48" max="48" width="13.625" style="1" customWidth="1"/>
    <col min="49" max="49" width="9.875" style="1" bestFit="1" customWidth="1"/>
    <col min="50" max="50" width="7.875" style="1" customWidth="1"/>
    <col min="51" max="51" width="8.625" style="1" customWidth="1"/>
    <col min="52" max="52" width="8.875" style="1" customWidth="1"/>
    <col min="53" max="53" width="8.375" style="1" customWidth="1"/>
    <col min="54" max="54" width="4.375" style="1" customWidth="1"/>
    <col min="55" max="55" width="4.875" style="1" customWidth="1"/>
    <col min="56" max="59" width="8.625" style="1" customWidth="1"/>
    <col min="60" max="16384" width="8.625" style="1"/>
  </cols>
  <sheetData>
    <row r="4" spans="7:59" ht="15.75" thickBot="1" x14ac:dyDescent="0.3">
      <c r="BD4" s="8"/>
      <c r="BE4" s="8"/>
      <c r="BF4" s="8"/>
      <c r="BG4" s="8"/>
    </row>
    <row r="5" spans="7:59" ht="15.75" x14ac:dyDescent="0.25">
      <c r="M5" s="8" t="s">
        <v>1</v>
      </c>
      <c r="N5" s="8"/>
      <c r="O5" s="8"/>
      <c r="P5" s="8" t="s">
        <v>21</v>
      </c>
      <c r="AU5" s="10" t="s">
        <v>25</v>
      </c>
      <c r="AV5" s="13">
        <v>2023</v>
      </c>
      <c r="BD5" s="8" t="s">
        <v>1</v>
      </c>
      <c r="BE5" s="8"/>
      <c r="BF5" s="8"/>
      <c r="BG5" s="8" t="s">
        <v>21</v>
      </c>
    </row>
    <row r="6" spans="7:59" ht="15.75" x14ac:dyDescent="0.25">
      <c r="M6" s="8" t="s">
        <v>2</v>
      </c>
      <c r="N6" s="8"/>
      <c r="O6" s="8"/>
      <c r="P6" s="8" t="s">
        <v>24</v>
      </c>
      <c r="AU6" s="11" t="s">
        <v>26</v>
      </c>
      <c r="AV6" s="14" t="s">
        <v>5</v>
      </c>
      <c r="BD6" s="8" t="s">
        <v>2</v>
      </c>
      <c r="BE6" s="8"/>
      <c r="BF6" s="8"/>
      <c r="BG6" s="8" t="s">
        <v>24</v>
      </c>
    </row>
    <row r="7" spans="7:59" ht="16.5" thickBot="1" x14ac:dyDescent="0.3">
      <c r="M7" s="8" t="s">
        <v>3</v>
      </c>
      <c r="N7" s="8"/>
      <c r="O7" s="8"/>
      <c r="P7" s="8" t="s">
        <v>23</v>
      </c>
      <c r="AU7" s="12" t="s">
        <v>18</v>
      </c>
      <c r="AV7" s="15" t="s">
        <v>21</v>
      </c>
      <c r="BD7" s="8" t="s">
        <v>3</v>
      </c>
      <c r="BE7" s="8"/>
      <c r="BF7" s="8"/>
      <c r="BG7" s="8" t="s">
        <v>23</v>
      </c>
    </row>
    <row r="8" spans="7:59" x14ac:dyDescent="0.25">
      <c r="M8" s="8" t="s">
        <v>4</v>
      </c>
      <c r="N8" s="8"/>
      <c r="O8" s="8"/>
      <c r="P8" s="8"/>
      <c r="BD8" s="8" t="s">
        <v>4</v>
      </c>
      <c r="BE8" s="8"/>
      <c r="BF8" s="8"/>
      <c r="BG8" s="8"/>
    </row>
    <row r="9" spans="7:59" ht="21" thickBot="1" x14ac:dyDescent="0.35">
      <c r="M9" s="8" t="s">
        <v>5</v>
      </c>
      <c r="N9" s="8"/>
      <c r="O9" s="8"/>
      <c r="P9" s="8"/>
      <c r="AU9" s="16" t="s">
        <v>29</v>
      </c>
      <c r="AV9" s="17" cm="1">
        <f t="array" ref="AV9">SUMPRODUCT((Продажи!$G$9:$G$2004=Выполнить!$AV$5)*(Продажи!$H$9:$H$2004=Выполнить!$AV$6)*(Продажи!$K$9:$K$2004=Выполнить!$AV$7)*(Продажи!$L$9:$L$2004*Продажи!$M$9:$M$2004))</f>
        <v>12450</v>
      </c>
      <c r="BD9" s="8" t="s">
        <v>5</v>
      </c>
      <c r="BE9" s="8"/>
      <c r="BF9" s="8"/>
      <c r="BG9" s="8"/>
    </row>
    <row r="10" spans="7:59" x14ac:dyDescent="0.25">
      <c r="G10" s="22" t="s">
        <v>25</v>
      </c>
      <c r="H10" s="58">
        <v>2024</v>
      </c>
      <c r="M10" s="8" t="s">
        <v>6</v>
      </c>
      <c r="N10" s="8"/>
      <c r="O10" s="8"/>
      <c r="P10" s="8"/>
      <c r="AT10" s="9"/>
      <c r="AU10" s="18" t="s">
        <v>27</v>
      </c>
      <c r="AV10" s="19">
        <f>SUMIFS(Продажи!N:N,Продажи!G:G,Выполнить!AV5,Продажи!H:H,Выполнить!AV6,Продажи!K:K,Выполнить!AV7)</f>
        <v>12450</v>
      </c>
      <c r="AW10" s="9"/>
      <c r="AX10" s="9"/>
      <c r="BD10" s="8" t="s">
        <v>6</v>
      </c>
      <c r="BE10" s="8"/>
      <c r="BF10" s="8"/>
      <c r="BG10" s="8"/>
    </row>
    <row r="11" spans="7:59" x14ac:dyDescent="0.25">
      <c r="G11" s="23" t="s">
        <v>26</v>
      </c>
      <c r="H11" s="59" t="s">
        <v>6</v>
      </c>
      <c r="M11" s="8" t="s">
        <v>7</v>
      </c>
      <c r="N11" s="8"/>
      <c r="O11" s="8"/>
      <c r="P11" s="8"/>
      <c r="AT11" s="9"/>
      <c r="AU11" s="18" t="s">
        <v>28</v>
      </c>
      <c r="AV11" s="19">
        <f t="array" ref="AV11">SUM((Продажи!$G$9:$G$2004=Выполнить!$AV$5)*(Продажи!$H$9:$H$2004=Выполнить!$AV$6)*(Продажи!$K$9:$K$2004=Выполнить!$AV$7)*(Продажи!L9:L2004*Продажи!M9:M2004))</f>
        <v>12450</v>
      </c>
      <c r="AW11" s="19">
        <f t="array" ref="AW11">SUM((Продажи!$G$9:$G$2004=Выполнить!$AV$5)*(Продажи!$H$9:$H$2004=Выполнить!$AV$6)*(Продажи!$K$9:$K$2004=Выполнить!$AV$7)*(Продажи!L9:L2004*Продажи!M9:M2004))</f>
        <v>12450</v>
      </c>
      <c r="AX11" s="9"/>
      <c r="BD11" s="8" t="s">
        <v>7</v>
      </c>
      <c r="BE11" s="8"/>
      <c r="BF11" s="8"/>
      <c r="BG11" s="8"/>
    </row>
    <row r="12" spans="7:59" ht="15.75" thickBot="1" x14ac:dyDescent="0.3">
      <c r="G12" s="24" t="s">
        <v>18</v>
      </c>
      <c r="H12" s="60" t="s">
        <v>24</v>
      </c>
      <c r="M12" s="8" t="s">
        <v>8</v>
      </c>
      <c r="N12" s="8"/>
      <c r="O12" s="8"/>
      <c r="P12" s="8"/>
      <c r="BD12" s="8" t="s">
        <v>8</v>
      </c>
      <c r="BE12" s="8"/>
      <c r="BF12" s="8"/>
      <c r="BG12" s="8"/>
    </row>
    <row r="13" spans="7:59" ht="21" thickBot="1" x14ac:dyDescent="0.35">
      <c r="M13" s="8" t="s">
        <v>9</v>
      </c>
      <c r="N13" s="8"/>
      <c r="O13" s="8"/>
      <c r="P13" s="8"/>
      <c r="AU13" s="16" t="s">
        <v>30</v>
      </c>
      <c r="AV13" s="17" cm="1">
        <f t="array" ref="AV13">SUMPRODUCT((Продажи!$G$9:$G$2004=Выполнить!$AV$5)*(Продажи!$H$9:$H$2004=Выполнить!$AV$6)*(Продажи!$K$9:$K$2004=Выполнить!$AV$7)*(Продажи!$L$9:$L$2004))</f>
        <v>65</v>
      </c>
      <c r="BD13" s="8" t="s">
        <v>9</v>
      </c>
      <c r="BE13" s="8"/>
      <c r="BF13" s="8"/>
      <c r="BG13" s="8"/>
    </row>
    <row r="14" spans="7:59" ht="18.75" x14ac:dyDescent="0.3">
      <c r="G14" s="20" t="s">
        <v>29</v>
      </c>
      <c r="H14" s="57">
        <f>SUMPRODUCT((Продажи_отчет!$G$9:$G$2004=Выполнить!$H$10)*(Продажи_отчет!$H$9:$H$2004=Выполнить!$H$11)*(Продажи_отчет!$K$9:$K$2004=Выполнить!$H$12)*(Продажи_отчет!$L$9:$L$2004*Продажи_отчет!$M$9:$M$2004))</f>
        <v>33973</v>
      </c>
      <c r="I14" s="61">
        <f t="array" ref="I14">SUM((Продажи_отчет!$G$9:$G$2004=Выполнить!$H$10)*(Продажи_отчет!$H$9:$H$2004=Выполнить!$H$11)*(Продажи_отчет!$K$9:$K$2004=Выполнить!$H$12)*(Продажи_отчет!$L$9:$L$2004*Продажи_отчет!$M$9:$M$2004))</f>
        <v>33973</v>
      </c>
      <c r="M14" s="8" t="s">
        <v>10</v>
      </c>
      <c r="N14" s="8"/>
      <c r="O14" s="8"/>
      <c r="P14" s="8"/>
      <c r="AU14" s="1" t="s">
        <v>27</v>
      </c>
      <c r="AV14" s="1">
        <f>SUMIFS(Продажи!L:L,Продажи!G:G,Выполнить!AV5,Продажи!H:H,Выполнить!AV6,Продажи!K:K,Выполнить!AV7)</f>
        <v>65</v>
      </c>
      <c r="BD14" s="8" t="s">
        <v>10</v>
      </c>
      <c r="BE14" s="8"/>
      <c r="BF14" s="8"/>
      <c r="BG14" s="8"/>
    </row>
    <row r="15" spans="7:59" ht="19.5" thickBot="1" x14ac:dyDescent="0.35">
      <c r="G15" s="21" t="s">
        <v>30</v>
      </c>
      <c r="H15" s="57">
        <f>SUMPRODUCT((Продажи_отчет!$G$9:$G$2004=Выполнить!$H$10)*(Продажи_отчет!$H$9:$H$2004=Выполнить!$H$11)*(Продажи_отчет!$K$9:$K$2004=Выполнить!$H$12)*(Продажи_отчет!$L$9:$L$2004))</f>
        <v>116</v>
      </c>
      <c r="I15" s="61">
        <f t="array" ref="I15">SUM((Продажи_отчет!$G$9:$G$2004=Выполнить!$H$10)*(Продажи_отчет!$H$9:$H$2004=Выполнить!$H$11)*(Продажи_отчет!$K$9:$K$2004=Выполнить!$H$12)*(Продажи_отчет!$L$9:$L$2004))</f>
        <v>116</v>
      </c>
      <c r="M15" s="8" t="s">
        <v>11</v>
      </c>
      <c r="N15" s="8"/>
      <c r="O15" s="8"/>
      <c r="P15" s="8"/>
      <c r="BD15" s="8" t="s">
        <v>11</v>
      </c>
      <c r="BE15" s="8"/>
      <c r="BF15" s="8"/>
      <c r="BG15" s="8"/>
    </row>
    <row r="16" spans="7:59" x14ac:dyDescent="0.25">
      <c r="M16" s="8" t="s">
        <v>12</v>
      </c>
      <c r="N16" s="8"/>
      <c r="O16" s="8"/>
      <c r="P16" s="8"/>
      <c r="BD16" s="8" t="s">
        <v>12</v>
      </c>
      <c r="BE16" s="8"/>
      <c r="BF16" s="8"/>
      <c r="BG16" s="8"/>
    </row>
    <row r="17" spans="13:59" x14ac:dyDescent="0.25">
      <c r="M17" s="8"/>
      <c r="N17" s="8"/>
      <c r="O17" s="8"/>
      <c r="P17" s="8"/>
      <c r="BD17" s="8"/>
      <c r="BE17" s="8"/>
      <c r="BF17" s="8"/>
      <c r="BG17" s="8"/>
    </row>
  </sheetData>
  <phoneticPr fontId="5" type="noConversion"/>
  <dataValidations count="5">
    <dataValidation type="list" allowBlank="1" showInputMessage="1" showErrorMessage="1" sqref="AV5 H10" xr:uid="{DB701B44-BBCB-4012-98C2-0426CAFC133D}">
      <formula1>"2023,2024"</formula1>
    </dataValidation>
    <dataValidation type="list" allowBlank="1" showInputMessage="1" showErrorMessage="1" sqref="AV6" xr:uid="{05814779-63CF-4F77-A432-AE730EE4779C}">
      <formula1>$BD$5:$BD$16</formula1>
    </dataValidation>
    <dataValidation type="list" allowBlank="1" showInputMessage="1" showErrorMessage="1" sqref="AV7" xr:uid="{F5F5B2DE-01D0-4137-9802-6261F9CC1355}">
      <formula1>$BG$5:$BG$7</formula1>
    </dataValidation>
    <dataValidation type="list" allowBlank="1" showInputMessage="1" showErrorMessage="1" sqref="H12" xr:uid="{FE9698F4-7BDB-4311-8F82-A5DC88BB33C5}">
      <formula1>$P$5:$P$7</formula1>
    </dataValidation>
    <dataValidation type="list" allowBlank="1" showInputMessage="1" showErrorMessage="1" sqref="H11" xr:uid="{6E55674A-AA90-4C3A-8D22-6C91B8EE6FD7}">
      <formula1>$M$5:$M$16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E65D4-AE2F-4225-AEE0-5E6E6E515A79}">
  <sheetPr>
    <tabColor rgb="FF00B050"/>
  </sheetPr>
  <dimension ref="A7:M2005"/>
  <sheetViews>
    <sheetView topLeftCell="C1947" workbookViewId="0">
      <selection activeCell="G8" sqref="E8:G2004"/>
    </sheetView>
  </sheetViews>
  <sheetFormatPr defaultColWidth="8.625" defaultRowHeight="15" x14ac:dyDescent="0.25"/>
  <cols>
    <col min="1" max="1" width="4.625" style="2" customWidth="1"/>
    <col min="2" max="3" width="5.5" style="2" customWidth="1"/>
    <col min="4" max="4" width="8.625" style="1"/>
    <col min="5" max="5" width="18" style="1" bestFit="1" customWidth="1"/>
    <col min="6" max="6" width="11.625" style="1" customWidth="1"/>
    <col min="7" max="7" width="11.625" style="28" customWidth="1"/>
    <col min="8" max="8" width="11.625" style="29" customWidth="1"/>
    <col min="9" max="9" width="11.875" style="1" bestFit="1" customWidth="1"/>
    <col min="10" max="10" width="9" style="1" bestFit="1" customWidth="1"/>
    <col min="11" max="11" width="20.5" style="1" bestFit="1" customWidth="1"/>
    <col min="12" max="12" width="12.875" style="1" bestFit="1" customWidth="1"/>
    <col min="13" max="13" width="17.375" style="1" bestFit="1" customWidth="1"/>
    <col min="14" max="16384" width="8.625" style="1"/>
  </cols>
  <sheetData>
    <row r="7" spans="5:13" ht="15.75" thickBot="1" x14ac:dyDescent="0.3"/>
    <row r="8" spans="5:13" x14ac:dyDescent="0.25">
      <c r="E8" s="30" t="s">
        <v>14</v>
      </c>
      <c r="F8" s="34" t="s">
        <v>15</v>
      </c>
      <c r="G8" s="35" t="s">
        <v>25</v>
      </c>
      <c r="H8" s="36" t="s">
        <v>26</v>
      </c>
      <c r="I8" s="34" t="s">
        <v>16</v>
      </c>
      <c r="J8" s="34" t="s">
        <v>17</v>
      </c>
      <c r="K8" s="34" t="s">
        <v>18</v>
      </c>
      <c r="L8" s="34" t="s">
        <v>13</v>
      </c>
      <c r="M8" s="37" t="s">
        <v>19</v>
      </c>
    </row>
    <row r="9" spans="5:13" x14ac:dyDescent="0.25">
      <c r="E9" s="31">
        <v>35</v>
      </c>
      <c r="F9" s="38">
        <v>45143</v>
      </c>
      <c r="G9" s="39">
        <v>2023</v>
      </c>
      <c r="H9" s="40" t="s">
        <v>8</v>
      </c>
      <c r="I9" s="41" t="s">
        <v>22</v>
      </c>
      <c r="J9" s="41">
        <v>58</v>
      </c>
      <c r="K9" s="41" t="s">
        <v>21</v>
      </c>
      <c r="L9" s="41">
        <v>3</v>
      </c>
      <c r="M9" s="42">
        <v>300</v>
      </c>
    </row>
    <row r="10" spans="5:13" x14ac:dyDescent="0.25">
      <c r="E10" s="32">
        <v>522</v>
      </c>
      <c r="F10" s="43">
        <v>45193</v>
      </c>
      <c r="G10" s="44">
        <v>2023</v>
      </c>
      <c r="H10" s="52" t="s">
        <v>9</v>
      </c>
      <c r="I10" s="46" t="s">
        <v>22</v>
      </c>
      <c r="J10" s="46">
        <v>62</v>
      </c>
      <c r="K10" s="46" t="s">
        <v>24</v>
      </c>
      <c r="L10" s="46">
        <v>1</v>
      </c>
      <c r="M10" s="47">
        <v>300</v>
      </c>
    </row>
    <row r="11" spans="5:13" x14ac:dyDescent="0.25">
      <c r="E11" s="33">
        <v>1610</v>
      </c>
      <c r="F11" s="48">
        <v>45405</v>
      </c>
      <c r="G11" s="49">
        <v>2024</v>
      </c>
      <c r="H11" s="45" t="s">
        <v>4</v>
      </c>
      <c r="I11" s="50" t="s">
        <v>22</v>
      </c>
      <c r="J11" s="50">
        <v>54</v>
      </c>
      <c r="K11" s="50" t="s">
        <v>23</v>
      </c>
      <c r="L11" s="50">
        <v>5</v>
      </c>
      <c r="M11" s="51">
        <v>190</v>
      </c>
    </row>
    <row r="12" spans="5:13" x14ac:dyDescent="0.25">
      <c r="E12" s="32">
        <v>1179</v>
      </c>
      <c r="F12" s="43">
        <v>45599</v>
      </c>
      <c r="G12" s="44">
        <v>2024</v>
      </c>
      <c r="H12" s="52" t="s">
        <v>11</v>
      </c>
      <c r="I12" s="46" t="s">
        <v>20</v>
      </c>
      <c r="J12" s="46">
        <v>47</v>
      </c>
      <c r="K12" s="46" t="s">
        <v>24</v>
      </c>
      <c r="L12" s="46">
        <v>5</v>
      </c>
      <c r="M12" s="47">
        <v>286</v>
      </c>
    </row>
    <row r="13" spans="5:13" x14ac:dyDescent="0.25">
      <c r="E13" s="33">
        <v>22</v>
      </c>
      <c r="F13" s="48">
        <v>45214</v>
      </c>
      <c r="G13" s="49">
        <v>2023</v>
      </c>
      <c r="H13" s="45" t="s">
        <v>10</v>
      </c>
      <c r="I13" s="50" t="s">
        <v>20</v>
      </c>
      <c r="J13" s="50">
        <v>18</v>
      </c>
      <c r="K13" s="50" t="s">
        <v>23</v>
      </c>
      <c r="L13" s="50">
        <v>2</v>
      </c>
      <c r="M13" s="51">
        <v>50</v>
      </c>
    </row>
    <row r="14" spans="5:13" x14ac:dyDescent="0.25">
      <c r="E14" s="32">
        <v>536</v>
      </c>
      <c r="F14" s="43">
        <v>45080</v>
      </c>
      <c r="G14" s="44">
        <v>2023</v>
      </c>
      <c r="H14" s="52" t="s">
        <v>6</v>
      </c>
      <c r="I14" s="46" t="s">
        <v>22</v>
      </c>
      <c r="J14" s="46">
        <v>21</v>
      </c>
      <c r="K14" s="46" t="s">
        <v>21</v>
      </c>
      <c r="L14" s="46">
        <v>1</v>
      </c>
      <c r="M14" s="47">
        <v>500</v>
      </c>
    </row>
    <row r="15" spans="5:13" x14ac:dyDescent="0.25">
      <c r="E15" s="33">
        <v>1617</v>
      </c>
      <c r="F15" s="48">
        <v>45420</v>
      </c>
      <c r="G15" s="49">
        <v>2024</v>
      </c>
      <c r="H15" s="45" t="s">
        <v>5</v>
      </c>
      <c r="I15" s="50" t="s">
        <v>20</v>
      </c>
      <c r="J15" s="50">
        <v>53</v>
      </c>
      <c r="K15" s="50" t="s">
        <v>24</v>
      </c>
      <c r="L15" s="50">
        <v>3</v>
      </c>
      <c r="M15" s="51">
        <v>474</v>
      </c>
    </row>
    <row r="16" spans="5:13" x14ac:dyDescent="0.25">
      <c r="E16" s="32">
        <v>347</v>
      </c>
      <c r="F16" s="43">
        <v>45263</v>
      </c>
      <c r="G16" s="44">
        <v>2023</v>
      </c>
      <c r="H16" s="52" t="s">
        <v>12</v>
      </c>
      <c r="I16" s="46" t="s">
        <v>22</v>
      </c>
      <c r="J16" s="46">
        <v>35</v>
      </c>
      <c r="K16" s="46" t="s">
        <v>24</v>
      </c>
      <c r="L16" s="46">
        <v>2</v>
      </c>
      <c r="M16" s="47">
        <v>300</v>
      </c>
    </row>
    <row r="17" spans="5:13" x14ac:dyDescent="0.25">
      <c r="E17" s="33">
        <v>1782</v>
      </c>
      <c r="F17" s="48">
        <v>45582</v>
      </c>
      <c r="G17" s="49">
        <v>2024</v>
      </c>
      <c r="H17" s="45" t="s">
        <v>10</v>
      </c>
      <c r="I17" s="50" t="s">
        <v>20</v>
      </c>
      <c r="J17" s="50">
        <v>59</v>
      </c>
      <c r="K17" s="50" t="s">
        <v>23</v>
      </c>
      <c r="L17" s="50">
        <v>5</v>
      </c>
      <c r="M17" s="51">
        <v>97</v>
      </c>
    </row>
    <row r="18" spans="5:13" x14ac:dyDescent="0.25">
      <c r="E18" s="32">
        <v>1148</v>
      </c>
      <c r="F18" s="43">
        <v>45297</v>
      </c>
      <c r="G18" s="44">
        <v>2024</v>
      </c>
      <c r="H18" s="52" t="s">
        <v>1</v>
      </c>
      <c r="I18" s="46" t="s">
        <v>22</v>
      </c>
      <c r="J18" s="46">
        <v>24</v>
      </c>
      <c r="K18" s="46" t="s">
        <v>24</v>
      </c>
      <c r="L18" s="46">
        <v>1</v>
      </c>
      <c r="M18" s="47">
        <v>227</v>
      </c>
    </row>
    <row r="19" spans="5:13" x14ac:dyDescent="0.25">
      <c r="E19" s="33">
        <v>1180</v>
      </c>
      <c r="F19" s="48">
        <v>45458</v>
      </c>
      <c r="G19" s="49">
        <v>2024</v>
      </c>
      <c r="H19" s="45" t="s">
        <v>6</v>
      </c>
      <c r="I19" s="50" t="s">
        <v>20</v>
      </c>
      <c r="J19" s="50">
        <v>37</v>
      </c>
      <c r="K19" s="50" t="s">
        <v>21</v>
      </c>
      <c r="L19" s="50">
        <v>2</v>
      </c>
      <c r="M19" s="51">
        <v>128</v>
      </c>
    </row>
    <row r="20" spans="5:13" x14ac:dyDescent="0.25">
      <c r="E20" s="32">
        <v>1305</v>
      </c>
      <c r="F20" s="43">
        <v>45509</v>
      </c>
      <c r="G20" s="44">
        <v>2024</v>
      </c>
      <c r="H20" s="52" t="s">
        <v>8</v>
      </c>
      <c r="I20" s="46" t="s">
        <v>22</v>
      </c>
      <c r="J20" s="46">
        <v>19</v>
      </c>
      <c r="K20" s="46" t="s">
        <v>21</v>
      </c>
      <c r="L20" s="46">
        <v>6</v>
      </c>
      <c r="M20" s="47">
        <v>125</v>
      </c>
    </row>
    <row r="21" spans="5:13" x14ac:dyDescent="0.25">
      <c r="E21" s="33">
        <v>659</v>
      </c>
      <c r="F21" s="48">
        <v>45123</v>
      </c>
      <c r="G21" s="49">
        <v>2023</v>
      </c>
      <c r="H21" s="45" t="s">
        <v>7</v>
      </c>
      <c r="I21" s="50" t="s">
        <v>22</v>
      </c>
      <c r="J21" s="50">
        <v>44</v>
      </c>
      <c r="K21" s="50" t="s">
        <v>23</v>
      </c>
      <c r="L21" s="50">
        <v>4</v>
      </c>
      <c r="M21" s="51">
        <v>25</v>
      </c>
    </row>
    <row r="22" spans="5:13" x14ac:dyDescent="0.25">
      <c r="E22" s="32">
        <v>691</v>
      </c>
      <c r="F22" s="43">
        <v>45039</v>
      </c>
      <c r="G22" s="44">
        <v>2023</v>
      </c>
      <c r="H22" s="52" t="s">
        <v>4</v>
      </c>
      <c r="I22" s="46" t="s">
        <v>20</v>
      </c>
      <c r="J22" s="46">
        <v>41</v>
      </c>
      <c r="K22" s="46" t="s">
        <v>21</v>
      </c>
      <c r="L22" s="46">
        <v>3</v>
      </c>
      <c r="M22" s="47">
        <v>500</v>
      </c>
    </row>
    <row r="23" spans="5:13" x14ac:dyDescent="0.25">
      <c r="E23" s="33">
        <v>432</v>
      </c>
      <c r="F23" s="48">
        <v>44984</v>
      </c>
      <c r="G23" s="49">
        <v>2023</v>
      </c>
      <c r="H23" s="45" t="s">
        <v>2</v>
      </c>
      <c r="I23" s="50" t="s">
        <v>20</v>
      </c>
      <c r="J23" s="50">
        <v>29</v>
      </c>
      <c r="K23" s="50" t="s">
        <v>21</v>
      </c>
      <c r="L23" s="50">
        <v>4</v>
      </c>
      <c r="M23" s="51">
        <v>50</v>
      </c>
    </row>
    <row r="24" spans="5:13" x14ac:dyDescent="0.25">
      <c r="E24" s="32">
        <v>669</v>
      </c>
      <c r="F24" s="43">
        <v>45165</v>
      </c>
      <c r="G24" s="44">
        <v>2023</v>
      </c>
      <c r="H24" s="52" t="s">
        <v>8</v>
      </c>
      <c r="I24" s="46" t="s">
        <v>20</v>
      </c>
      <c r="J24" s="46">
        <v>62</v>
      </c>
      <c r="K24" s="46" t="s">
        <v>24</v>
      </c>
      <c r="L24" s="46">
        <v>3</v>
      </c>
      <c r="M24" s="47">
        <v>50</v>
      </c>
    </row>
    <row r="25" spans="5:13" x14ac:dyDescent="0.25">
      <c r="E25" s="33">
        <v>853</v>
      </c>
      <c r="F25" s="48">
        <v>45170</v>
      </c>
      <c r="G25" s="49">
        <v>2023</v>
      </c>
      <c r="H25" s="45" t="s">
        <v>9</v>
      </c>
      <c r="I25" s="50" t="s">
        <v>20</v>
      </c>
      <c r="J25" s="50">
        <v>54</v>
      </c>
      <c r="K25" s="50" t="s">
        <v>21</v>
      </c>
      <c r="L25" s="50">
        <v>1</v>
      </c>
      <c r="M25" s="51">
        <v>25</v>
      </c>
    </row>
    <row r="26" spans="5:13" x14ac:dyDescent="0.25">
      <c r="E26" s="32">
        <v>683</v>
      </c>
      <c r="F26" s="43">
        <v>45079</v>
      </c>
      <c r="G26" s="44">
        <v>2023</v>
      </c>
      <c r="H26" s="52" t="s">
        <v>6</v>
      </c>
      <c r="I26" s="46" t="s">
        <v>20</v>
      </c>
      <c r="J26" s="46">
        <v>57</v>
      </c>
      <c r="K26" s="46" t="s">
        <v>24</v>
      </c>
      <c r="L26" s="46">
        <v>2</v>
      </c>
      <c r="M26" s="47">
        <v>25</v>
      </c>
    </row>
    <row r="27" spans="5:13" x14ac:dyDescent="0.25">
      <c r="E27" s="33">
        <v>547</v>
      </c>
      <c r="F27" s="48">
        <v>45025</v>
      </c>
      <c r="G27" s="49">
        <v>2023</v>
      </c>
      <c r="H27" s="45" t="s">
        <v>4</v>
      </c>
      <c r="I27" s="50" t="s">
        <v>22</v>
      </c>
      <c r="J27" s="50">
        <v>51</v>
      </c>
      <c r="K27" s="50" t="s">
        <v>23</v>
      </c>
      <c r="L27" s="50">
        <v>2</v>
      </c>
      <c r="M27" s="51">
        <v>30</v>
      </c>
    </row>
    <row r="28" spans="5:13" x14ac:dyDescent="0.25">
      <c r="E28" s="32">
        <v>1545</v>
      </c>
      <c r="F28" s="43">
        <v>45391</v>
      </c>
      <c r="G28" s="44">
        <v>2024</v>
      </c>
      <c r="H28" s="52" t="s">
        <v>4</v>
      </c>
      <c r="I28" s="46" t="s">
        <v>22</v>
      </c>
      <c r="J28" s="46">
        <v>37</v>
      </c>
      <c r="K28" s="46" t="s">
        <v>23</v>
      </c>
      <c r="L28" s="46">
        <v>3</v>
      </c>
      <c r="M28" s="47">
        <v>465</v>
      </c>
    </row>
    <row r="29" spans="5:13" x14ac:dyDescent="0.25">
      <c r="E29" s="33">
        <v>861</v>
      </c>
      <c r="F29" s="48">
        <v>45040</v>
      </c>
      <c r="G29" s="49">
        <v>2023</v>
      </c>
      <c r="H29" s="45" t="s">
        <v>4</v>
      </c>
      <c r="I29" s="50" t="s">
        <v>22</v>
      </c>
      <c r="J29" s="50">
        <v>30</v>
      </c>
      <c r="K29" s="50" t="s">
        <v>24</v>
      </c>
      <c r="L29" s="50">
        <v>2</v>
      </c>
      <c r="M29" s="51">
        <v>25</v>
      </c>
    </row>
    <row r="30" spans="5:13" x14ac:dyDescent="0.25">
      <c r="E30" s="32">
        <v>715</v>
      </c>
      <c r="F30" s="43">
        <v>44996</v>
      </c>
      <c r="G30" s="44">
        <v>2023</v>
      </c>
      <c r="H30" s="52" t="s">
        <v>3</v>
      </c>
      <c r="I30" s="46" t="s">
        <v>20</v>
      </c>
      <c r="J30" s="46">
        <v>57</v>
      </c>
      <c r="K30" s="46" t="s">
        <v>23</v>
      </c>
      <c r="L30" s="46">
        <v>1</v>
      </c>
      <c r="M30" s="47">
        <v>500</v>
      </c>
    </row>
    <row r="31" spans="5:13" x14ac:dyDescent="0.25">
      <c r="E31" s="33">
        <v>620</v>
      </c>
      <c r="F31" s="48">
        <v>44989</v>
      </c>
      <c r="G31" s="49">
        <v>2023</v>
      </c>
      <c r="H31" s="45" t="s">
        <v>3</v>
      </c>
      <c r="I31" s="50" t="s">
        <v>22</v>
      </c>
      <c r="J31" s="50">
        <v>40</v>
      </c>
      <c r="K31" s="50" t="s">
        <v>21</v>
      </c>
      <c r="L31" s="50">
        <v>2</v>
      </c>
      <c r="M31" s="51">
        <v>500</v>
      </c>
    </row>
    <row r="32" spans="5:13" x14ac:dyDescent="0.25">
      <c r="E32" s="32">
        <v>701</v>
      </c>
      <c r="F32" s="43">
        <v>45011</v>
      </c>
      <c r="G32" s="44">
        <v>2023</v>
      </c>
      <c r="H32" s="52" t="s">
        <v>3</v>
      </c>
      <c r="I32" s="46" t="s">
        <v>20</v>
      </c>
      <c r="J32" s="46">
        <v>34</v>
      </c>
      <c r="K32" s="46" t="s">
        <v>24</v>
      </c>
      <c r="L32" s="46">
        <v>2</v>
      </c>
      <c r="M32" s="47">
        <v>50</v>
      </c>
    </row>
    <row r="33" spans="5:13" x14ac:dyDescent="0.25">
      <c r="E33" s="33">
        <v>1090</v>
      </c>
      <c r="F33" s="48">
        <v>45529</v>
      </c>
      <c r="G33" s="49">
        <v>2024</v>
      </c>
      <c r="H33" s="45" t="s">
        <v>8</v>
      </c>
      <c r="I33" s="50" t="s">
        <v>22</v>
      </c>
      <c r="J33" s="50">
        <v>30</v>
      </c>
      <c r="K33" s="50" t="s">
        <v>24</v>
      </c>
      <c r="L33" s="50">
        <v>7</v>
      </c>
      <c r="M33" s="51">
        <v>54</v>
      </c>
    </row>
    <row r="34" spans="5:13" x14ac:dyDescent="0.25">
      <c r="E34" s="32">
        <v>1016</v>
      </c>
      <c r="F34" s="43">
        <v>45412</v>
      </c>
      <c r="G34" s="44">
        <v>2024</v>
      </c>
      <c r="H34" s="52" t="s">
        <v>4</v>
      </c>
      <c r="I34" s="46" t="s">
        <v>22</v>
      </c>
      <c r="J34" s="46">
        <v>49</v>
      </c>
      <c r="K34" s="46" t="s">
        <v>24</v>
      </c>
      <c r="L34" s="46">
        <v>2</v>
      </c>
      <c r="M34" s="47">
        <v>177</v>
      </c>
    </row>
    <row r="35" spans="5:13" x14ac:dyDescent="0.25">
      <c r="E35" s="33">
        <v>1030</v>
      </c>
      <c r="F35" s="48">
        <v>45295</v>
      </c>
      <c r="G35" s="49">
        <v>2024</v>
      </c>
      <c r="H35" s="45" t="s">
        <v>1</v>
      </c>
      <c r="I35" s="50" t="s">
        <v>20</v>
      </c>
      <c r="J35" s="50">
        <v>60</v>
      </c>
      <c r="K35" s="50" t="s">
        <v>21</v>
      </c>
      <c r="L35" s="50">
        <v>7</v>
      </c>
      <c r="M35" s="51">
        <v>51</v>
      </c>
    </row>
    <row r="36" spans="5:13" x14ac:dyDescent="0.25">
      <c r="E36" s="32">
        <v>1133</v>
      </c>
      <c r="F36" s="43">
        <v>45348</v>
      </c>
      <c r="G36" s="44">
        <v>2024</v>
      </c>
      <c r="H36" s="52" t="s">
        <v>2</v>
      </c>
      <c r="I36" s="46" t="s">
        <v>20</v>
      </c>
      <c r="J36" s="46">
        <v>34</v>
      </c>
      <c r="K36" s="46" t="s">
        <v>23</v>
      </c>
      <c r="L36" s="46">
        <v>7</v>
      </c>
      <c r="M36" s="47">
        <v>51</v>
      </c>
    </row>
    <row r="37" spans="5:13" x14ac:dyDescent="0.25">
      <c r="E37" s="33">
        <v>1177</v>
      </c>
      <c r="F37" s="48">
        <v>45564</v>
      </c>
      <c r="G37" s="49">
        <v>2024</v>
      </c>
      <c r="H37" s="45" t="s">
        <v>9</v>
      </c>
      <c r="I37" s="50" t="s">
        <v>20</v>
      </c>
      <c r="J37" s="50">
        <v>29</v>
      </c>
      <c r="K37" s="50" t="s">
        <v>24</v>
      </c>
      <c r="L37" s="50">
        <v>5</v>
      </c>
      <c r="M37" s="51">
        <v>447</v>
      </c>
    </row>
    <row r="38" spans="5:13" x14ac:dyDescent="0.25">
      <c r="E38" s="32">
        <v>1667</v>
      </c>
      <c r="F38" s="43">
        <v>45531</v>
      </c>
      <c r="G38" s="44">
        <v>2024</v>
      </c>
      <c r="H38" s="52" t="s">
        <v>8</v>
      </c>
      <c r="I38" s="46" t="s">
        <v>20</v>
      </c>
      <c r="J38" s="46">
        <v>52</v>
      </c>
      <c r="K38" s="46" t="s">
        <v>24</v>
      </c>
      <c r="L38" s="46">
        <v>5</v>
      </c>
      <c r="M38" s="47">
        <v>479</v>
      </c>
    </row>
    <row r="39" spans="5:13" x14ac:dyDescent="0.25">
      <c r="E39" s="33">
        <v>1629</v>
      </c>
      <c r="F39" s="48">
        <v>45551</v>
      </c>
      <c r="G39" s="49">
        <v>2024</v>
      </c>
      <c r="H39" s="45" t="s">
        <v>9</v>
      </c>
      <c r="I39" s="50" t="s">
        <v>22</v>
      </c>
      <c r="J39" s="50">
        <v>53</v>
      </c>
      <c r="K39" s="50" t="s">
        <v>24</v>
      </c>
      <c r="L39" s="50">
        <v>5</v>
      </c>
      <c r="M39" s="51">
        <v>493</v>
      </c>
    </row>
    <row r="40" spans="5:13" x14ac:dyDescent="0.25">
      <c r="E40" s="32">
        <v>716</v>
      </c>
      <c r="F40" s="43">
        <v>45163</v>
      </c>
      <c r="G40" s="44">
        <v>2023</v>
      </c>
      <c r="H40" s="52" t="s">
        <v>8</v>
      </c>
      <c r="I40" s="46" t="s">
        <v>22</v>
      </c>
      <c r="J40" s="46">
        <v>59</v>
      </c>
      <c r="K40" s="46" t="s">
        <v>21</v>
      </c>
      <c r="L40" s="46">
        <v>3</v>
      </c>
      <c r="M40" s="47">
        <v>25</v>
      </c>
    </row>
    <row r="41" spans="5:13" x14ac:dyDescent="0.25">
      <c r="E41" s="33">
        <v>153</v>
      </c>
      <c r="F41" s="48">
        <v>45276</v>
      </c>
      <c r="G41" s="49">
        <v>2023</v>
      </c>
      <c r="H41" s="45" t="s">
        <v>12</v>
      </c>
      <c r="I41" s="50" t="s">
        <v>20</v>
      </c>
      <c r="J41" s="50">
        <v>63</v>
      </c>
      <c r="K41" s="50" t="s">
        <v>24</v>
      </c>
      <c r="L41" s="50">
        <v>2</v>
      </c>
      <c r="M41" s="51">
        <v>500</v>
      </c>
    </row>
    <row r="42" spans="5:13" x14ac:dyDescent="0.25">
      <c r="E42" s="32">
        <v>1440</v>
      </c>
      <c r="F42" s="43">
        <v>45513</v>
      </c>
      <c r="G42" s="44">
        <v>2024</v>
      </c>
      <c r="H42" s="52" t="s">
        <v>8</v>
      </c>
      <c r="I42" s="46" t="s">
        <v>20</v>
      </c>
      <c r="J42" s="46">
        <v>21</v>
      </c>
      <c r="K42" s="46" t="s">
        <v>23</v>
      </c>
      <c r="L42" s="46">
        <v>6</v>
      </c>
      <c r="M42" s="47">
        <v>215</v>
      </c>
    </row>
    <row r="43" spans="5:13" x14ac:dyDescent="0.25">
      <c r="E43" s="33">
        <v>142</v>
      </c>
      <c r="F43" s="48">
        <v>44959</v>
      </c>
      <c r="G43" s="49">
        <v>2023</v>
      </c>
      <c r="H43" s="45" t="s">
        <v>2</v>
      </c>
      <c r="I43" s="50" t="s">
        <v>20</v>
      </c>
      <c r="J43" s="50">
        <v>35</v>
      </c>
      <c r="K43" s="50" t="s">
        <v>24</v>
      </c>
      <c r="L43" s="50">
        <v>4</v>
      </c>
      <c r="M43" s="51">
        <v>300</v>
      </c>
    </row>
    <row r="44" spans="5:13" x14ac:dyDescent="0.25">
      <c r="E44" s="32">
        <v>152</v>
      </c>
      <c r="F44" s="43">
        <v>44985</v>
      </c>
      <c r="G44" s="44">
        <v>2023</v>
      </c>
      <c r="H44" s="52" t="s">
        <v>2</v>
      </c>
      <c r="I44" s="46" t="s">
        <v>20</v>
      </c>
      <c r="J44" s="46">
        <v>43</v>
      </c>
      <c r="K44" s="46" t="s">
        <v>24</v>
      </c>
      <c r="L44" s="46">
        <v>4</v>
      </c>
      <c r="M44" s="47">
        <v>500</v>
      </c>
    </row>
    <row r="45" spans="5:13" x14ac:dyDescent="0.25">
      <c r="E45" s="33">
        <v>101</v>
      </c>
      <c r="F45" s="48">
        <v>44955</v>
      </c>
      <c r="G45" s="49">
        <v>2023</v>
      </c>
      <c r="H45" s="45" t="s">
        <v>1</v>
      </c>
      <c r="I45" s="50" t="s">
        <v>20</v>
      </c>
      <c r="J45" s="50">
        <v>32</v>
      </c>
      <c r="K45" s="50" t="s">
        <v>23</v>
      </c>
      <c r="L45" s="50">
        <v>2</v>
      </c>
      <c r="M45" s="51">
        <v>300</v>
      </c>
    </row>
    <row r="46" spans="5:13" x14ac:dyDescent="0.25">
      <c r="E46" s="32">
        <v>1709</v>
      </c>
      <c r="F46" s="43">
        <v>45305</v>
      </c>
      <c r="G46" s="44">
        <v>2024</v>
      </c>
      <c r="H46" s="52" t="s">
        <v>1</v>
      </c>
      <c r="I46" s="46" t="s">
        <v>20</v>
      </c>
      <c r="J46" s="46">
        <v>49</v>
      </c>
      <c r="K46" s="46" t="s">
        <v>21</v>
      </c>
      <c r="L46" s="46">
        <v>2</v>
      </c>
      <c r="M46" s="47">
        <v>389</v>
      </c>
    </row>
    <row r="47" spans="5:13" x14ac:dyDescent="0.25">
      <c r="E47" s="33">
        <v>109</v>
      </c>
      <c r="F47" s="48">
        <v>45217</v>
      </c>
      <c r="G47" s="49">
        <v>2023</v>
      </c>
      <c r="H47" s="45" t="s">
        <v>10</v>
      </c>
      <c r="I47" s="50" t="s">
        <v>22</v>
      </c>
      <c r="J47" s="50">
        <v>34</v>
      </c>
      <c r="K47" s="50" t="s">
        <v>24</v>
      </c>
      <c r="L47" s="50">
        <v>4</v>
      </c>
      <c r="M47" s="51">
        <v>500</v>
      </c>
    </row>
    <row r="48" spans="5:13" x14ac:dyDescent="0.25">
      <c r="E48" s="32">
        <v>1959</v>
      </c>
      <c r="F48" s="43">
        <v>45610</v>
      </c>
      <c r="G48" s="44">
        <v>2024</v>
      </c>
      <c r="H48" s="52" t="s">
        <v>11</v>
      </c>
      <c r="I48" s="46" t="s">
        <v>22</v>
      </c>
      <c r="J48" s="46">
        <v>25</v>
      </c>
      <c r="K48" s="46" t="s">
        <v>21</v>
      </c>
      <c r="L48" s="46">
        <v>3</v>
      </c>
      <c r="M48" s="47">
        <v>452</v>
      </c>
    </row>
    <row r="49" spans="5:13" x14ac:dyDescent="0.25">
      <c r="E49" s="33">
        <v>1096</v>
      </c>
      <c r="F49" s="48">
        <v>45405</v>
      </c>
      <c r="G49" s="49">
        <v>2024</v>
      </c>
      <c r="H49" s="45" t="s">
        <v>4</v>
      </c>
      <c r="I49" s="50" t="s">
        <v>22</v>
      </c>
      <c r="J49" s="50">
        <v>55</v>
      </c>
      <c r="K49" s="50" t="s">
        <v>21</v>
      </c>
      <c r="L49" s="50">
        <v>5</v>
      </c>
      <c r="M49" s="51">
        <v>330</v>
      </c>
    </row>
    <row r="50" spans="5:13" x14ac:dyDescent="0.25">
      <c r="E50" s="32">
        <v>1850</v>
      </c>
      <c r="F50" s="43">
        <v>45646</v>
      </c>
      <c r="G50" s="44">
        <v>2024</v>
      </c>
      <c r="H50" s="52" t="s">
        <v>12</v>
      </c>
      <c r="I50" s="46" t="s">
        <v>20</v>
      </c>
      <c r="J50" s="46">
        <v>46</v>
      </c>
      <c r="K50" s="46" t="s">
        <v>23</v>
      </c>
      <c r="L50" s="46">
        <v>5</v>
      </c>
      <c r="M50" s="47">
        <v>184</v>
      </c>
    </row>
    <row r="51" spans="5:13" x14ac:dyDescent="0.25">
      <c r="E51" s="33">
        <v>113</v>
      </c>
      <c r="F51" s="48">
        <v>45182</v>
      </c>
      <c r="G51" s="49">
        <v>2023</v>
      </c>
      <c r="H51" s="45" t="s">
        <v>9</v>
      </c>
      <c r="I51" s="50" t="s">
        <v>22</v>
      </c>
      <c r="J51" s="50">
        <v>41</v>
      </c>
      <c r="K51" s="50" t="s">
        <v>24</v>
      </c>
      <c r="L51" s="50">
        <v>2</v>
      </c>
      <c r="M51" s="51">
        <v>25</v>
      </c>
    </row>
    <row r="52" spans="5:13" x14ac:dyDescent="0.25">
      <c r="E52" s="32">
        <v>1688</v>
      </c>
      <c r="F52" s="43">
        <v>45542</v>
      </c>
      <c r="G52" s="44">
        <v>2024</v>
      </c>
      <c r="H52" s="52" t="s">
        <v>9</v>
      </c>
      <c r="I52" s="46" t="s">
        <v>22</v>
      </c>
      <c r="J52" s="46">
        <v>26</v>
      </c>
      <c r="K52" s="46" t="s">
        <v>23</v>
      </c>
      <c r="L52" s="46">
        <v>1</v>
      </c>
      <c r="M52" s="47">
        <v>279</v>
      </c>
    </row>
    <row r="53" spans="5:13" x14ac:dyDescent="0.25">
      <c r="E53" s="33">
        <v>755</v>
      </c>
      <c r="F53" s="48">
        <v>45285</v>
      </c>
      <c r="G53" s="49">
        <v>2023</v>
      </c>
      <c r="H53" s="45" t="s">
        <v>12</v>
      </c>
      <c r="I53" s="50" t="s">
        <v>22</v>
      </c>
      <c r="J53" s="50">
        <v>43</v>
      </c>
      <c r="K53" s="50" t="s">
        <v>24</v>
      </c>
      <c r="L53" s="50">
        <v>4</v>
      </c>
      <c r="M53" s="51">
        <v>300</v>
      </c>
    </row>
    <row r="54" spans="5:13" x14ac:dyDescent="0.25">
      <c r="E54" s="32">
        <v>416</v>
      </c>
      <c r="F54" s="43">
        <v>45251</v>
      </c>
      <c r="G54" s="44">
        <v>2023</v>
      </c>
      <c r="H54" s="52" t="s">
        <v>11</v>
      </c>
      <c r="I54" s="46" t="s">
        <v>20</v>
      </c>
      <c r="J54" s="46">
        <v>43</v>
      </c>
      <c r="K54" s="46" t="s">
        <v>24</v>
      </c>
      <c r="L54" s="46">
        <v>3</v>
      </c>
      <c r="M54" s="47">
        <v>300</v>
      </c>
    </row>
    <row r="55" spans="5:13" x14ac:dyDescent="0.25">
      <c r="E55" s="33">
        <v>516</v>
      </c>
      <c r="F55" s="48">
        <v>45024</v>
      </c>
      <c r="G55" s="49">
        <v>2023</v>
      </c>
      <c r="H55" s="45" t="s">
        <v>4</v>
      </c>
      <c r="I55" s="50" t="s">
        <v>22</v>
      </c>
      <c r="J55" s="50">
        <v>47</v>
      </c>
      <c r="K55" s="50" t="s">
        <v>23</v>
      </c>
      <c r="L55" s="50">
        <v>4</v>
      </c>
      <c r="M55" s="51">
        <v>25</v>
      </c>
    </row>
    <row r="56" spans="5:13" x14ac:dyDescent="0.25">
      <c r="E56" s="32">
        <v>825</v>
      </c>
      <c r="F56" s="43">
        <v>45239</v>
      </c>
      <c r="G56" s="44">
        <v>2023</v>
      </c>
      <c r="H56" s="52" t="s">
        <v>11</v>
      </c>
      <c r="I56" s="46" t="s">
        <v>20</v>
      </c>
      <c r="J56" s="46">
        <v>61</v>
      </c>
      <c r="K56" s="46" t="s">
        <v>21</v>
      </c>
      <c r="L56" s="46">
        <v>3</v>
      </c>
      <c r="M56" s="47">
        <v>300</v>
      </c>
    </row>
    <row r="57" spans="5:13" x14ac:dyDescent="0.25">
      <c r="E57" s="33">
        <v>415</v>
      </c>
      <c r="F57" s="48">
        <v>44974</v>
      </c>
      <c r="G57" s="49">
        <v>2023</v>
      </c>
      <c r="H57" s="45" t="s">
        <v>2</v>
      </c>
      <c r="I57" s="50" t="s">
        <v>20</v>
      </c>
      <c r="J57" s="50">
        <v>53</v>
      </c>
      <c r="K57" s="50" t="s">
        <v>24</v>
      </c>
      <c r="L57" s="50">
        <v>4</v>
      </c>
      <c r="M57" s="51">
        <v>500</v>
      </c>
    </row>
    <row r="58" spans="5:13" x14ac:dyDescent="0.25">
      <c r="E58" s="32">
        <v>127</v>
      </c>
      <c r="F58" s="43">
        <v>45131</v>
      </c>
      <c r="G58" s="44">
        <v>2023</v>
      </c>
      <c r="H58" s="52" t="s">
        <v>7</v>
      </c>
      <c r="I58" s="46" t="s">
        <v>22</v>
      </c>
      <c r="J58" s="46">
        <v>33</v>
      </c>
      <c r="K58" s="46" t="s">
        <v>23</v>
      </c>
      <c r="L58" s="46">
        <v>2</v>
      </c>
      <c r="M58" s="47">
        <v>25</v>
      </c>
    </row>
    <row r="59" spans="5:13" x14ac:dyDescent="0.25">
      <c r="E59" s="33">
        <v>223</v>
      </c>
      <c r="F59" s="48">
        <v>45100</v>
      </c>
      <c r="G59" s="49">
        <v>2023</v>
      </c>
      <c r="H59" s="45" t="s">
        <v>6</v>
      </c>
      <c r="I59" s="50" t="s">
        <v>22</v>
      </c>
      <c r="J59" s="50">
        <v>25</v>
      </c>
      <c r="K59" s="50" t="s">
        <v>23</v>
      </c>
      <c r="L59" s="50">
        <v>1</v>
      </c>
      <c r="M59" s="51">
        <v>50</v>
      </c>
    </row>
    <row r="60" spans="5:13" x14ac:dyDescent="0.25">
      <c r="E60" s="32">
        <v>900</v>
      </c>
      <c r="F60" s="43">
        <v>45078</v>
      </c>
      <c r="G60" s="44">
        <v>2023</v>
      </c>
      <c r="H60" s="52" t="s">
        <v>6</v>
      </c>
      <c r="I60" s="46" t="s">
        <v>22</v>
      </c>
      <c r="J60" s="46">
        <v>54</v>
      </c>
      <c r="K60" s="46" t="s">
        <v>21</v>
      </c>
      <c r="L60" s="46">
        <v>1</v>
      </c>
      <c r="M60" s="47">
        <v>50</v>
      </c>
    </row>
    <row r="61" spans="5:13" x14ac:dyDescent="0.25">
      <c r="E61" s="33">
        <v>327</v>
      </c>
      <c r="F61" s="48">
        <v>45007</v>
      </c>
      <c r="G61" s="49">
        <v>2023</v>
      </c>
      <c r="H61" s="45" t="s">
        <v>3</v>
      </c>
      <c r="I61" s="50" t="s">
        <v>20</v>
      </c>
      <c r="J61" s="50">
        <v>39</v>
      </c>
      <c r="K61" s="50" t="s">
        <v>21</v>
      </c>
      <c r="L61" s="50">
        <v>2</v>
      </c>
      <c r="M61" s="51">
        <v>50</v>
      </c>
    </row>
    <row r="62" spans="5:13" x14ac:dyDescent="0.25">
      <c r="E62" s="32">
        <v>208</v>
      </c>
      <c r="F62" s="43">
        <v>45203</v>
      </c>
      <c r="G62" s="44">
        <v>2023</v>
      </c>
      <c r="H62" s="52" t="s">
        <v>10</v>
      </c>
      <c r="I62" s="46" t="s">
        <v>22</v>
      </c>
      <c r="J62" s="46">
        <v>34</v>
      </c>
      <c r="K62" s="46" t="s">
        <v>24</v>
      </c>
      <c r="L62" s="46">
        <v>4</v>
      </c>
      <c r="M62" s="47">
        <v>50</v>
      </c>
    </row>
    <row r="63" spans="5:13" x14ac:dyDescent="0.25">
      <c r="E63" s="33">
        <v>1431</v>
      </c>
      <c r="F63" s="48">
        <v>45330</v>
      </c>
      <c r="G63" s="49">
        <v>2024</v>
      </c>
      <c r="H63" s="45" t="s">
        <v>2</v>
      </c>
      <c r="I63" s="50" t="s">
        <v>22</v>
      </c>
      <c r="J63" s="50">
        <v>42</v>
      </c>
      <c r="K63" s="50" t="s">
        <v>24</v>
      </c>
      <c r="L63" s="50">
        <v>2</v>
      </c>
      <c r="M63" s="51">
        <v>488</v>
      </c>
    </row>
    <row r="64" spans="5:13" x14ac:dyDescent="0.25">
      <c r="E64" s="32">
        <v>1409</v>
      </c>
      <c r="F64" s="43">
        <v>45551</v>
      </c>
      <c r="G64" s="44">
        <v>2024</v>
      </c>
      <c r="H64" s="52" t="s">
        <v>9</v>
      </c>
      <c r="I64" s="46" t="s">
        <v>22</v>
      </c>
      <c r="J64" s="46">
        <v>31</v>
      </c>
      <c r="K64" s="46" t="s">
        <v>24</v>
      </c>
      <c r="L64" s="46">
        <v>7</v>
      </c>
      <c r="M64" s="47">
        <v>123</v>
      </c>
    </row>
    <row r="65" spans="5:13" x14ac:dyDescent="0.25">
      <c r="E65" s="33">
        <v>1032</v>
      </c>
      <c r="F65" s="48">
        <v>45650</v>
      </c>
      <c r="G65" s="49">
        <v>2024</v>
      </c>
      <c r="H65" s="45" t="s">
        <v>12</v>
      </c>
      <c r="I65" s="50" t="s">
        <v>22</v>
      </c>
      <c r="J65" s="50">
        <v>32</v>
      </c>
      <c r="K65" s="50" t="s">
        <v>23</v>
      </c>
      <c r="L65" s="50">
        <v>1</v>
      </c>
      <c r="M65" s="51">
        <v>445</v>
      </c>
    </row>
    <row r="66" spans="5:13" x14ac:dyDescent="0.25">
      <c r="E66" s="32">
        <v>1146</v>
      </c>
      <c r="F66" s="43">
        <v>45421</v>
      </c>
      <c r="G66" s="44">
        <v>2024</v>
      </c>
      <c r="H66" s="52" t="s">
        <v>5</v>
      </c>
      <c r="I66" s="46" t="s">
        <v>20</v>
      </c>
      <c r="J66" s="46">
        <v>19</v>
      </c>
      <c r="K66" s="46" t="s">
        <v>23</v>
      </c>
      <c r="L66" s="46">
        <v>4</v>
      </c>
      <c r="M66" s="47">
        <v>162</v>
      </c>
    </row>
    <row r="67" spans="5:13" x14ac:dyDescent="0.25">
      <c r="E67" s="33">
        <v>1558</v>
      </c>
      <c r="F67" s="48">
        <v>45439</v>
      </c>
      <c r="G67" s="49">
        <v>2024</v>
      </c>
      <c r="H67" s="45" t="s">
        <v>5</v>
      </c>
      <c r="I67" s="50" t="s">
        <v>22</v>
      </c>
      <c r="J67" s="50">
        <v>61</v>
      </c>
      <c r="K67" s="50" t="s">
        <v>23</v>
      </c>
      <c r="L67" s="50">
        <v>3</v>
      </c>
      <c r="M67" s="51">
        <v>135</v>
      </c>
    </row>
    <row r="68" spans="5:13" x14ac:dyDescent="0.25">
      <c r="E68" s="32">
        <v>1472</v>
      </c>
      <c r="F68" s="43">
        <v>45311</v>
      </c>
      <c r="G68" s="44">
        <v>2024</v>
      </c>
      <c r="H68" s="52" t="s">
        <v>1</v>
      </c>
      <c r="I68" s="46" t="s">
        <v>20</v>
      </c>
      <c r="J68" s="46">
        <v>46</v>
      </c>
      <c r="K68" s="46" t="s">
        <v>23</v>
      </c>
      <c r="L68" s="46">
        <v>1</v>
      </c>
      <c r="M68" s="47">
        <v>224</v>
      </c>
    </row>
    <row r="69" spans="5:13" x14ac:dyDescent="0.25">
      <c r="E69" s="33">
        <v>255</v>
      </c>
      <c r="F69" s="48">
        <v>44975</v>
      </c>
      <c r="G69" s="49">
        <v>2023</v>
      </c>
      <c r="H69" s="45" t="s">
        <v>2</v>
      </c>
      <c r="I69" s="50" t="s">
        <v>20</v>
      </c>
      <c r="J69" s="50">
        <v>23</v>
      </c>
      <c r="K69" s="50" t="s">
        <v>23</v>
      </c>
      <c r="L69" s="50">
        <v>2</v>
      </c>
      <c r="M69" s="51">
        <v>500</v>
      </c>
    </row>
    <row r="70" spans="5:13" x14ac:dyDescent="0.25">
      <c r="E70" s="32">
        <v>1489</v>
      </c>
      <c r="F70" s="43">
        <v>45472</v>
      </c>
      <c r="G70" s="44">
        <v>2024</v>
      </c>
      <c r="H70" s="52" t="s">
        <v>6</v>
      </c>
      <c r="I70" s="46" t="s">
        <v>20</v>
      </c>
      <c r="J70" s="46">
        <v>38</v>
      </c>
      <c r="K70" s="46" t="s">
        <v>21</v>
      </c>
      <c r="L70" s="46">
        <v>3</v>
      </c>
      <c r="M70" s="47">
        <v>47</v>
      </c>
    </row>
    <row r="71" spans="5:13" x14ac:dyDescent="0.25">
      <c r="E71" s="33">
        <v>1386</v>
      </c>
      <c r="F71" s="48">
        <v>45627</v>
      </c>
      <c r="G71" s="49">
        <v>2024</v>
      </c>
      <c r="H71" s="45" t="s">
        <v>12</v>
      </c>
      <c r="I71" s="50" t="s">
        <v>20</v>
      </c>
      <c r="J71" s="50">
        <v>32</v>
      </c>
      <c r="K71" s="50" t="s">
        <v>23</v>
      </c>
      <c r="L71" s="50">
        <v>2</v>
      </c>
      <c r="M71" s="51">
        <v>341</v>
      </c>
    </row>
    <row r="72" spans="5:13" x14ac:dyDescent="0.25">
      <c r="E72" s="32">
        <v>653</v>
      </c>
      <c r="F72" s="43">
        <v>45090</v>
      </c>
      <c r="G72" s="44">
        <v>2023</v>
      </c>
      <c r="H72" s="52" t="s">
        <v>6</v>
      </c>
      <c r="I72" s="46" t="s">
        <v>22</v>
      </c>
      <c r="J72" s="46">
        <v>55</v>
      </c>
      <c r="K72" s="46" t="s">
        <v>23</v>
      </c>
      <c r="L72" s="46">
        <v>1</v>
      </c>
      <c r="M72" s="47">
        <v>500</v>
      </c>
    </row>
    <row r="73" spans="5:13" x14ac:dyDescent="0.25">
      <c r="E73" s="33">
        <v>1368</v>
      </c>
      <c r="F73" s="48">
        <v>45343</v>
      </c>
      <c r="G73" s="49">
        <v>2024</v>
      </c>
      <c r="H73" s="45" t="s">
        <v>2</v>
      </c>
      <c r="I73" s="50" t="s">
        <v>22</v>
      </c>
      <c r="J73" s="50">
        <v>30</v>
      </c>
      <c r="K73" s="50" t="s">
        <v>21</v>
      </c>
      <c r="L73" s="50">
        <v>1</v>
      </c>
      <c r="M73" s="51">
        <v>319</v>
      </c>
    </row>
    <row r="74" spans="5:13" x14ac:dyDescent="0.25">
      <c r="E74" s="32">
        <v>1657</v>
      </c>
      <c r="F74" s="43">
        <v>45489</v>
      </c>
      <c r="G74" s="44">
        <v>2024</v>
      </c>
      <c r="H74" s="52" t="s">
        <v>7</v>
      </c>
      <c r="I74" s="46" t="s">
        <v>22</v>
      </c>
      <c r="J74" s="46">
        <v>46</v>
      </c>
      <c r="K74" s="46" t="s">
        <v>23</v>
      </c>
      <c r="L74" s="46">
        <v>5</v>
      </c>
      <c r="M74" s="47">
        <v>452</v>
      </c>
    </row>
    <row r="75" spans="5:13" x14ac:dyDescent="0.25">
      <c r="E75" s="33">
        <v>1524</v>
      </c>
      <c r="F75" s="48">
        <v>45393</v>
      </c>
      <c r="G75" s="49">
        <v>2024</v>
      </c>
      <c r="H75" s="45" t="s">
        <v>4</v>
      </c>
      <c r="I75" s="50" t="s">
        <v>20</v>
      </c>
      <c r="J75" s="50">
        <v>63</v>
      </c>
      <c r="K75" s="50" t="s">
        <v>23</v>
      </c>
      <c r="L75" s="50">
        <v>1</v>
      </c>
      <c r="M75" s="51">
        <v>84</v>
      </c>
    </row>
    <row r="76" spans="5:13" x14ac:dyDescent="0.25">
      <c r="E76" s="32">
        <v>640</v>
      </c>
      <c r="F76" s="43">
        <v>45253</v>
      </c>
      <c r="G76" s="44">
        <v>2023</v>
      </c>
      <c r="H76" s="52" t="s">
        <v>11</v>
      </c>
      <c r="I76" s="46" t="s">
        <v>22</v>
      </c>
      <c r="J76" s="46">
        <v>40</v>
      </c>
      <c r="K76" s="46" t="s">
        <v>24</v>
      </c>
      <c r="L76" s="46">
        <v>1</v>
      </c>
      <c r="M76" s="47">
        <v>300</v>
      </c>
    </row>
    <row r="77" spans="5:13" x14ac:dyDescent="0.25">
      <c r="E77" s="33">
        <v>222</v>
      </c>
      <c r="F77" s="48">
        <v>44959</v>
      </c>
      <c r="G77" s="49">
        <v>2023</v>
      </c>
      <c r="H77" s="45" t="s">
        <v>2</v>
      </c>
      <c r="I77" s="50" t="s">
        <v>22</v>
      </c>
      <c r="J77" s="50">
        <v>64</v>
      </c>
      <c r="K77" s="50" t="s">
        <v>23</v>
      </c>
      <c r="L77" s="50">
        <v>1</v>
      </c>
      <c r="M77" s="51">
        <v>25</v>
      </c>
    </row>
    <row r="78" spans="5:13" x14ac:dyDescent="0.25">
      <c r="E78" s="32">
        <v>14</v>
      </c>
      <c r="F78" s="43">
        <v>44943</v>
      </c>
      <c r="G78" s="44">
        <v>2023</v>
      </c>
      <c r="H78" s="52" t="s">
        <v>1</v>
      </c>
      <c r="I78" s="46" t="s">
        <v>20</v>
      </c>
      <c r="J78" s="46">
        <v>64</v>
      </c>
      <c r="K78" s="46" t="s">
        <v>23</v>
      </c>
      <c r="L78" s="46">
        <v>4</v>
      </c>
      <c r="M78" s="47">
        <v>30</v>
      </c>
    </row>
    <row r="79" spans="5:13" x14ac:dyDescent="0.25">
      <c r="E79" s="33">
        <v>1492</v>
      </c>
      <c r="F79" s="48">
        <v>45497</v>
      </c>
      <c r="G79" s="49">
        <v>2024</v>
      </c>
      <c r="H79" s="45" t="s">
        <v>7</v>
      </c>
      <c r="I79" s="50" t="s">
        <v>20</v>
      </c>
      <c r="J79" s="50">
        <v>34</v>
      </c>
      <c r="K79" s="50" t="s">
        <v>21</v>
      </c>
      <c r="L79" s="50">
        <v>3</v>
      </c>
      <c r="M79" s="51">
        <v>108</v>
      </c>
    </row>
    <row r="80" spans="5:13" x14ac:dyDescent="0.25">
      <c r="E80" s="32">
        <v>991</v>
      </c>
      <c r="F80" s="43">
        <v>44963</v>
      </c>
      <c r="G80" s="44">
        <v>2023</v>
      </c>
      <c r="H80" s="52" t="s">
        <v>2</v>
      </c>
      <c r="I80" s="46" t="s">
        <v>22</v>
      </c>
      <c r="J80" s="46">
        <v>48</v>
      </c>
      <c r="K80" s="46" t="s">
        <v>24</v>
      </c>
      <c r="L80" s="46">
        <v>3</v>
      </c>
      <c r="M80" s="47">
        <v>50</v>
      </c>
    </row>
    <row r="81" spans="5:13" x14ac:dyDescent="0.25">
      <c r="E81" s="33">
        <v>881</v>
      </c>
      <c r="F81" s="48">
        <v>45055</v>
      </c>
      <c r="G81" s="49">
        <v>2023</v>
      </c>
      <c r="H81" s="45" t="s">
        <v>5</v>
      </c>
      <c r="I81" s="50" t="s">
        <v>20</v>
      </c>
      <c r="J81" s="50">
        <v>40</v>
      </c>
      <c r="K81" s="50" t="s">
        <v>24</v>
      </c>
      <c r="L81" s="50">
        <v>1</v>
      </c>
      <c r="M81" s="51">
        <v>500</v>
      </c>
    </row>
    <row r="82" spans="5:13" x14ac:dyDescent="0.25">
      <c r="E82" s="32">
        <v>1526</v>
      </c>
      <c r="F82" s="43">
        <v>45513</v>
      </c>
      <c r="G82" s="44">
        <v>2024</v>
      </c>
      <c r="H82" s="52" t="s">
        <v>8</v>
      </c>
      <c r="I82" s="46" t="s">
        <v>22</v>
      </c>
      <c r="J82" s="46">
        <v>19</v>
      </c>
      <c r="K82" s="46" t="s">
        <v>23</v>
      </c>
      <c r="L82" s="46">
        <v>6</v>
      </c>
      <c r="M82" s="47">
        <v>72</v>
      </c>
    </row>
    <row r="83" spans="5:13" x14ac:dyDescent="0.25">
      <c r="E83" s="33">
        <v>407</v>
      </c>
      <c r="F83" s="48">
        <v>45031</v>
      </c>
      <c r="G83" s="49">
        <v>2023</v>
      </c>
      <c r="H83" s="45" t="s">
        <v>4</v>
      </c>
      <c r="I83" s="50" t="s">
        <v>22</v>
      </c>
      <c r="J83" s="50">
        <v>64</v>
      </c>
      <c r="K83" s="50" t="s">
        <v>21</v>
      </c>
      <c r="L83" s="50">
        <v>1</v>
      </c>
      <c r="M83" s="51">
        <v>500</v>
      </c>
    </row>
    <row r="84" spans="5:13" x14ac:dyDescent="0.25">
      <c r="E84" s="32">
        <v>958</v>
      </c>
      <c r="F84" s="43">
        <v>45146</v>
      </c>
      <c r="G84" s="44">
        <v>2023</v>
      </c>
      <c r="H84" s="52" t="s">
        <v>8</v>
      </c>
      <c r="I84" s="46" t="s">
        <v>20</v>
      </c>
      <c r="J84" s="46">
        <v>59</v>
      </c>
      <c r="K84" s="46" t="s">
        <v>23</v>
      </c>
      <c r="L84" s="46">
        <v>2</v>
      </c>
      <c r="M84" s="47">
        <v>30</v>
      </c>
    </row>
    <row r="85" spans="5:13" x14ac:dyDescent="0.25">
      <c r="E85" s="33">
        <v>1918</v>
      </c>
      <c r="F85" s="48">
        <v>45586</v>
      </c>
      <c r="G85" s="49">
        <v>2024</v>
      </c>
      <c r="H85" s="45" t="s">
        <v>10</v>
      </c>
      <c r="I85" s="50" t="s">
        <v>20</v>
      </c>
      <c r="J85" s="50">
        <v>62</v>
      </c>
      <c r="K85" s="50" t="s">
        <v>24</v>
      </c>
      <c r="L85" s="50">
        <v>3</v>
      </c>
      <c r="M85" s="51">
        <v>387</v>
      </c>
    </row>
    <row r="86" spans="5:13" x14ac:dyDescent="0.25">
      <c r="E86" s="32">
        <v>1257</v>
      </c>
      <c r="F86" s="43">
        <v>45474</v>
      </c>
      <c r="G86" s="44">
        <v>2024</v>
      </c>
      <c r="H86" s="52" t="s">
        <v>7</v>
      </c>
      <c r="I86" s="46" t="s">
        <v>20</v>
      </c>
      <c r="J86" s="46">
        <v>21</v>
      </c>
      <c r="K86" s="46" t="s">
        <v>21</v>
      </c>
      <c r="L86" s="46">
        <v>1</v>
      </c>
      <c r="M86" s="47">
        <v>188</v>
      </c>
    </row>
    <row r="87" spans="5:13" x14ac:dyDescent="0.25">
      <c r="E87" s="33">
        <v>943</v>
      </c>
      <c r="F87" s="48">
        <v>44970</v>
      </c>
      <c r="G87" s="49">
        <v>2023</v>
      </c>
      <c r="H87" s="45" t="s">
        <v>2</v>
      </c>
      <c r="I87" s="50" t="s">
        <v>20</v>
      </c>
      <c r="J87" s="50">
        <v>30</v>
      </c>
      <c r="K87" s="50" t="s">
        <v>21</v>
      </c>
      <c r="L87" s="50">
        <v>1</v>
      </c>
      <c r="M87" s="51">
        <v>25</v>
      </c>
    </row>
    <row r="88" spans="5:13" x14ac:dyDescent="0.25">
      <c r="E88" s="32">
        <v>1121</v>
      </c>
      <c r="F88" s="43">
        <v>45427</v>
      </c>
      <c r="G88" s="44">
        <v>2024</v>
      </c>
      <c r="H88" s="52" t="s">
        <v>5</v>
      </c>
      <c r="I88" s="46" t="s">
        <v>22</v>
      </c>
      <c r="J88" s="46">
        <v>59</v>
      </c>
      <c r="K88" s="46" t="s">
        <v>24</v>
      </c>
      <c r="L88" s="46">
        <v>6</v>
      </c>
      <c r="M88" s="47">
        <v>443</v>
      </c>
    </row>
    <row r="89" spans="5:13" x14ac:dyDescent="0.25">
      <c r="E89" s="33">
        <v>1106</v>
      </c>
      <c r="F89" s="48">
        <v>45401</v>
      </c>
      <c r="G89" s="49">
        <v>2024</v>
      </c>
      <c r="H89" s="45" t="s">
        <v>4</v>
      </c>
      <c r="I89" s="50" t="s">
        <v>22</v>
      </c>
      <c r="J89" s="50">
        <v>25</v>
      </c>
      <c r="K89" s="50" t="s">
        <v>21</v>
      </c>
      <c r="L89" s="50">
        <v>6</v>
      </c>
      <c r="M89" s="51">
        <v>197</v>
      </c>
    </row>
    <row r="90" spans="5:13" x14ac:dyDescent="0.25">
      <c r="E90" s="32">
        <v>692</v>
      </c>
      <c r="F90" s="43">
        <v>45066</v>
      </c>
      <c r="G90" s="44">
        <v>2023</v>
      </c>
      <c r="H90" s="52" t="s">
        <v>5</v>
      </c>
      <c r="I90" s="46" t="s">
        <v>22</v>
      </c>
      <c r="J90" s="46">
        <v>39</v>
      </c>
      <c r="K90" s="46" t="s">
        <v>24</v>
      </c>
      <c r="L90" s="46">
        <v>2</v>
      </c>
      <c r="M90" s="47">
        <v>25</v>
      </c>
    </row>
    <row r="91" spans="5:13" x14ac:dyDescent="0.25">
      <c r="E91" s="33">
        <v>144</v>
      </c>
      <c r="F91" s="48">
        <v>45122</v>
      </c>
      <c r="G91" s="49">
        <v>2023</v>
      </c>
      <c r="H91" s="45" t="s">
        <v>7</v>
      </c>
      <c r="I91" s="50" t="s">
        <v>22</v>
      </c>
      <c r="J91" s="50">
        <v>59</v>
      </c>
      <c r="K91" s="50" t="s">
        <v>21</v>
      </c>
      <c r="L91" s="50">
        <v>3</v>
      </c>
      <c r="M91" s="51">
        <v>500</v>
      </c>
    </row>
    <row r="92" spans="5:13" x14ac:dyDescent="0.25">
      <c r="E92" s="32">
        <v>636</v>
      </c>
      <c r="F92" s="43">
        <v>45170</v>
      </c>
      <c r="G92" s="44">
        <v>2023</v>
      </c>
      <c r="H92" s="52" t="s">
        <v>9</v>
      </c>
      <c r="I92" s="46" t="s">
        <v>20</v>
      </c>
      <c r="J92" s="46">
        <v>43</v>
      </c>
      <c r="K92" s="46" t="s">
        <v>23</v>
      </c>
      <c r="L92" s="46">
        <v>2</v>
      </c>
      <c r="M92" s="47">
        <v>300</v>
      </c>
    </row>
    <row r="93" spans="5:13" x14ac:dyDescent="0.25">
      <c r="E93" s="33">
        <v>42</v>
      </c>
      <c r="F93" s="48">
        <v>44974</v>
      </c>
      <c r="G93" s="49">
        <v>2023</v>
      </c>
      <c r="H93" s="45" t="s">
        <v>2</v>
      </c>
      <c r="I93" s="50" t="s">
        <v>20</v>
      </c>
      <c r="J93" s="50">
        <v>22</v>
      </c>
      <c r="K93" s="50" t="s">
        <v>23</v>
      </c>
      <c r="L93" s="50">
        <v>3</v>
      </c>
      <c r="M93" s="51">
        <v>300</v>
      </c>
    </row>
    <row r="94" spans="5:13" x14ac:dyDescent="0.25">
      <c r="E94" s="32">
        <v>424</v>
      </c>
      <c r="F94" s="43">
        <v>45061</v>
      </c>
      <c r="G94" s="44">
        <v>2023</v>
      </c>
      <c r="H94" s="52" t="s">
        <v>5</v>
      </c>
      <c r="I94" s="46" t="s">
        <v>22</v>
      </c>
      <c r="J94" s="46">
        <v>55</v>
      </c>
      <c r="K94" s="46" t="s">
        <v>24</v>
      </c>
      <c r="L94" s="46">
        <v>4</v>
      </c>
      <c r="M94" s="47">
        <v>30</v>
      </c>
    </row>
    <row r="95" spans="5:13" x14ac:dyDescent="0.25">
      <c r="E95" s="33">
        <v>1885</v>
      </c>
      <c r="F95" s="48">
        <v>45567</v>
      </c>
      <c r="G95" s="49">
        <v>2024</v>
      </c>
      <c r="H95" s="45" t="s">
        <v>10</v>
      </c>
      <c r="I95" s="50" t="s">
        <v>22</v>
      </c>
      <c r="J95" s="50">
        <v>60</v>
      </c>
      <c r="K95" s="50" t="s">
        <v>24</v>
      </c>
      <c r="L95" s="50">
        <v>7</v>
      </c>
      <c r="M95" s="51">
        <v>267</v>
      </c>
    </row>
    <row r="96" spans="5:13" x14ac:dyDescent="0.25">
      <c r="E96" s="32">
        <v>1300</v>
      </c>
      <c r="F96" s="43">
        <v>45293</v>
      </c>
      <c r="G96" s="44">
        <v>2024</v>
      </c>
      <c r="H96" s="52" t="s">
        <v>1</v>
      </c>
      <c r="I96" s="46" t="s">
        <v>20</v>
      </c>
      <c r="J96" s="46">
        <v>42</v>
      </c>
      <c r="K96" s="46" t="s">
        <v>24</v>
      </c>
      <c r="L96" s="46">
        <v>2</v>
      </c>
      <c r="M96" s="47">
        <v>171</v>
      </c>
    </row>
    <row r="97" spans="5:13" x14ac:dyDescent="0.25">
      <c r="E97" s="33">
        <v>240</v>
      </c>
      <c r="F97" s="48">
        <v>45190</v>
      </c>
      <c r="G97" s="49">
        <v>2023</v>
      </c>
      <c r="H97" s="45" t="s">
        <v>9</v>
      </c>
      <c r="I97" s="50" t="s">
        <v>22</v>
      </c>
      <c r="J97" s="50">
        <v>23</v>
      </c>
      <c r="K97" s="50" t="s">
        <v>24</v>
      </c>
      <c r="L97" s="50">
        <v>3</v>
      </c>
      <c r="M97" s="51">
        <v>25</v>
      </c>
    </row>
    <row r="98" spans="5:13" x14ac:dyDescent="0.25">
      <c r="E98" s="32">
        <v>387</v>
      </c>
      <c r="F98" s="43">
        <v>45240</v>
      </c>
      <c r="G98" s="44">
        <v>2023</v>
      </c>
      <c r="H98" s="52" t="s">
        <v>11</v>
      </c>
      <c r="I98" s="46" t="s">
        <v>20</v>
      </c>
      <c r="J98" s="46">
        <v>50</v>
      </c>
      <c r="K98" s="46" t="s">
        <v>24</v>
      </c>
      <c r="L98" s="46">
        <v>1</v>
      </c>
      <c r="M98" s="47">
        <v>25</v>
      </c>
    </row>
    <row r="99" spans="5:13" x14ac:dyDescent="0.25">
      <c r="E99" s="33">
        <v>1320</v>
      </c>
      <c r="F99" s="48">
        <v>45317</v>
      </c>
      <c r="G99" s="49">
        <v>2024</v>
      </c>
      <c r="H99" s="45" t="s">
        <v>1</v>
      </c>
      <c r="I99" s="50" t="s">
        <v>22</v>
      </c>
      <c r="J99" s="50">
        <v>56</v>
      </c>
      <c r="K99" s="50" t="s">
        <v>21</v>
      </c>
      <c r="L99" s="50">
        <v>6</v>
      </c>
      <c r="M99" s="51">
        <v>33</v>
      </c>
    </row>
    <row r="100" spans="5:13" x14ac:dyDescent="0.25">
      <c r="E100" s="32">
        <v>1634</v>
      </c>
      <c r="F100" s="43">
        <v>45536</v>
      </c>
      <c r="G100" s="44">
        <v>2024</v>
      </c>
      <c r="H100" s="52" t="s">
        <v>9</v>
      </c>
      <c r="I100" s="46" t="s">
        <v>20</v>
      </c>
      <c r="J100" s="46">
        <v>31</v>
      </c>
      <c r="K100" s="46" t="s">
        <v>23</v>
      </c>
      <c r="L100" s="46">
        <v>7</v>
      </c>
      <c r="M100" s="47">
        <v>490</v>
      </c>
    </row>
    <row r="101" spans="5:13" x14ac:dyDescent="0.25">
      <c r="E101" s="33">
        <v>44</v>
      </c>
      <c r="F101" s="48">
        <v>44976</v>
      </c>
      <c r="G101" s="49">
        <v>2023</v>
      </c>
      <c r="H101" s="45" t="s">
        <v>2</v>
      </c>
      <c r="I101" s="50" t="s">
        <v>22</v>
      </c>
      <c r="J101" s="50">
        <v>22</v>
      </c>
      <c r="K101" s="50" t="s">
        <v>23</v>
      </c>
      <c r="L101" s="50">
        <v>1</v>
      </c>
      <c r="M101" s="51">
        <v>25</v>
      </c>
    </row>
    <row r="102" spans="5:13" x14ac:dyDescent="0.25">
      <c r="E102" s="32">
        <v>1183</v>
      </c>
      <c r="F102" s="43">
        <v>45349</v>
      </c>
      <c r="G102" s="44">
        <v>2024</v>
      </c>
      <c r="H102" s="52" t="s">
        <v>2</v>
      </c>
      <c r="I102" s="46" t="s">
        <v>20</v>
      </c>
      <c r="J102" s="46">
        <v>50</v>
      </c>
      <c r="K102" s="46" t="s">
        <v>23</v>
      </c>
      <c r="L102" s="46">
        <v>6</v>
      </c>
      <c r="M102" s="47">
        <v>18</v>
      </c>
    </row>
    <row r="103" spans="5:13" x14ac:dyDescent="0.25">
      <c r="E103" s="33">
        <v>1488</v>
      </c>
      <c r="F103" s="48">
        <v>45435</v>
      </c>
      <c r="G103" s="49">
        <v>2024</v>
      </c>
      <c r="H103" s="45" t="s">
        <v>5</v>
      </c>
      <c r="I103" s="50" t="s">
        <v>22</v>
      </c>
      <c r="J103" s="50">
        <v>19</v>
      </c>
      <c r="K103" s="50" t="s">
        <v>24</v>
      </c>
      <c r="L103" s="50">
        <v>6</v>
      </c>
      <c r="M103" s="51">
        <v>93</v>
      </c>
    </row>
    <row r="104" spans="5:13" x14ac:dyDescent="0.25">
      <c r="E104" s="32">
        <v>1787</v>
      </c>
      <c r="F104" s="43">
        <v>45631</v>
      </c>
      <c r="G104" s="44">
        <v>2024</v>
      </c>
      <c r="H104" s="52" t="s">
        <v>12</v>
      </c>
      <c r="I104" s="46" t="s">
        <v>22</v>
      </c>
      <c r="J104" s="46">
        <v>64</v>
      </c>
      <c r="K104" s="46" t="s">
        <v>21</v>
      </c>
      <c r="L104" s="46">
        <v>3</v>
      </c>
      <c r="M104" s="47">
        <v>404</v>
      </c>
    </row>
    <row r="105" spans="5:13" x14ac:dyDescent="0.25">
      <c r="E105" s="33">
        <v>1407</v>
      </c>
      <c r="F105" s="48">
        <v>45617</v>
      </c>
      <c r="G105" s="49">
        <v>2024</v>
      </c>
      <c r="H105" s="45" t="s">
        <v>11</v>
      </c>
      <c r="I105" s="50" t="s">
        <v>22</v>
      </c>
      <c r="J105" s="50">
        <v>59</v>
      </c>
      <c r="K105" s="50" t="s">
        <v>23</v>
      </c>
      <c r="L105" s="50">
        <v>2</v>
      </c>
      <c r="M105" s="51">
        <v>45</v>
      </c>
    </row>
    <row r="106" spans="5:13" x14ac:dyDescent="0.25">
      <c r="E106" s="32">
        <v>1210</v>
      </c>
      <c r="F106" s="43">
        <v>45497</v>
      </c>
      <c r="G106" s="44">
        <v>2024</v>
      </c>
      <c r="H106" s="52" t="s">
        <v>7</v>
      </c>
      <c r="I106" s="46" t="s">
        <v>20</v>
      </c>
      <c r="J106" s="46">
        <v>29</v>
      </c>
      <c r="K106" s="46" t="s">
        <v>21</v>
      </c>
      <c r="L106" s="46">
        <v>5</v>
      </c>
      <c r="M106" s="47">
        <v>308</v>
      </c>
    </row>
    <row r="107" spans="5:13" x14ac:dyDescent="0.25">
      <c r="E107" s="33">
        <v>808</v>
      </c>
      <c r="F107" s="48">
        <v>45260</v>
      </c>
      <c r="G107" s="49">
        <v>2023</v>
      </c>
      <c r="H107" s="45" t="s">
        <v>11</v>
      </c>
      <c r="I107" s="50" t="s">
        <v>20</v>
      </c>
      <c r="J107" s="50">
        <v>59</v>
      </c>
      <c r="K107" s="50" t="s">
        <v>24</v>
      </c>
      <c r="L107" s="50">
        <v>4</v>
      </c>
      <c r="M107" s="51">
        <v>25</v>
      </c>
    </row>
    <row r="108" spans="5:13" x14ac:dyDescent="0.25">
      <c r="E108" s="32">
        <v>1659</v>
      </c>
      <c r="F108" s="43">
        <v>45371</v>
      </c>
      <c r="G108" s="44">
        <v>2024</v>
      </c>
      <c r="H108" s="52" t="s">
        <v>3</v>
      </c>
      <c r="I108" s="46" t="s">
        <v>20</v>
      </c>
      <c r="J108" s="46">
        <v>21</v>
      </c>
      <c r="K108" s="46" t="s">
        <v>23</v>
      </c>
      <c r="L108" s="46">
        <v>3</v>
      </c>
      <c r="M108" s="47">
        <v>347</v>
      </c>
    </row>
    <row r="109" spans="5:13" x14ac:dyDescent="0.25">
      <c r="E109" s="33">
        <v>1391</v>
      </c>
      <c r="F109" s="48">
        <v>45446</v>
      </c>
      <c r="G109" s="49">
        <v>2024</v>
      </c>
      <c r="H109" s="45" t="s">
        <v>6</v>
      </c>
      <c r="I109" s="50" t="s">
        <v>22</v>
      </c>
      <c r="J109" s="50">
        <v>52</v>
      </c>
      <c r="K109" s="50" t="s">
        <v>23</v>
      </c>
      <c r="L109" s="50">
        <v>5</v>
      </c>
      <c r="M109" s="51">
        <v>44</v>
      </c>
    </row>
    <row r="110" spans="5:13" x14ac:dyDescent="0.25">
      <c r="E110" s="32">
        <v>1080</v>
      </c>
      <c r="F110" s="43">
        <v>45652</v>
      </c>
      <c r="G110" s="44">
        <v>2024</v>
      </c>
      <c r="H110" s="52" t="s">
        <v>12</v>
      </c>
      <c r="I110" s="46" t="s">
        <v>22</v>
      </c>
      <c r="J110" s="46">
        <v>46</v>
      </c>
      <c r="K110" s="46" t="s">
        <v>21</v>
      </c>
      <c r="L110" s="46">
        <v>6</v>
      </c>
      <c r="M110" s="47">
        <v>143</v>
      </c>
    </row>
    <row r="111" spans="5:13" x14ac:dyDescent="0.25">
      <c r="E111" s="33">
        <v>412</v>
      </c>
      <c r="F111" s="48">
        <v>45177</v>
      </c>
      <c r="G111" s="49">
        <v>2023</v>
      </c>
      <c r="H111" s="45" t="s">
        <v>9</v>
      </c>
      <c r="I111" s="50" t="s">
        <v>22</v>
      </c>
      <c r="J111" s="50">
        <v>44</v>
      </c>
      <c r="K111" s="50" t="s">
        <v>21</v>
      </c>
      <c r="L111" s="50">
        <v>3</v>
      </c>
      <c r="M111" s="51">
        <v>25</v>
      </c>
    </row>
    <row r="112" spans="5:13" x14ac:dyDescent="0.25">
      <c r="E112" s="32">
        <v>971</v>
      </c>
      <c r="F112" s="43">
        <v>45007</v>
      </c>
      <c r="G112" s="44">
        <v>2023</v>
      </c>
      <c r="H112" s="52" t="s">
        <v>3</v>
      </c>
      <c r="I112" s="46" t="s">
        <v>20</v>
      </c>
      <c r="J112" s="46">
        <v>60</v>
      </c>
      <c r="K112" s="46" t="s">
        <v>23</v>
      </c>
      <c r="L112" s="46">
        <v>1</v>
      </c>
      <c r="M112" s="47">
        <v>50</v>
      </c>
    </row>
    <row r="113" spans="5:13" x14ac:dyDescent="0.25">
      <c r="E113" s="33">
        <v>657</v>
      </c>
      <c r="F113" s="48">
        <v>45004</v>
      </c>
      <c r="G113" s="49">
        <v>2023</v>
      </c>
      <c r="H113" s="45" t="s">
        <v>3</v>
      </c>
      <c r="I113" s="50" t="s">
        <v>22</v>
      </c>
      <c r="J113" s="50">
        <v>39</v>
      </c>
      <c r="K113" s="50" t="s">
        <v>24</v>
      </c>
      <c r="L113" s="50">
        <v>1</v>
      </c>
      <c r="M113" s="51">
        <v>30</v>
      </c>
    </row>
    <row r="114" spans="5:13" x14ac:dyDescent="0.25">
      <c r="E114" s="32">
        <v>1174</v>
      </c>
      <c r="F114" s="43">
        <v>45484</v>
      </c>
      <c r="G114" s="44">
        <v>2024</v>
      </c>
      <c r="H114" s="52" t="s">
        <v>7</v>
      </c>
      <c r="I114" s="46" t="s">
        <v>22</v>
      </c>
      <c r="J114" s="46">
        <v>35</v>
      </c>
      <c r="K114" s="46" t="s">
        <v>21</v>
      </c>
      <c r="L114" s="46">
        <v>1</v>
      </c>
      <c r="M114" s="47">
        <v>431</v>
      </c>
    </row>
    <row r="115" spans="5:13" x14ac:dyDescent="0.25">
      <c r="E115" s="33">
        <v>1845</v>
      </c>
      <c r="F115" s="48">
        <v>45416</v>
      </c>
      <c r="G115" s="49">
        <v>2024</v>
      </c>
      <c r="H115" s="45" t="s">
        <v>5</v>
      </c>
      <c r="I115" s="50" t="s">
        <v>20</v>
      </c>
      <c r="J115" s="50">
        <v>53</v>
      </c>
      <c r="K115" s="50" t="s">
        <v>23</v>
      </c>
      <c r="L115" s="50">
        <v>1</v>
      </c>
      <c r="M115" s="51">
        <v>359</v>
      </c>
    </row>
    <row r="116" spans="5:13" x14ac:dyDescent="0.25">
      <c r="E116" s="32">
        <v>508</v>
      </c>
      <c r="F116" s="43">
        <v>45103</v>
      </c>
      <c r="G116" s="44">
        <v>2023</v>
      </c>
      <c r="H116" s="52" t="s">
        <v>6</v>
      </c>
      <c r="I116" s="46" t="s">
        <v>22</v>
      </c>
      <c r="J116" s="46">
        <v>37</v>
      </c>
      <c r="K116" s="46" t="s">
        <v>24</v>
      </c>
      <c r="L116" s="46">
        <v>3</v>
      </c>
      <c r="M116" s="47">
        <v>300</v>
      </c>
    </row>
    <row r="117" spans="5:13" x14ac:dyDescent="0.25">
      <c r="E117" s="33">
        <v>1953</v>
      </c>
      <c r="F117" s="48">
        <v>45519</v>
      </c>
      <c r="G117" s="49">
        <v>2024</v>
      </c>
      <c r="H117" s="45" t="s">
        <v>8</v>
      </c>
      <c r="I117" s="50" t="s">
        <v>22</v>
      </c>
      <c r="J117" s="50">
        <v>42</v>
      </c>
      <c r="K117" s="50" t="s">
        <v>24</v>
      </c>
      <c r="L117" s="50">
        <v>5</v>
      </c>
      <c r="M117" s="51">
        <v>187</v>
      </c>
    </row>
    <row r="118" spans="5:13" x14ac:dyDescent="0.25">
      <c r="E118" s="32">
        <v>878</v>
      </c>
      <c r="F118" s="43">
        <v>45159</v>
      </c>
      <c r="G118" s="44">
        <v>2023</v>
      </c>
      <c r="H118" s="52" t="s">
        <v>8</v>
      </c>
      <c r="I118" s="46" t="s">
        <v>20</v>
      </c>
      <c r="J118" s="46">
        <v>22</v>
      </c>
      <c r="K118" s="46" t="s">
        <v>21</v>
      </c>
      <c r="L118" s="46">
        <v>2</v>
      </c>
      <c r="M118" s="47">
        <v>500</v>
      </c>
    </row>
    <row r="119" spans="5:13" x14ac:dyDescent="0.25">
      <c r="E119" s="33">
        <v>1229</v>
      </c>
      <c r="F119" s="48">
        <v>45328</v>
      </c>
      <c r="G119" s="49">
        <v>2024</v>
      </c>
      <c r="H119" s="45" t="s">
        <v>2</v>
      </c>
      <c r="I119" s="50" t="s">
        <v>22</v>
      </c>
      <c r="J119" s="50">
        <v>23</v>
      </c>
      <c r="K119" s="50" t="s">
        <v>21</v>
      </c>
      <c r="L119" s="50">
        <v>3</v>
      </c>
      <c r="M119" s="51">
        <v>135</v>
      </c>
    </row>
    <row r="120" spans="5:13" x14ac:dyDescent="0.25">
      <c r="E120" s="32">
        <v>1679</v>
      </c>
      <c r="F120" s="43">
        <v>45295</v>
      </c>
      <c r="G120" s="44">
        <v>2024</v>
      </c>
      <c r="H120" s="52" t="s">
        <v>1</v>
      </c>
      <c r="I120" s="46" t="s">
        <v>20</v>
      </c>
      <c r="J120" s="46">
        <v>59</v>
      </c>
      <c r="K120" s="46" t="s">
        <v>21</v>
      </c>
      <c r="L120" s="46">
        <v>4</v>
      </c>
      <c r="M120" s="47">
        <v>435</v>
      </c>
    </row>
    <row r="121" spans="5:13" x14ac:dyDescent="0.25">
      <c r="E121" s="33">
        <v>697</v>
      </c>
      <c r="F121" s="48">
        <v>45099</v>
      </c>
      <c r="G121" s="49">
        <v>2023</v>
      </c>
      <c r="H121" s="45" t="s">
        <v>6</v>
      </c>
      <c r="I121" s="50" t="s">
        <v>22</v>
      </c>
      <c r="J121" s="50">
        <v>37</v>
      </c>
      <c r="K121" s="50" t="s">
        <v>23</v>
      </c>
      <c r="L121" s="50">
        <v>4</v>
      </c>
      <c r="M121" s="51">
        <v>30</v>
      </c>
    </row>
    <row r="122" spans="5:13" x14ac:dyDescent="0.25">
      <c r="E122" s="32">
        <v>1752</v>
      </c>
      <c r="F122" s="43">
        <v>45531</v>
      </c>
      <c r="G122" s="44">
        <v>2024</v>
      </c>
      <c r="H122" s="52" t="s">
        <v>8</v>
      </c>
      <c r="I122" s="46" t="s">
        <v>22</v>
      </c>
      <c r="J122" s="46">
        <v>31</v>
      </c>
      <c r="K122" s="46" t="s">
        <v>24</v>
      </c>
      <c r="L122" s="46">
        <v>1</v>
      </c>
      <c r="M122" s="47">
        <v>121</v>
      </c>
    </row>
    <row r="123" spans="5:13" x14ac:dyDescent="0.25">
      <c r="E123" s="33">
        <v>617</v>
      </c>
      <c r="F123" s="48">
        <v>44952</v>
      </c>
      <c r="G123" s="49">
        <v>2023</v>
      </c>
      <c r="H123" s="45" t="s">
        <v>1</v>
      </c>
      <c r="I123" s="50" t="s">
        <v>22</v>
      </c>
      <c r="J123" s="50">
        <v>27</v>
      </c>
      <c r="K123" s="50" t="s">
        <v>21</v>
      </c>
      <c r="L123" s="50">
        <v>1</v>
      </c>
      <c r="M123" s="51">
        <v>50</v>
      </c>
    </row>
    <row r="124" spans="5:13" x14ac:dyDescent="0.25">
      <c r="E124" s="32">
        <v>1642</v>
      </c>
      <c r="F124" s="43">
        <v>45613</v>
      </c>
      <c r="G124" s="44">
        <v>2024</v>
      </c>
      <c r="H124" s="52" t="s">
        <v>11</v>
      </c>
      <c r="I124" s="46" t="s">
        <v>22</v>
      </c>
      <c r="J124" s="46">
        <v>20</v>
      </c>
      <c r="K124" s="46" t="s">
        <v>24</v>
      </c>
      <c r="L124" s="46">
        <v>7</v>
      </c>
      <c r="M124" s="47">
        <v>375</v>
      </c>
    </row>
    <row r="125" spans="5:13" x14ac:dyDescent="0.25">
      <c r="E125" s="33">
        <v>545</v>
      </c>
      <c r="F125" s="48">
        <v>45210</v>
      </c>
      <c r="G125" s="49">
        <v>2023</v>
      </c>
      <c r="H125" s="45" t="s">
        <v>10</v>
      </c>
      <c r="I125" s="50" t="s">
        <v>22</v>
      </c>
      <c r="J125" s="50">
        <v>36</v>
      </c>
      <c r="K125" s="50" t="s">
        <v>24</v>
      </c>
      <c r="L125" s="50">
        <v>4</v>
      </c>
      <c r="M125" s="51">
        <v>50</v>
      </c>
    </row>
    <row r="126" spans="5:13" x14ac:dyDescent="0.25">
      <c r="E126" s="32">
        <v>1779</v>
      </c>
      <c r="F126" s="43">
        <v>45643</v>
      </c>
      <c r="G126" s="44">
        <v>2024</v>
      </c>
      <c r="H126" s="52" t="s">
        <v>12</v>
      </c>
      <c r="I126" s="46" t="s">
        <v>22</v>
      </c>
      <c r="J126" s="46">
        <v>63</v>
      </c>
      <c r="K126" s="46" t="s">
        <v>23</v>
      </c>
      <c r="L126" s="46">
        <v>7</v>
      </c>
      <c r="M126" s="47">
        <v>54</v>
      </c>
    </row>
    <row r="127" spans="5:13" x14ac:dyDescent="0.25">
      <c r="E127" s="33">
        <v>523</v>
      </c>
      <c r="F127" s="48">
        <v>45202</v>
      </c>
      <c r="G127" s="49">
        <v>2023</v>
      </c>
      <c r="H127" s="45" t="s">
        <v>10</v>
      </c>
      <c r="I127" s="50" t="s">
        <v>20</v>
      </c>
      <c r="J127" s="50">
        <v>46</v>
      </c>
      <c r="K127" s="50" t="s">
        <v>21</v>
      </c>
      <c r="L127" s="50">
        <v>4</v>
      </c>
      <c r="M127" s="51">
        <v>300</v>
      </c>
    </row>
    <row r="128" spans="5:13" x14ac:dyDescent="0.25">
      <c r="E128" s="32">
        <v>600</v>
      </c>
      <c r="F128" s="43">
        <v>45026</v>
      </c>
      <c r="G128" s="44">
        <v>2023</v>
      </c>
      <c r="H128" s="52" t="s">
        <v>4</v>
      </c>
      <c r="I128" s="46" t="s">
        <v>20</v>
      </c>
      <c r="J128" s="46">
        <v>19</v>
      </c>
      <c r="K128" s="46" t="s">
        <v>23</v>
      </c>
      <c r="L128" s="46">
        <v>1</v>
      </c>
      <c r="M128" s="47">
        <v>30</v>
      </c>
    </row>
    <row r="129" spans="5:13" x14ac:dyDescent="0.25">
      <c r="E129" s="33">
        <v>790</v>
      </c>
      <c r="F129" s="48">
        <v>45116</v>
      </c>
      <c r="G129" s="49">
        <v>2023</v>
      </c>
      <c r="H129" s="45" t="s">
        <v>7</v>
      </c>
      <c r="I129" s="50" t="s">
        <v>22</v>
      </c>
      <c r="J129" s="50">
        <v>20</v>
      </c>
      <c r="K129" s="50" t="s">
        <v>21</v>
      </c>
      <c r="L129" s="50">
        <v>1</v>
      </c>
      <c r="M129" s="51">
        <v>50</v>
      </c>
    </row>
    <row r="130" spans="5:13" x14ac:dyDescent="0.25">
      <c r="E130" s="32">
        <v>1939</v>
      </c>
      <c r="F130" s="43">
        <v>45581</v>
      </c>
      <c r="G130" s="44">
        <v>2024</v>
      </c>
      <c r="H130" s="52" t="s">
        <v>10</v>
      </c>
      <c r="I130" s="46" t="s">
        <v>22</v>
      </c>
      <c r="J130" s="46">
        <v>52</v>
      </c>
      <c r="K130" s="46" t="s">
        <v>23</v>
      </c>
      <c r="L130" s="46">
        <v>5</v>
      </c>
      <c r="M130" s="47">
        <v>303</v>
      </c>
    </row>
    <row r="131" spans="5:13" x14ac:dyDescent="0.25">
      <c r="E131" s="33">
        <v>1352</v>
      </c>
      <c r="F131" s="48">
        <v>45635</v>
      </c>
      <c r="G131" s="49">
        <v>2024</v>
      </c>
      <c r="H131" s="45" t="s">
        <v>12</v>
      </c>
      <c r="I131" s="50" t="s">
        <v>22</v>
      </c>
      <c r="J131" s="50">
        <v>65</v>
      </c>
      <c r="K131" s="50" t="s">
        <v>24</v>
      </c>
      <c r="L131" s="50">
        <v>7</v>
      </c>
      <c r="M131" s="51">
        <v>230</v>
      </c>
    </row>
    <row r="132" spans="5:13" x14ac:dyDescent="0.25">
      <c r="E132" s="32">
        <v>225</v>
      </c>
      <c r="F132" s="43">
        <v>45228</v>
      </c>
      <c r="G132" s="44">
        <v>2023</v>
      </c>
      <c r="H132" s="52" t="s">
        <v>10</v>
      </c>
      <c r="I132" s="46" t="s">
        <v>22</v>
      </c>
      <c r="J132" s="46">
        <v>61</v>
      </c>
      <c r="K132" s="46" t="s">
        <v>23</v>
      </c>
      <c r="L132" s="46">
        <v>1</v>
      </c>
      <c r="M132" s="47">
        <v>50</v>
      </c>
    </row>
    <row r="133" spans="5:13" x14ac:dyDescent="0.25">
      <c r="E133" s="33">
        <v>1145</v>
      </c>
      <c r="F133" s="48">
        <v>45563</v>
      </c>
      <c r="G133" s="49">
        <v>2024</v>
      </c>
      <c r="H133" s="45" t="s">
        <v>9</v>
      </c>
      <c r="I133" s="50" t="s">
        <v>20</v>
      </c>
      <c r="J133" s="50">
        <v>43</v>
      </c>
      <c r="K133" s="50" t="s">
        <v>24</v>
      </c>
      <c r="L133" s="50">
        <v>3</v>
      </c>
      <c r="M133" s="51">
        <v>221</v>
      </c>
    </row>
    <row r="134" spans="5:13" x14ac:dyDescent="0.25">
      <c r="E134" s="32">
        <v>1144</v>
      </c>
      <c r="F134" s="43">
        <v>45532</v>
      </c>
      <c r="G134" s="44">
        <v>2024</v>
      </c>
      <c r="H134" s="52" t="s">
        <v>8</v>
      </c>
      <c r="I134" s="46" t="s">
        <v>20</v>
      </c>
      <c r="J134" s="46">
        <v>46</v>
      </c>
      <c r="K134" s="46" t="s">
        <v>23</v>
      </c>
      <c r="L134" s="46">
        <v>2</v>
      </c>
      <c r="M134" s="47">
        <v>186</v>
      </c>
    </row>
    <row r="135" spans="5:13" x14ac:dyDescent="0.25">
      <c r="E135" s="33">
        <v>492</v>
      </c>
      <c r="F135" s="48">
        <v>45255</v>
      </c>
      <c r="G135" s="49">
        <v>2023</v>
      </c>
      <c r="H135" s="45" t="s">
        <v>11</v>
      </c>
      <c r="I135" s="50" t="s">
        <v>20</v>
      </c>
      <c r="J135" s="50">
        <v>41</v>
      </c>
      <c r="K135" s="50" t="s">
        <v>21</v>
      </c>
      <c r="L135" s="50">
        <v>2</v>
      </c>
      <c r="M135" s="51">
        <v>25</v>
      </c>
    </row>
    <row r="136" spans="5:13" x14ac:dyDescent="0.25">
      <c r="E136" s="32">
        <v>1219</v>
      </c>
      <c r="F136" s="43">
        <v>45408</v>
      </c>
      <c r="G136" s="44">
        <v>2024</v>
      </c>
      <c r="H136" s="52" t="s">
        <v>4</v>
      </c>
      <c r="I136" s="46" t="s">
        <v>20</v>
      </c>
      <c r="J136" s="46">
        <v>45</v>
      </c>
      <c r="K136" s="46" t="s">
        <v>23</v>
      </c>
      <c r="L136" s="46">
        <v>4</v>
      </c>
      <c r="M136" s="47">
        <v>216</v>
      </c>
    </row>
    <row r="137" spans="5:13" x14ac:dyDescent="0.25">
      <c r="E137" s="33">
        <v>842</v>
      </c>
      <c r="F137" s="48">
        <v>45211</v>
      </c>
      <c r="G137" s="49">
        <v>2023</v>
      </c>
      <c r="H137" s="45" t="s">
        <v>10</v>
      </c>
      <c r="I137" s="50" t="s">
        <v>20</v>
      </c>
      <c r="J137" s="50">
        <v>35</v>
      </c>
      <c r="K137" s="50" t="s">
        <v>23</v>
      </c>
      <c r="L137" s="50">
        <v>3</v>
      </c>
      <c r="M137" s="51">
        <v>50</v>
      </c>
    </row>
    <row r="138" spans="5:13" x14ac:dyDescent="0.25">
      <c r="E138" s="32">
        <v>1338</v>
      </c>
      <c r="F138" s="43">
        <v>45419</v>
      </c>
      <c r="G138" s="44">
        <v>2024</v>
      </c>
      <c r="H138" s="52" t="s">
        <v>5</v>
      </c>
      <c r="I138" s="46" t="s">
        <v>20</v>
      </c>
      <c r="J138" s="46">
        <v>20</v>
      </c>
      <c r="K138" s="46" t="s">
        <v>23</v>
      </c>
      <c r="L138" s="46">
        <v>5</v>
      </c>
      <c r="M138" s="47">
        <v>235</v>
      </c>
    </row>
    <row r="139" spans="5:13" x14ac:dyDescent="0.25">
      <c r="E139" s="33">
        <v>588</v>
      </c>
      <c r="F139" s="48">
        <v>45028</v>
      </c>
      <c r="G139" s="49">
        <v>2023</v>
      </c>
      <c r="H139" s="45" t="s">
        <v>4</v>
      </c>
      <c r="I139" s="50" t="s">
        <v>22</v>
      </c>
      <c r="J139" s="50">
        <v>36</v>
      </c>
      <c r="K139" s="50" t="s">
        <v>21</v>
      </c>
      <c r="L139" s="50">
        <v>2</v>
      </c>
      <c r="M139" s="51">
        <v>500</v>
      </c>
    </row>
    <row r="140" spans="5:13" x14ac:dyDescent="0.25">
      <c r="E140" s="32">
        <v>594</v>
      </c>
      <c r="F140" s="43">
        <v>45239</v>
      </c>
      <c r="G140" s="44">
        <v>2023</v>
      </c>
      <c r="H140" s="52" t="s">
        <v>11</v>
      </c>
      <c r="I140" s="46" t="s">
        <v>22</v>
      </c>
      <c r="J140" s="46">
        <v>18</v>
      </c>
      <c r="K140" s="46" t="s">
        <v>23</v>
      </c>
      <c r="L140" s="46">
        <v>4</v>
      </c>
      <c r="M140" s="47">
        <v>500</v>
      </c>
    </row>
    <row r="141" spans="5:13" x14ac:dyDescent="0.25">
      <c r="E141" s="33">
        <v>726</v>
      </c>
      <c r="F141" s="48">
        <v>45121</v>
      </c>
      <c r="G141" s="49">
        <v>2023</v>
      </c>
      <c r="H141" s="45" t="s">
        <v>7</v>
      </c>
      <c r="I141" s="50" t="s">
        <v>20</v>
      </c>
      <c r="J141" s="50">
        <v>51</v>
      </c>
      <c r="K141" s="50" t="s">
        <v>24</v>
      </c>
      <c r="L141" s="50">
        <v>3</v>
      </c>
      <c r="M141" s="51">
        <v>50</v>
      </c>
    </row>
    <row r="142" spans="5:13" x14ac:dyDescent="0.25">
      <c r="E142" s="32">
        <v>741</v>
      </c>
      <c r="F142" s="43">
        <v>44942</v>
      </c>
      <c r="G142" s="44">
        <v>2023</v>
      </c>
      <c r="H142" s="52" t="s">
        <v>1</v>
      </c>
      <c r="I142" s="46" t="s">
        <v>22</v>
      </c>
      <c r="J142" s="46">
        <v>34</v>
      </c>
      <c r="K142" s="46" t="s">
        <v>21</v>
      </c>
      <c r="L142" s="46">
        <v>4</v>
      </c>
      <c r="M142" s="47">
        <v>500</v>
      </c>
    </row>
    <row r="143" spans="5:13" x14ac:dyDescent="0.25">
      <c r="E143" s="33">
        <v>1708</v>
      </c>
      <c r="F143" s="48">
        <v>45632</v>
      </c>
      <c r="G143" s="49">
        <v>2024</v>
      </c>
      <c r="H143" s="45" t="s">
        <v>12</v>
      </c>
      <c r="I143" s="50" t="s">
        <v>22</v>
      </c>
      <c r="J143" s="50">
        <v>42</v>
      </c>
      <c r="K143" s="50" t="s">
        <v>21</v>
      </c>
      <c r="L143" s="50">
        <v>3</v>
      </c>
      <c r="M143" s="51">
        <v>100</v>
      </c>
    </row>
    <row r="144" spans="5:13" x14ac:dyDescent="0.25">
      <c r="E144" s="32">
        <v>1572</v>
      </c>
      <c r="F144" s="43">
        <v>45379</v>
      </c>
      <c r="G144" s="44">
        <v>2024</v>
      </c>
      <c r="H144" s="52" t="s">
        <v>3</v>
      </c>
      <c r="I144" s="46" t="s">
        <v>20</v>
      </c>
      <c r="J144" s="46">
        <v>23</v>
      </c>
      <c r="K144" s="46" t="s">
        <v>23</v>
      </c>
      <c r="L144" s="46">
        <v>6</v>
      </c>
      <c r="M144" s="47">
        <v>130</v>
      </c>
    </row>
    <row r="145" spans="5:13" x14ac:dyDescent="0.25">
      <c r="E145" s="33">
        <v>1156</v>
      </c>
      <c r="F145" s="48">
        <v>45349</v>
      </c>
      <c r="G145" s="49">
        <v>2024</v>
      </c>
      <c r="H145" s="45" t="s">
        <v>2</v>
      </c>
      <c r="I145" s="50" t="s">
        <v>22</v>
      </c>
      <c r="J145" s="50">
        <v>28</v>
      </c>
      <c r="K145" s="50" t="s">
        <v>24</v>
      </c>
      <c r="L145" s="50">
        <v>3</v>
      </c>
      <c r="M145" s="51">
        <v>272</v>
      </c>
    </row>
    <row r="146" spans="5:13" x14ac:dyDescent="0.25">
      <c r="E146" s="32">
        <v>1853</v>
      </c>
      <c r="F146" s="43">
        <v>45657</v>
      </c>
      <c r="G146" s="44">
        <v>2024</v>
      </c>
      <c r="H146" s="52" t="s">
        <v>12</v>
      </c>
      <c r="I146" s="46" t="s">
        <v>20</v>
      </c>
      <c r="J146" s="46">
        <v>52</v>
      </c>
      <c r="K146" s="46" t="s">
        <v>24</v>
      </c>
      <c r="L146" s="46">
        <v>4</v>
      </c>
      <c r="M146" s="47">
        <v>111</v>
      </c>
    </row>
    <row r="147" spans="5:13" x14ac:dyDescent="0.25">
      <c r="E147" s="33">
        <v>1864</v>
      </c>
      <c r="F147" s="48">
        <v>45632</v>
      </c>
      <c r="G147" s="49">
        <v>2024</v>
      </c>
      <c r="H147" s="45" t="s">
        <v>12</v>
      </c>
      <c r="I147" s="50" t="s">
        <v>22</v>
      </c>
      <c r="J147" s="50">
        <v>37</v>
      </c>
      <c r="K147" s="50" t="s">
        <v>24</v>
      </c>
      <c r="L147" s="50">
        <v>3</v>
      </c>
      <c r="M147" s="51">
        <v>466</v>
      </c>
    </row>
    <row r="148" spans="5:13" x14ac:dyDescent="0.25">
      <c r="E148" s="32">
        <v>1722</v>
      </c>
      <c r="F148" s="43">
        <v>45460</v>
      </c>
      <c r="G148" s="44">
        <v>2024</v>
      </c>
      <c r="H148" s="52" t="s">
        <v>6</v>
      </c>
      <c r="I148" s="46" t="s">
        <v>20</v>
      </c>
      <c r="J148" s="46">
        <v>48</v>
      </c>
      <c r="K148" s="46" t="s">
        <v>23</v>
      </c>
      <c r="L148" s="46">
        <v>6</v>
      </c>
      <c r="M148" s="47">
        <v>139</v>
      </c>
    </row>
    <row r="149" spans="5:13" x14ac:dyDescent="0.25">
      <c r="E149" s="33">
        <v>746</v>
      </c>
      <c r="F149" s="48">
        <v>45005</v>
      </c>
      <c r="G149" s="49">
        <v>2023</v>
      </c>
      <c r="H149" s="45" t="s">
        <v>3</v>
      </c>
      <c r="I149" s="50" t="s">
        <v>20</v>
      </c>
      <c r="J149" s="50">
        <v>25</v>
      </c>
      <c r="K149" s="50" t="s">
        <v>23</v>
      </c>
      <c r="L149" s="50">
        <v>3</v>
      </c>
      <c r="M149" s="51">
        <v>50</v>
      </c>
    </row>
    <row r="150" spans="5:13" x14ac:dyDescent="0.25">
      <c r="E150" s="32">
        <v>856</v>
      </c>
      <c r="F150" s="43">
        <v>45178</v>
      </c>
      <c r="G150" s="44">
        <v>2023</v>
      </c>
      <c r="H150" s="52" t="s">
        <v>9</v>
      </c>
      <c r="I150" s="46" t="s">
        <v>20</v>
      </c>
      <c r="J150" s="46">
        <v>23</v>
      </c>
      <c r="K150" s="46" t="s">
        <v>24</v>
      </c>
      <c r="L150" s="46">
        <v>2</v>
      </c>
      <c r="M150" s="47">
        <v>50</v>
      </c>
    </row>
    <row r="151" spans="5:13" x14ac:dyDescent="0.25">
      <c r="E151" s="33">
        <v>434</v>
      </c>
      <c r="F151" s="48">
        <v>45280</v>
      </c>
      <c r="G151" s="49">
        <v>2023</v>
      </c>
      <c r="H151" s="45" t="s">
        <v>12</v>
      </c>
      <c r="I151" s="50" t="s">
        <v>22</v>
      </c>
      <c r="J151" s="50">
        <v>30</v>
      </c>
      <c r="K151" s="50" t="s">
        <v>21</v>
      </c>
      <c r="L151" s="50">
        <v>3</v>
      </c>
      <c r="M151" s="51">
        <v>300</v>
      </c>
    </row>
    <row r="152" spans="5:13" x14ac:dyDescent="0.25">
      <c r="E152" s="32">
        <v>676</v>
      </c>
      <c r="F152" s="43">
        <v>45283</v>
      </c>
      <c r="G152" s="44">
        <v>2023</v>
      </c>
      <c r="H152" s="52" t="s">
        <v>12</v>
      </c>
      <c r="I152" s="46" t="s">
        <v>22</v>
      </c>
      <c r="J152" s="46">
        <v>60</v>
      </c>
      <c r="K152" s="46" t="s">
        <v>24</v>
      </c>
      <c r="L152" s="46">
        <v>3</v>
      </c>
      <c r="M152" s="47">
        <v>300</v>
      </c>
    </row>
    <row r="153" spans="5:13" x14ac:dyDescent="0.25">
      <c r="E153" s="33">
        <v>1720</v>
      </c>
      <c r="F153" s="48">
        <v>45401</v>
      </c>
      <c r="G153" s="49">
        <v>2024</v>
      </c>
      <c r="H153" s="45" t="s">
        <v>4</v>
      </c>
      <c r="I153" s="50" t="s">
        <v>20</v>
      </c>
      <c r="J153" s="50">
        <v>45</v>
      </c>
      <c r="K153" s="50" t="s">
        <v>23</v>
      </c>
      <c r="L153" s="50">
        <v>6</v>
      </c>
      <c r="M153" s="51">
        <v>357</v>
      </c>
    </row>
    <row r="154" spans="5:13" x14ac:dyDescent="0.25">
      <c r="E154" s="32">
        <v>1793</v>
      </c>
      <c r="F154" s="43">
        <v>45298</v>
      </c>
      <c r="G154" s="44">
        <v>2024</v>
      </c>
      <c r="H154" s="52" t="s">
        <v>1</v>
      </c>
      <c r="I154" s="46" t="s">
        <v>20</v>
      </c>
      <c r="J154" s="46">
        <v>20</v>
      </c>
      <c r="K154" s="46" t="s">
        <v>23</v>
      </c>
      <c r="L154" s="46">
        <v>1</v>
      </c>
      <c r="M154" s="47">
        <v>491</v>
      </c>
    </row>
    <row r="155" spans="5:13" x14ac:dyDescent="0.25">
      <c r="E155" s="33">
        <v>183</v>
      </c>
      <c r="F155" s="48">
        <v>45177</v>
      </c>
      <c r="G155" s="49">
        <v>2023</v>
      </c>
      <c r="H155" s="45" t="s">
        <v>9</v>
      </c>
      <c r="I155" s="50" t="s">
        <v>22</v>
      </c>
      <c r="J155" s="50">
        <v>43</v>
      </c>
      <c r="K155" s="50" t="s">
        <v>21</v>
      </c>
      <c r="L155" s="50">
        <v>3</v>
      </c>
      <c r="M155" s="51">
        <v>300</v>
      </c>
    </row>
    <row r="156" spans="5:13" x14ac:dyDescent="0.25">
      <c r="E156" s="32">
        <v>169</v>
      </c>
      <c r="F156" s="43">
        <v>45247</v>
      </c>
      <c r="G156" s="44">
        <v>2023</v>
      </c>
      <c r="H156" s="52" t="s">
        <v>11</v>
      </c>
      <c r="I156" s="46" t="s">
        <v>20</v>
      </c>
      <c r="J156" s="46">
        <v>18</v>
      </c>
      <c r="K156" s="46" t="s">
        <v>21</v>
      </c>
      <c r="L156" s="46">
        <v>3</v>
      </c>
      <c r="M156" s="47">
        <v>500</v>
      </c>
    </row>
    <row r="157" spans="5:13" x14ac:dyDescent="0.25">
      <c r="E157" s="33">
        <v>211</v>
      </c>
      <c r="F157" s="48">
        <v>45086</v>
      </c>
      <c r="G157" s="49">
        <v>2023</v>
      </c>
      <c r="H157" s="45" t="s">
        <v>6</v>
      </c>
      <c r="I157" s="50" t="s">
        <v>20</v>
      </c>
      <c r="J157" s="50">
        <v>21</v>
      </c>
      <c r="K157" s="50" t="s">
        <v>23</v>
      </c>
      <c r="L157" s="50">
        <v>3</v>
      </c>
      <c r="M157" s="51">
        <v>500</v>
      </c>
    </row>
    <row r="158" spans="5:13" x14ac:dyDescent="0.25">
      <c r="E158" s="32">
        <v>1263</v>
      </c>
      <c r="F158" s="43">
        <v>45627</v>
      </c>
      <c r="G158" s="44">
        <v>2024</v>
      </c>
      <c r="H158" s="52" t="s">
        <v>12</v>
      </c>
      <c r="I158" s="46" t="s">
        <v>22</v>
      </c>
      <c r="J158" s="46">
        <v>55</v>
      </c>
      <c r="K158" s="46" t="s">
        <v>24</v>
      </c>
      <c r="L158" s="46">
        <v>3</v>
      </c>
      <c r="M158" s="47">
        <v>233</v>
      </c>
    </row>
    <row r="159" spans="5:13" x14ac:dyDescent="0.25">
      <c r="E159" s="33">
        <v>1681</v>
      </c>
      <c r="F159" s="48">
        <v>45445</v>
      </c>
      <c r="G159" s="49">
        <v>2024</v>
      </c>
      <c r="H159" s="45" t="s">
        <v>6</v>
      </c>
      <c r="I159" s="50" t="s">
        <v>20</v>
      </c>
      <c r="J159" s="50">
        <v>50</v>
      </c>
      <c r="K159" s="50" t="s">
        <v>24</v>
      </c>
      <c r="L159" s="50">
        <v>3</v>
      </c>
      <c r="M159" s="51">
        <v>26</v>
      </c>
    </row>
    <row r="160" spans="5:13" x14ac:dyDescent="0.25">
      <c r="E160" s="32">
        <v>1267</v>
      </c>
      <c r="F160" s="43">
        <v>45499</v>
      </c>
      <c r="G160" s="44">
        <v>2024</v>
      </c>
      <c r="H160" s="52" t="s">
        <v>7</v>
      </c>
      <c r="I160" s="46" t="s">
        <v>20</v>
      </c>
      <c r="J160" s="46">
        <v>25</v>
      </c>
      <c r="K160" s="46" t="s">
        <v>24</v>
      </c>
      <c r="L160" s="46">
        <v>1</v>
      </c>
      <c r="M160" s="47">
        <v>493</v>
      </c>
    </row>
    <row r="161" spans="5:13" x14ac:dyDescent="0.25">
      <c r="E161" s="33">
        <v>1876</v>
      </c>
      <c r="F161" s="48">
        <v>45525</v>
      </c>
      <c r="G161" s="49">
        <v>2024</v>
      </c>
      <c r="H161" s="45" t="s">
        <v>8</v>
      </c>
      <c r="I161" s="50" t="s">
        <v>20</v>
      </c>
      <c r="J161" s="50">
        <v>63</v>
      </c>
      <c r="K161" s="50" t="s">
        <v>21</v>
      </c>
      <c r="L161" s="50">
        <v>4</v>
      </c>
      <c r="M161" s="51">
        <v>499</v>
      </c>
    </row>
    <row r="162" spans="5:13" x14ac:dyDescent="0.25">
      <c r="E162" s="32">
        <v>379</v>
      </c>
      <c r="F162" s="43">
        <v>45052</v>
      </c>
      <c r="G162" s="44">
        <v>2023</v>
      </c>
      <c r="H162" s="52" t="s">
        <v>5</v>
      </c>
      <c r="I162" s="46" t="s">
        <v>20</v>
      </c>
      <c r="J162" s="46">
        <v>56</v>
      </c>
      <c r="K162" s="46" t="s">
        <v>24</v>
      </c>
      <c r="L162" s="46">
        <v>2</v>
      </c>
      <c r="M162" s="47">
        <v>300</v>
      </c>
    </row>
    <row r="163" spans="5:13" x14ac:dyDescent="0.25">
      <c r="E163" s="33">
        <v>1294</v>
      </c>
      <c r="F163" s="48">
        <v>45539</v>
      </c>
      <c r="G163" s="49">
        <v>2024</v>
      </c>
      <c r="H163" s="45" t="s">
        <v>9</v>
      </c>
      <c r="I163" s="50" t="s">
        <v>22</v>
      </c>
      <c r="J163" s="50">
        <v>60</v>
      </c>
      <c r="K163" s="50" t="s">
        <v>24</v>
      </c>
      <c r="L163" s="50">
        <v>1</v>
      </c>
      <c r="M163" s="51">
        <v>137</v>
      </c>
    </row>
    <row r="164" spans="5:13" x14ac:dyDescent="0.25">
      <c r="E164" s="32">
        <v>19</v>
      </c>
      <c r="F164" s="43">
        <v>45185</v>
      </c>
      <c r="G164" s="44">
        <v>2023</v>
      </c>
      <c r="H164" s="52" t="s">
        <v>9</v>
      </c>
      <c r="I164" s="46" t="s">
        <v>22</v>
      </c>
      <c r="J164" s="46">
        <v>62</v>
      </c>
      <c r="K164" s="46" t="s">
        <v>23</v>
      </c>
      <c r="L164" s="46">
        <v>2</v>
      </c>
      <c r="M164" s="47">
        <v>25</v>
      </c>
    </row>
    <row r="165" spans="5:13" x14ac:dyDescent="0.25">
      <c r="E165" s="33">
        <v>867</v>
      </c>
      <c r="F165" s="48">
        <v>45224</v>
      </c>
      <c r="G165" s="49">
        <v>2023</v>
      </c>
      <c r="H165" s="45" t="s">
        <v>10</v>
      </c>
      <c r="I165" s="50" t="s">
        <v>20</v>
      </c>
      <c r="J165" s="50">
        <v>37</v>
      </c>
      <c r="K165" s="50" t="s">
        <v>21</v>
      </c>
      <c r="L165" s="50">
        <v>3</v>
      </c>
      <c r="M165" s="51">
        <v>500</v>
      </c>
    </row>
    <row r="166" spans="5:13" x14ac:dyDescent="0.25">
      <c r="E166" s="32">
        <v>129</v>
      </c>
      <c r="F166" s="43">
        <v>45039</v>
      </c>
      <c r="G166" s="44">
        <v>2023</v>
      </c>
      <c r="H166" s="52" t="s">
        <v>4</v>
      </c>
      <c r="I166" s="46" t="s">
        <v>22</v>
      </c>
      <c r="J166" s="46">
        <v>21</v>
      </c>
      <c r="K166" s="46" t="s">
        <v>21</v>
      </c>
      <c r="L166" s="46">
        <v>2</v>
      </c>
      <c r="M166" s="47">
        <v>300</v>
      </c>
    </row>
    <row r="167" spans="5:13" x14ac:dyDescent="0.25">
      <c r="E167" s="33">
        <v>72</v>
      </c>
      <c r="F167" s="48">
        <v>45069</v>
      </c>
      <c r="G167" s="49">
        <v>2023</v>
      </c>
      <c r="H167" s="45" t="s">
        <v>5</v>
      </c>
      <c r="I167" s="50" t="s">
        <v>22</v>
      </c>
      <c r="J167" s="50">
        <v>20</v>
      </c>
      <c r="K167" s="50" t="s">
        <v>24</v>
      </c>
      <c r="L167" s="50">
        <v>4</v>
      </c>
      <c r="M167" s="51">
        <v>500</v>
      </c>
    </row>
    <row r="168" spans="5:13" x14ac:dyDescent="0.25">
      <c r="E168" s="32">
        <v>1249</v>
      </c>
      <c r="F168" s="43">
        <v>45417</v>
      </c>
      <c r="G168" s="44">
        <v>2024</v>
      </c>
      <c r="H168" s="52" t="s">
        <v>5</v>
      </c>
      <c r="I168" s="46" t="s">
        <v>20</v>
      </c>
      <c r="J168" s="46">
        <v>42</v>
      </c>
      <c r="K168" s="46" t="s">
        <v>24</v>
      </c>
      <c r="L168" s="46">
        <v>7</v>
      </c>
      <c r="M168" s="47">
        <v>389</v>
      </c>
    </row>
    <row r="169" spans="5:13" x14ac:dyDescent="0.25">
      <c r="E169" s="33">
        <v>380</v>
      </c>
      <c r="F169" s="48">
        <v>45116</v>
      </c>
      <c r="G169" s="49">
        <v>2023</v>
      </c>
      <c r="H169" s="45" t="s">
        <v>7</v>
      </c>
      <c r="I169" s="50" t="s">
        <v>22</v>
      </c>
      <c r="J169" s="50">
        <v>44</v>
      </c>
      <c r="K169" s="50" t="s">
        <v>23</v>
      </c>
      <c r="L169" s="50">
        <v>4</v>
      </c>
      <c r="M169" s="51">
        <v>25</v>
      </c>
    </row>
    <row r="170" spans="5:13" x14ac:dyDescent="0.25">
      <c r="E170" s="32">
        <v>914</v>
      </c>
      <c r="F170" s="43">
        <v>45284</v>
      </c>
      <c r="G170" s="44">
        <v>2023</v>
      </c>
      <c r="H170" s="52" t="s">
        <v>12</v>
      </c>
      <c r="I170" s="46" t="s">
        <v>22</v>
      </c>
      <c r="J170" s="46">
        <v>32</v>
      </c>
      <c r="K170" s="46" t="s">
        <v>24</v>
      </c>
      <c r="L170" s="46">
        <v>1</v>
      </c>
      <c r="M170" s="47">
        <v>50</v>
      </c>
    </row>
    <row r="171" spans="5:13" x14ac:dyDescent="0.25">
      <c r="E171" s="33">
        <v>1731</v>
      </c>
      <c r="F171" s="48">
        <v>45569</v>
      </c>
      <c r="G171" s="49">
        <v>2024</v>
      </c>
      <c r="H171" s="45" t="s">
        <v>10</v>
      </c>
      <c r="I171" s="50" t="s">
        <v>22</v>
      </c>
      <c r="J171" s="50">
        <v>32</v>
      </c>
      <c r="K171" s="50" t="s">
        <v>23</v>
      </c>
      <c r="L171" s="50">
        <v>5</v>
      </c>
      <c r="M171" s="51">
        <v>124</v>
      </c>
    </row>
    <row r="172" spans="5:13" x14ac:dyDescent="0.25">
      <c r="E172" s="32">
        <v>725</v>
      </c>
      <c r="F172" s="43">
        <v>45099</v>
      </c>
      <c r="G172" s="44">
        <v>2023</v>
      </c>
      <c r="H172" s="52" t="s">
        <v>6</v>
      </c>
      <c r="I172" s="46" t="s">
        <v>20</v>
      </c>
      <c r="J172" s="46">
        <v>55</v>
      </c>
      <c r="K172" s="46" t="s">
        <v>21</v>
      </c>
      <c r="L172" s="46">
        <v>3</v>
      </c>
      <c r="M172" s="47">
        <v>300</v>
      </c>
    </row>
    <row r="173" spans="5:13" x14ac:dyDescent="0.25">
      <c r="E173" s="33">
        <v>1540</v>
      </c>
      <c r="F173" s="48">
        <v>45499</v>
      </c>
      <c r="G173" s="49">
        <v>2024</v>
      </c>
      <c r="H173" s="45" t="s">
        <v>7</v>
      </c>
      <c r="I173" s="50" t="s">
        <v>20</v>
      </c>
      <c r="J173" s="50">
        <v>35</v>
      </c>
      <c r="K173" s="50" t="s">
        <v>21</v>
      </c>
      <c r="L173" s="50">
        <v>4</v>
      </c>
      <c r="M173" s="51">
        <v>343</v>
      </c>
    </row>
    <row r="174" spans="5:13" x14ac:dyDescent="0.25">
      <c r="E174" s="32">
        <v>554</v>
      </c>
      <c r="F174" s="43">
        <v>45218</v>
      </c>
      <c r="G174" s="44">
        <v>2023</v>
      </c>
      <c r="H174" s="52" t="s">
        <v>10</v>
      </c>
      <c r="I174" s="46" t="s">
        <v>20</v>
      </c>
      <c r="J174" s="46">
        <v>25</v>
      </c>
      <c r="K174" s="46" t="s">
        <v>21</v>
      </c>
      <c r="L174" s="46">
        <v>1</v>
      </c>
      <c r="M174" s="47">
        <v>300</v>
      </c>
    </row>
    <row r="175" spans="5:13" x14ac:dyDescent="0.25">
      <c r="E175" s="33">
        <v>1444</v>
      </c>
      <c r="F175" s="48">
        <v>45479</v>
      </c>
      <c r="G175" s="49">
        <v>2024</v>
      </c>
      <c r="H175" s="45" t="s">
        <v>7</v>
      </c>
      <c r="I175" s="50" t="s">
        <v>20</v>
      </c>
      <c r="J175" s="50">
        <v>33</v>
      </c>
      <c r="K175" s="50" t="s">
        <v>21</v>
      </c>
      <c r="L175" s="50">
        <v>4</v>
      </c>
      <c r="M175" s="51">
        <v>235</v>
      </c>
    </row>
    <row r="176" spans="5:13" x14ac:dyDescent="0.25">
      <c r="E176" s="32">
        <v>1856</v>
      </c>
      <c r="F176" s="43">
        <v>45300</v>
      </c>
      <c r="G176" s="44">
        <v>2024</v>
      </c>
      <c r="H176" s="52" t="s">
        <v>1</v>
      </c>
      <c r="I176" s="46" t="s">
        <v>20</v>
      </c>
      <c r="J176" s="46">
        <v>44</v>
      </c>
      <c r="K176" s="46" t="s">
        <v>23</v>
      </c>
      <c r="L176" s="46">
        <v>2</v>
      </c>
      <c r="M176" s="47">
        <v>464</v>
      </c>
    </row>
    <row r="177" spans="5:13" x14ac:dyDescent="0.25">
      <c r="E177" s="33">
        <v>860</v>
      </c>
      <c r="F177" s="48">
        <v>45077</v>
      </c>
      <c r="G177" s="49">
        <v>2023</v>
      </c>
      <c r="H177" s="45" t="s">
        <v>5</v>
      </c>
      <c r="I177" s="50" t="s">
        <v>20</v>
      </c>
      <c r="J177" s="50">
        <v>28</v>
      </c>
      <c r="K177" s="50" t="s">
        <v>24</v>
      </c>
      <c r="L177" s="50">
        <v>4</v>
      </c>
      <c r="M177" s="51">
        <v>300</v>
      </c>
    </row>
    <row r="178" spans="5:13" x14ac:dyDescent="0.25">
      <c r="E178" s="32">
        <v>1832</v>
      </c>
      <c r="F178" s="43">
        <v>45401</v>
      </c>
      <c r="G178" s="44">
        <v>2024</v>
      </c>
      <c r="H178" s="52" t="s">
        <v>4</v>
      </c>
      <c r="I178" s="46" t="s">
        <v>22</v>
      </c>
      <c r="J178" s="46">
        <v>46</v>
      </c>
      <c r="K178" s="46" t="s">
        <v>23</v>
      </c>
      <c r="L178" s="46">
        <v>1</v>
      </c>
      <c r="M178" s="47">
        <v>496</v>
      </c>
    </row>
    <row r="179" spans="5:13" x14ac:dyDescent="0.25">
      <c r="E179" s="33">
        <v>398</v>
      </c>
      <c r="F179" s="48">
        <v>44986</v>
      </c>
      <c r="G179" s="49">
        <v>2023</v>
      </c>
      <c r="H179" s="45" t="s">
        <v>3</v>
      </c>
      <c r="I179" s="50" t="s">
        <v>22</v>
      </c>
      <c r="J179" s="50">
        <v>64</v>
      </c>
      <c r="K179" s="50" t="s">
        <v>21</v>
      </c>
      <c r="L179" s="50">
        <v>2</v>
      </c>
      <c r="M179" s="51">
        <v>30</v>
      </c>
    </row>
    <row r="180" spans="5:13" x14ac:dyDescent="0.25">
      <c r="E180" s="32">
        <v>173</v>
      </c>
      <c r="F180" s="43">
        <v>45238</v>
      </c>
      <c r="G180" s="44">
        <v>2023</v>
      </c>
      <c r="H180" s="52" t="s">
        <v>11</v>
      </c>
      <c r="I180" s="46" t="s">
        <v>20</v>
      </c>
      <c r="J180" s="46">
        <v>64</v>
      </c>
      <c r="K180" s="46" t="s">
        <v>24</v>
      </c>
      <c r="L180" s="46">
        <v>4</v>
      </c>
      <c r="M180" s="47">
        <v>30</v>
      </c>
    </row>
    <row r="181" spans="5:13" x14ac:dyDescent="0.25">
      <c r="E181" s="33">
        <v>1054</v>
      </c>
      <c r="F181" s="48">
        <v>45443</v>
      </c>
      <c r="G181" s="49">
        <v>2024</v>
      </c>
      <c r="H181" s="45" t="s">
        <v>5</v>
      </c>
      <c r="I181" s="50" t="s">
        <v>22</v>
      </c>
      <c r="J181" s="50">
        <v>42</v>
      </c>
      <c r="K181" s="50" t="s">
        <v>23</v>
      </c>
      <c r="L181" s="50">
        <v>2</v>
      </c>
      <c r="M181" s="51">
        <v>164</v>
      </c>
    </row>
    <row r="182" spans="5:13" x14ac:dyDescent="0.25">
      <c r="E182" s="32">
        <v>1426</v>
      </c>
      <c r="F182" s="43">
        <v>45654</v>
      </c>
      <c r="G182" s="44">
        <v>2024</v>
      </c>
      <c r="H182" s="52" t="s">
        <v>12</v>
      </c>
      <c r="I182" s="46" t="s">
        <v>20</v>
      </c>
      <c r="J182" s="46">
        <v>55</v>
      </c>
      <c r="K182" s="46" t="s">
        <v>24</v>
      </c>
      <c r="L182" s="46">
        <v>7</v>
      </c>
      <c r="M182" s="47">
        <v>399</v>
      </c>
    </row>
    <row r="183" spans="5:13" x14ac:dyDescent="0.25">
      <c r="E183" s="33">
        <v>1778</v>
      </c>
      <c r="F183" s="48">
        <v>45447</v>
      </c>
      <c r="G183" s="49">
        <v>2024</v>
      </c>
      <c r="H183" s="45" t="s">
        <v>6</v>
      </c>
      <c r="I183" s="50" t="s">
        <v>20</v>
      </c>
      <c r="J183" s="50">
        <v>60</v>
      </c>
      <c r="K183" s="50" t="s">
        <v>23</v>
      </c>
      <c r="L183" s="50">
        <v>5</v>
      </c>
      <c r="M183" s="51">
        <v>146</v>
      </c>
    </row>
    <row r="184" spans="5:13" x14ac:dyDescent="0.25">
      <c r="E184" s="32">
        <v>203</v>
      </c>
      <c r="F184" s="43">
        <v>45062</v>
      </c>
      <c r="G184" s="44">
        <v>2023</v>
      </c>
      <c r="H184" s="52" t="s">
        <v>5</v>
      </c>
      <c r="I184" s="46" t="s">
        <v>20</v>
      </c>
      <c r="J184" s="46">
        <v>56</v>
      </c>
      <c r="K184" s="46" t="s">
        <v>23</v>
      </c>
      <c r="L184" s="46">
        <v>2</v>
      </c>
      <c r="M184" s="47">
        <v>500</v>
      </c>
    </row>
    <row r="185" spans="5:13" x14ac:dyDescent="0.25">
      <c r="E185" s="33">
        <v>1616</v>
      </c>
      <c r="F185" s="48">
        <v>45578</v>
      </c>
      <c r="G185" s="49">
        <v>2024</v>
      </c>
      <c r="H185" s="45" t="s">
        <v>10</v>
      </c>
      <c r="I185" s="50" t="s">
        <v>20</v>
      </c>
      <c r="J185" s="50">
        <v>56</v>
      </c>
      <c r="K185" s="50" t="s">
        <v>24</v>
      </c>
      <c r="L185" s="50">
        <v>7</v>
      </c>
      <c r="M185" s="51">
        <v>249</v>
      </c>
    </row>
    <row r="186" spans="5:13" x14ac:dyDescent="0.25">
      <c r="E186" s="32">
        <v>677</v>
      </c>
      <c r="F186" s="43">
        <v>44937</v>
      </c>
      <c r="G186" s="44">
        <v>2023</v>
      </c>
      <c r="H186" s="52" t="s">
        <v>1</v>
      </c>
      <c r="I186" s="46" t="s">
        <v>22</v>
      </c>
      <c r="J186" s="46">
        <v>18</v>
      </c>
      <c r="K186" s="46" t="s">
        <v>21</v>
      </c>
      <c r="L186" s="46">
        <v>3</v>
      </c>
      <c r="M186" s="47">
        <v>30</v>
      </c>
    </row>
    <row r="187" spans="5:13" x14ac:dyDescent="0.25">
      <c r="E187" s="33">
        <v>172</v>
      </c>
      <c r="F187" s="48">
        <v>45186</v>
      </c>
      <c r="G187" s="49">
        <v>2023</v>
      </c>
      <c r="H187" s="45" t="s">
        <v>9</v>
      </c>
      <c r="I187" s="50" t="s">
        <v>20</v>
      </c>
      <c r="J187" s="50">
        <v>32</v>
      </c>
      <c r="K187" s="50" t="s">
        <v>21</v>
      </c>
      <c r="L187" s="50">
        <v>2</v>
      </c>
      <c r="M187" s="51">
        <v>25</v>
      </c>
    </row>
    <row r="188" spans="5:13" x14ac:dyDescent="0.25">
      <c r="E188" s="32">
        <v>198</v>
      </c>
      <c r="F188" s="43">
        <v>44992</v>
      </c>
      <c r="G188" s="44">
        <v>2023</v>
      </c>
      <c r="H188" s="52" t="s">
        <v>3</v>
      </c>
      <c r="I188" s="46" t="s">
        <v>22</v>
      </c>
      <c r="J188" s="46">
        <v>54</v>
      </c>
      <c r="K188" s="46" t="s">
        <v>21</v>
      </c>
      <c r="L188" s="46">
        <v>3</v>
      </c>
      <c r="M188" s="47">
        <v>300</v>
      </c>
    </row>
    <row r="189" spans="5:13" x14ac:dyDescent="0.25">
      <c r="E189" s="33">
        <v>1957</v>
      </c>
      <c r="F189" s="48">
        <v>45449</v>
      </c>
      <c r="G189" s="49">
        <v>2024</v>
      </c>
      <c r="H189" s="45" t="s">
        <v>6</v>
      </c>
      <c r="I189" s="50" t="s">
        <v>20</v>
      </c>
      <c r="J189" s="50">
        <v>56</v>
      </c>
      <c r="K189" s="50" t="s">
        <v>21</v>
      </c>
      <c r="L189" s="50">
        <v>5</v>
      </c>
      <c r="M189" s="51">
        <v>263</v>
      </c>
    </row>
    <row r="190" spans="5:13" x14ac:dyDescent="0.25">
      <c r="E190" s="32">
        <v>599</v>
      </c>
      <c r="F190" s="43">
        <v>45221</v>
      </c>
      <c r="G190" s="44">
        <v>2023</v>
      </c>
      <c r="H190" s="52" t="s">
        <v>10</v>
      </c>
      <c r="I190" s="46" t="s">
        <v>22</v>
      </c>
      <c r="J190" s="46">
        <v>59</v>
      </c>
      <c r="K190" s="46" t="s">
        <v>21</v>
      </c>
      <c r="L190" s="46">
        <v>2</v>
      </c>
      <c r="M190" s="47">
        <v>500</v>
      </c>
    </row>
    <row r="191" spans="5:13" x14ac:dyDescent="0.25">
      <c r="E191" s="33">
        <v>378</v>
      </c>
      <c r="F191" s="48">
        <v>44962</v>
      </c>
      <c r="G191" s="49">
        <v>2023</v>
      </c>
      <c r="H191" s="45" t="s">
        <v>2</v>
      </c>
      <c r="I191" s="50" t="s">
        <v>22</v>
      </c>
      <c r="J191" s="50">
        <v>47</v>
      </c>
      <c r="K191" s="50" t="s">
        <v>23</v>
      </c>
      <c r="L191" s="50">
        <v>1</v>
      </c>
      <c r="M191" s="51">
        <v>25</v>
      </c>
    </row>
    <row r="192" spans="5:13" x14ac:dyDescent="0.25">
      <c r="E192" s="32">
        <v>281</v>
      </c>
      <c r="F192" s="43">
        <v>45163</v>
      </c>
      <c r="G192" s="44">
        <v>2023</v>
      </c>
      <c r="H192" s="52" t="s">
        <v>8</v>
      </c>
      <c r="I192" s="46" t="s">
        <v>22</v>
      </c>
      <c r="J192" s="46">
        <v>64</v>
      </c>
      <c r="K192" s="46" t="s">
        <v>24</v>
      </c>
      <c r="L192" s="46">
        <v>4</v>
      </c>
      <c r="M192" s="47">
        <v>50</v>
      </c>
    </row>
    <row r="193" spans="5:13" x14ac:dyDescent="0.25">
      <c r="E193" s="33">
        <v>83</v>
      </c>
      <c r="F193" s="48">
        <v>45276</v>
      </c>
      <c r="G193" s="49">
        <v>2023</v>
      </c>
      <c r="H193" s="45" t="s">
        <v>12</v>
      </c>
      <c r="I193" s="50" t="s">
        <v>20</v>
      </c>
      <c r="J193" s="50">
        <v>54</v>
      </c>
      <c r="K193" s="50" t="s">
        <v>24</v>
      </c>
      <c r="L193" s="50">
        <v>2</v>
      </c>
      <c r="M193" s="51">
        <v>50</v>
      </c>
    </row>
    <row r="194" spans="5:13" x14ac:dyDescent="0.25">
      <c r="E194" s="32">
        <v>499</v>
      </c>
      <c r="F194" s="43">
        <v>44986</v>
      </c>
      <c r="G194" s="44">
        <v>2023</v>
      </c>
      <c r="H194" s="52" t="s">
        <v>3</v>
      </c>
      <c r="I194" s="46" t="s">
        <v>22</v>
      </c>
      <c r="J194" s="46">
        <v>60</v>
      </c>
      <c r="K194" s="46" t="s">
        <v>21</v>
      </c>
      <c r="L194" s="46">
        <v>4</v>
      </c>
      <c r="M194" s="47">
        <v>25</v>
      </c>
    </row>
    <row r="195" spans="5:13" x14ac:dyDescent="0.25">
      <c r="E195" s="33">
        <v>722</v>
      </c>
      <c r="F195" s="48">
        <v>45035</v>
      </c>
      <c r="G195" s="49">
        <v>2023</v>
      </c>
      <c r="H195" s="45" t="s">
        <v>4</v>
      </c>
      <c r="I195" s="50" t="s">
        <v>20</v>
      </c>
      <c r="J195" s="50">
        <v>61</v>
      </c>
      <c r="K195" s="50" t="s">
        <v>23</v>
      </c>
      <c r="L195" s="50">
        <v>3</v>
      </c>
      <c r="M195" s="51">
        <v>50</v>
      </c>
    </row>
    <row r="196" spans="5:13" x14ac:dyDescent="0.25">
      <c r="E196" s="32">
        <v>625</v>
      </c>
      <c r="F196" s="43">
        <v>45198</v>
      </c>
      <c r="G196" s="44">
        <v>2023</v>
      </c>
      <c r="H196" s="52" t="s">
        <v>9</v>
      </c>
      <c r="I196" s="46" t="s">
        <v>22</v>
      </c>
      <c r="J196" s="46">
        <v>26</v>
      </c>
      <c r="K196" s="46" t="s">
        <v>23</v>
      </c>
      <c r="L196" s="46">
        <v>4</v>
      </c>
      <c r="M196" s="47">
        <v>500</v>
      </c>
    </row>
    <row r="197" spans="5:13" x14ac:dyDescent="0.25">
      <c r="E197" s="33">
        <v>1647</v>
      </c>
      <c r="F197" s="48">
        <v>45439</v>
      </c>
      <c r="G197" s="49">
        <v>2024</v>
      </c>
      <c r="H197" s="45" t="s">
        <v>5</v>
      </c>
      <c r="I197" s="50" t="s">
        <v>20</v>
      </c>
      <c r="J197" s="50">
        <v>18</v>
      </c>
      <c r="K197" s="50" t="s">
        <v>23</v>
      </c>
      <c r="L197" s="50">
        <v>1</v>
      </c>
      <c r="M197" s="51">
        <v>99</v>
      </c>
    </row>
    <row r="198" spans="5:13" x14ac:dyDescent="0.25">
      <c r="E198" s="32">
        <v>1402</v>
      </c>
      <c r="F198" s="43">
        <v>45602</v>
      </c>
      <c r="G198" s="44">
        <v>2024</v>
      </c>
      <c r="H198" s="52" t="s">
        <v>11</v>
      </c>
      <c r="I198" s="46" t="s">
        <v>22</v>
      </c>
      <c r="J198" s="46">
        <v>61</v>
      </c>
      <c r="K198" s="46" t="s">
        <v>23</v>
      </c>
      <c r="L198" s="46">
        <v>3</v>
      </c>
      <c r="M198" s="47">
        <v>193</v>
      </c>
    </row>
    <row r="199" spans="5:13" x14ac:dyDescent="0.25">
      <c r="E199" s="33">
        <v>1691</v>
      </c>
      <c r="F199" s="48">
        <v>45516</v>
      </c>
      <c r="G199" s="49">
        <v>2024</v>
      </c>
      <c r="H199" s="45" t="s">
        <v>8</v>
      </c>
      <c r="I199" s="50" t="s">
        <v>22</v>
      </c>
      <c r="J199" s="50">
        <v>20</v>
      </c>
      <c r="K199" s="50" t="s">
        <v>24</v>
      </c>
      <c r="L199" s="50">
        <v>7</v>
      </c>
      <c r="M199" s="51">
        <v>259</v>
      </c>
    </row>
    <row r="200" spans="5:13" x14ac:dyDescent="0.25">
      <c r="E200" s="32">
        <v>804</v>
      </c>
      <c r="F200" s="43">
        <v>45005</v>
      </c>
      <c r="G200" s="44">
        <v>2023</v>
      </c>
      <c r="H200" s="52" t="s">
        <v>3</v>
      </c>
      <c r="I200" s="46" t="s">
        <v>22</v>
      </c>
      <c r="J200" s="46">
        <v>35</v>
      </c>
      <c r="K200" s="46" t="s">
        <v>21</v>
      </c>
      <c r="L200" s="46">
        <v>3</v>
      </c>
      <c r="M200" s="47">
        <v>300</v>
      </c>
    </row>
    <row r="201" spans="5:13" x14ac:dyDescent="0.25">
      <c r="E201" s="33">
        <v>606</v>
      </c>
      <c r="F201" s="48">
        <v>45002</v>
      </c>
      <c r="G201" s="49">
        <v>2023</v>
      </c>
      <c r="H201" s="45" t="s">
        <v>3</v>
      </c>
      <c r="I201" s="50" t="s">
        <v>20</v>
      </c>
      <c r="J201" s="50">
        <v>54</v>
      </c>
      <c r="K201" s="50" t="s">
        <v>23</v>
      </c>
      <c r="L201" s="50">
        <v>3</v>
      </c>
      <c r="M201" s="51">
        <v>25</v>
      </c>
    </row>
    <row r="202" spans="5:13" x14ac:dyDescent="0.25">
      <c r="E202" s="32">
        <v>582</v>
      </c>
      <c r="F202" s="43">
        <v>45098</v>
      </c>
      <c r="G202" s="44">
        <v>2023</v>
      </c>
      <c r="H202" s="52" t="s">
        <v>6</v>
      </c>
      <c r="I202" s="46" t="s">
        <v>22</v>
      </c>
      <c r="J202" s="46">
        <v>24</v>
      </c>
      <c r="K202" s="46" t="s">
        <v>24</v>
      </c>
      <c r="L202" s="46">
        <v>4</v>
      </c>
      <c r="M202" s="47">
        <v>25</v>
      </c>
    </row>
    <row r="203" spans="5:13" x14ac:dyDescent="0.25">
      <c r="E203" s="33">
        <v>1962</v>
      </c>
      <c r="F203" s="48">
        <v>45342</v>
      </c>
      <c r="G203" s="49">
        <v>2024</v>
      </c>
      <c r="H203" s="45" t="s">
        <v>2</v>
      </c>
      <c r="I203" s="50" t="s">
        <v>20</v>
      </c>
      <c r="J203" s="50">
        <v>28</v>
      </c>
      <c r="K203" s="50" t="s">
        <v>24</v>
      </c>
      <c r="L203" s="50">
        <v>1</v>
      </c>
      <c r="M203" s="51">
        <v>483</v>
      </c>
    </row>
    <row r="204" spans="5:13" x14ac:dyDescent="0.25">
      <c r="E204" s="32">
        <v>1479</v>
      </c>
      <c r="F204" s="43">
        <v>45409</v>
      </c>
      <c r="G204" s="44">
        <v>2024</v>
      </c>
      <c r="H204" s="52" t="s">
        <v>4</v>
      </c>
      <c r="I204" s="46" t="s">
        <v>22</v>
      </c>
      <c r="J204" s="46">
        <v>58</v>
      </c>
      <c r="K204" s="46" t="s">
        <v>23</v>
      </c>
      <c r="L204" s="46">
        <v>2</v>
      </c>
      <c r="M204" s="47">
        <v>374</v>
      </c>
    </row>
    <row r="205" spans="5:13" x14ac:dyDescent="0.25">
      <c r="E205" s="33">
        <v>417</v>
      </c>
      <c r="F205" s="48">
        <v>45143</v>
      </c>
      <c r="G205" s="49">
        <v>2023</v>
      </c>
      <c r="H205" s="45" t="s">
        <v>8</v>
      </c>
      <c r="I205" s="50" t="s">
        <v>22</v>
      </c>
      <c r="J205" s="50">
        <v>60</v>
      </c>
      <c r="K205" s="50" t="s">
        <v>24</v>
      </c>
      <c r="L205" s="50">
        <v>2</v>
      </c>
      <c r="M205" s="51">
        <v>500</v>
      </c>
    </row>
    <row r="206" spans="5:13" x14ac:dyDescent="0.25">
      <c r="E206" s="32">
        <v>85</v>
      </c>
      <c r="F206" s="43">
        <v>44963</v>
      </c>
      <c r="G206" s="44">
        <v>2023</v>
      </c>
      <c r="H206" s="52" t="s">
        <v>2</v>
      </c>
      <c r="I206" s="46" t="s">
        <v>20</v>
      </c>
      <c r="J206" s="46">
        <v>31</v>
      </c>
      <c r="K206" s="46" t="s">
        <v>23</v>
      </c>
      <c r="L206" s="46">
        <v>3</v>
      </c>
      <c r="M206" s="47">
        <v>50</v>
      </c>
    </row>
    <row r="207" spans="5:13" x14ac:dyDescent="0.25">
      <c r="E207" s="33">
        <v>1160</v>
      </c>
      <c r="F207" s="48">
        <v>45525</v>
      </c>
      <c r="G207" s="49">
        <v>2024</v>
      </c>
      <c r="H207" s="45" t="s">
        <v>8</v>
      </c>
      <c r="I207" s="50" t="s">
        <v>20</v>
      </c>
      <c r="J207" s="50">
        <v>48</v>
      </c>
      <c r="K207" s="50" t="s">
        <v>23</v>
      </c>
      <c r="L207" s="50">
        <v>3</v>
      </c>
      <c r="M207" s="51">
        <v>118</v>
      </c>
    </row>
    <row r="208" spans="5:13" x14ac:dyDescent="0.25">
      <c r="E208" s="32">
        <v>1596</v>
      </c>
      <c r="F208" s="43">
        <v>45615</v>
      </c>
      <c r="G208" s="44">
        <v>2024</v>
      </c>
      <c r="H208" s="52" t="s">
        <v>11</v>
      </c>
      <c r="I208" s="46" t="s">
        <v>22</v>
      </c>
      <c r="J208" s="46">
        <v>32</v>
      </c>
      <c r="K208" s="46" t="s">
        <v>21</v>
      </c>
      <c r="L208" s="46">
        <v>5</v>
      </c>
      <c r="M208" s="47">
        <v>101</v>
      </c>
    </row>
    <row r="209" spans="5:13" x14ac:dyDescent="0.25">
      <c r="E209" s="33">
        <v>1955</v>
      </c>
      <c r="F209" s="48">
        <v>45594</v>
      </c>
      <c r="G209" s="49">
        <v>2024</v>
      </c>
      <c r="H209" s="45" t="s">
        <v>10</v>
      </c>
      <c r="I209" s="50" t="s">
        <v>22</v>
      </c>
      <c r="J209" s="50">
        <v>60</v>
      </c>
      <c r="K209" s="50" t="s">
        <v>24</v>
      </c>
      <c r="L209" s="50">
        <v>2</v>
      </c>
      <c r="M209" s="51">
        <v>64</v>
      </c>
    </row>
    <row r="210" spans="5:13" x14ac:dyDescent="0.25">
      <c r="E210" s="32">
        <v>110</v>
      </c>
      <c r="F210" s="43">
        <v>45088</v>
      </c>
      <c r="G210" s="44">
        <v>2023</v>
      </c>
      <c r="H210" s="52" t="s">
        <v>6</v>
      </c>
      <c r="I210" s="46" t="s">
        <v>20</v>
      </c>
      <c r="J210" s="46">
        <v>27</v>
      </c>
      <c r="K210" s="46" t="s">
        <v>23</v>
      </c>
      <c r="L210" s="46">
        <v>3</v>
      </c>
      <c r="M210" s="47">
        <v>300</v>
      </c>
    </row>
    <row r="211" spans="5:13" x14ac:dyDescent="0.25">
      <c r="E211" s="33">
        <v>1846</v>
      </c>
      <c r="F211" s="48">
        <v>45501</v>
      </c>
      <c r="G211" s="49">
        <v>2024</v>
      </c>
      <c r="H211" s="45" t="s">
        <v>7</v>
      </c>
      <c r="I211" s="50" t="s">
        <v>22</v>
      </c>
      <c r="J211" s="50">
        <v>23</v>
      </c>
      <c r="K211" s="50" t="s">
        <v>21</v>
      </c>
      <c r="L211" s="50">
        <v>6</v>
      </c>
      <c r="M211" s="51">
        <v>138</v>
      </c>
    </row>
    <row r="212" spans="5:13" x14ac:dyDescent="0.25">
      <c r="E212" s="32">
        <v>989</v>
      </c>
      <c r="F212" s="43">
        <v>45286</v>
      </c>
      <c r="G212" s="44">
        <v>2023</v>
      </c>
      <c r="H212" s="52" t="s">
        <v>12</v>
      </c>
      <c r="I212" s="46" t="s">
        <v>22</v>
      </c>
      <c r="J212" s="46">
        <v>34</v>
      </c>
      <c r="K212" s="46" t="s">
        <v>23</v>
      </c>
      <c r="L212" s="46">
        <v>2</v>
      </c>
      <c r="M212" s="47">
        <v>50</v>
      </c>
    </row>
    <row r="213" spans="5:13" x14ac:dyDescent="0.25">
      <c r="E213" s="33">
        <v>1060</v>
      </c>
      <c r="F213" s="48">
        <v>45653</v>
      </c>
      <c r="G213" s="49">
        <v>2024</v>
      </c>
      <c r="H213" s="45" t="s">
        <v>12</v>
      </c>
      <c r="I213" s="50" t="s">
        <v>20</v>
      </c>
      <c r="J213" s="50">
        <v>49</v>
      </c>
      <c r="K213" s="50" t="s">
        <v>21</v>
      </c>
      <c r="L213" s="50">
        <v>1</v>
      </c>
      <c r="M213" s="51">
        <v>183</v>
      </c>
    </row>
    <row r="214" spans="5:13" x14ac:dyDescent="0.25">
      <c r="E214" s="32">
        <v>319</v>
      </c>
      <c r="F214" s="43">
        <v>44958</v>
      </c>
      <c r="G214" s="44">
        <v>2023</v>
      </c>
      <c r="H214" s="52" t="s">
        <v>2</v>
      </c>
      <c r="I214" s="46" t="s">
        <v>22</v>
      </c>
      <c r="J214" s="46">
        <v>28</v>
      </c>
      <c r="K214" s="46" t="s">
        <v>24</v>
      </c>
      <c r="L214" s="46">
        <v>4</v>
      </c>
      <c r="M214" s="47">
        <v>300</v>
      </c>
    </row>
    <row r="215" spans="5:13" x14ac:dyDescent="0.25">
      <c r="E215" s="33">
        <v>952</v>
      </c>
      <c r="F215" s="48">
        <v>45194</v>
      </c>
      <c r="G215" s="49">
        <v>2023</v>
      </c>
      <c r="H215" s="45" t="s">
        <v>9</v>
      </c>
      <c r="I215" s="50" t="s">
        <v>22</v>
      </c>
      <c r="J215" s="50">
        <v>50</v>
      </c>
      <c r="K215" s="50" t="s">
        <v>24</v>
      </c>
      <c r="L215" s="50">
        <v>3</v>
      </c>
      <c r="M215" s="51">
        <v>300</v>
      </c>
    </row>
    <row r="216" spans="5:13" x14ac:dyDescent="0.25">
      <c r="E216" s="32">
        <v>1706</v>
      </c>
      <c r="F216" s="43">
        <v>45596</v>
      </c>
      <c r="G216" s="44">
        <v>2024</v>
      </c>
      <c r="H216" s="52" t="s">
        <v>10</v>
      </c>
      <c r="I216" s="46" t="s">
        <v>22</v>
      </c>
      <c r="J216" s="46">
        <v>63</v>
      </c>
      <c r="K216" s="46" t="s">
        <v>24</v>
      </c>
      <c r="L216" s="46">
        <v>6</v>
      </c>
      <c r="M216" s="47">
        <v>499</v>
      </c>
    </row>
    <row r="217" spans="5:13" x14ac:dyDescent="0.25">
      <c r="E217" s="33">
        <v>147</v>
      </c>
      <c r="F217" s="48">
        <v>45197</v>
      </c>
      <c r="G217" s="49">
        <v>2023</v>
      </c>
      <c r="H217" s="45" t="s">
        <v>9</v>
      </c>
      <c r="I217" s="50" t="s">
        <v>20</v>
      </c>
      <c r="J217" s="50">
        <v>23</v>
      </c>
      <c r="K217" s="50" t="s">
        <v>24</v>
      </c>
      <c r="L217" s="50">
        <v>1</v>
      </c>
      <c r="M217" s="51">
        <v>300</v>
      </c>
    </row>
    <row r="218" spans="5:13" x14ac:dyDescent="0.25">
      <c r="E218" s="32">
        <v>818</v>
      </c>
      <c r="F218" s="43">
        <v>45052</v>
      </c>
      <c r="G218" s="44">
        <v>2023</v>
      </c>
      <c r="H218" s="52" t="s">
        <v>5</v>
      </c>
      <c r="I218" s="46" t="s">
        <v>20</v>
      </c>
      <c r="J218" s="46">
        <v>49</v>
      </c>
      <c r="K218" s="46" t="s">
        <v>24</v>
      </c>
      <c r="L218" s="46">
        <v>4</v>
      </c>
      <c r="M218" s="47">
        <v>50</v>
      </c>
    </row>
    <row r="219" spans="5:13" x14ac:dyDescent="0.25">
      <c r="E219" s="33">
        <v>844</v>
      </c>
      <c r="F219" s="48">
        <v>45191</v>
      </c>
      <c r="G219" s="49">
        <v>2023</v>
      </c>
      <c r="H219" s="45" t="s">
        <v>9</v>
      </c>
      <c r="I219" s="50" t="s">
        <v>20</v>
      </c>
      <c r="J219" s="50">
        <v>42</v>
      </c>
      <c r="K219" s="50" t="s">
        <v>21</v>
      </c>
      <c r="L219" s="50">
        <v>1</v>
      </c>
      <c r="M219" s="51">
        <v>50</v>
      </c>
    </row>
    <row r="220" spans="5:13" x14ac:dyDescent="0.25">
      <c r="E220" s="32">
        <v>256</v>
      </c>
      <c r="F220" s="43">
        <v>44976</v>
      </c>
      <c r="G220" s="44">
        <v>2023</v>
      </c>
      <c r="H220" s="52" t="s">
        <v>2</v>
      </c>
      <c r="I220" s="46" t="s">
        <v>20</v>
      </c>
      <c r="J220" s="46">
        <v>19</v>
      </c>
      <c r="K220" s="46" t="s">
        <v>21</v>
      </c>
      <c r="L220" s="46">
        <v>4</v>
      </c>
      <c r="M220" s="47">
        <v>500</v>
      </c>
    </row>
    <row r="221" spans="5:13" x14ac:dyDescent="0.25">
      <c r="E221" s="33">
        <v>1625</v>
      </c>
      <c r="F221" s="48">
        <v>45597</v>
      </c>
      <c r="G221" s="49">
        <v>2024</v>
      </c>
      <c r="H221" s="45" t="s">
        <v>11</v>
      </c>
      <c r="I221" s="50" t="s">
        <v>22</v>
      </c>
      <c r="J221" s="50">
        <v>62</v>
      </c>
      <c r="K221" s="50" t="s">
        <v>21</v>
      </c>
      <c r="L221" s="50">
        <v>6</v>
      </c>
      <c r="M221" s="51">
        <v>249</v>
      </c>
    </row>
    <row r="222" spans="5:13" x14ac:dyDescent="0.25">
      <c r="E222" s="32">
        <v>1844</v>
      </c>
      <c r="F222" s="43">
        <v>45335</v>
      </c>
      <c r="G222" s="44">
        <v>2024</v>
      </c>
      <c r="H222" s="52" t="s">
        <v>2</v>
      </c>
      <c r="I222" s="46" t="s">
        <v>22</v>
      </c>
      <c r="J222" s="46">
        <v>35</v>
      </c>
      <c r="K222" s="46" t="s">
        <v>23</v>
      </c>
      <c r="L222" s="46">
        <v>6</v>
      </c>
      <c r="M222" s="47">
        <v>321</v>
      </c>
    </row>
    <row r="223" spans="5:13" x14ac:dyDescent="0.25">
      <c r="E223" s="33">
        <v>78</v>
      </c>
      <c r="F223" s="48">
        <v>45108</v>
      </c>
      <c r="G223" s="49">
        <v>2023</v>
      </c>
      <c r="H223" s="45" t="s">
        <v>7</v>
      </c>
      <c r="I223" s="50" t="s">
        <v>22</v>
      </c>
      <c r="J223" s="50">
        <v>47</v>
      </c>
      <c r="K223" s="50" t="s">
        <v>23</v>
      </c>
      <c r="L223" s="50">
        <v>3</v>
      </c>
      <c r="M223" s="51">
        <v>500</v>
      </c>
    </row>
    <row r="224" spans="5:13" x14ac:dyDescent="0.25">
      <c r="E224" s="32">
        <v>248</v>
      </c>
      <c r="F224" s="43">
        <v>45219</v>
      </c>
      <c r="G224" s="44">
        <v>2023</v>
      </c>
      <c r="H224" s="52" t="s">
        <v>10</v>
      </c>
      <c r="I224" s="46" t="s">
        <v>20</v>
      </c>
      <c r="J224" s="46">
        <v>20</v>
      </c>
      <c r="K224" s="46" t="s">
        <v>23</v>
      </c>
      <c r="L224" s="46">
        <v>1</v>
      </c>
      <c r="M224" s="47">
        <v>50</v>
      </c>
    </row>
    <row r="225" spans="5:13" x14ac:dyDescent="0.25">
      <c r="E225" s="33">
        <v>634</v>
      </c>
      <c r="F225" s="48">
        <v>45155</v>
      </c>
      <c r="G225" s="49">
        <v>2023</v>
      </c>
      <c r="H225" s="45" t="s">
        <v>8</v>
      </c>
      <c r="I225" s="50" t="s">
        <v>22</v>
      </c>
      <c r="J225" s="50">
        <v>63</v>
      </c>
      <c r="K225" s="50" t="s">
        <v>24</v>
      </c>
      <c r="L225" s="50">
        <v>3</v>
      </c>
      <c r="M225" s="51">
        <v>300</v>
      </c>
    </row>
    <row r="226" spans="5:13" x14ac:dyDescent="0.25">
      <c r="E226" s="32">
        <v>1403</v>
      </c>
      <c r="F226" s="43">
        <v>45400</v>
      </c>
      <c r="G226" s="44">
        <v>2024</v>
      </c>
      <c r="H226" s="52" t="s">
        <v>4</v>
      </c>
      <c r="I226" s="46" t="s">
        <v>22</v>
      </c>
      <c r="J226" s="46">
        <v>35</v>
      </c>
      <c r="K226" s="46" t="s">
        <v>21</v>
      </c>
      <c r="L226" s="46">
        <v>1</v>
      </c>
      <c r="M226" s="47">
        <v>186</v>
      </c>
    </row>
    <row r="227" spans="5:13" x14ac:dyDescent="0.25">
      <c r="E227" s="33">
        <v>1297</v>
      </c>
      <c r="F227" s="48">
        <v>45322</v>
      </c>
      <c r="G227" s="49">
        <v>2024</v>
      </c>
      <c r="H227" s="45" t="s">
        <v>1</v>
      </c>
      <c r="I227" s="50" t="s">
        <v>22</v>
      </c>
      <c r="J227" s="50">
        <v>44</v>
      </c>
      <c r="K227" s="50" t="s">
        <v>24</v>
      </c>
      <c r="L227" s="50">
        <v>1</v>
      </c>
      <c r="M227" s="51">
        <v>176</v>
      </c>
    </row>
    <row r="228" spans="5:13" x14ac:dyDescent="0.25">
      <c r="E228" s="32">
        <v>960</v>
      </c>
      <c r="F228" s="43">
        <v>45218</v>
      </c>
      <c r="G228" s="44">
        <v>2023</v>
      </c>
      <c r="H228" s="52" t="s">
        <v>10</v>
      </c>
      <c r="I228" s="46" t="s">
        <v>20</v>
      </c>
      <c r="J228" s="46">
        <v>44</v>
      </c>
      <c r="K228" s="46" t="s">
        <v>23</v>
      </c>
      <c r="L228" s="46">
        <v>2</v>
      </c>
      <c r="M228" s="47">
        <v>30</v>
      </c>
    </row>
    <row r="229" spans="5:13" x14ac:dyDescent="0.25">
      <c r="E229" s="33">
        <v>1847</v>
      </c>
      <c r="F229" s="48">
        <v>45543</v>
      </c>
      <c r="G229" s="49">
        <v>2024</v>
      </c>
      <c r="H229" s="45" t="s">
        <v>9</v>
      </c>
      <c r="I229" s="50" t="s">
        <v>20</v>
      </c>
      <c r="J229" s="50">
        <v>46</v>
      </c>
      <c r="K229" s="50" t="s">
        <v>24</v>
      </c>
      <c r="L229" s="50">
        <v>2</v>
      </c>
      <c r="M229" s="51">
        <v>419</v>
      </c>
    </row>
    <row r="230" spans="5:13" x14ac:dyDescent="0.25">
      <c r="E230" s="32">
        <v>1201</v>
      </c>
      <c r="F230" s="43">
        <v>45428</v>
      </c>
      <c r="G230" s="44">
        <v>2024</v>
      </c>
      <c r="H230" s="52" t="s">
        <v>5</v>
      </c>
      <c r="I230" s="46" t="s">
        <v>20</v>
      </c>
      <c r="J230" s="46">
        <v>21</v>
      </c>
      <c r="K230" s="46" t="s">
        <v>23</v>
      </c>
      <c r="L230" s="46">
        <v>7</v>
      </c>
      <c r="M230" s="47">
        <v>335</v>
      </c>
    </row>
    <row r="231" spans="5:13" x14ac:dyDescent="0.25">
      <c r="E231" s="33">
        <v>1333</v>
      </c>
      <c r="F231" s="48">
        <v>45638</v>
      </c>
      <c r="G231" s="49">
        <v>2024</v>
      </c>
      <c r="H231" s="45" t="s">
        <v>12</v>
      </c>
      <c r="I231" s="50" t="s">
        <v>22</v>
      </c>
      <c r="J231" s="50">
        <v>41</v>
      </c>
      <c r="K231" s="50" t="s">
        <v>21</v>
      </c>
      <c r="L231" s="50">
        <v>2</v>
      </c>
      <c r="M231" s="51">
        <v>80</v>
      </c>
    </row>
    <row r="232" spans="5:13" x14ac:dyDescent="0.25">
      <c r="E232" s="32">
        <v>920</v>
      </c>
      <c r="F232" s="43">
        <v>45220</v>
      </c>
      <c r="G232" s="44">
        <v>2023</v>
      </c>
      <c r="H232" s="52" t="s">
        <v>10</v>
      </c>
      <c r="I232" s="46" t="s">
        <v>20</v>
      </c>
      <c r="J232" s="46">
        <v>41</v>
      </c>
      <c r="K232" s="46" t="s">
        <v>24</v>
      </c>
      <c r="L232" s="46">
        <v>1</v>
      </c>
      <c r="M232" s="47">
        <v>50</v>
      </c>
    </row>
    <row r="233" spans="5:13" x14ac:dyDescent="0.25">
      <c r="E233" s="33">
        <v>1732</v>
      </c>
      <c r="F233" s="48">
        <v>45318</v>
      </c>
      <c r="G233" s="49">
        <v>2024</v>
      </c>
      <c r="H233" s="45" t="s">
        <v>1</v>
      </c>
      <c r="I233" s="50" t="s">
        <v>20</v>
      </c>
      <c r="J233" s="50">
        <v>46</v>
      </c>
      <c r="K233" s="50" t="s">
        <v>23</v>
      </c>
      <c r="L233" s="50">
        <v>2</v>
      </c>
      <c r="M233" s="51">
        <v>466</v>
      </c>
    </row>
    <row r="234" spans="5:13" x14ac:dyDescent="0.25">
      <c r="E234" s="32">
        <v>190</v>
      </c>
      <c r="F234" s="43">
        <v>45050</v>
      </c>
      <c r="G234" s="44">
        <v>2023</v>
      </c>
      <c r="H234" s="52" t="s">
        <v>5</v>
      </c>
      <c r="I234" s="46" t="s">
        <v>22</v>
      </c>
      <c r="J234" s="46">
        <v>60</v>
      </c>
      <c r="K234" s="46" t="s">
        <v>21</v>
      </c>
      <c r="L234" s="46">
        <v>3</v>
      </c>
      <c r="M234" s="47">
        <v>30</v>
      </c>
    </row>
    <row r="235" spans="5:13" x14ac:dyDescent="0.25">
      <c r="E235" s="33">
        <v>992</v>
      </c>
      <c r="F235" s="48">
        <v>45278</v>
      </c>
      <c r="G235" s="49">
        <v>2023</v>
      </c>
      <c r="H235" s="45" t="s">
        <v>12</v>
      </c>
      <c r="I235" s="50" t="s">
        <v>22</v>
      </c>
      <c r="J235" s="50">
        <v>51</v>
      </c>
      <c r="K235" s="50" t="s">
        <v>21</v>
      </c>
      <c r="L235" s="50">
        <v>2</v>
      </c>
      <c r="M235" s="51">
        <v>500</v>
      </c>
    </row>
    <row r="236" spans="5:13" x14ac:dyDescent="0.25">
      <c r="E236" s="32">
        <v>1592</v>
      </c>
      <c r="F236" s="43">
        <v>45605</v>
      </c>
      <c r="G236" s="44">
        <v>2024</v>
      </c>
      <c r="H236" s="52" t="s">
        <v>11</v>
      </c>
      <c r="I236" s="46" t="s">
        <v>22</v>
      </c>
      <c r="J236" s="46">
        <v>49</v>
      </c>
      <c r="K236" s="46" t="s">
        <v>23</v>
      </c>
      <c r="L236" s="46">
        <v>6</v>
      </c>
      <c r="M236" s="47">
        <v>155</v>
      </c>
    </row>
    <row r="237" spans="5:13" x14ac:dyDescent="0.25">
      <c r="E237" s="33">
        <v>23</v>
      </c>
      <c r="F237" s="48">
        <v>45028</v>
      </c>
      <c r="G237" s="49">
        <v>2023</v>
      </c>
      <c r="H237" s="45" t="s">
        <v>4</v>
      </c>
      <c r="I237" s="50" t="s">
        <v>22</v>
      </c>
      <c r="J237" s="50">
        <v>35</v>
      </c>
      <c r="K237" s="50" t="s">
        <v>23</v>
      </c>
      <c r="L237" s="50">
        <v>4</v>
      </c>
      <c r="M237" s="51">
        <v>30</v>
      </c>
    </row>
    <row r="238" spans="5:13" x14ac:dyDescent="0.25">
      <c r="E238" s="32">
        <v>855</v>
      </c>
      <c r="F238" s="43">
        <v>45291</v>
      </c>
      <c r="G238" s="44">
        <v>2023</v>
      </c>
      <c r="H238" s="52" t="s">
        <v>12</v>
      </c>
      <c r="I238" s="46" t="s">
        <v>20</v>
      </c>
      <c r="J238" s="46">
        <v>60</v>
      </c>
      <c r="K238" s="46" t="s">
        <v>24</v>
      </c>
      <c r="L238" s="46">
        <v>2</v>
      </c>
      <c r="M238" s="47">
        <v>25</v>
      </c>
    </row>
    <row r="239" spans="5:13" x14ac:dyDescent="0.25">
      <c r="E239" s="33">
        <v>1274</v>
      </c>
      <c r="F239" s="48">
        <v>45522</v>
      </c>
      <c r="G239" s="49">
        <v>2024</v>
      </c>
      <c r="H239" s="45" t="s">
        <v>8</v>
      </c>
      <c r="I239" s="50" t="s">
        <v>20</v>
      </c>
      <c r="J239" s="50">
        <v>47</v>
      </c>
      <c r="K239" s="50" t="s">
        <v>23</v>
      </c>
      <c r="L239" s="50">
        <v>5</v>
      </c>
      <c r="M239" s="51">
        <v>154</v>
      </c>
    </row>
    <row r="240" spans="5:13" x14ac:dyDescent="0.25">
      <c r="E240" s="32">
        <v>1481</v>
      </c>
      <c r="F240" s="43">
        <v>45304</v>
      </c>
      <c r="G240" s="44">
        <v>2024</v>
      </c>
      <c r="H240" s="52" t="s">
        <v>1</v>
      </c>
      <c r="I240" s="46" t="s">
        <v>22</v>
      </c>
      <c r="J240" s="46">
        <v>63</v>
      </c>
      <c r="K240" s="46" t="s">
        <v>23</v>
      </c>
      <c r="L240" s="46">
        <v>2</v>
      </c>
      <c r="M240" s="47">
        <v>447</v>
      </c>
    </row>
    <row r="241" spans="5:13" x14ac:dyDescent="0.25">
      <c r="E241" s="33">
        <v>1204</v>
      </c>
      <c r="F241" s="48">
        <v>45509</v>
      </c>
      <c r="G241" s="49">
        <v>2024</v>
      </c>
      <c r="H241" s="45" t="s">
        <v>8</v>
      </c>
      <c r="I241" s="50" t="s">
        <v>20</v>
      </c>
      <c r="J241" s="50">
        <v>28</v>
      </c>
      <c r="K241" s="50" t="s">
        <v>23</v>
      </c>
      <c r="L241" s="50">
        <v>7</v>
      </c>
      <c r="M241" s="51">
        <v>97</v>
      </c>
    </row>
    <row r="242" spans="5:13" x14ac:dyDescent="0.25">
      <c r="E242" s="32">
        <v>369</v>
      </c>
      <c r="F242" s="43">
        <v>45215</v>
      </c>
      <c r="G242" s="44">
        <v>2023</v>
      </c>
      <c r="H242" s="52" t="s">
        <v>10</v>
      </c>
      <c r="I242" s="46" t="s">
        <v>20</v>
      </c>
      <c r="J242" s="46">
        <v>23</v>
      </c>
      <c r="K242" s="46" t="s">
        <v>24</v>
      </c>
      <c r="L242" s="46">
        <v>2</v>
      </c>
      <c r="M242" s="47">
        <v>30</v>
      </c>
    </row>
    <row r="243" spans="5:13" x14ac:dyDescent="0.25">
      <c r="E243" s="33">
        <v>782</v>
      </c>
      <c r="F243" s="48">
        <v>45234</v>
      </c>
      <c r="G243" s="49">
        <v>2023</v>
      </c>
      <c r="H243" s="45" t="s">
        <v>11</v>
      </c>
      <c r="I243" s="50" t="s">
        <v>22</v>
      </c>
      <c r="J243" s="50">
        <v>34</v>
      </c>
      <c r="K243" s="50" t="s">
        <v>24</v>
      </c>
      <c r="L243" s="50">
        <v>1</v>
      </c>
      <c r="M243" s="51">
        <v>500</v>
      </c>
    </row>
    <row r="244" spans="5:13" x14ac:dyDescent="0.25">
      <c r="E244" s="32">
        <v>1538</v>
      </c>
      <c r="F244" s="43">
        <v>45502</v>
      </c>
      <c r="G244" s="44">
        <v>2024</v>
      </c>
      <c r="H244" s="52" t="s">
        <v>7</v>
      </c>
      <c r="I244" s="46" t="s">
        <v>20</v>
      </c>
      <c r="J244" s="46">
        <v>47</v>
      </c>
      <c r="K244" s="46" t="s">
        <v>21</v>
      </c>
      <c r="L244" s="46">
        <v>4</v>
      </c>
      <c r="M244" s="47">
        <v>115</v>
      </c>
    </row>
    <row r="245" spans="5:13" x14ac:dyDescent="0.25">
      <c r="E245" s="33">
        <v>91</v>
      </c>
      <c r="F245" s="48">
        <v>45010</v>
      </c>
      <c r="G245" s="49">
        <v>2023</v>
      </c>
      <c r="H245" s="45" t="s">
        <v>3</v>
      </c>
      <c r="I245" s="50" t="s">
        <v>22</v>
      </c>
      <c r="J245" s="50">
        <v>55</v>
      </c>
      <c r="K245" s="50" t="s">
        <v>24</v>
      </c>
      <c r="L245" s="50">
        <v>1</v>
      </c>
      <c r="M245" s="51">
        <v>500</v>
      </c>
    </row>
    <row r="246" spans="5:13" x14ac:dyDescent="0.25">
      <c r="E246" s="32">
        <v>605</v>
      </c>
      <c r="F246" s="43">
        <v>45051</v>
      </c>
      <c r="G246" s="44">
        <v>2023</v>
      </c>
      <c r="H246" s="52" t="s">
        <v>5</v>
      </c>
      <c r="I246" s="46" t="s">
        <v>20</v>
      </c>
      <c r="J246" s="46">
        <v>22</v>
      </c>
      <c r="K246" s="46" t="s">
        <v>24</v>
      </c>
      <c r="L246" s="46">
        <v>1</v>
      </c>
      <c r="M246" s="47">
        <v>50</v>
      </c>
    </row>
    <row r="247" spans="5:13" x14ac:dyDescent="0.25">
      <c r="E247" s="33">
        <v>93</v>
      </c>
      <c r="F247" s="48">
        <v>45121</v>
      </c>
      <c r="G247" s="49">
        <v>2023</v>
      </c>
      <c r="H247" s="45" t="s">
        <v>7</v>
      </c>
      <c r="I247" s="50" t="s">
        <v>22</v>
      </c>
      <c r="J247" s="50">
        <v>35</v>
      </c>
      <c r="K247" s="50" t="s">
        <v>21</v>
      </c>
      <c r="L247" s="50">
        <v>4</v>
      </c>
      <c r="M247" s="51">
        <v>500</v>
      </c>
    </row>
    <row r="248" spans="5:13" x14ac:dyDescent="0.25">
      <c r="E248" s="32">
        <v>6</v>
      </c>
      <c r="F248" s="43">
        <v>45041</v>
      </c>
      <c r="G248" s="44">
        <v>2023</v>
      </c>
      <c r="H248" s="52" t="s">
        <v>4</v>
      </c>
      <c r="I248" s="46" t="s">
        <v>22</v>
      </c>
      <c r="J248" s="46">
        <v>45</v>
      </c>
      <c r="K248" s="46" t="s">
        <v>21</v>
      </c>
      <c r="L248" s="46">
        <v>1</v>
      </c>
      <c r="M248" s="47">
        <v>30</v>
      </c>
    </row>
    <row r="249" spans="5:13" x14ac:dyDescent="0.25">
      <c r="E249" s="33">
        <v>1412</v>
      </c>
      <c r="F249" s="48">
        <v>45318</v>
      </c>
      <c r="G249" s="49">
        <v>2024</v>
      </c>
      <c r="H249" s="45" t="s">
        <v>1</v>
      </c>
      <c r="I249" s="50" t="s">
        <v>20</v>
      </c>
      <c r="J249" s="50">
        <v>28</v>
      </c>
      <c r="K249" s="50" t="s">
        <v>23</v>
      </c>
      <c r="L249" s="50">
        <v>2</v>
      </c>
      <c r="M249" s="51">
        <v>351</v>
      </c>
    </row>
    <row r="250" spans="5:13" x14ac:dyDescent="0.25">
      <c r="E250" s="32">
        <v>70</v>
      </c>
      <c r="F250" s="43">
        <v>44978</v>
      </c>
      <c r="G250" s="44">
        <v>2023</v>
      </c>
      <c r="H250" s="52" t="s">
        <v>2</v>
      </c>
      <c r="I250" s="46" t="s">
        <v>22</v>
      </c>
      <c r="J250" s="46">
        <v>43</v>
      </c>
      <c r="K250" s="46" t="s">
        <v>23</v>
      </c>
      <c r="L250" s="46">
        <v>1</v>
      </c>
      <c r="M250" s="47">
        <v>300</v>
      </c>
    </row>
    <row r="251" spans="5:13" x14ac:dyDescent="0.25">
      <c r="E251" s="33">
        <v>314</v>
      </c>
      <c r="F251" s="48">
        <v>45078</v>
      </c>
      <c r="G251" s="49">
        <v>2023</v>
      </c>
      <c r="H251" s="45" t="s">
        <v>6</v>
      </c>
      <c r="I251" s="50" t="s">
        <v>20</v>
      </c>
      <c r="J251" s="50">
        <v>47</v>
      </c>
      <c r="K251" s="50" t="s">
        <v>23</v>
      </c>
      <c r="L251" s="50">
        <v>2</v>
      </c>
      <c r="M251" s="51">
        <v>30</v>
      </c>
    </row>
    <row r="252" spans="5:13" x14ac:dyDescent="0.25">
      <c r="E252" s="32">
        <v>1928</v>
      </c>
      <c r="F252" s="43">
        <v>45350</v>
      </c>
      <c r="G252" s="44">
        <v>2024</v>
      </c>
      <c r="H252" s="52" t="s">
        <v>2</v>
      </c>
      <c r="I252" s="46" t="s">
        <v>22</v>
      </c>
      <c r="J252" s="46">
        <v>64</v>
      </c>
      <c r="K252" s="46" t="s">
        <v>21</v>
      </c>
      <c r="L252" s="46">
        <v>7</v>
      </c>
      <c r="M252" s="47">
        <v>112</v>
      </c>
    </row>
    <row r="253" spans="5:13" x14ac:dyDescent="0.25">
      <c r="E253" s="33">
        <v>1700</v>
      </c>
      <c r="F253" s="48">
        <v>45532</v>
      </c>
      <c r="G253" s="49">
        <v>2024</v>
      </c>
      <c r="H253" s="45" t="s">
        <v>8</v>
      </c>
      <c r="I253" s="50" t="s">
        <v>22</v>
      </c>
      <c r="J253" s="50">
        <v>34</v>
      </c>
      <c r="K253" s="50" t="s">
        <v>23</v>
      </c>
      <c r="L253" s="50">
        <v>3</v>
      </c>
      <c r="M253" s="51">
        <v>254</v>
      </c>
    </row>
    <row r="254" spans="5:13" x14ac:dyDescent="0.25">
      <c r="E254" s="32">
        <v>260</v>
      </c>
      <c r="F254" s="43">
        <v>45143</v>
      </c>
      <c r="G254" s="44">
        <v>2023</v>
      </c>
      <c r="H254" s="52" t="s">
        <v>8</v>
      </c>
      <c r="I254" s="46" t="s">
        <v>20</v>
      </c>
      <c r="J254" s="46">
        <v>21</v>
      </c>
      <c r="K254" s="46" t="s">
        <v>23</v>
      </c>
      <c r="L254" s="46">
        <v>2</v>
      </c>
      <c r="M254" s="47">
        <v>25</v>
      </c>
    </row>
    <row r="255" spans="5:13" x14ac:dyDescent="0.25">
      <c r="E255" s="33">
        <v>930</v>
      </c>
      <c r="F255" s="48">
        <v>44985</v>
      </c>
      <c r="G255" s="49">
        <v>2023</v>
      </c>
      <c r="H255" s="45" t="s">
        <v>2</v>
      </c>
      <c r="I255" s="50" t="s">
        <v>22</v>
      </c>
      <c r="J255" s="50">
        <v>45</v>
      </c>
      <c r="K255" s="50" t="s">
        <v>21</v>
      </c>
      <c r="L255" s="50">
        <v>4</v>
      </c>
      <c r="M255" s="51">
        <v>25</v>
      </c>
    </row>
    <row r="256" spans="5:13" x14ac:dyDescent="0.25">
      <c r="E256" s="32">
        <v>1986</v>
      </c>
      <c r="F256" s="43">
        <v>45437</v>
      </c>
      <c r="G256" s="44">
        <v>2024</v>
      </c>
      <c r="H256" s="52" t="s">
        <v>5</v>
      </c>
      <c r="I256" s="46" t="s">
        <v>22</v>
      </c>
      <c r="J256" s="46">
        <v>50</v>
      </c>
      <c r="K256" s="46" t="s">
        <v>21</v>
      </c>
      <c r="L256" s="46">
        <v>3</v>
      </c>
      <c r="M256" s="47">
        <v>109</v>
      </c>
    </row>
    <row r="257" spans="5:13" x14ac:dyDescent="0.25">
      <c r="E257" s="33">
        <v>619</v>
      </c>
      <c r="F257" s="48">
        <v>45054</v>
      </c>
      <c r="G257" s="49">
        <v>2023</v>
      </c>
      <c r="H257" s="45" t="s">
        <v>5</v>
      </c>
      <c r="I257" s="50" t="s">
        <v>20</v>
      </c>
      <c r="J257" s="50">
        <v>63</v>
      </c>
      <c r="K257" s="50" t="s">
        <v>24</v>
      </c>
      <c r="L257" s="50">
        <v>3</v>
      </c>
      <c r="M257" s="51">
        <v>25</v>
      </c>
    </row>
    <row r="258" spans="5:13" x14ac:dyDescent="0.25">
      <c r="E258" s="32">
        <v>1433</v>
      </c>
      <c r="F258" s="43">
        <v>45369</v>
      </c>
      <c r="G258" s="44">
        <v>2024</v>
      </c>
      <c r="H258" s="52" t="s">
        <v>3</v>
      </c>
      <c r="I258" s="46" t="s">
        <v>22</v>
      </c>
      <c r="J258" s="46">
        <v>49</v>
      </c>
      <c r="K258" s="46" t="s">
        <v>23</v>
      </c>
      <c r="L258" s="46">
        <v>7</v>
      </c>
      <c r="M258" s="47">
        <v>216</v>
      </c>
    </row>
    <row r="259" spans="5:13" x14ac:dyDescent="0.25">
      <c r="E259" s="33">
        <v>227</v>
      </c>
      <c r="F259" s="48">
        <v>45044</v>
      </c>
      <c r="G259" s="49">
        <v>2023</v>
      </c>
      <c r="H259" s="45" t="s">
        <v>4</v>
      </c>
      <c r="I259" s="50" t="s">
        <v>22</v>
      </c>
      <c r="J259" s="50">
        <v>59</v>
      </c>
      <c r="K259" s="50" t="s">
        <v>24</v>
      </c>
      <c r="L259" s="50">
        <v>2</v>
      </c>
      <c r="M259" s="51">
        <v>30</v>
      </c>
    </row>
    <row r="260" spans="5:13" x14ac:dyDescent="0.25">
      <c r="E260" s="32">
        <v>326</v>
      </c>
      <c r="F260" s="43">
        <v>45198</v>
      </c>
      <c r="G260" s="44">
        <v>2023</v>
      </c>
      <c r="H260" s="52" t="s">
        <v>9</v>
      </c>
      <c r="I260" s="46" t="s">
        <v>20</v>
      </c>
      <c r="J260" s="46">
        <v>57</v>
      </c>
      <c r="K260" s="46" t="s">
        <v>24</v>
      </c>
      <c r="L260" s="46">
        <v>3</v>
      </c>
      <c r="M260" s="47">
        <v>50</v>
      </c>
    </row>
    <row r="261" spans="5:13" x14ac:dyDescent="0.25">
      <c r="E261" s="33">
        <v>477</v>
      </c>
      <c r="F261" s="48">
        <v>45029</v>
      </c>
      <c r="G261" s="49">
        <v>2023</v>
      </c>
      <c r="H261" s="45" t="s">
        <v>4</v>
      </c>
      <c r="I261" s="50" t="s">
        <v>22</v>
      </c>
      <c r="J261" s="50">
        <v>58</v>
      </c>
      <c r="K261" s="50" t="s">
        <v>23</v>
      </c>
      <c r="L261" s="50">
        <v>2</v>
      </c>
      <c r="M261" s="51">
        <v>30</v>
      </c>
    </row>
    <row r="262" spans="5:13" x14ac:dyDescent="0.25">
      <c r="E262" s="32">
        <v>421</v>
      </c>
      <c r="F262" s="43">
        <v>45097</v>
      </c>
      <c r="G262" s="44">
        <v>2023</v>
      </c>
      <c r="H262" s="52" t="s">
        <v>6</v>
      </c>
      <c r="I262" s="46" t="s">
        <v>22</v>
      </c>
      <c r="J262" s="46">
        <v>28</v>
      </c>
      <c r="K262" s="46" t="s">
        <v>23</v>
      </c>
      <c r="L262" s="46">
        <v>3</v>
      </c>
      <c r="M262" s="47">
        <v>30</v>
      </c>
    </row>
    <row r="263" spans="5:13" x14ac:dyDescent="0.25">
      <c r="E263" s="33">
        <v>1946</v>
      </c>
      <c r="F263" s="48">
        <v>45603</v>
      </c>
      <c r="G263" s="49">
        <v>2024</v>
      </c>
      <c r="H263" s="45" t="s">
        <v>11</v>
      </c>
      <c r="I263" s="50" t="s">
        <v>20</v>
      </c>
      <c r="J263" s="50">
        <v>24</v>
      </c>
      <c r="K263" s="50" t="s">
        <v>23</v>
      </c>
      <c r="L263" s="50">
        <v>3</v>
      </c>
      <c r="M263" s="51">
        <v>272</v>
      </c>
    </row>
    <row r="264" spans="5:13" x14ac:dyDescent="0.25">
      <c r="E264" s="32">
        <v>538</v>
      </c>
      <c r="F264" s="43">
        <v>45085</v>
      </c>
      <c r="G264" s="44">
        <v>2023</v>
      </c>
      <c r="H264" s="52" t="s">
        <v>6</v>
      </c>
      <c r="I264" s="46" t="s">
        <v>20</v>
      </c>
      <c r="J264" s="46">
        <v>25</v>
      </c>
      <c r="K264" s="46" t="s">
        <v>21</v>
      </c>
      <c r="L264" s="46">
        <v>1</v>
      </c>
      <c r="M264" s="47">
        <v>500</v>
      </c>
    </row>
    <row r="265" spans="5:13" x14ac:dyDescent="0.25">
      <c r="E265" s="33">
        <v>1883</v>
      </c>
      <c r="F265" s="48">
        <v>45454</v>
      </c>
      <c r="G265" s="49">
        <v>2024</v>
      </c>
      <c r="H265" s="45" t="s">
        <v>6</v>
      </c>
      <c r="I265" s="50" t="s">
        <v>20</v>
      </c>
      <c r="J265" s="50">
        <v>29</v>
      </c>
      <c r="K265" s="50" t="s">
        <v>23</v>
      </c>
      <c r="L265" s="50">
        <v>2</v>
      </c>
      <c r="M265" s="51">
        <v>125</v>
      </c>
    </row>
    <row r="266" spans="5:13" x14ac:dyDescent="0.25">
      <c r="E266" s="32">
        <v>1725</v>
      </c>
      <c r="F266" s="43">
        <v>45435</v>
      </c>
      <c r="G266" s="44">
        <v>2024</v>
      </c>
      <c r="H266" s="52" t="s">
        <v>5</v>
      </c>
      <c r="I266" s="46" t="s">
        <v>20</v>
      </c>
      <c r="J266" s="46">
        <v>23</v>
      </c>
      <c r="K266" s="46" t="s">
        <v>23</v>
      </c>
      <c r="L266" s="46">
        <v>5</v>
      </c>
      <c r="M266" s="47">
        <v>387</v>
      </c>
    </row>
    <row r="267" spans="5:13" x14ac:dyDescent="0.25">
      <c r="E267" s="33">
        <v>1594</v>
      </c>
      <c r="F267" s="48">
        <v>45526</v>
      </c>
      <c r="G267" s="49">
        <v>2024</v>
      </c>
      <c r="H267" s="45" t="s">
        <v>8</v>
      </c>
      <c r="I267" s="50" t="s">
        <v>20</v>
      </c>
      <c r="J267" s="50">
        <v>50</v>
      </c>
      <c r="K267" s="50" t="s">
        <v>21</v>
      </c>
      <c r="L267" s="50">
        <v>3</v>
      </c>
      <c r="M267" s="51">
        <v>454</v>
      </c>
    </row>
    <row r="268" spans="5:13" x14ac:dyDescent="0.25">
      <c r="E268" s="32">
        <v>65</v>
      </c>
      <c r="F268" s="43">
        <v>45265</v>
      </c>
      <c r="G268" s="44">
        <v>2023</v>
      </c>
      <c r="H268" s="52" t="s">
        <v>12</v>
      </c>
      <c r="I268" s="46" t="s">
        <v>20</v>
      </c>
      <c r="J268" s="46">
        <v>51</v>
      </c>
      <c r="K268" s="46" t="s">
        <v>24</v>
      </c>
      <c r="L268" s="46">
        <v>4</v>
      </c>
      <c r="M268" s="47">
        <v>500</v>
      </c>
    </row>
    <row r="269" spans="5:13" x14ac:dyDescent="0.25">
      <c r="E269" s="33">
        <v>1867</v>
      </c>
      <c r="F269" s="48">
        <v>45535</v>
      </c>
      <c r="G269" s="49">
        <v>2024</v>
      </c>
      <c r="H269" s="45" t="s">
        <v>8</v>
      </c>
      <c r="I269" s="50" t="s">
        <v>20</v>
      </c>
      <c r="J269" s="50">
        <v>23</v>
      </c>
      <c r="K269" s="50" t="s">
        <v>21</v>
      </c>
      <c r="L269" s="50">
        <v>2</v>
      </c>
      <c r="M269" s="51">
        <v>29</v>
      </c>
    </row>
    <row r="270" spans="5:13" x14ac:dyDescent="0.25">
      <c r="E270" s="32">
        <v>1723</v>
      </c>
      <c r="F270" s="43">
        <v>45465</v>
      </c>
      <c r="G270" s="44">
        <v>2024</v>
      </c>
      <c r="H270" s="52" t="s">
        <v>6</v>
      </c>
      <c r="I270" s="46" t="s">
        <v>20</v>
      </c>
      <c r="J270" s="46">
        <v>60</v>
      </c>
      <c r="K270" s="46" t="s">
        <v>21</v>
      </c>
      <c r="L270" s="46">
        <v>4</v>
      </c>
      <c r="M270" s="47">
        <v>413</v>
      </c>
    </row>
    <row r="271" spans="5:13" x14ac:dyDescent="0.25">
      <c r="E271" s="33">
        <v>1411</v>
      </c>
      <c r="F271" s="48">
        <v>45421</v>
      </c>
      <c r="G271" s="49">
        <v>2024</v>
      </c>
      <c r="H271" s="45" t="s">
        <v>5</v>
      </c>
      <c r="I271" s="50" t="s">
        <v>20</v>
      </c>
      <c r="J271" s="50">
        <v>20</v>
      </c>
      <c r="K271" s="50" t="s">
        <v>21</v>
      </c>
      <c r="L271" s="50">
        <v>4</v>
      </c>
      <c r="M271" s="51">
        <v>20</v>
      </c>
    </row>
    <row r="272" spans="5:13" x14ac:dyDescent="0.25">
      <c r="E272" s="32">
        <v>1626</v>
      </c>
      <c r="F272" s="43">
        <v>45455</v>
      </c>
      <c r="G272" s="44">
        <v>2024</v>
      </c>
      <c r="H272" s="52" t="s">
        <v>6</v>
      </c>
      <c r="I272" s="46" t="s">
        <v>20</v>
      </c>
      <c r="J272" s="46">
        <v>42</v>
      </c>
      <c r="K272" s="46" t="s">
        <v>24</v>
      </c>
      <c r="L272" s="46">
        <v>6</v>
      </c>
      <c r="M272" s="47">
        <v>261</v>
      </c>
    </row>
    <row r="273" spans="5:13" x14ac:dyDescent="0.25">
      <c r="E273" s="33">
        <v>375</v>
      </c>
      <c r="F273" s="48">
        <v>45062</v>
      </c>
      <c r="G273" s="49">
        <v>2023</v>
      </c>
      <c r="H273" s="45" t="s">
        <v>5</v>
      </c>
      <c r="I273" s="50" t="s">
        <v>22</v>
      </c>
      <c r="J273" s="50">
        <v>64</v>
      </c>
      <c r="K273" s="50" t="s">
        <v>21</v>
      </c>
      <c r="L273" s="50">
        <v>1</v>
      </c>
      <c r="M273" s="51">
        <v>30</v>
      </c>
    </row>
    <row r="274" spans="5:13" x14ac:dyDescent="0.25">
      <c r="E274" s="32">
        <v>1775</v>
      </c>
      <c r="F274" s="43">
        <v>45417</v>
      </c>
      <c r="G274" s="44">
        <v>2024</v>
      </c>
      <c r="H274" s="52" t="s">
        <v>5</v>
      </c>
      <c r="I274" s="46" t="s">
        <v>22</v>
      </c>
      <c r="J274" s="46">
        <v>65</v>
      </c>
      <c r="K274" s="46" t="s">
        <v>24</v>
      </c>
      <c r="L274" s="46">
        <v>6</v>
      </c>
      <c r="M274" s="47">
        <v>466</v>
      </c>
    </row>
    <row r="275" spans="5:13" x14ac:dyDescent="0.25">
      <c r="E275" s="33">
        <v>1996</v>
      </c>
      <c r="F275" s="48">
        <v>45394</v>
      </c>
      <c r="G275" s="49">
        <v>2024</v>
      </c>
      <c r="H275" s="45" t="s">
        <v>4</v>
      </c>
      <c r="I275" s="50" t="s">
        <v>20</v>
      </c>
      <c r="J275" s="50">
        <v>34</v>
      </c>
      <c r="K275" s="50" t="s">
        <v>24</v>
      </c>
      <c r="L275" s="50">
        <v>3</v>
      </c>
      <c r="M275" s="51">
        <v>120</v>
      </c>
    </row>
    <row r="276" spans="5:13" x14ac:dyDescent="0.25">
      <c r="E276" s="32">
        <v>406</v>
      </c>
      <c r="F276" s="43">
        <v>45102</v>
      </c>
      <c r="G276" s="44">
        <v>2023</v>
      </c>
      <c r="H276" s="52" t="s">
        <v>6</v>
      </c>
      <c r="I276" s="46" t="s">
        <v>22</v>
      </c>
      <c r="J276" s="46">
        <v>46</v>
      </c>
      <c r="K276" s="46" t="s">
        <v>24</v>
      </c>
      <c r="L276" s="46">
        <v>3</v>
      </c>
      <c r="M276" s="47">
        <v>300</v>
      </c>
    </row>
    <row r="277" spans="5:13" x14ac:dyDescent="0.25">
      <c r="E277" s="33">
        <v>55</v>
      </c>
      <c r="F277" s="48">
        <v>45209</v>
      </c>
      <c r="G277" s="49">
        <v>2023</v>
      </c>
      <c r="H277" s="45" t="s">
        <v>10</v>
      </c>
      <c r="I277" s="50" t="s">
        <v>20</v>
      </c>
      <c r="J277" s="50">
        <v>31</v>
      </c>
      <c r="K277" s="50" t="s">
        <v>21</v>
      </c>
      <c r="L277" s="50">
        <v>4</v>
      </c>
      <c r="M277" s="51">
        <v>30</v>
      </c>
    </row>
    <row r="278" spans="5:13" x14ac:dyDescent="0.25">
      <c r="E278" s="32">
        <v>1057</v>
      </c>
      <c r="F278" s="43">
        <v>45478</v>
      </c>
      <c r="G278" s="44">
        <v>2024</v>
      </c>
      <c r="H278" s="52" t="s">
        <v>7</v>
      </c>
      <c r="I278" s="46" t="s">
        <v>20</v>
      </c>
      <c r="J278" s="46">
        <v>33</v>
      </c>
      <c r="K278" s="46" t="s">
        <v>23</v>
      </c>
      <c r="L278" s="46">
        <v>5</v>
      </c>
      <c r="M278" s="47">
        <v>304</v>
      </c>
    </row>
    <row r="279" spans="5:13" x14ac:dyDescent="0.25">
      <c r="E279" s="33">
        <v>1059</v>
      </c>
      <c r="F279" s="48">
        <v>45391</v>
      </c>
      <c r="G279" s="49">
        <v>2024</v>
      </c>
      <c r="H279" s="45" t="s">
        <v>4</v>
      </c>
      <c r="I279" s="50" t="s">
        <v>20</v>
      </c>
      <c r="J279" s="50">
        <v>26</v>
      </c>
      <c r="K279" s="50" t="s">
        <v>21</v>
      </c>
      <c r="L279" s="50">
        <v>2</v>
      </c>
      <c r="M279" s="51">
        <v>198</v>
      </c>
    </row>
    <row r="280" spans="5:13" x14ac:dyDescent="0.25">
      <c r="E280" s="32">
        <v>11</v>
      </c>
      <c r="F280" s="43">
        <v>44971</v>
      </c>
      <c r="G280" s="44">
        <v>2023</v>
      </c>
      <c r="H280" s="52" t="s">
        <v>2</v>
      </c>
      <c r="I280" s="46" t="s">
        <v>20</v>
      </c>
      <c r="J280" s="46">
        <v>23</v>
      </c>
      <c r="K280" s="46" t="s">
        <v>23</v>
      </c>
      <c r="L280" s="46">
        <v>2</v>
      </c>
      <c r="M280" s="47">
        <v>50</v>
      </c>
    </row>
    <row r="281" spans="5:13" x14ac:dyDescent="0.25">
      <c r="E281" s="33">
        <v>283</v>
      </c>
      <c r="F281" s="48">
        <v>44965</v>
      </c>
      <c r="G281" s="49">
        <v>2023</v>
      </c>
      <c r="H281" s="45" t="s">
        <v>2</v>
      </c>
      <c r="I281" s="50" t="s">
        <v>20</v>
      </c>
      <c r="J281" s="50">
        <v>43</v>
      </c>
      <c r="K281" s="50" t="s">
        <v>23</v>
      </c>
      <c r="L281" s="50">
        <v>4</v>
      </c>
      <c r="M281" s="51">
        <v>50</v>
      </c>
    </row>
    <row r="282" spans="5:13" x14ac:dyDescent="0.25">
      <c r="E282" s="32">
        <v>1264</v>
      </c>
      <c r="F282" s="43">
        <v>45623</v>
      </c>
      <c r="G282" s="44">
        <v>2024</v>
      </c>
      <c r="H282" s="52" t="s">
        <v>11</v>
      </c>
      <c r="I282" s="46" t="s">
        <v>22</v>
      </c>
      <c r="J282" s="46">
        <v>63</v>
      </c>
      <c r="K282" s="46" t="s">
        <v>21</v>
      </c>
      <c r="L282" s="46">
        <v>3</v>
      </c>
      <c r="M282" s="47">
        <v>43</v>
      </c>
    </row>
    <row r="283" spans="5:13" x14ac:dyDescent="0.25">
      <c r="E283" s="33">
        <v>609</v>
      </c>
      <c r="F283" s="48">
        <v>44929</v>
      </c>
      <c r="G283" s="49">
        <v>2023</v>
      </c>
      <c r="H283" s="45" t="s">
        <v>1</v>
      </c>
      <c r="I283" s="50" t="s">
        <v>22</v>
      </c>
      <c r="J283" s="50">
        <v>26</v>
      </c>
      <c r="K283" s="50" t="s">
        <v>21</v>
      </c>
      <c r="L283" s="50">
        <v>2</v>
      </c>
      <c r="M283" s="51">
        <v>300</v>
      </c>
    </row>
    <row r="284" spans="5:13" x14ac:dyDescent="0.25">
      <c r="E284" s="32">
        <v>1507</v>
      </c>
      <c r="F284" s="43">
        <v>45453</v>
      </c>
      <c r="G284" s="44">
        <v>2024</v>
      </c>
      <c r="H284" s="52" t="s">
        <v>6</v>
      </c>
      <c r="I284" s="46" t="s">
        <v>22</v>
      </c>
      <c r="J284" s="46">
        <v>44</v>
      </c>
      <c r="K284" s="46" t="s">
        <v>21</v>
      </c>
      <c r="L284" s="46">
        <v>6</v>
      </c>
      <c r="M284" s="47">
        <v>303</v>
      </c>
    </row>
    <row r="285" spans="5:13" x14ac:dyDescent="0.25">
      <c r="E285" s="33">
        <v>938</v>
      </c>
      <c r="F285" s="48">
        <v>44954</v>
      </c>
      <c r="G285" s="49">
        <v>2023</v>
      </c>
      <c r="H285" s="45" t="s">
        <v>1</v>
      </c>
      <c r="I285" s="50" t="s">
        <v>22</v>
      </c>
      <c r="J285" s="50">
        <v>20</v>
      </c>
      <c r="K285" s="50" t="s">
        <v>24</v>
      </c>
      <c r="L285" s="50">
        <v>1</v>
      </c>
      <c r="M285" s="51">
        <v>30</v>
      </c>
    </row>
    <row r="286" spans="5:13" x14ac:dyDescent="0.25">
      <c r="E286" s="32">
        <v>1474</v>
      </c>
      <c r="F286" s="43">
        <v>45406</v>
      </c>
      <c r="G286" s="44">
        <v>2024</v>
      </c>
      <c r="H286" s="52" t="s">
        <v>4</v>
      </c>
      <c r="I286" s="46" t="s">
        <v>20</v>
      </c>
      <c r="J286" s="46">
        <v>55</v>
      </c>
      <c r="K286" s="46" t="s">
        <v>23</v>
      </c>
      <c r="L286" s="46">
        <v>1</v>
      </c>
      <c r="M286" s="47">
        <v>323</v>
      </c>
    </row>
    <row r="287" spans="5:13" x14ac:dyDescent="0.25">
      <c r="E287" s="33">
        <v>872</v>
      </c>
      <c r="F287" s="48">
        <v>45103</v>
      </c>
      <c r="G287" s="49">
        <v>2023</v>
      </c>
      <c r="H287" s="45" t="s">
        <v>6</v>
      </c>
      <c r="I287" s="50" t="s">
        <v>20</v>
      </c>
      <c r="J287" s="50">
        <v>60</v>
      </c>
      <c r="K287" s="50" t="s">
        <v>21</v>
      </c>
      <c r="L287" s="50">
        <v>1</v>
      </c>
      <c r="M287" s="51">
        <v>30</v>
      </c>
    </row>
    <row r="288" spans="5:13" x14ac:dyDescent="0.25">
      <c r="E288" s="32">
        <v>1575</v>
      </c>
      <c r="F288" s="43">
        <v>45438</v>
      </c>
      <c r="G288" s="44">
        <v>2024</v>
      </c>
      <c r="H288" s="52" t="s">
        <v>5</v>
      </c>
      <c r="I288" s="46" t="s">
        <v>22</v>
      </c>
      <c r="J288" s="46">
        <v>42</v>
      </c>
      <c r="K288" s="46" t="s">
        <v>23</v>
      </c>
      <c r="L288" s="46">
        <v>6</v>
      </c>
      <c r="M288" s="47">
        <v>190</v>
      </c>
    </row>
    <row r="289" spans="5:13" x14ac:dyDescent="0.25">
      <c r="E289" s="33">
        <v>1648</v>
      </c>
      <c r="F289" s="48">
        <v>45413</v>
      </c>
      <c r="G289" s="49">
        <v>2024</v>
      </c>
      <c r="H289" s="45" t="s">
        <v>5</v>
      </c>
      <c r="I289" s="50" t="s">
        <v>22</v>
      </c>
      <c r="J289" s="50">
        <v>22</v>
      </c>
      <c r="K289" s="50" t="s">
        <v>21</v>
      </c>
      <c r="L289" s="50">
        <v>6</v>
      </c>
      <c r="M289" s="51">
        <v>393</v>
      </c>
    </row>
    <row r="290" spans="5:13" x14ac:dyDescent="0.25">
      <c r="E290" s="32">
        <v>1178</v>
      </c>
      <c r="F290" s="43">
        <v>45292</v>
      </c>
      <c r="G290" s="44">
        <v>2024</v>
      </c>
      <c r="H290" s="52" t="s">
        <v>1</v>
      </c>
      <c r="I290" s="46" t="s">
        <v>20</v>
      </c>
      <c r="J290" s="46">
        <v>49</v>
      </c>
      <c r="K290" s="46" t="s">
        <v>23</v>
      </c>
      <c r="L290" s="46">
        <v>1</v>
      </c>
      <c r="M290" s="47">
        <v>378</v>
      </c>
    </row>
    <row r="291" spans="5:13" x14ac:dyDescent="0.25">
      <c r="E291" s="33">
        <v>841</v>
      </c>
      <c r="F291" s="48">
        <v>45068</v>
      </c>
      <c r="G291" s="49">
        <v>2023</v>
      </c>
      <c r="H291" s="45" t="s">
        <v>5</v>
      </c>
      <c r="I291" s="50" t="s">
        <v>20</v>
      </c>
      <c r="J291" s="50">
        <v>21</v>
      </c>
      <c r="K291" s="50" t="s">
        <v>21</v>
      </c>
      <c r="L291" s="50">
        <v>3</v>
      </c>
      <c r="M291" s="51">
        <v>500</v>
      </c>
    </row>
    <row r="292" spans="5:13" x14ac:dyDescent="0.25">
      <c r="E292" s="32">
        <v>216</v>
      </c>
      <c r="F292" s="43">
        <v>45151</v>
      </c>
      <c r="G292" s="44">
        <v>2023</v>
      </c>
      <c r="H292" s="52" t="s">
        <v>8</v>
      </c>
      <c r="I292" s="46" t="s">
        <v>22</v>
      </c>
      <c r="J292" s="46">
        <v>35</v>
      </c>
      <c r="K292" s="46" t="s">
        <v>24</v>
      </c>
      <c r="L292" s="46">
        <v>4</v>
      </c>
      <c r="M292" s="47">
        <v>50</v>
      </c>
    </row>
    <row r="293" spans="5:13" x14ac:dyDescent="0.25">
      <c r="E293" s="33">
        <v>171</v>
      </c>
      <c r="F293" s="48">
        <v>45254</v>
      </c>
      <c r="G293" s="49">
        <v>2023</v>
      </c>
      <c r="H293" s="45" t="s">
        <v>11</v>
      </c>
      <c r="I293" s="50" t="s">
        <v>22</v>
      </c>
      <c r="J293" s="50">
        <v>52</v>
      </c>
      <c r="K293" s="50" t="s">
        <v>23</v>
      </c>
      <c r="L293" s="50">
        <v>3</v>
      </c>
      <c r="M293" s="51">
        <v>300</v>
      </c>
    </row>
    <row r="294" spans="5:13" x14ac:dyDescent="0.25">
      <c r="E294" s="32">
        <v>1226</v>
      </c>
      <c r="F294" s="43">
        <v>45594</v>
      </c>
      <c r="G294" s="44">
        <v>2024</v>
      </c>
      <c r="H294" s="52" t="s">
        <v>10</v>
      </c>
      <c r="I294" s="46" t="s">
        <v>20</v>
      </c>
      <c r="J294" s="46">
        <v>25</v>
      </c>
      <c r="K294" s="46" t="s">
        <v>21</v>
      </c>
      <c r="L294" s="46">
        <v>3</v>
      </c>
      <c r="M294" s="47">
        <v>491</v>
      </c>
    </row>
    <row r="295" spans="5:13" x14ac:dyDescent="0.25">
      <c r="E295" s="33">
        <v>571</v>
      </c>
      <c r="F295" s="48">
        <v>45036</v>
      </c>
      <c r="G295" s="49">
        <v>2023</v>
      </c>
      <c r="H295" s="45" t="s">
        <v>4</v>
      </c>
      <c r="I295" s="50" t="s">
        <v>20</v>
      </c>
      <c r="J295" s="50">
        <v>31</v>
      </c>
      <c r="K295" s="50" t="s">
        <v>23</v>
      </c>
      <c r="L295" s="50">
        <v>4</v>
      </c>
      <c r="M295" s="51">
        <v>500</v>
      </c>
    </row>
    <row r="296" spans="5:13" x14ac:dyDescent="0.25">
      <c r="E296" s="32">
        <v>1646</v>
      </c>
      <c r="F296" s="43">
        <v>45331</v>
      </c>
      <c r="G296" s="44">
        <v>2024</v>
      </c>
      <c r="H296" s="52" t="s">
        <v>2</v>
      </c>
      <c r="I296" s="46" t="s">
        <v>22</v>
      </c>
      <c r="J296" s="46">
        <v>30</v>
      </c>
      <c r="K296" s="46" t="s">
        <v>23</v>
      </c>
      <c r="L296" s="46">
        <v>2</v>
      </c>
      <c r="M296" s="47">
        <v>425</v>
      </c>
    </row>
    <row r="297" spans="5:13" x14ac:dyDescent="0.25">
      <c r="E297" s="33">
        <v>1576</v>
      </c>
      <c r="F297" s="48">
        <v>45556</v>
      </c>
      <c r="G297" s="49">
        <v>2024</v>
      </c>
      <c r="H297" s="45" t="s">
        <v>9</v>
      </c>
      <c r="I297" s="50" t="s">
        <v>22</v>
      </c>
      <c r="J297" s="50">
        <v>58</v>
      </c>
      <c r="K297" s="50" t="s">
        <v>24</v>
      </c>
      <c r="L297" s="50">
        <v>5</v>
      </c>
      <c r="M297" s="51">
        <v>13</v>
      </c>
    </row>
    <row r="298" spans="5:13" x14ac:dyDescent="0.25">
      <c r="E298" s="32">
        <v>1020</v>
      </c>
      <c r="F298" s="43">
        <v>45580</v>
      </c>
      <c r="G298" s="44">
        <v>2024</v>
      </c>
      <c r="H298" s="52" t="s">
        <v>10</v>
      </c>
      <c r="I298" s="46" t="s">
        <v>20</v>
      </c>
      <c r="J298" s="46">
        <v>29</v>
      </c>
      <c r="K298" s="46" t="s">
        <v>23</v>
      </c>
      <c r="L298" s="46">
        <v>3</v>
      </c>
      <c r="M298" s="47">
        <v>262</v>
      </c>
    </row>
    <row r="299" spans="5:13" x14ac:dyDescent="0.25">
      <c r="E299" s="33">
        <v>1869</v>
      </c>
      <c r="F299" s="48">
        <v>45564</v>
      </c>
      <c r="G299" s="49">
        <v>2024</v>
      </c>
      <c r="H299" s="45" t="s">
        <v>9</v>
      </c>
      <c r="I299" s="50" t="s">
        <v>22</v>
      </c>
      <c r="J299" s="50">
        <v>21</v>
      </c>
      <c r="K299" s="50" t="s">
        <v>24</v>
      </c>
      <c r="L299" s="50">
        <v>7</v>
      </c>
      <c r="M299" s="51">
        <v>315</v>
      </c>
    </row>
    <row r="300" spans="5:13" x14ac:dyDescent="0.25">
      <c r="E300" s="32">
        <v>245</v>
      </c>
      <c r="F300" s="43">
        <v>45036</v>
      </c>
      <c r="G300" s="44">
        <v>2023</v>
      </c>
      <c r="H300" s="52" t="s">
        <v>4</v>
      </c>
      <c r="I300" s="46" t="s">
        <v>22</v>
      </c>
      <c r="J300" s="46">
        <v>48</v>
      </c>
      <c r="K300" s="46" t="s">
        <v>24</v>
      </c>
      <c r="L300" s="46">
        <v>2</v>
      </c>
      <c r="M300" s="47">
        <v>25</v>
      </c>
    </row>
    <row r="301" spans="5:13" x14ac:dyDescent="0.25">
      <c r="E301" s="33">
        <v>940</v>
      </c>
      <c r="F301" s="48">
        <v>45003</v>
      </c>
      <c r="G301" s="49">
        <v>2023</v>
      </c>
      <c r="H301" s="45" t="s">
        <v>3</v>
      </c>
      <c r="I301" s="50" t="s">
        <v>20</v>
      </c>
      <c r="J301" s="50">
        <v>51</v>
      </c>
      <c r="K301" s="50" t="s">
        <v>23</v>
      </c>
      <c r="L301" s="50">
        <v>3</v>
      </c>
      <c r="M301" s="51">
        <v>500</v>
      </c>
    </row>
    <row r="302" spans="5:13" x14ac:dyDescent="0.25">
      <c r="E302" s="32">
        <v>74</v>
      </c>
      <c r="F302" s="43">
        <v>45252</v>
      </c>
      <c r="G302" s="44">
        <v>2023</v>
      </c>
      <c r="H302" s="52" t="s">
        <v>11</v>
      </c>
      <c r="I302" s="46" t="s">
        <v>22</v>
      </c>
      <c r="J302" s="46">
        <v>18</v>
      </c>
      <c r="K302" s="46" t="s">
        <v>21</v>
      </c>
      <c r="L302" s="46">
        <v>4</v>
      </c>
      <c r="M302" s="47">
        <v>500</v>
      </c>
    </row>
    <row r="303" spans="5:13" x14ac:dyDescent="0.25">
      <c r="E303" s="33">
        <v>143</v>
      </c>
      <c r="F303" s="48">
        <v>45124</v>
      </c>
      <c r="G303" s="49">
        <v>2023</v>
      </c>
      <c r="H303" s="45" t="s">
        <v>7</v>
      </c>
      <c r="I303" s="50" t="s">
        <v>22</v>
      </c>
      <c r="J303" s="50">
        <v>45</v>
      </c>
      <c r="K303" s="50" t="s">
        <v>23</v>
      </c>
      <c r="L303" s="50">
        <v>1</v>
      </c>
      <c r="M303" s="51">
        <v>50</v>
      </c>
    </row>
    <row r="304" spans="5:13" x14ac:dyDescent="0.25">
      <c r="E304" s="32">
        <v>978</v>
      </c>
      <c r="F304" s="43">
        <v>45136</v>
      </c>
      <c r="G304" s="44">
        <v>2023</v>
      </c>
      <c r="H304" s="52" t="s">
        <v>7</v>
      </c>
      <c r="I304" s="46" t="s">
        <v>22</v>
      </c>
      <c r="J304" s="46">
        <v>31</v>
      </c>
      <c r="K304" s="46" t="s">
        <v>24</v>
      </c>
      <c r="L304" s="46">
        <v>3</v>
      </c>
      <c r="M304" s="47">
        <v>25</v>
      </c>
    </row>
    <row r="305" spans="5:13" x14ac:dyDescent="0.25">
      <c r="E305" s="33">
        <v>786</v>
      </c>
      <c r="F305" s="48">
        <v>45104</v>
      </c>
      <c r="G305" s="49">
        <v>2023</v>
      </c>
      <c r="H305" s="45" t="s">
        <v>6</v>
      </c>
      <c r="I305" s="50" t="s">
        <v>22</v>
      </c>
      <c r="J305" s="50">
        <v>52</v>
      </c>
      <c r="K305" s="50" t="s">
        <v>21</v>
      </c>
      <c r="L305" s="50">
        <v>3</v>
      </c>
      <c r="M305" s="51">
        <v>300</v>
      </c>
    </row>
    <row r="306" spans="5:13" x14ac:dyDescent="0.25">
      <c r="E306" s="32">
        <v>1835</v>
      </c>
      <c r="F306" s="43">
        <v>45467</v>
      </c>
      <c r="G306" s="44">
        <v>2024</v>
      </c>
      <c r="H306" s="52" t="s">
        <v>6</v>
      </c>
      <c r="I306" s="46" t="s">
        <v>22</v>
      </c>
      <c r="J306" s="46">
        <v>49</v>
      </c>
      <c r="K306" s="46" t="s">
        <v>24</v>
      </c>
      <c r="L306" s="46">
        <v>4</v>
      </c>
      <c r="M306" s="47">
        <v>429</v>
      </c>
    </row>
    <row r="307" spans="5:13" x14ac:dyDescent="0.25">
      <c r="E307" s="33">
        <v>1714</v>
      </c>
      <c r="F307" s="48">
        <v>45529</v>
      </c>
      <c r="G307" s="49">
        <v>2024</v>
      </c>
      <c r="H307" s="45" t="s">
        <v>8</v>
      </c>
      <c r="I307" s="50" t="s">
        <v>22</v>
      </c>
      <c r="J307" s="50">
        <v>56</v>
      </c>
      <c r="K307" s="50" t="s">
        <v>21</v>
      </c>
      <c r="L307" s="50">
        <v>5</v>
      </c>
      <c r="M307" s="51">
        <v>95</v>
      </c>
    </row>
    <row r="308" spans="5:13" x14ac:dyDescent="0.25">
      <c r="E308" s="32">
        <v>1093</v>
      </c>
      <c r="F308" s="43">
        <v>45620</v>
      </c>
      <c r="G308" s="44">
        <v>2024</v>
      </c>
      <c r="H308" s="52" t="s">
        <v>11</v>
      </c>
      <c r="I308" s="46" t="s">
        <v>22</v>
      </c>
      <c r="J308" s="46">
        <v>33</v>
      </c>
      <c r="K308" s="46" t="s">
        <v>23</v>
      </c>
      <c r="L308" s="46">
        <v>7</v>
      </c>
      <c r="M308" s="47">
        <v>201</v>
      </c>
    </row>
    <row r="309" spans="5:13" x14ac:dyDescent="0.25">
      <c r="E309" s="33">
        <v>694</v>
      </c>
      <c r="F309" s="48">
        <v>45175</v>
      </c>
      <c r="G309" s="49">
        <v>2023</v>
      </c>
      <c r="H309" s="45" t="s">
        <v>9</v>
      </c>
      <c r="I309" s="50" t="s">
        <v>22</v>
      </c>
      <c r="J309" s="50">
        <v>50</v>
      </c>
      <c r="K309" s="50" t="s">
        <v>23</v>
      </c>
      <c r="L309" s="50">
        <v>4</v>
      </c>
      <c r="M309" s="51">
        <v>50</v>
      </c>
    </row>
    <row r="310" spans="5:13" x14ac:dyDescent="0.25">
      <c r="E310" s="32">
        <v>303</v>
      </c>
      <c r="F310" s="43">
        <v>45126</v>
      </c>
      <c r="G310" s="44">
        <v>2023</v>
      </c>
      <c r="H310" s="52" t="s">
        <v>7</v>
      </c>
      <c r="I310" s="46" t="s">
        <v>22</v>
      </c>
      <c r="J310" s="46">
        <v>37</v>
      </c>
      <c r="K310" s="46" t="s">
        <v>24</v>
      </c>
      <c r="L310" s="46">
        <v>2</v>
      </c>
      <c r="M310" s="47">
        <v>30</v>
      </c>
    </row>
    <row r="311" spans="5:13" x14ac:dyDescent="0.25">
      <c r="E311" s="33">
        <v>563</v>
      </c>
      <c r="F311" s="48">
        <v>45223</v>
      </c>
      <c r="G311" s="49">
        <v>2023</v>
      </c>
      <c r="H311" s="45" t="s">
        <v>10</v>
      </c>
      <c r="I311" s="50" t="s">
        <v>20</v>
      </c>
      <c r="J311" s="50">
        <v>50</v>
      </c>
      <c r="K311" s="50" t="s">
        <v>24</v>
      </c>
      <c r="L311" s="50">
        <v>2</v>
      </c>
      <c r="M311" s="51">
        <v>50</v>
      </c>
    </row>
    <row r="312" spans="5:13" x14ac:dyDescent="0.25">
      <c r="E312" s="32">
        <v>34</v>
      </c>
      <c r="F312" s="43">
        <v>45284</v>
      </c>
      <c r="G312" s="44">
        <v>2023</v>
      </c>
      <c r="H312" s="52" t="s">
        <v>12</v>
      </c>
      <c r="I312" s="46" t="s">
        <v>22</v>
      </c>
      <c r="J312" s="46">
        <v>51</v>
      </c>
      <c r="K312" s="46" t="s">
        <v>23</v>
      </c>
      <c r="L312" s="46">
        <v>3</v>
      </c>
      <c r="M312" s="47">
        <v>50</v>
      </c>
    </row>
    <row r="313" spans="5:13" x14ac:dyDescent="0.25">
      <c r="E313" s="33">
        <v>1627</v>
      </c>
      <c r="F313" s="48">
        <v>45519</v>
      </c>
      <c r="G313" s="49">
        <v>2024</v>
      </c>
      <c r="H313" s="45" t="s">
        <v>8</v>
      </c>
      <c r="I313" s="50" t="s">
        <v>20</v>
      </c>
      <c r="J313" s="50">
        <v>37</v>
      </c>
      <c r="K313" s="50" t="s">
        <v>23</v>
      </c>
      <c r="L313" s="50">
        <v>2</v>
      </c>
      <c r="M313" s="51">
        <v>452</v>
      </c>
    </row>
    <row r="314" spans="5:13" x14ac:dyDescent="0.25">
      <c r="E314" s="32">
        <v>1456</v>
      </c>
      <c r="F314" s="43">
        <v>45372</v>
      </c>
      <c r="G314" s="44">
        <v>2024</v>
      </c>
      <c r="H314" s="52" t="s">
        <v>3</v>
      </c>
      <c r="I314" s="46" t="s">
        <v>20</v>
      </c>
      <c r="J314" s="46">
        <v>25</v>
      </c>
      <c r="K314" s="46" t="s">
        <v>23</v>
      </c>
      <c r="L314" s="46">
        <v>1</v>
      </c>
      <c r="M314" s="47">
        <v>195</v>
      </c>
    </row>
    <row r="315" spans="5:13" x14ac:dyDescent="0.25">
      <c r="E315" s="33">
        <v>762</v>
      </c>
      <c r="F315" s="48">
        <v>45010</v>
      </c>
      <c r="G315" s="49">
        <v>2023</v>
      </c>
      <c r="H315" s="45" t="s">
        <v>3</v>
      </c>
      <c r="I315" s="50" t="s">
        <v>22</v>
      </c>
      <c r="J315" s="50">
        <v>40</v>
      </c>
      <c r="K315" s="50" t="s">
        <v>23</v>
      </c>
      <c r="L315" s="50">
        <v>1</v>
      </c>
      <c r="M315" s="51">
        <v>25</v>
      </c>
    </row>
    <row r="316" spans="5:13" x14ac:dyDescent="0.25">
      <c r="E316" s="32">
        <v>1970</v>
      </c>
      <c r="F316" s="43">
        <v>45415</v>
      </c>
      <c r="G316" s="44">
        <v>2024</v>
      </c>
      <c r="H316" s="52" t="s">
        <v>5</v>
      </c>
      <c r="I316" s="46" t="s">
        <v>20</v>
      </c>
      <c r="J316" s="46">
        <v>46</v>
      </c>
      <c r="K316" s="46" t="s">
        <v>21</v>
      </c>
      <c r="L316" s="46">
        <v>1</v>
      </c>
      <c r="M316" s="47">
        <v>223</v>
      </c>
    </row>
    <row r="317" spans="5:13" x14ac:dyDescent="0.25">
      <c r="E317" s="33">
        <v>880</v>
      </c>
      <c r="F317" s="48">
        <v>45083</v>
      </c>
      <c r="G317" s="49">
        <v>2023</v>
      </c>
      <c r="H317" s="45" t="s">
        <v>6</v>
      </c>
      <c r="I317" s="50" t="s">
        <v>22</v>
      </c>
      <c r="J317" s="50">
        <v>64</v>
      </c>
      <c r="K317" s="50" t="s">
        <v>24</v>
      </c>
      <c r="L317" s="50">
        <v>2</v>
      </c>
      <c r="M317" s="51">
        <v>25</v>
      </c>
    </row>
    <row r="318" spans="5:13" x14ac:dyDescent="0.25">
      <c r="E318" s="32">
        <v>486</v>
      </c>
      <c r="F318" s="43">
        <v>45131</v>
      </c>
      <c r="G318" s="44">
        <v>2023</v>
      </c>
      <c r="H318" s="52" t="s">
        <v>7</v>
      </c>
      <c r="I318" s="46" t="s">
        <v>20</v>
      </c>
      <c r="J318" s="46">
        <v>44</v>
      </c>
      <c r="K318" s="46" t="s">
        <v>23</v>
      </c>
      <c r="L318" s="46">
        <v>4</v>
      </c>
      <c r="M318" s="47">
        <v>500</v>
      </c>
    </row>
    <row r="319" spans="5:13" x14ac:dyDescent="0.25">
      <c r="E319" s="33">
        <v>1721</v>
      </c>
      <c r="F319" s="48">
        <v>45525</v>
      </c>
      <c r="G319" s="49">
        <v>2024</v>
      </c>
      <c r="H319" s="45" t="s">
        <v>8</v>
      </c>
      <c r="I319" s="50" t="s">
        <v>20</v>
      </c>
      <c r="J319" s="50">
        <v>31</v>
      </c>
      <c r="K319" s="50" t="s">
        <v>24</v>
      </c>
      <c r="L319" s="50">
        <v>5</v>
      </c>
      <c r="M319" s="51">
        <v>477</v>
      </c>
    </row>
    <row r="320" spans="5:13" x14ac:dyDescent="0.25">
      <c r="E320" s="32">
        <v>1695</v>
      </c>
      <c r="F320" s="43">
        <v>45465</v>
      </c>
      <c r="G320" s="44">
        <v>2024</v>
      </c>
      <c r="H320" s="52" t="s">
        <v>6</v>
      </c>
      <c r="I320" s="46" t="s">
        <v>22</v>
      </c>
      <c r="J320" s="46">
        <v>18</v>
      </c>
      <c r="K320" s="46" t="s">
        <v>23</v>
      </c>
      <c r="L320" s="46">
        <v>5</v>
      </c>
      <c r="M320" s="47">
        <v>457</v>
      </c>
    </row>
    <row r="321" spans="5:13" x14ac:dyDescent="0.25">
      <c r="E321" s="33">
        <v>927</v>
      </c>
      <c r="F321" s="48">
        <v>44953</v>
      </c>
      <c r="G321" s="49">
        <v>2023</v>
      </c>
      <c r="H321" s="45" t="s">
        <v>1</v>
      </c>
      <c r="I321" s="50" t="s">
        <v>22</v>
      </c>
      <c r="J321" s="50">
        <v>23</v>
      </c>
      <c r="K321" s="50" t="s">
        <v>21</v>
      </c>
      <c r="L321" s="50">
        <v>3</v>
      </c>
      <c r="M321" s="51">
        <v>25</v>
      </c>
    </row>
    <row r="322" spans="5:13" x14ac:dyDescent="0.25">
      <c r="E322" s="32">
        <v>654</v>
      </c>
      <c r="F322" s="43">
        <v>45203</v>
      </c>
      <c r="G322" s="44">
        <v>2023</v>
      </c>
      <c r="H322" s="52" t="s">
        <v>10</v>
      </c>
      <c r="I322" s="46" t="s">
        <v>20</v>
      </c>
      <c r="J322" s="46">
        <v>29</v>
      </c>
      <c r="K322" s="46" t="s">
        <v>21</v>
      </c>
      <c r="L322" s="46">
        <v>3</v>
      </c>
      <c r="M322" s="47">
        <v>30</v>
      </c>
    </row>
    <row r="323" spans="5:13" x14ac:dyDescent="0.25">
      <c r="E323" s="33">
        <v>293</v>
      </c>
      <c r="F323" s="48">
        <v>45012</v>
      </c>
      <c r="G323" s="49">
        <v>2023</v>
      </c>
      <c r="H323" s="45" t="s">
        <v>3</v>
      </c>
      <c r="I323" s="50" t="s">
        <v>22</v>
      </c>
      <c r="J323" s="50">
        <v>23</v>
      </c>
      <c r="K323" s="50" t="s">
        <v>23</v>
      </c>
      <c r="L323" s="50">
        <v>3</v>
      </c>
      <c r="M323" s="51">
        <v>30</v>
      </c>
    </row>
    <row r="324" spans="5:13" x14ac:dyDescent="0.25">
      <c r="E324" s="32">
        <v>12</v>
      </c>
      <c r="F324" s="43">
        <v>45229</v>
      </c>
      <c r="G324" s="44">
        <v>2023</v>
      </c>
      <c r="H324" s="52" t="s">
        <v>10</v>
      </c>
      <c r="I324" s="46" t="s">
        <v>20</v>
      </c>
      <c r="J324" s="46">
        <v>35</v>
      </c>
      <c r="K324" s="46" t="s">
        <v>21</v>
      </c>
      <c r="L324" s="46">
        <v>3</v>
      </c>
      <c r="M324" s="47">
        <v>25</v>
      </c>
    </row>
    <row r="325" spans="5:13" x14ac:dyDescent="0.25">
      <c r="E325" s="33">
        <v>97</v>
      </c>
      <c r="F325" s="48">
        <v>45212</v>
      </c>
      <c r="G325" s="49">
        <v>2023</v>
      </c>
      <c r="H325" s="45" t="s">
        <v>10</v>
      </c>
      <c r="I325" s="50" t="s">
        <v>22</v>
      </c>
      <c r="J325" s="50">
        <v>51</v>
      </c>
      <c r="K325" s="50" t="s">
        <v>21</v>
      </c>
      <c r="L325" s="50">
        <v>2</v>
      </c>
      <c r="M325" s="51">
        <v>500</v>
      </c>
    </row>
    <row r="326" spans="5:13" x14ac:dyDescent="0.25">
      <c r="E326" s="32">
        <v>1442</v>
      </c>
      <c r="F326" s="43">
        <v>45313</v>
      </c>
      <c r="G326" s="44">
        <v>2024</v>
      </c>
      <c r="H326" s="52" t="s">
        <v>1</v>
      </c>
      <c r="I326" s="46" t="s">
        <v>22</v>
      </c>
      <c r="J326" s="46">
        <v>52</v>
      </c>
      <c r="K326" s="46" t="s">
        <v>24</v>
      </c>
      <c r="L326" s="46">
        <v>7</v>
      </c>
      <c r="M326" s="47">
        <v>370</v>
      </c>
    </row>
    <row r="327" spans="5:13" x14ac:dyDescent="0.25">
      <c r="E327" s="33">
        <v>1888</v>
      </c>
      <c r="F327" s="48">
        <v>45391</v>
      </c>
      <c r="G327" s="49">
        <v>2024</v>
      </c>
      <c r="H327" s="45" t="s">
        <v>4</v>
      </c>
      <c r="I327" s="50" t="s">
        <v>20</v>
      </c>
      <c r="J327" s="50">
        <v>33</v>
      </c>
      <c r="K327" s="50" t="s">
        <v>24</v>
      </c>
      <c r="L327" s="50">
        <v>5</v>
      </c>
      <c r="M327" s="51">
        <v>271</v>
      </c>
    </row>
    <row r="328" spans="5:13" x14ac:dyDescent="0.25">
      <c r="E328" s="32">
        <v>366</v>
      </c>
      <c r="F328" s="43">
        <v>44931</v>
      </c>
      <c r="G328" s="44">
        <v>2023</v>
      </c>
      <c r="H328" s="52" t="s">
        <v>1</v>
      </c>
      <c r="I328" s="46" t="s">
        <v>22</v>
      </c>
      <c r="J328" s="46">
        <v>57</v>
      </c>
      <c r="K328" s="46" t="s">
        <v>24</v>
      </c>
      <c r="L328" s="46">
        <v>1</v>
      </c>
      <c r="M328" s="47">
        <v>50</v>
      </c>
    </row>
    <row r="329" spans="5:13" x14ac:dyDescent="0.25">
      <c r="E329" s="33">
        <v>214</v>
      </c>
      <c r="F329" s="48">
        <v>45259</v>
      </c>
      <c r="G329" s="49">
        <v>2023</v>
      </c>
      <c r="H329" s="45" t="s">
        <v>11</v>
      </c>
      <c r="I329" s="50" t="s">
        <v>20</v>
      </c>
      <c r="J329" s="50">
        <v>58</v>
      </c>
      <c r="K329" s="50" t="s">
        <v>23</v>
      </c>
      <c r="L329" s="50">
        <v>3</v>
      </c>
      <c r="M329" s="51">
        <v>500</v>
      </c>
    </row>
    <row r="330" spans="5:13" x14ac:dyDescent="0.25">
      <c r="E330" s="32">
        <v>907</v>
      </c>
      <c r="F330" s="43">
        <v>45200</v>
      </c>
      <c r="G330" s="44">
        <v>2023</v>
      </c>
      <c r="H330" s="52" t="s">
        <v>10</v>
      </c>
      <c r="I330" s="46" t="s">
        <v>20</v>
      </c>
      <c r="J330" s="46">
        <v>26</v>
      </c>
      <c r="K330" s="46" t="s">
        <v>24</v>
      </c>
      <c r="L330" s="46">
        <v>1</v>
      </c>
      <c r="M330" s="47">
        <v>300</v>
      </c>
    </row>
    <row r="331" spans="5:13" x14ac:dyDescent="0.25">
      <c r="E331" s="33">
        <v>1677</v>
      </c>
      <c r="F331" s="48">
        <v>45487</v>
      </c>
      <c r="G331" s="49">
        <v>2024</v>
      </c>
      <c r="H331" s="45" t="s">
        <v>7</v>
      </c>
      <c r="I331" s="50" t="s">
        <v>22</v>
      </c>
      <c r="J331" s="50">
        <v>34</v>
      </c>
      <c r="K331" s="50" t="s">
        <v>24</v>
      </c>
      <c r="L331" s="50">
        <v>3</v>
      </c>
      <c r="M331" s="51">
        <v>217</v>
      </c>
    </row>
    <row r="332" spans="5:13" x14ac:dyDescent="0.25">
      <c r="E332" s="32">
        <v>1405</v>
      </c>
      <c r="F332" s="43">
        <v>45397</v>
      </c>
      <c r="G332" s="44">
        <v>2024</v>
      </c>
      <c r="H332" s="52" t="s">
        <v>4</v>
      </c>
      <c r="I332" s="46" t="s">
        <v>22</v>
      </c>
      <c r="J332" s="46">
        <v>65</v>
      </c>
      <c r="K332" s="46" t="s">
        <v>21</v>
      </c>
      <c r="L332" s="46">
        <v>1</v>
      </c>
      <c r="M332" s="47">
        <v>169</v>
      </c>
    </row>
    <row r="333" spans="5:13" x14ac:dyDescent="0.25">
      <c r="E333" s="33">
        <v>1108</v>
      </c>
      <c r="F333" s="48">
        <v>45454</v>
      </c>
      <c r="G333" s="49">
        <v>2024</v>
      </c>
      <c r="H333" s="45" t="s">
        <v>6</v>
      </c>
      <c r="I333" s="50" t="s">
        <v>20</v>
      </c>
      <c r="J333" s="50">
        <v>25</v>
      </c>
      <c r="K333" s="50" t="s">
        <v>23</v>
      </c>
      <c r="L333" s="50">
        <v>5</v>
      </c>
      <c r="M333" s="51">
        <v>438</v>
      </c>
    </row>
    <row r="334" spans="5:13" x14ac:dyDescent="0.25">
      <c r="E334" s="32">
        <v>1607</v>
      </c>
      <c r="F334" s="43">
        <v>45294</v>
      </c>
      <c r="G334" s="44">
        <v>2024</v>
      </c>
      <c r="H334" s="52" t="s">
        <v>1</v>
      </c>
      <c r="I334" s="46" t="s">
        <v>22</v>
      </c>
      <c r="J334" s="46">
        <v>18</v>
      </c>
      <c r="K334" s="46" t="s">
        <v>21</v>
      </c>
      <c r="L334" s="46">
        <v>4</v>
      </c>
      <c r="M334" s="47">
        <v>401</v>
      </c>
    </row>
    <row r="335" spans="5:13" x14ac:dyDescent="0.25">
      <c r="E335" s="33">
        <v>935</v>
      </c>
      <c r="F335" s="48">
        <v>45222</v>
      </c>
      <c r="G335" s="49">
        <v>2023</v>
      </c>
      <c r="H335" s="45" t="s">
        <v>10</v>
      </c>
      <c r="I335" s="50" t="s">
        <v>22</v>
      </c>
      <c r="J335" s="50">
        <v>62</v>
      </c>
      <c r="K335" s="50" t="s">
        <v>21</v>
      </c>
      <c r="L335" s="50">
        <v>1</v>
      </c>
      <c r="M335" s="51">
        <v>500</v>
      </c>
    </row>
    <row r="336" spans="5:13" x14ac:dyDescent="0.25">
      <c r="E336" s="32">
        <v>1058</v>
      </c>
      <c r="F336" s="43">
        <v>45588</v>
      </c>
      <c r="G336" s="44">
        <v>2024</v>
      </c>
      <c r="H336" s="52" t="s">
        <v>10</v>
      </c>
      <c r="I336" s="46" t="s">
        <v>20</v>
      </c>
      <c r="J336" s="46">
        <v>30</v>
      </c>
      <c r="K336" s="46" t="s">
        <v>21</v>
      </c>
      <c r="L336" s="46">
        <v>3</v>
      </c>
      <c r="M336" s="47">
        <v>422</v>
      </c>
    </row>
    <row r="337" spans="5:13" x14ac:dyDescent="0.25">
      <c r="E337" s="33">
        <v>7</v>
      </c>
      <c r="F337" s="48">
        <v>44998</v>
      </c>
      <c r="G337" s="49">
        <v>2023</v>
      </c>
      <c r="H337" s="45" t="s">
        <v>3</v>
      </c>
      <c r="I337" s="50" t="s">
        <v>20</v>
      </c>
      <c r="J337" s="50">
        <v>46</v>
      </c>
      <c r="K337" s="50" t="s">
        <v>23</v>
      </c>
      <c r="L337" s="50">
        <v>2</v>
      </c>
      <c r="M337" s="51">
        <v>25</v>
      </c>
    </row>
    <row r="338" spans="5:13" x14ac:dyDescent="0.25">
      <c r="E338" s="32">
        <v>1224</v>
      </c>
      <c r="F338" s="43">
        <v>45576</v>
      </c>
      <c r="G338" s="44">
        <v>2024</v>
      </c>
      <c r="H338" s="52" t="s">
        <v>10</v>
      </c>
      <c r="I338" s="46" t="s">
        <v>20</v>
      </c>
      <c r="J338" s="46">
        <v>30</v>
      </c>
      <c r="K338" s="46" t="s">
        <v>24</v>
      </c>
      <c r="L338" s="46">
        <v>1</v>
      </c>
      <c r="M338" s="47">
        <v>428</v>
      </c>
    </row>
    <row r="339" spans="5:13" x14ac:dyDescent="0.25">
      <c r="E339" s="33">
        <v>96</v>
      </c>
      <c r="F339" s="48">
        <v>45279</v>
      </c>
      <c r="G339" s="49">
        <v>2023</v>
      </c>
      <c r="H339" s="45" t="s">
        <v>12</v>
      </c>
      <c r="I339" s="50" t="s">
        <v>22</v>
      </c>
      <c r="J339" s="50">
        <v>44</v>
      </c>
      <c r="K339" s="50" t="s">
        <v>23</v>
      </c>
      <c r="L339" s="50">
        <v>2</v>
      </c>
      <c r="M339" s="51">
        <v>300</v>
      </c>
    </row>
    <row r="340" spans="5:13" x14ac:dyDescent="0.25">
      <c r="E340" s="32">
        <v>1496</v>
      </c>
      <c r="F340" s="43">
        <v>45306</v>
      </c>
      <c r="G340" s="44">
        <v>2024</v>
      </c>
      <c r="H340" s="52" t="s">
        <v>1</v>
      </c>
      <c r="I340" s="46" t="s">
        <v>20</v>
      </c>
      <c r="J340" s="46">
        <v>21</v>
      </c>
      <c r="K340" s="46" t="s">
        <v>21</v>
      </c>
      <c r="L340" s="46">
        <v>6</v>
      </c>
      <c r="M340" s="47">
        <v>44</v>
      </c>
    </row>
    <row r="341" spans="5:13" x14ac:dyDescent="0.25">
      <c r="E341" s="33">
        <v>979</v>
      </c>
      <c r="F341" s="48">
        <v>45157</v>
      </c>
      <c r="G341" s="49">
        <v>2023</v>
      </c>
      <c r="H341" s="45" t="s">
        <v>8</v>
      </c>
      <c r="I341" s="50" t="s">
        <v>22</v>
      </c>
      <c r="J341" s="50">
        <v>30</v>
      </c>
      <c r="K341" s="50" t="s">
        <v>24</v>
      </c>
      <c r="L341" s="50">
        <v>2</v>
      </c>
      <c r="M341" s="51">
        <v>30</v>
      </c>
    </row>
    <row r="342" spans="5:13" x14ac:dyDescent="0.25">
      <c r="E342" s="32">
        <v>568</v>
      </c>
      <c r="F342" s="43">
        <v>45153</v>
      </c>
      <c r="G342" s="44">
        <v>2023</v>
      </c>
      <c r="H342" s="52" t="s">
        <v>8</v>
      </c>
      <c r="I342" s="46" t="s">
        <v>20</v>
      </c>
      <c r="J342" s="46">
        <v>52</v>
      </c>
      <c r="K342" s="46" t="s">
        <v>24</v>
      </c>
      <c r="L342" s="46">
        <v>4</v>
      </c>
      <c r="M342" s="47">
        <v>50</v>
      </c>
    </row>
    <row r="343" spans="5:13" x14ac:dyDescent="0.25">
      <c r="E343" s="33">
        <v>531</v>
      </c>
      <c r="F343" s="48">
        <v>45096</v>
      </c>
      <c r="G343" s="49">
        <v>2023</v>
      </c>
      <c r="H343" s="45" t="s">
        <v>6</v>
      </c>
      <c r="I343" s="50" t="s">
        <v>22</v>
      </c>
      <c r="J343" s="50">
        <v>64</v>
      </c>
      <c r="K343" s="50" t="s">
        <v>23</v>
      </c>
      <c r="L343" s="50">
        <v>4</v>
      </c>
      <c r="M343" s="51">
        <v>30</v>
      </c>
    </row>
    <row r="344" spans="5:13" x14ac:dyDescent="0.25">
      <c r="E344" s="32">
        <v>1137</v>
      </c>
      <c r="F344" s="43">
        <v>45641</v>
      </c>
      <c r="G344" s="44">
        <v>2024</v>
      </c>
      <c r="H344" s="52" t="s">
        <v>12</v>
      </c>
      <c r="I344" s="46" t="s">
        <v>20</v>
      </c>
      <c r="J344" s="46">
        <v>49</v>
      </c>
      <c r="K344" s="46" t="s">
        <v>21</v>
      </c>
      <c r="L344" s="46">
        <v>7</v>
      </c>
      <c r="M344" s="47">
        <v>244</v>
      </c>
    </row>
    <row r="345" spans="5:13" x14ac:dyDescent="0.25">
      <c r="E345" s="33">
        <v>402</v>
      </c>
      <c r="F345" s="48">
        <v>45066</v>
      </c>
      <c r="G345" s="49">
        <v>2023</v>
      </c>
      <c r="H345" s="45" t="s">
        <v>5</v>
      </c>
      <c r="I345" s="50" t="s">
        <v>20</v>
      </c>
      <c r="J345" s="50">
        <v>32</v>
      </c>
      <c r="K345" s="50" t="s">
        <v>23</v>
      </c>
      <c r="L345" s="50">
        <v>2</v>
      </c>
      <c r="M345" s="51">
        <v>300</v>
      </c>
    </row>
    <row r="346" spans="5:13" x14ac:dyDescent="0.25">
      <c r="E346" s="32">
        <v>548</v>
      </c>
      <c r="F346" s="43">
        <v>45142</v>
      </c>
      <c r="G346" s="44">
        <v>2023</v>
      </c>
      <c r="H346" s="52" t="s">
        <v>8</v>
      </c>
      <c r="I346" s="46" t="s">
        <v>22</v>
      </c>
      <c r="J346" s="46">
        <v>50</v>
      </c>
      <c r="K346" s="46" t="s">
        <v>21</v>
      </c>
      <c r="L346" s="46">
        <v>2</v>
      </c>
      <c r="M346" s="47">
        <v>50</v>
      </c>
    </row>
    <row r="347" spans="5:13" x14ac:dyDescent="0.25">
      <c r="E347" s="33">
        <v>26</v>
      </c>
      <c r="F347" s="48">
        <v>45206</v>
      </c>
      <c r="G347" s="49">
        <v>2023</v>
      </c>
      <c r="H347" s="45" t="s">
        <v>10</v>
      </c>
      <c r="I347" s="50" t="s">
        <v>22</v>
      </c>
      <c r="J347" s="50">
        <v>28</v>
      </c>
      <c r="K347" s="50" t="s">
        <v>24</v>
      </c>
      <c r="L347" s="50">
        <v>2</v>
      </c>
      <c r="M347" s="51">
        <v>500</v>
      </c>
    </row>
    <row r="348" spans="5:13" x14ac:dyDescent="0.25">
      <c r="E348" s="32">
        <v>1375</v>
      </c>
      <c r="F348" s="43">
        <v>45471</v>
      </c>
      <c r="G348" s="44">
        <v>2024</v>
      </c>
      <c r="H348" s="52" t="s">
        <v>6</v>
      </c>
      <c r="I348" s="46" t="s">
        <v>20</v>
      </c>
      <c r="J348" s="46">
        <v>47</v>
      </c>
      <c r="K348" s="46" t="s">
        <v>21</v>
      </c>
      <c r="L348" s="46">
        <v>5</v>
      </c>
      <c r="M348" s="47">
        <v>143</v>
      </c>
    </row>
    <row r="349" spans="5:13" x14ac:dyDescent="0.25">
      <c r="E349" s="33">
        <v>438</v>
      </c>
      <c r="F349" s="48">
        <v>45116</v>
      </c>
      <c r="G349" s="49">
        <v>2023</v>
      </c>
      <c r="H349" s="45" t="s">
        <v>7</v>
      </c>
      <c r="I349" s="50" t="s">
        <v>20</v>
      </c>
      <c r="J349" s="50">
        <v>50</v>
      </c>
      <c r="K349" s="50" t="s">
        <v>23</v>
      </c>
      <c r="L349" s="50">
        <v>3</v>
      </c>
      <c r="M349" s="51">
        <v>25</v>
      </c>
    </row>
    <row r="350" spans="5:13" x14ac:dyDescent="0.25">
      <c r="E350" s="32">
        <v>1664</v>
      </c>
      <c r="F350" s="43">
        <v>45501</v>
      </c>
      <c r="G350" s="44">
        <v>2024</v>
      </c>
      <c r="H350" s="52" t="s">
        <v>7</v>
      </c>
      <c r="I350" s="46" t="s">
        <v>22</v>
      </c>
      <c r="J350" s="46">
        <v>24</v>
      </c>
      <c r="K350" s="46" t="s">
        <v>24</v>
      </c>
      <c r="L350" s="46">
        <v>4</v>
      </c>
      <c r="M350" s="47">
        <v>309</v>
      </c>
    </row>
    <row r="351" spans="5:13" x14ac:dyDescent="0.25">
      <c r="E351" s="33">
        <v>1328</v>
      </c>
      <c r="F351" s="48">
        <v>45333</v>
      </c>
      <c r="G351" s="49">
        <v>2024</v>
      </c>
      <c r="H351" s="45" t="s">
        <v>2</v>
      </c>
      <c r="I351" s="50" t="s">
        <v>20</v>
      </c>
      <c r="J351" s="50">
        <v>59</v>
      </c>
      <c r="K351" s="50" t="s">
        <v>24</v>
      </c>
      <c r="L351" s="50">
        <v>3</v>
      </c>
      <c r="M351" s="51">
        <v>319</v>
      </c>
    </row>
    <row r="352" spans="5:13" x14ac:dyDescent="0.25">
      <c r="E352" s="32">
        <v>243</v>
      </c>
      <c r="F352" s="43">
        <v>45269</v>
      </c>
      <c r="G352" s="44">
        <v>2023</v>
      </c>
      <c r="H352" s="52" t="s">
        <v>12</v>
      </c>
      <c r="I352" s="46" t="s">
        <v>20</v>
      </c>
      <c r="J352" s="46">
        <v>28</v>
      </c>
      <c r="K352" s="46" t="s">
        <v>21</v>
      </c>
      <c r="L352" s="46">
        <v>2</v>
      </c>
      <c r="M352" s="47">
        <v>50</v>
      </c>
    </row>
    <row r="353" spans="5:13" x14ac:dyDescent="0.25">
      <c r="E353" s="33">
        <v>891</v>
      </c>
      <c r="F353" s="48">
        <v>45037</v>
      </c>
      <c r="G353" s="49">
        <v>2023</v>
      </c>
      <c r="H353" s="45" t="s">
        <v>4</v>
      </c>
      <c r="I353" s="50" t="s">
        <v>20</v>
      </c>
      <c r="J353" s="50">
        <v>49</v>
      </c>
      <c r="K353" s="50" t="s">
        <v>24</v>
      </c>
      <c r="L353" s="50">
        <v>1</v>
      </c>
      <c r="M353" s="51">
        <v>50</v>
      </c>
    </row>
    <row r="354" spans="5:13" x14ac:dyDescent="0.25">
      <c r="E354" s="32">
        <v>1230</v>
      </c>
      <c r="F354" s="43">
        <v>45655</v>
      </c>
      <c r="G354" s="44">
        <v>2024</v>
      </c>
      <c r="H354" s="52" t="s">
        <v>12</v>
      </c>
      <c r="I354" s="46" t="s">
        <v>22</v>
      </c>
      <c r="J354" s="46">
        <v>58</v>
      </c>
      <c r="K354" s="46" t="s">
        <v>21</v>
      </c>
      <c r="L354" s="46">
        <v>6</v>
      </c>
      <c r="M354" s="47">
        <v>133</v>
      </c>
    </row>
    <row r="355" spans="5:13" x14ac:dyDescent="0.25">
      <c r="E355" s="33">
        <v>1239</v>
      </c>
      <c r="F355" s="48">
        <v>45414</v>
      </c>
      <c r="G355" s="49">
        <v>2024</v>
      </c>
      <c r="H355" s="45" t="s">
        <v>5</v>
      </c>
      <c r="I355" s="50" t="s">
        <v>20</v>
      </c>
      <c r="J355" s="50">
        <v>40</v>
      </c>
      <c r="K355" s="50" t="s">
        <v>23</v>
      </c>
      <c r="L355" s="50">
        <v>6</v>
      </c>
      <c r="M355" s="51">
        <v>359</v>
      </c>
    </row>
    <row r="356" spans="5:13" x14ac:dyDescent="0.25">
      <c r="E356" s="32">
        <v>1194</v>
      </c>
      <c r="F356" s="43">
        <v>45565</v>
      </c>
      <c r="G356" s="44">
        <v>2024</v>
      </c>
      <c r="H356" s="52" t="s">
        <v>9</v>
      </c>
      <c r="I356" s="46" t="s">
        <v>22</v>
      </c>
      <c r="J356" s="46">
        <v>56</v>
      </c>
      <c r="K356" s="46" t="s">
        <v>23</v>
      </c>
      <c r="L356" s="46">
        <v>2</v>
      </c>
      <c r="M356" s="47">
        <v>11</v>
      </c>
    </row>
    <row r="357" spans="5:13" x14ac:dyDescent="0.25">
      <c r="E357" s="33">
        <v>622</v>
      </c>
      <c r="F357" s="48">
        <v>44995</v>
      </c>
      <c r="G357" s="49">
        <v>2023</v>
      </c>
      <c r="H357" s="45" t="s">
        <v>3</v>
      </c>
      <c r="I357" s="50" t="s">
        <v>20</v>
      </c>
      <c r="J357" s="50">
        <v>34</v>
      </c>
      <c r="K357" s="50" t="s">
        <v>23</v>
      </c>
      <c r="L357" s="50">
        <v>3</v>
      </c>
      <c r="M357" s="51">
        <v>50</v>
      </c>
    </row>
    <row r="358" spans="5:13" x14ac:dyDescent="0.25">
      <c r="E358" s="32">
        <v>1360</v>
      </c>
      <c r="F358" s="43">
        <v>45446</v>
      </c>
      <c r="G358" s="44">
        <v>2024</v>
      </c>
      <c r="H358" s="52" t="s">
        <v>6</v>
      </c>
      <c r="I358" s="46" t="s">
        <v>20</v>
      </c>
      <c r="J358" s="46">
        <v>42</v>
      </c>
      <c r="K358" s="46" t="s">
        <v>21</v>
      </c>
      <c r="L358" s="46">
        <v>1</v>
      </c>
      <c r="M358" s="47">
        <v>435</v>
      </c>
    </row>
    <row r="359" spans="5:13" x14ac:dyDescent="0.25">
      <c r="E359" s="33">
        <v>758</v>
      </c>
      <c r="F359" s="48">
        <v>45012</v>
      </c>
      <c r="G359" s="49">
        <v>2023</v>
      </c>
      <c r="H359" s="45" t="s">
        <v>3</v>
      </c>
      <c r="I359" s="50" t="s">
        <v>20</v>
      </c>
      <c r="J359" s="50">
        <v>27</v>
      </c>
      <c r="K359" s="50" t="s">
        <v>21</v>
      </c>
      <c r="L359" s="50">
        <v>1</v>
      </c>
      <c r="M359" s="51">
        <v>500</v>
      </c>
    </row>
    <row r="360" spans="5:13" x14ac:dyDescent="0.25">
      <c r="E360" s="32">
        <v>675</v>
      </c>
      <c r="F360" s="43">
        <v>45226</v>
      </c>
      <c r="G360" s="44">
        <v>2023</v>
      </c>
      <c r="H360" s="52" t="s">
        <v>10</v>
      </c>
      <c r="I360" s="46" t="s">
        <v>22</v>
      </c>
      <c r="J360" s="46">
        <v>19</v>
      </c>
      <c r="K360" s="46" t="s">
        <v>21</v>
      </c>
      <c r="L360" s="46">
        <v>3</v>
      </c>
      <c r="M360" s="47">
        <v>500</v>
      </c>
    </row>
    <row r="361" spans="5:13" x14ac:dyDescent="0.25">
      <c r="E361" s="33">
        <v>564</v>
      </c>
      <c r="F361" s="48">
        <v>45237</v>
      </c>
      <c r="G361" s="49">
        <v>2023</v>
      </c>
      <c r="H361" s="45" t="s">
        <v>11</v>
      </c>
      <c r="I361" s="50" t="s">
        <v>22</v>
      </c>
      <c r="J361" s="50">
        <v>45</v>
      </c>
      <c r="K361" s="50" t="s">
        <v>21</v>
      </c>
      <c r="L361" s="50">
        <v>2</v>
      </c>
      <c r="M361" s="51">
        <v>30</v>
      </c>
    </row>
    <row r="362" spans="5:13" x14ac:dyDescent="0.25">
      <c r="E362" s="32">
        <v>515</v>
      </c>
      <c r="F362" s="43">
        <v>45222</v>
      </c>
      <c r="G362" s="44">
        <v>2023</v>
      </c>
      <c r="H362" s="52" t="s">
        <v>10</v>
      </c>
      <c r="I362" s="46" t="s">
        <v>20</v>
      </c>
      <c r="J362" s="46">
        <v>30</v>
      </c>
      <c r="K362" s="46" t="s">
        <v>21</v>
      </c>
      <c r="L362" s="46">
        <v>4</v>
      </c>
      <c r="M362" s="47">
        <v>25</v>
      </c>
    </row>
    <row r="363" spans="5:13" x14ac:dyDescent="0.25">
      <c r="E363" s="33">
        <v>1334</v>
      </c>
      <c r="F363" s="48">
        <v>45413</v>
      </c>
      <c r="G363" s="49">
        <v>2024</v>
      </c>
      <c r="H363" s="45" t="s">
        <v>5</v>
      </c>
      <c r="I363" s="50" t="s">
        <v>20</v>
      </c>
      <c r="J363" s="50">
        <v>28</v>
      </c>
      <c r="K363" s="50" t="s">
        <v>23</v>
      </c>
      <c r="L363" s="50">
        <v>1</v>
      </c>
      <c r="M363" s="51">
        <v>364</v>
      </c>
    </row>
    <row r="364" spans="5:13" x14ac:dyDescent="0.25">
      <c r="E364" s="32">
        <v>1123</v>
      </c>
      <c r="F364" s="43">
        <v>45512</v>
      </c>
      <c r="G364" s="44">
        <v>2024</v>
      </c>
      <c r="H364" s="52" t="s">
        <v>8</v>
      </c>
      <c r="I364" s="46" t="s">
        <v>20</v>
      </c>
      <c r="J364" s="46">
        <v>49</v>
      </c>
      <c r="K364" s="46" t="s">
        <v>23</v>
      </c>
      <c r="L364" s="46">
        <v>3</v>
      </c>
      <c r="M364" s="47">
        <v>71</v>
      </c>
    </row>
    <row r="365" spans="5:13" x14ac:dyDescent="0.25">
      <c r="E365" s="33">
        <v>1812</v>
      </c>
      <c r="F365" s="48">
        <v>45516</v>
      </c>
      <c r="G365" s="49">
        <v>2024</v>
      </c>
      <c r="H365" s="45" t="s">
        <v>8</v>
      </c>
      <c r="I365" s="50" t="s">
        <v>20</v>
      </c>
      <c r="J365" s="50">
        <v>22</v>
      </c>
      <c r="K365" s="50" t="s">
        <v>21</v>
      </c>
      <c r="L365" s="50">
        <v>4</v>
      </c>
      <c r="M365" s="51">
        <v>292</v>
      </c>
    </row>
    <row r="366" spans="5:13" x14ac:dyDescent="0.25">
      <c r="E366" s="32">
        <v>1632</v>
      </c>
      <c r="F366" s="43">
        <v>45521</v>
      </c>
      <c r="G366" s="44">
        <v>2024</v>
      </c>
      <c r="H366" s="52" t="s">
        <v>8</v>
      </c>
      <c r="I366" s="46" t="s">
        <v>22</v>
      </c>
      <c r="J366" s="46">
        <v>27</v>
      </c>
      <c r="K366" s="46" t="s">
        <v>24</v>
      </c>
      <c r="L366" s="46">
        <v>1</v>
      </c>
      <c r="M366" s="47">
        <v>168</v>
      </c>
    </row>
    <row r="367" spans="5:13" x14ac:dyDescent="0.25">
      <c r="E367" s="33">
        <v>1637</v>
      </c>
      <c r="F367" s="48">
        <v>45419</v>
      </c>
      <c r="G367" s="49">
        <v>2024</v>
      </c>
      <c r="H367" s="45" t="s">
        <v>5</v>
      </c>
      <c r="I367" s="50" t="s">
        <v>22</v>
      </c>
      <c r="J367" s="50">
        <v>31</v>
      </c>
      <c r="K367" s="50" t="s">
        <v>24</v>
      </c>
      <c r="L367" s="50">
        <v>1</v>
      </c>
      <c r="M367" s="51">
        <v>198</v>
      </c>
    </row>
    <row r="368" spans="5:13" x14ac:dyDescent="0.25">
      <c r="E368" s="32">
        <v>1434</v>
      </c>
      <c r="F368" s="43">
        <v>45572</v>
      </c>
      <c r="G368" s="44">
        <v>2024</v>
      </c>
      <c r="H368" s="52" t="s">
        <v>10</v>
      </c>
      <c r="I368" s="46" t="s">
        <v>22</v>
      </c>
      <c r="J368" s="46">
        <v>42</v>
      </c>
      <c r="K368" s="46" t="s">
        <v>24</v>
      </c>
      <c r="L368" s="46">
        <v>6</v>
      </c>
      <c r="M368" s="47">
        <v>244</v>
      </c>
    </row>
    <row r="369" spans="5:13" x14ac:dyDescent="0.25">
      <c r="E369" s="33">
        <v>414</v>
      </c>
      <c r="F369" s="48">
        <v>44953</v>
      </c>
      <c r="G369" s="49">
        <v>2023</v>
      </c>
      <c r="H369" s="45" t="s">
        <v>1</v>
      </c>
      <c r="I369" s="50" t="s">
        <v>20</v>
      </c>
      <c r="J369" s="50">
        <v>53</v>
      </c>
      <c r="K369" s="50" t="s">
        <v>23</v>
      </c>
      <c r="L369" s="50">
        <v>2</v>
      </c>
      <c r="M369" s="51">
        <v>30</v>
      </c>
    </row>
    <row r="370" spans="5:13" x14ac:dyDescent="0.25">
      <c r="E370" s="32">
        <v>931</v>
      </c>
      <c r="F370" s="43">
        <v>44960</v>
      </c>
      <c r="G370" s="44">
        <v>2023</v>
      </c>
      <c r="H370" s="52" t="s">
        <v>2</v>
      </c>
      <c r="I370" s="46" t="s">
        <v>20</v>
      </c>
      <c r="J370" s="46">
        <v>22</v>
      </c>
      <c r="K370" s="46" t="s">
        <v>21</v>
      </c>
      <c r="L370" s="46">
        <v>1</v>
      </c>
      <c r="M370" s="47">
        <v>30</v>
      </c>
    </row>
    <row r="371" spans="5:13" x14ac:dyDescent="0.25">
      <c r="E371" s="33">
        <v>1023</v>
      </c>
      <c r="F371" s="48">
        <v>45652</v>
      </c>
      <c r="G371" s="49">
        <v>2024</v>
      </c>
      <c r="H371" s="45" t="s">
        <v>12</v>
      </c>
      <c r="I371" s="50" t="s">
        <v>22</v>
      </c>
      <c r="J371" s="50">
        <v>42</v>
      </c>
      <c r="K371" s="50" t="s">
        <v>21</v>
      </c>
      <c r="L371" s="50">
        <v>4</v>
      </c>
      <c r="M371" s="51">
        <v>73</v>
      </c>
    </row>
    <row r="372" spans="5:13" x14ac:dyDescent="0.25">
      <c r="E372" s="32">
        <v>496</v>
      </c>
      <c r="F372" s="43">
        <v>45201</v>
      </c>
      <c r="G372" s="44">
        <v>2023</v>
      </c>
      <c r="H372" s="52" t="s">
        <v>10</v>
      </c>
      <c r="I372" s="46" t="s">
        <v>20</v>
      </c>
      <c r="J372" s="46">
        <v>41</v>
      </c>
      <c r="K372" s="46" t="s">
        <v>23</v>
      </c>
      <c r="L372" s="46">
        <v>4</v>
      </c>
      <c r="M372" s="47">
        <v>30</v>
      </c>
    </row>
    <row r="373" spans="5:13" x14ac:dyDescent="0.25">
      <c r="E373" s="33">
        <v>57</v>
      </c>
      <c r="F373" s="48">
        <v>45248</v>
      </c>
      <c r="G373" s="49">
        <v>2023</v>
      </c>
      <c r="H373" s="45" t="s">
        <v>11</v>
      </c>
      <c r="I373" s="50" t="s">
        <v>22</v>
      </c>
      <c r="J373" s="50">
        <v>63</v>
      </c>
      <c r="K373" s="50" t="s">
        <v>21</v>
      </c>
      <c r="L373" s="50">
        <v>1</v>
      </c>
      <c r="M373" s="51">
        <v>30</v>
      </c>
    </row>
    <row r="374" spans="5:13" x14ac:dyDescent="0.25">
      <c r="E374" s="32">
        <v>642</v>
      </c>
      <c r="F374" s="43">
        <v>45193</v>
      </c>
      <c r="G374" s="44">
        <v>2023</v>
      </c>
      <c r="H374" s="52" t="s">
        <v>9</v>
      </c>
      <c r="I374" s="46" t="s">
        <v>22</v>
      </c>
      <c r="J374" s="46">
        <v>28</v>
      </c>
      <c r="K374" s="46" t="s">
        <v>24</v>
      </c>
      <c r="L374" s="46">
        <v>3</v>
      </c>
      <c r="M374" s="47">
        <v>30</v>
      </c>
    </row>
    <row r="375" spans="5:13" x14ac:dyDescent="0.25">
      <c r="E375" s="33">
        <v>1826</v>
      </c>
      <c r="F375" s="48">
        <v>45465</v>
      </c>
      <c r="G375" s="49">
        <v>2024</v>
      </c>
      <c r="H375" s="45" t="s">
        <v>6</v>
      </c>
      <c r="I375" s="50" t="s">
        <v>22</v>
      </c>
      <c r="J375" s="50">
        <v>44</v>
      </c>
      <c r="K375" s="50" t="s">
        <v>23</v>
      </c>
      <c r="L375" s="50">
        <v>1</v>
      </c>
      <c r="M375" s="51">
        <v>408</v>
      </c>
    </row>
    <row r="376" spans="5:13" x14ac:dyDescent="0.25">
      <c r="E376" s="32">
        <v>1842</v>
      </c>
      <c r="F376" s="43">
        <v>45557</v>
      </c>
      <c r="G376" s="44">
        <v>2024</v>
      </c>
      <c r="H376" s="52" t="s">
        <v>9</v>
      </c>
      <c r="I376" s="46" t="s">
        <v>20</v>
      </c>
      <c r="J376" s="46">
        <v>61</v>
      </c>
      <c r="K376" s="46" t="s">
        <v>21</v>
      </c>
      <c r="L376" s="46">
        <v>2</v>
      </c>
      <c r="M376" s="47">
        <v>369</v>
      </c>
    </row>
    <row r="377" spans="5:13" x14ac:dyDescent="0.25">
      <c r="E377" s="33">
        <v>1404</v>
      </c>
      <c r="F377" s="48">
        <v>45468</v>
      </c>
      <c r="G377" s="49">
        <v>2024</v>
      </c>
      <c r="H377" s="45" t="s">
        <v>6</v>
      </c>
      <c r="I377" s="50" t="s">
        <v>22</v>
      </c>
      <c r="J377" s="50">
        <v>63</v>
      </c>
      <c r="K377" s="50" t="s">
        <v>24</v>
      </c>
      <c r="L377" s="50">
        <v>7</v>
      </c>
      <c r="M377" s="51">
        <v>190</v>
      </c>
    </row>
    <row r="378" spans="5:13" x14ac:dyDescent="0.25">
      <c r="E378" s="32">
        <v>1452</v>
      </c>
      <c r="F378" s="43">
        <v>45474</v>
      </c>
      <c r="G378" s="44">
        <v>2024</v>
      </c>
      <c r="H378" s="52" t="s">
        <v>7</v>
      </c>
      <c r="I378" s="46" t="s">
        <v>20</v>
      </c>
      <c r="J378" s="46">
        <v>26</v>
      </c>
      <c r="K378" s="46" t="s">
        <v>24</v>
      </c>
      <c r="L378" s="46">
        <v>3</v>
      </c>
      <c r="M378" s="47">
        <v>339</v>
      </c>
    </row>
    <row r="379" spans="5:13" x14ac:dyDescent="0.25">
      <c r="E379" s="33">
        <v>1836</v>
      </c>
      <c r="F379" s="48">
        <v>45436</v>
      </c>
      <c r="G379" s="49">
        <v>2024</v>
      </c>
      <c r="H379" s="45" t="s">
        <v>5</v>
      </c>
      <c r="I379" s="50" t="s">
        <v>20</v>
      </c>
      <c r="J379" s="50">
        <v>58</v>
      </c>
      <c r="K379" s="50" t="s">
        <v>23</v>
      </c>
      <c r="L379" s="50">
        <v>6</v>
      </c>
      <c r="M379" s="51">
        <v>457</v>
      </c>
    </row>
    <row r="380" spans="5:13" x14ac:dyDescent="0.25">
      <c r="E380" s="32">
        <v>656</v>
      </c>
      <c r="F380" s="43">
        <v>44997</v>
      </c>
      <c r="G380" s="44">
        <v>2023</v>
      </c>
      <c r="H380" s="52" t="s">
        <v>3</v>
      </c>
      <c r="I380" s="46" t="s">
        <v>20</v>
      </c>
      <c r="J380" s="46">
        <v>59</v>
      </c>
      <c r="K380" s="46" t="s">
        <v>23</v>
      </c>
      <c r="L380" s="46">
        <v>1</v>
      </c>
      <c r="M380" s="47">
        <v>25</v>
      </c>
    </row>
    <row r="381" spans="5:13" x14ac:dyDescent="0.25">
      <c r="E381" s="33">
        <v>1947</v>
      </c>
      <c r="F381" s="48">
        <v>45598</v>
      </c>
      <c r="G381" s="49">
        <v>2024</v>
      </c>
      <c r="H381" s="45" t="s">
        <v>11</v>
      </c>
      <c r="I381" s="50" t="s">
        <v>20</v>
      </c>
      <c r="J381" s="50">
        <v>44</v>
      </c>
      <c r="K381" s="50" t="s">
        <v>21</v>
      </c>
      <c r="L381" s="50">
        <v>7</v>
      </c>
      <c r="M381" s="51">
        <v>249</v>
      </c>
    </row>
    <row r="382" spans="5:13" x14ac:dyDescent="0.25">
      <c r="E382" s="32">
        <v>1024</v>
      </c>
      <c r="F382" s="43">
        <v>45572</v>
      </c>
      <c r="G382" s="44">
        <v>2024</v>
      </c>
      <c r="H382" s="52" t="s">
        <v>10</v>
      </c>
      <c r="I382" s="46" t="s">
        <v>22</v>
      </c>
      <c r="J382" s="46">
        <v>63</v>
      </c>
      <c r="K382" s="46" t="s">
        <v>24</v>
      </c>
      <c r="L382" s="46">
        <v>5</v>
      </c>
      <c r="M382" s="47">
        <v>98</v>
      </c>
    </row>
    <row r="383" spans="5:13" x14ac:dyDescent="0.25">
      <c r="E383" s="33">
        <v>1800</v>
      </c>
      <c r="F383" s="48">
        <v>45528</v>
      </c>
      <c r="G383" s="49">
        <v>2024</v>
      </c>
      <c r="H383" s="45" t="s">
        <v>8</v>
      </c>
      <c r="I383" s="50" t="s">
        <v>20</v>
      </c>
      <c r="J383" s="50">
        <v>22</v>
      </c>
      <c r="K383" s="50" t="s">
        <v>24</v>
      </c>
      <c r="L383" s="50">
        <v>7</v>
      </c>
      <c r="M383" s="51">
        <v>242</v>
      </c>
    </row>
    <row r="384" spans="5:13" x14ac:dyDescent="0.25">
      <c r="E384" s="32">
        <v>82</v>
      </c>
      <c r="F384" s="43">
        <v>45286</v>
      </c>
      <c r="G384" s="44">
        <v>2023</v>
      </c>
      <c r="H384" s="52" t="s">
        <v>12</v>
      </c>
      <c r="I384" s="46" t="s">
        <v>22</v>
      </c>
      <c r="J384" s="46">
        <v>32</v>
      </c>
      <c r="K384" s="46" t="s">
        <v>21</v>
      </c>
      <c r="L384" s="46">
        <v>4</v>
      </c>
      <c r="M384" s="47">
        <v>50</v>
      </c>
    </row>
    <row r="385" spans="5:13" x14ac:dyDescent="0.25">
      <c r="E385" s="33">
        <v>1288</v>
      </c>
      <c r="F385" s="48">
        <v>45299</v>
      </c>
      <c r="G385" s="49">
        <v>2024</v>
      </c>
      <c r="H385" s="45" t="s">
        <v>1</v>
      </c>
      <c r="I385" s="50" t="s">
        <v>20</v>
      </c>
      <c r="J385" s="50">
        <v>55</v>
      </c>
      <c r="K385" s="50" t="s">
        <v>23</v>
      </c>
      <c r="L385" s="50">
        <v>4</v>
      </c>
      <c r="M385" s="51">
        <v>446</v>
      </c>
    </row>
    <row r="386" spans="5:13" x14ac:dyDescent="0.25">
      <c r="E386" s="32">
        <v>763</v>
      </c>
      <c r="F386" s="43">
        <v>45086</v>
      </c>
      <c r="G386" s="44">
        <v>2023</v>
      </c>
      <c r="H386" s="52" t="s">
        <v>6</v>
      </c>
      <c r="I386" s="46" t="s">
        <v>20</v>
      </c>
      <c r="J386" s="46">
        <v>43</v>
      </c>
      <c r="K386" s="46" t="s">
        <v>23</v>
      </c>
      <c r="L386" s="46">
        <v>4</v>
      </c>
      <c r="M386" s="47">
        <v>50</v>
      </c>
    </row>
    <row r="387" spans="5:13" x14ac:dyDescent="0.25">
      <c r="E387" s="33">
        <v>46</v>
      </c>
      <c r="F387" s="48">
        <v>45103</v>
      </c>
      <c r="G387" s="49">
        <v>2023</v>
      </c>
      <c r="H387" s="45" t="s">
        <v>6</v>
      </c>
      <c r="I387" s="50" t="s">
        <v>22</v>
      </c>
      <c r="J387" s="50">
        <v>20</v>
      </c>
      <c r="K387" s="50" t="s">
        <v>24</v>
      </c>
      <c r="L387" s="50">
        <v>4</v>
      </c>
      <c r="M387" s="51">
        <v>300</v>
      </c>
    </row>
    <row r="388" spans="5:13" x14ac:dyDescent="0.25">
      <c r="E388" s="32">
        <v>957</v>
      </c>
      <c r="F388" s="43">
        <v>45228</v>
      </c>
      <c r="G388" s="44">
        <v>2023</v>
      </c>
      <c r="H388" s="52" t="s">
        <v>10</v>
      </c>
      <c r="I388" s="46" t="s">
        <v>22</v>
      </c>
      <c r="J388" s="46">
        <v>42</v>
      </c>
      <c r="K388" s="46" t="s">
        <v>24</v>
      </c>
      <c r="L388" s="46">
        <v>2</v>
      </c>
      <c r="M388" s="47">
        <v>30</v>
      </c>
    </row>
    <row r="389" spans="5:13" x14ac:dyDescent="0.25">
      <c r="E389" s="33">
        <v>1969</v>
      </c>
      <c r="F389" s="48">
        <v>45373</v>
      </c>
      <c r="G389" s="49">
        <v>2024</v>
      </c>
      <c r="H389" s="45" t="s">
        <v>3</v>
      </c>
      <c r="I389" s="50" t="s">
        <v>20</v>
      </c>
      <c r="J389" s="50">
        <v>58</v>
      </c>
      <c r="K389" s="50" t="s">
        <v>23</v>
      </c>
      <c r="L389" s="50">
        <v>7</v>
      </c>
      <c r="M389" s="51">
        <v>281</v>
      </c>
    </row>
    <row r="390" spans="5:13" x14ac:dyDescent="0.25">
      <c r="E390" s="32">
        <v>464</v>
      </c>
      <c r="F390" s="43">
        <v>45018</v>
      </c>
      <c r="G390" s="44">
        <v>2023</v>
      </c>
      <c r="H390" s="52" t="s">
        <v>4</v>
      </c>
      <c r="I390" s="46" t="s">
        <v>22</v>
      </c>
      <c r="J390" s="46">
        <v>43</v>
      </c>
      <c r="K390" s="46" t="s">
        <v>24</v>
      </c>
      <c r="L390" s="46">
        <v>3</v>
      </c>
      <c r="M390" s="47">
        <v>50</v>
      </c>
    </row>
    <row r="391" spans="5:13" x14ac:dyDescent="0.25">
      <c r="E391" s="33">
        <v>1046</v>
      </c>
      <c r="F391" s="48">
        <v>45428</v>
      </c>
      <c r="G391" s="49">
        <v>2024</v>
      </c>
      <c r="H391" s="45" t="s">
        <v>5</v>
      </c>
      <c r="I391" s="50" t="s">
        <v>20</v>
      </c>
      <c r="J391" s="50">
        <v>21</v>
      </c>
      <c r="K391" s="50" t="s">
        <v>24</v>
      </c>
      <c r="L391" s="50">
        <v>2</v>
      </c>
      <c r="M391" s="51">
        <v>110</v>
      </c>
    </row>
    <row r="392" spans="5:13" x14ac:dyDescent="0.25">
      <c r="E392" s="32">
        <v>1987</v>
      </c>
      <c r="F392" s="43">
        <v>45652</v>
      </c>
      <c r="G392" s="44">
        <v>2024</v>
      </c>
      <c r="H392" s="52" t="s">
        <v>12</v>
      </c>
      <c r="I392" s="46" t="s">
        <v>22</v>
      </c>
      <c r="J392" s="46">
        <v>59</v>
      </c>
      <c r="K392" s="46" t="s">
        <v>23</v>
      </c>
      <c r="L392" s="46">
        <v>7</v>
      </c>
      <c r="M392" s="47">
        <v>418</v>
      </c>
    </row>
    <row r="393" spans="5:13" x14ac:dyDescent="0.25">
      <c r="E393" s="33">
        <v>876</v>
      </c>
      <c r="F393" s="48">
        <v>45107</v>
      </c>
      <c r="G393" s="49">
        <v>2023</v>
      </c>
      <c r="H393" s="45" t="s">
        <v>6</v>
      </c>
      <c r="I393" s="50" t="s">
        <v>22</v>
      </c>
      <c r="J393" s="50">
        <v>20</v>
      </c>
      <c r="K393" s="50" t="s">
        <v>23</v>
      </c>
      <c r="L393" s="50">
        <v>1</v>
      </c>
      <c r="M393" s="51">
        <v>30</v>
      </c>
    </row>
    <row r="394" spans="5:13" x14ac:dyDescent="0.25">
      <c r="E394" s="32">
        <v>1171</v>
      </c>
      <c r="F394" s="43">
        <v>45604</v>
      </c>
      <c r="G394" s="44">
        <v>2024</v>
      </c>
      <c r="H394" s="52" t="s">
        <v>11</v>
      </c>
      <c r="I394" s="46" t="s">
        <v>20</v>
      </c>
      <c r="J394" s="46">
        <v>18</v>
      </c>
      <c r="K394" s="46" t="s">
        <v>24</v>
      </c>
      <c r="L394" s="46">
        <v>4</v>
      </c>
      <c r="M394" s="47">
        <v>339</v>
      </c>
    </row>
    <row r="395" spans="5:13" x14ac:dyDescent="0.25">
      <c r="E395" s="33">
        <v>1874</v>
      </c>
      <c r="F395" s="48">
        <v>45473</v>
      </c>
      <c r="G395" s="49">
        <v>2024</v>
      </c>
      <c r="H395" s="45" t="s">
        <v>6</v>
      </c>
      <c r="I395" s="50" t="s">
        <v>22</v>
      </c>
      <c r="J395" s="50">
        <v>62</v>
      </c>
      <c r="K395" s="50" t="s">
        <v>23</v>
      </c>
      <c r="L395" s="50">
        <v>3</v>
      </c>
      <c r="M395" s="51">
        <v>339</v>
      </c>
    </row>
    <row r="396" spans="5:13" x14ac:dyDescent="0.25">
      <c r="E396" s="32">
        <v>997</v>
      </c>
      <c r="F396" s="43">
        <v>45265</v>
      </c>
      <c r="G396" s="44">
        <v>2023</v>
      </c>
      <c r="H396" s="52" t="s">
        <v>12</v>
      </c>
      <c r="I396" s="46" t="s">
        <v>22</v>
      </c>
      <c r="J396" s="46">
        <v>36</v>
      </c>
      <c r="K396" s="46" t="s">
        <v>24</v>
      </c>
      <c r="L396" s="46">
        <v>3</v>
      </c>
      <c r="M396" s="47">
        <v>50</v>
      </c>
    </row>
    <row r="397" spans="5:13" x14ac:dyDescent="0.25">
      <c r="E397" s="33">
        <v>1705</v>
      </c>
      <c r="F397" s="48">
        <v>45494</v>
      </c>
      <c r="G397" s="49">
        <v>2024</v>
      </c>
      <c r="H397" s="45" t="s">
        <v>7</v>
      </c>
      <c r="I397" s="50" t="s">
        <v>22</v>
      </c>
      <c r="J397" s="50">
        <v>41</v>
      </c>
      <c r="K397" s="50" t="s">
        <v>24</v>
      </c>
      <c r="L397" s="50">
        <v>4</v>
      </c>
      <c r="M397" s="51">
        <v>78</v>
      </c>
    </row>
    <row r="398" spans="5:13" x14ac:dyDescent="0.25">
      <c r="E398" s="32">
        <v>1286</v>
      </c>
      <c r="F398" s="43">
        <v>45626</v>
      </c>
      <c r="G398" s="44">
        <v>2024</v>
      </c>
      <c r="H398" s="52" t="s">
        <v>11</v>
      </c>
      <c r="I398" s="46" t="s">
        <v>20</v>
      </c>
      <c r="J398" s="46">
        <v>51</v>
      </c>
      <c r="K398" s="46" t="s">
        <v>24</v>
      </c>
      <c r="L398" s="46">
        <v>1</v>
      </c>
      <c r="M398" s="47">
        <v>432</v>
      </c>
    </row>
    <row r="399" spans="5:13" x14ac:dyDescent="0.25">
      <c r="E399" s="33">
        <v>550</v>
      </c>
      <c r="F399" s="48">
        <v>45121</v>
      </c>
      <c r="G399" s="49">
        <v>2023</v>
      </c>
      <c r="H399" s="45" t="s">
        <v>7</v>
      </c>
      <c r="I399" s="50" t="s">
        <v>20</v>
      </c>
      <c r="J399" s="50">
        <v>45</v>
      </c>
      <c r="K399" s="50" t="s">
        <v>24</v>
      </c>
      <c r="L399" s="50">
        <v>3</v>
      </c>
      <c r="M399" s="51">
        <v>300</v>
      </c>
    </row>
    <row r="400" spans="5:13" x14ac:dyDescent="0.25">
      <c r="E400" s="32">
        <v>1766</v>
      </c>
      <c r="F400" s="43">
        <v>45587</v>
      </c>
      <c r="G400" s="44">
        <v>2024</v>
      </c>
      <c r="H400" s="52" t="s">
        <v>10</v>
      </c>
      <c r="I400" s="46" t="s">
        <v>20</v>
      </c>
      <c r="J400" s="46">
        <v>65</v>
      </c>
      <c r="K400" s="46" t="s">
        <v>23</v>
      </c>
      <c r="L400" s="46">
        <v>1</v>
      </c>
      <c r="M400" s="47">
        <v>469</v>
      </c>
    </row>
    <row r="401" spans="5:13" x14ac:dyDescent="0.25">
      <c r="E401" s="33">
        <v>1304</v>
      </c>
      <c r="F401" s="48">
        <v>45439</v>
      </c>
      <c r="G401" s="49">
        <v>2024</v>
      </c>
      <c r="H401" s="45" t="s">
        <v>5</v>
      </c>
      <c r="I401" s="50" t="s">
        <v>22</v>
      </c>
      <c r="J401" s="50">
        <v>42</v>
      </c>
      <c r="K401" s="50" t="s">
        <v>24</v>
      </c>
      <c r="L401" s="50">
        <v>2</v>
      </c>
      <c r="M401" s="51">
        <v>407</v>
      </c>
    </row>
    <row r="402" spans="5:13" x14ac:dyDescent="0.25">
      <c r="E402" s="32">
        <v>1934</v>
      </c>
      <c r="F402" s="43">
        <v>45615</v>
      </c>
      <c r="G402" s="44">
        <v>2024</v>
      </c>
      <c r="H402" s="52" t="s">
        <v>11</v>
      </c>
      <c r="I402" s="46" t="s">
        <v>20</v>
      </c>
      <c r="J402" s="46">
        <v>42</v>
      </c>
      <c r="K402" s="46" t="s">
        <v>23</v>
      </c>
      <c r="L402" s="46">
        <v>6</v>
      </c>
      <c r="M402" s="47">
        <v>310</v>
      </c>
    </row>
    <row r="403" spans="5:13" x14ac:dyDescent="0.25">
      <c r="E403" s="33">
        <v>1823</v>
      </c>
      <c r="F403" s="48">
        <v>45605</v>
      </c>
      <c r="G403" s="49">
        <v>2024</v>
      </c>
      <c r="H403" s="45" t="s">
        <v>11</v>
      </c>
      <c r="I403" s="50" t="s">
        <v>20</v>
      </c>
      <c r="J403" s="50">
        <v>18</v>
      </c>
      <c r="K403" s="50" t="s">
        <v>21</v>
      </c>
      <c r="L403" s="50">
        <v>7</v>
      </c>
      <c r="M403" s="51">
        <v>271</v>
      </c>
    </row>
    <row r="404" spans="5:13" x14ac:dyDescent="0.25">
      <c r="E404" s="32">
        <v>1035</v>
      </c>
      <c r="F404" s="43">
        <v>45435</v>
      </c>
      <c r="G404" s="44">
        <v>2024</v>
      </c>
      <c r="H404" s="52" t="s">
        <v>5</v>
      </c>
      <c r="I404" s="46" t="s">
        <v>22</v>
      </c>
      <c r="J404" s="46">
        <v>55</v>
      </c>
      <c r="K404" s="46" t="s">
        <v>21</v>
      </c>
      <c r="L404" s="46">
        <v>7</v>
      </c>
      <c r="M404" s="47">
        <v>477</v>
      </c>
    </row>
    <row r="405" spans="5:13" x14ac:dyDescent="0.25">
      <c r="E405" s="33">
        <v>1034</v>
      </c>
      <c r="F405" s="48">
        <v>45467</v>
      </c>
      <c r="G405" s="49">
        <v>2024</v>
      </c>
      <c r="H405" s="45" t="s">
        <v>6</v>
      </c>
      <c r="I405" s="50" t="s">
        <v>20</v>
      </c>
      <c r="J405" s="50">
        <v>58</v>
      </c>
      <c r="K405" s="50" t="s">
        <v>21</v>
      </c>
      <c r="L405" s="50">
        <v>4</v>
      </c>
      <c r="M405" s="51">
        <v>395</v>
      </c>
    </row>
    <row r="406" spans="5:13" x14ac:dyDescent="0.25">
      <c r="E406" s="32">
        <v>425</v>
      </c>
      <c r="F406" s="43">
        <v>45009</v>
      </c>
      <c r="G406" s="44">
        <v>2023</v>
      </c>
      <c r="H406" s="52" t="s">
        <v>3</v>
      </c>
      <c r="I406" s="46" t="s">
        <v>20</v>
      </c>
      <c r="J406" s="46">
        <v>23</v>
      </c>
      <c r="K406" s="46" t="s">
        <v>24</v>
      </c>
      <c r="L406" s="46">
        <v>3</v>
      </c>
      <c r="M406" s="47">
        <v>50</v>
      </c>
    </row>
    <row r="407" spans="5:13" x14ac:dyDescent="0.25">
      <c r="E407" s="33">
        <v>1134</v>
      </c>
      <c r="F407" s="48">
        <v>45371</v>
      </c>
      <c r="G407" s="49">
        <v>2024</v>
      </c>
      <c r="H407" s="45" t="s">
        <v>3</v>
      </c>
      <c r="I407" s="50" t="s">
        <v>20</v>
      </c>
      <c r="J407" s="50">
        <v>37</v>
      </c>
      <c r="K407" s="50" t="s">
        <v>24</v>
      </c>
      <c r="L407" s="50">
        <v>1</v>
      </c>
      <c r="M407" s="51">
        <v>197</v>
      </c>
    </row>
    <row r="408" spans="5:13" x14ac:dyDescent="0.25">
      <c r="E408" s="32">
        <v>613</v>
      </c>
      <c r="F408" s="43">
        <v>45017</v>
      </c>
      <c r="G408" s="44">
        <v>2023</v>
      </c>
      <c r="H408" s="52" t="s">
        <v>4</v>
      </c>
      <c r="I408" s="46" t="s">
        <v>22</v>
      </c>
      <c r="J408" s="46">
        <v>39</v>
      </c>
      <c r="K408" s="46" t="s">
        <v>21</v>
      </c>
      <c r="L408" s="46">
        <v>4</v>
      </c>
      <c r="M408" s="47">
        <v>300</v>
      </c>
    </row>
    <row r="409" spans="5:13" x14ac:dyDescent="0.25">
      <c r="E409" s="33">
        <v>1521</v>
      </c>
      <c r="F409" s="48">
        <v>45568</v>
      </c>
      <c r="G409" s="49">
        <v>2024</v>
      </c>
      <c r="H409" s="45" t="s">
        <v>10</v>
      </c>
      <c r="I409" s="50" t="s">
        <v>20</v>
      </c>
      <c r="J409" s="50">
        <v>59</v>
      </c>
      <c r="K409" s="50" t="s">
        <v>21</v>
      </c>
      <c r="L409" s="50">
        <v>1</v>
      </c>
      <c r="M409" s="51">
        <v>98</v>
      </c>
    </row>
    <row r="410" spans="5:13" x14ac:dyDescent="0.25">
      <c r="E410" s="32">
        <v>1208</v>
      </c>
      <c r="F410" s="43">
        <v>45395</v>
      </c>
      <c r="G410" s="44">
        <v>2024</v>
      </c>
      <c r="H410" s="52" t="s">
        <v>4</v>
      </c>
      <c r="I410" s="46" t="s">
        <v>20</v>
      </c>
      <c r="J410" s="46">
        <v>22</v>
      </c>
      <c r="K410" s="46" t="s">
        <v>24</v>
      </c>
      <c r="L410" s="46">
        <v>1</v>
      </c>
      <c r="M410" s="47">
        <v>88</v>
      </c>
    </row>
    <row r="411" spans="5:13" x14ac:dyDescent="0.25">
      <c r="E411" s="33">
        <v>1914</v>
      </c>
      <c r="F411" s="48">
        <v>45619</v>
      </c>
      <c r="G411" s="49">
        <v>2024</v>
      </c>
      <c r="H411" s="45" t="s">
        <v>11</v>
      </c>
      <c r="I411" s="50" t="s">
        <v>22</v>
      </c>
      <c r="J411" s="50">
        <v>59</v>
      </c>
      <c r="K411" s="50" t="s">
        <v>24</v>
      </c>
      <c r="L411" s="50">
        <v>3</v>
      </c>
      <c r="M411" s="51">
        <v>81</v>
      </c>
    </row>
    <row r="412" spans="5:13" x14ac:dyDescent="0.25">
      <c r="E412" s="32">
        <v>913</v>
      </c>
      <c r="F412" s="43">
        <v>45076</v>
      </c>
      <c r="G412" s="44">
        <v>2023</v>
      </c>
      <c r="H412" s="52" t="s">
        <v>5</v>
      </c>
      <c r="I412" s="46" t="s">
        <v>22</v>
      </c>
      <c r="J412" s="46">
        <v>26</v>
      </c>
      <c r="K412" s="46" t="s">
        <v>21</v>
      </c>
      <c r="L412" s="46">
        <v>3</v>
      </c>
      <c r="M412" s="47">
        <v>30</v>
      </c>
    </row>
    <row r="413" spans="5:13" x14ac:dyDescent="0.25">
      <c r="E413" s="33">
        <v>1563</v>
      </c>
      <c r="F413" s="48">
        <v>45628</v>
      </c>
      <c r="G413" s="49">
        <v>2024</v>
      </c>
      <c r="H413" s="45" t="s">
        <v>12</v>
      </c>
      <c r="I413" s="50" t="s">
        <v>22</v>
      </c>
      <c r="J413" s="50">
        <v>30</v>
      </c>
      <c r="K413" s="50" t="s">
        <v>23</v>
      </c>
      <c r="L413" s="50">
        <v>6</v>
      </c>
      <c r="M413" s="51">
        <v>203</v>
      </c>
    </row>
    <row r="414" spans="5:13" x14ac:dyDescent="0.25">
      <c r="E414" s="32">
        <v>187</v>
      </c>
      <c r="F414" s="43">
        <v>45084</v>
      </c>
      <c r="G414" s="44">
        <v>2023</v>
      </c>
      <c r="H414" s="52" t="s">
        <v>6</v>
      </c>
      <c r="I414" s="46" t="s">
        <v>22</v>
      </c>
      <c r="J414" s="46">
        <v>64</v>
      </c>
      <c r="K414" s="46" t="s">
        <v>23</v>
      </c>
      <c r="L414" s="46">
        <v>2</v>
      </c>
      <c r="M414" s="47">
        <v>50</v>
      </c>
    </row>
    <row r="415" spans="5:13" x14ac:dyDescent="0.25">
      <c r="E415" s="33">
        <v>702</v>
      </c>
      <c r="F415" s="48">
        <v>45166</v>
      </c>
      <c r="G415" s="49">
        <v>2023</v>
      </c>
      <c r="H415" s="45" t="s">
        <v>8</v>
      </c>
      <c r="I415" s="50" t="s">
        <v>22</v>
      </c>
      <c r="J415" s="50">
        <v>62</v>
      </c>
      <c r="K415" s="50" t="s">
        <v>23</v>
      </c>
      <c r="L415" s="50">
        <v>3</v>
      </c>
      <c r="M415" s="51">
        <v>30</v>
      </c>
    </row>
    <row r="416" spans="5:13" x14ac:dyDescent="0.25">
      <c r="E416" s="32">
        <v>756</v>
      </c>
      <c r="F416" s="43">
        <v>45058</v>
      </c>
      <c r="G416" s="44">
        <v>2023</v>
      </c>
      <c r="H416" s="52" t="s">
        <v>5</v>
      </c>
      <c r="I416" s="46" t="s">
        <v>20</v>
      </c>
      <c r="J416" s="46">
        <v>64</v>
      </c>
      <c r="K416" s="46" t="s">
        <v>23</v>
      </c>
      <c r="L416" s="46">
        <v>4</v>
      </c>
      <c r="M416" s="47">
        <v>25</v>
      </c>
    </row>
    <row r="417" spans="5:13" x14ac:dyDescent="0.25">
      <c r="E417" s="33">
        <v>316</v>
      </c>
      <c r="F417" s="48">
        <v>44956</v>
      </c>
      <c r="G417" s="49">
        <v>2023</v>
      </c>
      <c r="H417" s="45" t="s">
        <v>1</v>
      </c>
      <c r="I417" s="50" t="s">
        <v>20</v>
      </c>
      <c r="J417" s="50">
        <v>22</v>
      </c>
      <c r="K417" s="50" t="s">
        <v>24</v>
      </c>
      <c r="L417" s="50">
        <v>3</v>
      </c>
      <c r="M417" s="51">
        <v>30</v>
      </c>
    </row>
    <row r="418" spans="5:13" x14ac:dyDescent="0.25">
      <c r="E418" s="32">
        <v>949</v>
      </c>
      <c r="F418" s="43">
        <v>45232</v>
      </c>
      <c r="G418" s="44">
        <v>2023</v>
      </c>
      <c r="H418" s="52" t="s">
        <v>11</v>
      </c>
      <c r="I418" s="46" t="s">
        <v>20</v>
      </c>
      <c r="J418" s="46">
        <v>33</v>
      </c>
      <c r="K418" s="46" t="s">
        <v>21</v>
      </c>
      <c r="L418" s="46">
        <v>2</v>
      </c>
      <c r="M418" s="47">
        <v>50</v>
      </c>
    </row>
    <row r="419" spans="5:13" x14ac:dyDescent="0.25">
      <c r="E419" s="33">
        <v>1155</v>
      </c>
      <c r="F419" s="48">
        <v>45467</v>
      </c>
      <c r="G419" s="49">
        <v>2024</v>
      </c>
      <c r="H419" s="45" t="s">
        <v>6</v>
      </c>
      <c r="I419" s="50" t="s">
        <v>20</v>
      </c>
      <c r="J419" s="50">
        <v>53</v>
      </c>
      <c r="K419" s="50" t="s">
        <v>24</v>
      </c>
      <c r="L419" s="50">
        <v>6</v>
      </c>
      <c r="M419" s="51">
        <v>59</v>
      </c>
    </row>
    <row r="420" spans="5:13" x14ac:dyDescent="0.25">
      <c r="E420" s="32">
        <v>362</v>
      </c>
      <c r="F420" s="43">
        <v>45080</v>
      </c>
      <c r="G420" s="44">
        <v>2023</v>
      </c>
      <c r="H420" s="52" t="s">
        <v>6</v>
      </c>
      <c r="I420" s="46" t="s">
        <v>20</v>
      </c>
      <c r="J420" s="46">
        <v>64</v>
      </c>
      <c r="K420" s="46" t="s">
        <v>21</v>
      </c>
      <c r="L420" s="46">
        <v>1</v>
      </c>
      <c r="M420" s="47">
        <v>25</v>
      </c>
    </row>
    <row r="421" spans="5:13" x14ac:dyDescent="0.25">
      <c r="E421" s="33">
        <v>1242</v>
      </c>
      <c r="F421" s="48">
        <v>45541</v>
      </c>
      <c r="G421" s="49">
        <v>2024</v>
      </c>
      <c r="H421" s="45" t="s">
        <v>9</v>
      </c>
      <c r="I421" s="50" t="s">
        <v>20</v>
      </c>
      <c r="J421" s="50">
        <v>39</v>
      </c>
      <c r="K421" s="50" t="s">
        <v>23</v>
      </c>
      <c r="L421" s="50">
        <v>1</v>
      </c>
      <c r="M421" s="51">
        <v>41</v>
      </c>
    </row>
    <row r="422" spans="5:13" x14ac:dyDescent="0.25">
      <c r="E422" s="32">
        <v>1340</v>
      </c>
      <c r="F422" s="43">
        <v>45597</v>
      </c>
      <c r="G422" s="44">
        <v>2024</v>
      </c>
      <c r="H422" s="52" t="s">
        <v>11</v>
      </c>
      <c r="I422" s="46" t="s">
        <v>20</v>
      </c>
      <c r="J422" s="46">
        <v>47</v>
      </c>
      <c r="K422" s="46" t="s">
        <v>24</v>
      </c>
      <c r="L422" s="46">
        <v>6</v>
      </c>
      <c r="M422" s="47">
        <v>16</v>
      </c>
    </row>
    <row r="423" spans="5:13" x14ac:dyDescent="0.25">
      <c r="E423" s="33">
        <v>1022</v>
      </c>
      <c r="F423" s="48">
        <v>45625</v>
      </c>
      <c r="G423" s="49">
        <v>2024</v>
      </c>
      <c r="H423" s="45" t="s">
        <v>11</v>
      </c>
      <c r="I423" s="50" t="s">
        <v>22</v>
      </c>
      <c r="J423" s="50">
        <v>61</v>
      </c>
      <c r="K423" s="50" t="s">
        <v>23</v>
      </c>
      <c r="L423" s="50">
        <v>7</v>
      </c>
      <c r="M423" s="51">
        <v>465</v>
      </c>
    </row>
    <row r="424" spans="5:13" x14ac:dyDescent="0.25">
      <c r="E424" s="32">
        <v>996</v>
      </c>
      <c r="F424" s="43">
        <v>45228</v>
      </c>
      <c r="G424" s="44">
        <v>2023</v>
      </c>
      <c r="H424" s="52" t="s">
        <v>10</v>
      </c>
      <c r="I424" s="46" t="s">
        <v>22</v>
      </c>
      <c r="J424" s="46">
        <v>23</v>
      </c>
      <c r="K424" s="46" t="s">
        <v>21</v>
      </c>
      <c r="L424" s="46">
        <v>4</v>
      </c>
      <c r="M424" s="47">
        <v>25</v>
      </c>
    </row>
    <row r="425" spans="5:13" x14ac:dyDescent="0.25">
      <c r="E425" s="33">
        <v>1357</v>
      </c>
      <c r="F425" s="48">
        <v>45360</v>
      </c>
      <c r="G425" s="49">
        <v>2024</v>
      </c>
      <c r="H425" s="45" t="s">
        <v>3</v>
      </c>
      <c r="I425" s="50" t="s">
        <v>20</v>
      </c>
      <c r="J425" s="50">
        <v>61</v>
      </c>
      <c r="K425" s="50" t="s">
        <v>23</v>
      </c>
      <c r="L425" s="50">
        <v>5</v>
      </c>
      <c r="M425" s="51">
        <v>167</v>
      </c>
    </row>
    <row r="426" spans="5:13" x14ac:dyDescent="0.25">
      <c r="E426" s="32">
        <v>1860</v>
      </c>
      <c r="F426" s="43">
        <v>45500</v>
      </c>
      <c r="G426" s="44">
        <v>2024</v>
      </c>
      <c r="H426" s="52" t="s">
        <v>7</v>
      </c>
      <c r="I426" s="46" t="s">
        <v>22</v>
      </c>
      <c r="J426" s="46">
        <v>22</v>
      </c>
      <c r="K426" s="46" t="s">
        <v>24</v>
      </c>
      <c r="L426" s="46">
        <v>4</v>
      </c>
      <c r="M426" s="47">
        <v>159</v>
      </c>
    </row>
    <row r="427" spans="5:13" x14ac:dyDescent="0.25">
      <c r="E427" s="33">
        <v>1185</v>
      </c>
      <c r="F427" s="48">
        <v>45450</v>
      </c>
      <c r="G427" s="49">
        <v>2024</v>
      </c>
      <c r="H427" s="45" t="s">
        <v>6</v>
      </c>
      <c r="I427" s="50" t="s">
        <v>22</v>
      </c>
      <c r="J427" s="50">
        <v>59</v>
      </c>
      <c r="K427" s="50" t="s">
        <v>23</v>
      </c>
      <c r="L427" s="50">
        <v>5</v>
      </c>
      <c r="M427" s="51">
        <v>51</v>
      </c>
    </row>
    <row r="428" spans="5:13" x14ac:dyDescent="0.25">
      <c r="E428" s="32">
        <v>233</v>
      </c>
      <c r="F428" s="43">
        <v>45250</v>
      </c>
      <c r="G428" s="44">
        <v>2023</v>
      </c>
      <c r="H428" s="52" t="s">
        <v>11</v>
      </c>
      <c r="I428" s="46" t="s">
        <v>22</v>
      </c>
      <c r="J428" s="46">
        <v>62</v>
      </c>
      <c r="K428" s="46" t="s">
        <v>24</v>
      </c>
      <c r="L428" s="46">
        <v>2</v>
      </c>
      <c r="M428" s="47">
        <v>25</v>
      </c>
    </row>
    <row r="429" spans="5:13" x14ac:dyDescent="0.25">
      <c r="E429" s="33">
        <v>1506</v>
      </c>
      <c r="F429" s="48">
        <v>45469</v>
      </c>
      <c r="G429" s="49">
        <v>2024</v>
      </c>
      <c r="H429" s="45" t="s">
        <v>6</v>
      </c>
      <c r="I429" s="50" t="s">
        <v>22</v>
      </c>
      <c r="J429" s="50">
        <v>60</v>
      </c>
      <c r="K429" s="50" t="s">
        <v>24</v>
      </c>
      <c r="L429" s="50">
        <v>1</v>
      </c>
      <c r="M429" s="51">
        <v>153</v>
      </c>
    </row>
    <row r="430" spans="5:13" x14ac:dyDescent="0.25">
      <c r="E430" s="32">
        <v>1958</v>
      </c>
      <c r="F430" s="43">
        <v>45584</v>
      </c>
      <c r="G430" s="44">
        <v>2024</v>
      </c>
      <c r="H430" s="52" t="s">
        <v>10</v>
      </c>
      <c r="I430" s="46" t="s">
        <v>20</v>
      </c>
      <c r="J430" s="46">
        <v>36</v>
      </c>
      <c r="K430" s="46" t="s">
        <v>23</v>
      </c>
      <c r="L430" s="46">
        <v>5</v>
      </c>
      <c r="M430" s="47">
        <v>339</v>
      </c>
    </row>
    <row r="431" spans="5:13" x14ac:dyDescent="0.25">
      <c r="E431" s="33">
        <v>389</v>
      </c>
      <c r="F431" s="48">
        <v>45197</v>
      </c>
      <c r="G431" s="49">
        <v>2023</v>
      </c>
      <c r="H431" s="45" t="s">
        <v>9</v>
      </c>
      <c r="I431" s="50" t="s">
        <v>20</v>
      </c>
      <c r="J431" s="50">
        <v>39</v>
      </c>
      <c r="K431" s="50" t="s">
        <v>24</v>
      </c>
      <c r="L431" s="50">
        <v>2</v>
      </c>
      <c r="M431" s="51">
        <v>50</v>
      </c>
    </row>
    <row r="432" spans="5:13" x14ac:dyDescent="0.25">
      <c r="E432" s="32">
        <v>88</v>
      </c>
      <c r="F432" s="43">
        <v>45014</v>
      </c>
      <c r="G432" s="44">
        <v>2023</v>
      </c>
      <c r="H432" s="52" t="s">
        <v>3</v>
      </c>
      <c r="I432" s="46" t="s">
        <v>20</v>
      </c>
      <c r="J432" s="46">
        <v>56</v>
      </c>
      <c r="K432" s="46" t="s">
        <v>23</v>
      </c>
      <c r="L432" s="46">
        <v>1</v>
      </c>
      <c r="M432" s="47">
        <v>500</v>
      </c>
    </row>
    <row r="433" spans="5:13" x14ac:dyDescent="0.25">
      <c r="E433" s="33">
        <v>1441</v>
      </c>
      <c r="F433" s="48">
        <v>45358</v>
      </c>
      <c r="G433" s="49">
        <v>2024</v>
      </c>
      <c r="H433" s="45" t="s">
        <v>3</v>
      </c>
      <c r="I433" s="50" t="s">
        <v>22</v>
      </c>
      <c r="J433" s="50">
        <v>39</v>
      </c>
      <c r="K433" s="50" t="s">
        <v>23</v>
      </c>
      <c r="L433" s="50">
        <v>1</v>
      </c>
      <c r="M433" s="51">
        <v>290</v>
      </c>
    </row>
    <row r="434" spans="5:13" x14ac:dyDescent="0.25">
      <c r="E434" s="32">
        <v>475</v>
      </c>
      <c r="F434" s="43">
        <v>45167</v>
      </c>
      <c r="G434" s="44">
        <v>2023</v>
      </c>
      <c r="H434" s="52" t="s">
        <v>8</v>
      </c>
      <c r="I434" s="46" t="s">
        <v>22</v>
      </c>
      <c r="J434" s="46">
        <v>27</v>
      </c>
      <c r="K434" s="46" t="s">
        <v>23</v>
      </c>
      <c r="L434" s="46">
        <v>4</v>
      </c>
      <c r="M434" s="47">
        <v>500</v>
      </c>
    </row>
    <row r="435" spans="5:13" x14ac:dyDescent="0.25">
      <c r="E435" s="33">
        <v>933</v>
      </c>
      <c r="F435" s="48">
        <v>45178</v>
      </c>
      <c r="G435" s="49">
        <v>2023</v>
      </c>
      <c r="H435" s="45" t="s">
        <v>9</v>
      </c>
      <c r="I435" s="50" t="s">
        <v>22</v>
      </c>
      <c r="J435" s="50">
        <v>34</v>
      </c>
      <c r="K435" s="50" t="s">
        <v>21</v>
      </c>
      <c r="L435" s="50">
        <v>1</v>
      </c>
      <c r="M435" s="51">
        <v>50</v>
      </c>
    </row>
    <row r="436" spans="5:13" x14ac:dyDescent="0.25">
      <c r="E436" s="32">
        <v>1051</v>
      </c>
      <c r="F436" s="43">
        <v>45486</v>
      </c>
      <c r="G436" s="44">
        <v>2024</v>
      </c>
      <c r="H436" s="52" t="s">
        <v>7</v>
      </c>
      <c r="I436" s="46" t="s">
        <v>20</v>
      </c>
      <c r="J436" s="46">
        <v>51</v>
      </c>
      <c r="K436" s="46" t="s">
        <v>24</v>
      </c>
      <c r="L436" s="46">
        <v>2</v>
      </c>
      <c r="M436" s="47">
        <v>160</v>
      </c>
    </row>
    <row r="437" spans="5:13" x14ac:dyDescent="0.25">
      <c r="E437" s="33">
        <v>397</v>
      </c>
      <c r="F437" s="48">
        <v>45062</v>
      </c>
      <c r="G437" s="49">
        <v>2023</v>
      </c>
      <c r="H437" s="45" t="s">
        <v>5</v>
      </c>
      <c r="I437" s="50" t="s">
        <v>22</v>
      </c>
      <c r="J437" s="50">
        <v>48</v>
      </c>
      <c r="K437" s="50" t="s">
        <v>23</v>
      </c>
      <c r="L437" s="50">
        <v>2</v>
      </c>
      <c r="M437" s="51">
        <v>300</v>
      </c>
    </row>
    <row r="438" spans="5:13" x14ac:dyDescent="0.25">
      <c r="E438" s="32">
        <v>1676</v>
      </c>
      <c r="F438" s="43">
        <v>45587</v>
      </c>
      <c r="G438" s="44">
        <v>2024</v>
      </c>
      <c r="H438" s="52" t="s">
        <v>10</v>
      </c>
      <c r="I438" s="46" t="s">
        <v>22</v>
      </c>
      <c r="J438" s="46">
        <v>18</v>
      </c>
      <c r="K438" s="46" t="s">
        <v>23</v>
      </c>
      <c r="L438" s="46">
        <v>4</v>
      </c>
      <c r="M438" s="47">
        <v>297</v>
      </c>
    </row>
    <row r="439" spans="5:13" x14ac:dyDescent="0.25">
      <c r="E439" s="33">
        <v>1275</v>
      </c>
      <c r="F439" s="48">
        <v>45364</v>
      </c>
      <c r="G439" s="49">
        <v>2024</v>
      </c>
      <c r="H439" s="45" t="s">
        <v>3</v>
      </c>
      <c r="I439" s="50" t="s">
        <v>22</v>
      </c>
      <c r="J439" s="50">
        <v>65</v>
      </c>
      <c r="K439" s="50" t="s">
        <v>23</v>
      </c>
      <c r="L439" s="50">
        <v>3</v>
      </c>
      <c r="M439" s="51">
        <v>166</v>
      </c>
    </row>
    <row r="440" spans="5:13" x14ac:dyDescent="0.25">
      <c r="E440" s="32">
        <v>1765</v>
      </c>
      <c r="F440" s="43">
        <v>45452</v>
      </c>
      <c r="G440" s="44">
        <v>2024</v>
      </c>
      <c r="H440" s="52" t="s">
        <v>6</v>
      </c>
      <c r="I440" s="46" t="s">
        <v>22</v>
      </c>
      <c r="J440" s="46">
        <v>20</v>
      </c>
      <c r="K440" s="46" t="s">
        <v>24</v>
      </c>
      <c r="L440" s="46">
        <v>1</v>
      </c>
      <c r="M440" s="47">
        <v>118</v>
      </c>
    </row>
    <row r="441" spans="5:13" x14ac:dyDescent="0.25">
      <c r="E441" s="33">
        <v>1582</v>
      </c>
      <c r="F441" s="48">
        <v>45413</v>
      </c>
      <c r="G441" s="49">
        <v>2024</v>
      </c>
      <c r="H441" s="45" t="s">
        <v>5</v>
      </c>
      <c r="I441" s="50" t="s">
        <v>22</v>
      </c>
      <c r="J441" s="50">
        <v>23</v>
      </c>
      <c r="K441" s="50" t="s">
        <v>23</v>
      </c>
      <c r="L441" s="50">
        <v>3</v>
      </c>
      <c r="M441" s="51">
        <v>217</v>
      </c>
    </row>
    <row r="442" spans="5:13" x14ac:dyDescent="0.25">
      <c r="E442" s="32">
        <v>578</v>
      </c>
      <c r="F442" s="43">
        <v>45190</v>
      </c>
      <c r="G442" s="44">
        <v>2023</v>
      </c>
      <c r="H442" s="52" t="s">
        <v>9</v>
      </c>
      <c r="I442" s="46" t="s">
        <v>22</v>
      </c>
      <c r="J442" s="46">
        <v>38</v>
      </c>
      <c r="K442" s="46" t="s">
        <v>24</v>
      </c>
      <c r="L442" s="46">
        <v>1</v>
      </c>
      <c r="M442" s="47">
        <v>30</v>
      </c>
    </row>
    <row r="443" spans="5:13" x14ac:dyDescent="0.25">
      <c r="E443" s="33">
        <v>1406</v>
      </c>
      <c r="F443" s="48">
        <v>45644</v>
      </c>
      <c r="G443" s="49">
        <v>2024</v>
      </c>
      <c r="H443" s="45" t="s">
        <v>12</v>
      </c>
      <c r="I443" s="50" t="s">
        <v>22</v>
      </c>
      <c r="J443" s="50">
        <v>52</v>
      </c>
      <c r="K443" s="50" t="s">
        <v>24</v>
      </c>
      <c r="L443" s="50">
        <v>5</v>
      </c>
      <c r="M443" s="51">
        <v>155</v>
      </c>
    </row>
    <row r="444" spans="5:13" x14ac:dyDescent="0.25">
      <c r="E444" s="32">
        <v>774</v>
      </c>
      <c r="F444" s="43">
        <v>45230</v>
      </c>
      <c r="G444" s="44">
        <v>2023</v>
      </c>
      <c r="H444" s="52" t="s">
        <v>10</v>
      </c>
      <c r="I444" s="46" t="s">
        <v>20</v>
      </c>
      <c r="J444" s="46">
        <v>35</v>
      </c>
      <c r="K444" s="46" t="s">
        <v>23</v>
      </c>
      <c r="L444" s="46">
        <v>3</v>
      </c>
      <c r="M444" s="47">
        <v>30</v>
      </c>
    </row>
    <row r="445" spans="5:13" x14ac:dyDescent="0.25">
      <c r="E445" s="33">
        <v>1534</v>
      </c>
      <c r="F445" s="48">
        <v>45446</v>
      </c>
      <c r="G445" s="49">
        <v>2024</v>
      </c>
      <c r="H445" s="45" t="s">
        <v>6</v>
      </c>
      <c r="I445" s="50" t="s">
        <v>22</v>
      </c>
      <c r="J445" s="50">
        <v>22</v>
      </c>
      <c r="K445" s="50" t="s">
        <v>21</v>
      </c>
      <c r="L445" s="50">
        <v>5</v>
      </c>
      <c r="M445" s="51">
        <v>442</v>
      </c>
    </row>
    <row r="446" spans="5:13" x14ac:dyDescent="0.25">
      <c r="E446" s="32">
        <v>322</v>
      </c>
      <c r="F446" s="43">
        <v>44952</v>
      </c>
      <c r="G446" s="44">
        <v>2023</v>
      </c>
      <c r="H446" s="52" t="s">
        <v>1</v>
      </c>
      <c r="I446" s="46" t="s">
        <v>22</v>
      </c>
      <c r="J446" s="46">
        <v>29</v>
      </c>
      <c r="K446" s="46" t="s">
        <v>21</v>
      </c>
      <c r="L446" s="46">
        <v>3</v>
      </c>
      <c r="M446" s="47">
        <v>300</v>
      </c>
    </row>
    <row r="447" spans="5:13" x14ac:dyDescent="0.25">
      <c r="E447" s="33">
        <v>1111</v>
      </c>
      <c r="F447" s="48">
        <v>45548</v>
      </c>
      <c r="G447" s="49">
        <v>2024</v>
      </c>
      <c r="H447" s="45" t="s">
        <v>9</v>
      </c>
      <c r="I447" s="50" t="s">
        <v>22</v>
      </c>
      <c r="J447" s="50">
        <v>46</v>
      </c>
      <c r="K447" s="50" t="s">
        <v>24</v>
      </c>
      <c r="L447" s="50">
        <v>4</v>
      </c>
      <c r="M447" s="51">
        <v>485</v>
      </c>
    </row>
    <row r="448" spans="5:13" x14ac:dyDescent="0.25">
      <c r="E448" s="32">
        <v>864</v>
      </c>
      <c r="F448" s="43">
        <v>45051</v>
      </c>
      <c r="G448" s="44">
        <v>2023</v>
      </c>
      <c r="H448" s="52" t="s">
        <v>5</v>
      </c>
      <c r="I448" s="46" t="s">
        <v>20</v>
      </c>
      <c r="J448" s="46">
        <v>24</v>
      </c>
      <c r="K448" s="46" t="s">
        <v>24</v>
      </c>
      <c r="L448" s="46">
        <v>1</v>
      </c>
      <c r="M448" s="47">
        <v>50</v>
      </c>
    </row>
    <row r="449" spans="5:13" x14ac:dyDescent="0.25">
      <c r="E449" s="33">
        <v>934</v>
      </c>
      <c r="F449" s="48">
        <v>44964</v>
      </c>
      <c r="G449" s="49">
        <v>2023</v>
      </c>
      <c r="H449" s="45" t="s">
        <v>2</v>
      </c>
      <c r="I449" s="50" t="s">
        <v>20</v>
      </c>
      <c r="J449" s="50">
        <v>57</v>
      </c>
      <c r="K449" s="50" t="s">
        <v>21</v>
      </c>
      <c r="L449" s="50">
        <v>4</v>
      </c>
      <c r="M449" s="51">
        <v>50</v>
      </c>
    </row>
    <row r="450" spans="5:13" x14ac:dyDescent="0.25">
      <c r="E450" s="32">
        <v>1509</v>
      </c>
      <c r="F450" s="43">
        <v>45603</v>
      </c>
      <c r="G450" s="44">
        <v>2024</v>
      </c>
      <c r="H450" s="52" t="s">
        <v>11</v>
      </c>
      <c r="I450" s="46" t="s">
        <v>22</v>
      </c>
      <c r="J450" s="46">
        <v>50</v>
      </c>
      <c r="K450" s="46" t="s">
        <v>21</v>
      </c>
      <c r="L450" s="46">
        <v>7</v>
      </c>
      <c r="M450" s="47">
        <v>129</v>
      </c>
    </row>
    <row r="451" spans="5:13" x14ac:dyDescent="0.25">
      <c r="E451" s="33">
        <v>1604</v>
      </c>
      <c r="F451" s="48">
        <v>45368</v>
      </c>
      <c r="G451" s="49">
        <v>2024</v>
      </c>
      <c r="H451" s="45" t="s">
        <v>3</v>
      </c>
      <c r="I451" s="50" t="s">
        <v>20</v>
      </c>
      <c r="J451" s="50">
        <v>38</v>
      </c>
      <c r="K451" s="50" t="s">
        <v>23</v>
      </c>
      <c r="L451" s="50">
        <v>1</v>
      </c>
      <c r="M451" s="51">
        <v>422</v>
      </c>
    </row>
    <row r="452" spans="5:13" x14ac:dyDescent="0.25">
      <c r="E452" s="32">
        <v>671</v>
      </c>
      <c r="F452" s="43">
        <v>44958</v>
      </c>
      <c r="G452" s="44">
        <v>2023</v>
      </c>
      <c r="H452" s="52" t="s">
        <v>2</v>
      </c>
      <c r="I452" s="46" t="s">
        <v>22</v>
      </c>
      <c r="J452" s="46">
        <v>43</v>
      </c>
      <c r="K452" s="46" t="s">
        <v>23</v>
      </c>
      <c r="L452" s="46">
        <v>3</v>
      </c>
      <c r="M452" s="47">
        <v>500</v>
      </c>
    </row>
    <row r="453" spans="5:13" x14ac:dyDescent="0.25">
      <c r="E453" s="33">
        <v>1745</v>
      </c>
      <c r="F453" s="48">
        <v>45415</v>
      </c>
      <c r="G453" s="49">
        <v>2024</v>
      </c>
      <c r="H453" s="45" t="s">
        <v>5</v>
      </c>
      <c r="I453" s="50" t="s">
        <v>20</v>
      </c>
      <c r="J453" s="50">
        <v>38</v>
      </c>
      <c r="K453" s="50" t="s">
        <v>21</v>
      </c>
      <c r="L453" s="50">
        <v>7</v>
      </c>
      <c r="M453" s="51">
        <v>69</v>
      </c>
    </row>
    <row r="454" spans="5:13" x14ac:dyDescent="0.25">
      <c r="E454" s="32">
        <v>1963</v>
      </c>
      <c r="F454" s="43">
        <v>45399</v>
      </c>
      <c r="G454" s="44">
        <v>2024</v>
      </c>
      <c r="H454" s="52" t="s">
        <v>4</v>
      </c>
      <c r="I454" s="46" t="s">
        <v>20</v>
      </c>
      <c r="J454" s="46">
        <v>50</v>
      </c>
      <c r="K454" s="46" t="s">
        <v>21</v>
      </c>
      <c r="L454" s="46">
        <v>3</v>
      </c>
      <c r="M454" s="47">
        <v>139</v>
      </c>
    </row>
    <row r="455" spans="5:13" x14ac:dyDescent="0.25">
      <c r="E455" s="33">
        <v>39</v>
      </c>
      <c r="F455" s="48">
        <v>45037</v>
      </c>
      <c r="G455" s="49">
        <v>2023</v>
      </c>
      <c r="H455" s="45" t="s">
        <v>4</v>
      </c>
      <c r="I455" s="50" t="s">
        <v>20</v>
      </c>
      <c r="J455" s="50">
        <v>23</v>
      </c>
      <c r="K455" s="50" t="s">
        <v>23</v>
      </c>
      <c r="L455" s="50">
        <v>4</v>
      </c>
      <c r="M455" s="51">
        <v>30</v>
      </c>
    </row>
    <row r="456" spans="5:13" x14ac:dyDescent="0.25">
      <c r="E456" s="32">
        <v>401</v>
      </c>
      <c r="F456" s="43">
        <v>45006</v>
      </c>
      <c r="G456" s="44">
        <v>2023</v>
      </c>
      <c r="H456" s="52" t="s">
        <v>3</v>
      </c>
      <c r="I456" s="46" t="s">
        <v>22</v>
      </c>
      <c r="J456" s="46">
        <v>41</v>
      </c>
      <c r="K456" s="46" t="s">
        <v>23</v>
      </c>
      <c r="L456" s="46">
        <v>2</v>
      </c>
      <c r="M456" s="47">
        <v>300</v>
      </c>
    </row>
    <row r="457" spans="5:13" x14ac:dyDescent="0.25">
      <c r="E457" s="33">
        <v>1683</v>
      </c>
      <c r="F457" s="48">
        <v>45507</v>
      </c>
      <c r="G457" s="49">
        <v>2024</v>
      </c>
      <c r="H457" s="45" t="s">
        <v>8</v>
      </c>
      <c r="I457" s="50" t="s">
        <v>22</v>
      </c>
      <c r="J457" s="50">
        <v>30</v>
      </c>
      <c r="K457" s="50" t="s">
        <v>24</v>
      </c>
      <c r="L457" s="50">
        <v>5</v>
      </c>
      <c r="M457" s="51">
        <v>328</v>
      </c>
    </row>
    <row r="458" spans="5:13" x14ac:dyDescent="0.25">
      <c r="E458" s="32">
        <v>1301</v>
      </c>
      <c r="F458" s="43">
        <v>45492</v>
      </c>
      <c r="G458" s="44">
        <v>2024</v>
      </c>
      <c r="H458" s="52" t="s">
        <v>7</v>
      </c>
      <c r="I458" s="46" t="s">
        <v>22</v>
      </c>
      <c r="J458" s="46">
        <v>26</v>
      </c>
      <c r="K458" s="46" t="s">
        <v>24</v>
      </c>
      <c r="L458" s="46">
        <v>6</v>
      </c>
      <c r="M458" s="47">
        <v>297</v>
      </c>
    </row>
    <row r="459" spans="5:13" x14ac:dyDescent="0.25">
      <c r="E459" s="33">
        <v>1593</v>
      </c>
      <c r="F459" s="48">
        <v>45329</v>
      </c>
      <c r="G459" s="49">
        <v>2024</v>
      </c>
      <c r="H459" s="45" t="s">
        <v>2</v>
      </c>
      <c r="I459" s="50" t="s">
        <v>22</v>
      </c>
      <c r="J459" s="50">
        <v>62</v>
      </c>
      <c r="K459" s="50" t="s">
        <v>24</v>
      </c>
      <c r="L459" s="50">
        <v>5</v>
      </c>
      <c r="M459" s="51">
        <v>458</v>
      </c>
    </row>
    <row r="460" spans="5:13" x14ac:dyDescent="0.25">
      <c r="E460" s="32">
        <v>1221</v>
      </c>
      <c r="F460" s="43">
        <v>45466</v>
      </c>
      <c r="G460" s="44">
        <v>2024</v>
      </c>
      <c r="H460" s="52" t="s">
        <v>6</v>
      </c>
      <c r="I460" s="46" t="s">
        <v>22</v>
      </c>
      <c r="J460" s="46">
        <v>18</v>
      </c>
      <c r="K460" s="46" t="s">
        <v>23</v>
      </c>
      <c r="L460" s="46">
        <v>3</v>
      </c>
      <c r="M460" s="47">
        <v>184</v>
      </c>
    </row>
    <row r="461" spans="5:13" x14ac:dyDescent="0.25">
      <c r="E461" s="33">
        <v>1475</v>
      </c>
      <c r="F461" s="48">
        <v>45395</v>
      </c>
      <c r="G461" s="49">
        <v>2024</v>
      </c>
      <c r="H461" s="45" t="s">
        <v>4</v>
      </c>
      <c r="I461" s="50" t="s">
        <v>22</v>
      </c>
      <c r="J461" s="50">
        <v>56</v>
      </c>
      <c r="K461" s="50" t="s">
        <v>23</v>
      </c>
      <c r="L461" s="50">
        <v>7</v>
      </c>
      <c r="M461" s="51">
        <v>146</v>
      </c>
    </row>
    <row r="462" spans="5:13" x14ac:dyDescent="0.25">
      <c r="E462" s="32">
        <v>823</v>
      </c>
      <c r="F462" s="43">
        <v>45164</v>
      </c>
      <c r="G462" s="44">
        <v>2023</v>
      </c>
      <c r="H462" s="52" t="s">
        <v>8</v>
      </c>
      <c r="I462" s="46" t="s">
        <v>22</v>
      </c>
      <c r="J462" s="46">
        <v>46</v>
      </c>
      <c r="K462" s="46" t="s">
        <v>21</v>
      </c>
      <c r="L462" s="46">
        <v>1</v>
      </c>
      <c r="M462" s="47">
        <v>25</v>
      </c>
    </row>
    <row r="463" spans="5:13" x14ac:dyDescent="0.25">
      <c r="E463" s="33">
        <v>1978</v>
      </c>
      <c r="F463" s="48">
        <v>45645</v>
      </c>
      <c r="G463" s="49">
        <v>2024</v>
      </c>
      <c r="H463" s="45" t="s">
        <v>12</v>
      </c>
      <c r="I463" s="50" t="s">
        <v>22</v>
      </c>
      <c r="J463" s="50">
        <v>19</v>
      </c>
      <c r="K463" s="50" t="s">
        <v>21</v>
      </c>
      <c r="L463" s="50">
        <v>7</v>
      </c>
      <c r="M463" s="51">
        <v>29</v>
      </c>
    </row>
    <row r="464" spans="5:13" x14ac:dyDescent="0.25">
      <c r="E464" s="32">
        <v>1418</v>
      </c>
      <c r="F464" s="43">
        <v>45293</v>
      </c>
      <c r="G464" s="44">
        <v>2024</v>
      </c>
      <c r="H464" s="52" t="s">
        <v>1</v>
      </c>
      <c r="I464" s="46" t="s">
        <v>22</v>
      </c>
      <c r="J464" s="46">
        <v>41</v>
      </c>
      <c r="K464" s="46" t="s">
        <v>23</v>
      </c>
      <c r="L464" s="46">
        <v>6</v>
      </c>
      <c r="M464" s="47">
        <v>127</v>
      </c>
    </row>
    <row r="465" spans="5:13" x14ac:dyDescent="0.25">
      <c r="E465" s="33">
        <v>641</v>
      </c>
      <c r="F465" s="48">
        <v>45068</v>
      </c>
      <c r="G465" s="49">
        <v>2023</v>
      </c>
      <c r="H465" s="45" t="s">
        <v>5</v>
      </c>
      <c r="I465" s="50" t="s">
        <v>22</v>
      </c>
      <c r="J465" s="50">
        <v>54</v>
      </c>
      <c r="K465" s="50" t="s">
        <v>23</v>
      </c>
      <c r="L465" s="50">
        <v>4</v>
      </c>
      <c r="M465" s="51">
        <v>25</v>
      </c>
    </row>
    <row r="466" spans="5:13" x14ac:dyDescent="0.25">
      <c r="E466" s="32">
        <v>336</v>
      </c>
      <c r="F466" s="43">
        <v>45047</v>
      </c>
      <c r="G466" s="44">
        <v>2023</v>
      </c>
      <c r="H466" s="52" t="s">
        <v>5</v>
      </c>
      <c r="I466" s="46" t="s">
        <v>20</v>
      </c>
      <c r="J466" s="46">
        <v>38</v>
      </c>
      <c r="K466" s="46" t="s">
        <v>23</v>
      </c>
      <c r="L466" s="46">
        <v>1</v>
      </c>
      <c r="M466" s="47">
        <v>500</v>
      </c>
    </row>
    <row r="467" spans="5:13" x14ac:dyDescent="0.25">
      <c r="E467" s="33">
        <v>576</v>
      </c>
      <c r="F467" s="48">
        <v>44970</v>
      </c>
      <c r="G467" s="49">
        <v>2023</v>
      </c>
      <c r="H467" s="45" t="s">
        <v>2</v>
      </c>
      <c r="I467" s="50" t="s">
        <v>20</v>
      </c>
      <c r="J467" s="50">
        <v>21</v>
      </c>
      <c r="K467" s="50" t="s">
        <v>21</v>
      </c>
      <c r="L467" s="50">
        <v>4</v>
      </c>
      <c r="M467" s="51">
        <v>500</v>
      </c>
    </row>
    <row r="468" spans="5:13" x14ac:dyDescent="0.25">
      <c r="E468" s="32">
        <v>1854</v>
      </c>
      <c r="F468" s="43">
        <v>45544</v>
      </c>
      <c r="G468" s="44">
        <v>2024</v>
      </c>
      <c r="H468" s="52" t="s">
        <v>9</v>
      </c>
      <c r="I468" s="46" t="s">
        <v>20</v>
      </c>
      <c r="J468" s="46">
        <v>64</v>
      </c>
      <c r="K468" s="46" t="s">
        <v>24</v>
      </c>
      <c r="L468" s="46">
        <v>5</v>
      </c>
      <c r="M468" s="47">
        <v>329</v>
      </c>
    </row>
    <row r="469" spans="5:13" x14ac:dyDescent="0.25">
      <c r="E469" s="33">
        <v>767</v>
      </c>
      <c r="F469" s="48">
        <v>45086</v>
      </c>
      <c r="G469" s="49">
        <v>2023</v>
      </c>
      <c r="H469" s="45" t="s">
        <v>6</v>
      </c>
      <c r="I469" s="50" t="s">
        <v>22</v>
      </c>
      <c r="J469" s="50">
        <v>31</v>
      </c>
      <c r="K469" s="50" t="s">
        <v>24</v>
      </c>
      <c r="L469" s="50">
        <v>4</v>
      </c>
      <c r="M469" s="51">
        <v>30</v>
      </c>
    </row>
    <row r="470" spans="5:13" x14ac:dyDescent="0.25">
      <c r="E470" s="32">
        <v>174</v>
      </c>
      <c r="F470" s="43">
        <v>45028</v>
      </c>
      <c r="G470" s="44">
        <v>2023</v>
      </c>
      <c r="H470" s="52" t="s">
        <v>4</v>
      </c>
      <c r="I470" s="46" t="s">
        <v>22</v>
      </c>
      <c r="J470" s="46">
        <v>39</v>
      </c>
      <c r="K470" s="46" t="s">
        <v>21</v>
      </c>
      <c r="L470" s="46">
        <v>1</v>
      </c>
      <c r="M470" s="47">
        <v>300</v>
      </c>
    </row>
    <row r="471" spans="5:13" x14ac:dyDescent="0.25">
      <c r="E471" s="33">
        <v>1606</v>
      </c>
      <c r="F471" s="48">
        <v>45645</v>
      </c>
      <c r="G471" s="49">
        <v>2024</v>
      </c>
      <c r="H471" s="45" t="s">
        <v>12</v>
      </c>
      <c r="I471" s="50" t="s">
        <v>22</v>
      </c>
      <c r="J471" s="50">
        <v>35</v>
      </c>
      <c r="K471" s="50" t="s">
        <v>23</v>
      </c>
      <c r="L471" s="50">
        <v>5</v>
      </c>
      <c r="M471" s="51">
        <v>236</v>
      </c>
    </row>
    <row r="472" spans="5:13" x14ac:dyDescent="0.25">
      <c r="E472" s="32">
        <v>1599</v>
      </c>
      <c r="F472" s="43">
        <v>45649</v>
      </c>
      <c r="G472" s="44">
        <v>2024</v>
      </c>
      <c r="H472" s="52" t="s">
        <v>12</v>
      </c>
      <c r="I472" s="46" t="s">
        <v>22</v>
      </c>
      <c r="J472" s="46">
        <v>42</v>
      </c>
      <c r="K472" s="46" t="s">
        <v>24</v>
      </c>
      <c r="L472" s="46">
        <v>1</v>
      </c>
      <c r="M472" s="47">
        <v>53</v>
      </c>
    </row>
    <row r="473" spans="5:13" x14ac:dyDescent="0.25">
      <c r="E473" s="33">
        <v>521</v>
      </c>
      <c r="F473" s="48">
        <v>44927</v>
      </c>
      <c r="G473" s="49">
        <v>2023</v>
      </c>
      <c r="H473" s="45" t="s">
        <v>1</v>
      </c>
      <c r="I473" s="50" t="s">
        <v>20</v>
      </c>
      <c r="J473" s="50">
        <v>46</v>
      </c>
      <c r="K473" s="50" t="s">
        <v>21</v>
      </c>
      <c r="L473" s="50">
        <v>3</v>
      </c>
      <c r="M473" s="51">
        <v>500</v>
      </c>
    </row>
    <row r="474" spans="5:13" x14ac:dyDescent="0.25">
      <c r="E474" s="32">
        <v>666</v>
      </c>
      <c r="F474" s="43">
        <v>45135</v>
      </c>
      <c r="G474" s="44">
        <v>2023</v>
      </c>
      <c r="H474" s="52" t="s">
        <v>7</v>
      </c>
      <c r="I474" s="46" t="s">
        <v>22</v>
      </c>
      <c r="J474" s="46">
        <v>62</v>
      </c>
      <c r="K474" s="46" t="s">
        <v>24</v>
      </c>
      <c r="L474" s="46">
        <v>3</v>
      </c>
      <c r="M474" s="47">
        <v>50</v>
      </c>
    </row>
    <row r="475" spans="5:13" x14ac:dyDescent="0.25">
      <c r="E475" s="33">
        <v>1073</v>
      </c>
      <c r="F475" s="48">
        <v>45479</v>
      </c>
      <c r="G475" s="49">
        <v>2024</v>
      </c>
      <c r="H475" s="45" t="s">
        <v>7</v>
      </c>
      <c r="I475" s="50" t="s">
        <v>20</v>
      </c>
      <c r="J475" s="50">
        <v>23</v>
      </c>
      <c r="K475" s="50" t="s">
        <v>21</v>
      </c>
      <c r="L475" s="50">
        <v>3</v>
      </c>
      <c r="M475" s="51">
        <v>247</v>
      </c>
    </row>
    <row r="476" spans="5:13" x14ac:dyDescent="0.25">
      <c r="E476" s="32">
        <v>1873</v>
      </c>
      <c r="F476" s="43">
        <v>45462</v>
      </c>
      <c r="G476" s="44">
        <v>2024</v>
      </c>
      <c r="H476" s="52" t="s">
        <v>6</v>
      </c>
      <c r="I476" s="46" t="s">
        <v>22</v>
      </c>
      <c r="J476" s="46">
        <v>20</v>
      </c>
      <c r="K476" s="46" t="s">
        <v>23</v>
      </c>
      <c r="L476" s="46">
        <v>5</v>
      </c>
      <c r="M476" s="47">
        <v>75</v>
      </c>
    </row>
    <row r="477" spans="5:13" x14ac:dyDescent="0.25">
      <c r="E477" s="33">
        <v>948</v>
      </c>
      <c r="F477" s="48">
        <v>45237</v>
      </c>
      <c r="G477" s="49">
        <v>2023</v>
      </c>
      <c r="H477" s="45" t="s">
        <v>11</v>
      </c>
      <c r="I477" s="50" t="s">
        <v>20</v>
      </c>
      <c r="J477" s="50">
        <v>36</v>
      </c>
      <c r="K477" s="50" t="s">
        <v>23</v>
      </c>
      <c r="L477" s="50">
        <v>3</v>
      </c>
      <c r="M477" s="51">
        <v>300</v>
      </c>
    </row>
    <row r="478" spans="5:13" x14ac:dyDescent="0.25">
      <c r="E478" s="32">
        <v>121</v>
      </c>
      <c r="F478" s="43">
        <v>45214</v>
      </c>
      <c r="G478" s="44">
        <v>2023</v>
      </c>
      <c r="H478" s="52" t="s">
        <v>10</v>
      </c>
      <c r="I478" s="46" t="s">
        <v>22</v>
      </c>
      <c r="J478" s="46">
        <v>28</v>
      </c>
      <c r="K478" s="46" t="s">
        <v>24</v>
      </c>
      <c r="L478" s="46">
        <v>4</v>
      </c>
      <c r="M478" s="47">
        <v>50</v>
      </c>
    </row>
    <row r="479" spans="5:13" x14ac:dyDescent="0.25">
      <c r="E479" s="33">
        <v>1003</v>
      </c>
      <c r="F479" s="48">
        <v>45418</v>
      </c>
      <c r="G479" s="49">
        <v>2024</v>
      </c>
      <c r="H479" s="45" t="s">
        <v>5</v>
      </c>
      <c r="I479" s="50" t="s">
        <v>20</v>
      </c>
      <c r="J479" s="50">
        <v>46</v>
      </c>
      <c r="K479" s="50" t="s">
        <v>21</v>
      </c>
      <c r="L479" s="50">
        <v>2</v>
      </c>
      <c r="M479" s="51">
        <v>385</v>
      </c>
    </row>
    <row r="480" spans="5:13" x14ac:dyDescent="0.25">
      <c r="E480" s="32">
        <v>1188</v>
      </c>
      <c r="F480" s="43">
        <v>45416</v>
      </c>
      <c r="G480" s="44">
        <v>2024</v>
      </c>
      <c r="H480" s="52" t="s">
        <v>5</v>
      </c>
      <c r="I480" s="46" t="s">
        <v>22</v>
      </c>
      <c r="J480" s="46">
        <v>28</v>
      </c>
      <c r="K480" s="46" t="s">
        <v>21</v>
      </c>
      <c r="L480" s="46">
        <v>5</v>
      </c>
      <c r="M480" s="47">
        <v>430</v>
      </c>
    </row>
    <row r="481" spans="5:13" x14ac:dyDescent="0.25">
      <c r="E481" s="33">
        <v>583</v>
      </c>
      <c r="F481" s="48">
        <v>44974</v>
      </c>
      <c r="G481" s="49">
        <v>2023</v>
      </c>
      <c r="H481" s="45" t="s">
        <v>2</v>
      </c>
      <c r="I481" s="50" t="s">
        <v>22</v>
      </c>
      <c r="J481" s="50">
        <v>27</v>
      </c>
      <c r="K481" s="50" t="s">
        <v>21</v>
      </c>
      <c r="L481" s="50">
        <v>4</v>
      </c>
      <c r="M481" s="51">
        <v>50</v>
      </c>
    </row>
    <row r="482" spans="5:13" x14ac:dyDescent="0.25">
      <c r="E482" s="32">
        <v>1737</v>
      </c>
      <c r="F482" s="43">
        <v>45626</v>
      </c>
      <c r="G482" s="44">
        <v>2024</v>
      </c>
      <c r="H482" s="52" t="s">
        <v>11</v>
      </c>
      <c r="I482" s="46" t="s">
        <v>20</v>
      </c>
      <c r="J482" s="46">
        <v>30</v>
      </c>
      <c r="K482" s="46" t="s">
        <v>23</v>
      </c>
      <c r="L482" s="46">
        <v>7</v>
      </c>
      <c r="M482" s="47">
        <v>374</v>
      </c>
    </row>
    <row r="483" spans="5:13" x14ac:dyDescent="0.25">
      <c r="E483" s="33">
        <v>1517</v>
      </c>
      <c r="F483" s="48">
        <v>45655</v>
      </c>
      <c r="G483" s="49">
        <v>2024</v>
      </c>
      <c r="H483" s="45" t="s">
        <v>12</v>
      </c>
      <c r="I483" s="50" t="s">
        <v>22</v>
      </c>
      <c r="J483" s="50">
        <v>28</v>
      </c>
      <c r="K483" s="50" t="s">
        <v>24</v>
      </c>
      <c r="L483" s="50">
        <v>7</v>
      </c>
      <c r="M483" s="51">
        <v>324</v>
      </c>
    </row>
    <row r="484" spans="5:13" x14ac:dyDescent="0.25">
      <c r="E484" s="32">
        <v>1624</v>
      </c>
      <c r="F484" s="43">
        <v>45579</v>
      </c>
      <c r="G484" s="44">
        <v>2024</v>
      </c>
      <c r="H484" s="52" t="s">
        <v>10</v>
      </c>
      <c r="I484" s="46" t="s">
        <v>20</v>
      </c>
      <c r="J484" s="46">
        <v>25</v>
      </c>
      <c r="K484" s="46" t="s">
        <v>23</v>
      </c>
      <c r="L484" s="46">
        <v>4</v>
      </c>
      <c r="M484" s="47">
        <v>352</v>
      </c>
    </row>
    <row r="485" spans="5:13" x14ac:dyDescent="0.25">
      <c r="E485" s="33">
        <v>668</v>
      </c>
      <c r="F485" s="48">
        <v>45204</v>
      </c>
      <c r="G485" s="49">
        <v>2023</v>
      </c>
      <c r="H485" s="45" t="s">
        <v>10</v>
      </c>
      <c r="I485" s="50" t="s">
        <v>20</v>
      </c>
      <c r="J485" s="50">
        <v>27</v>
      </c>
      <c r="K485" s="50" t="s">
        <v>21</v>
      </c>
      <c r="L485" s="50">
        <v>1</v>
      </c>
      <c r="M485" s="51">
        <v>30</v>
      </c>
    </row>
    <row r="486" spans="5:13" x14ac:dyDescent="0.25">
      <c r="E486" s="32">
        <v>272</v>
      </c>
      <c r="F486" s="43">
        <v>45054</v>
      </c>
      <c r="G486" s="44">
        <v>2023</v>
      </c>
      <c r="H486" s="52" t="s">
        <v>5</v>
      </c>
      <c r="I486" s="46" t="s">
        <v>22</v>
      </c>
      <c r="J486" s="46">
        <v>22</v>
      </c>
      <c r="K486" s="46" t="s">
        <v>21</v>
      </c>
      <c r="L486" s="46">
        <v>1</v>
      </c>
      <c r="M486" s="47">
        <v>50</v>
      </c>
    </row>
    <row r="487" spans="5:13" x14ac:dyDescent="0.25">
      <c r="E487" s="33">
        <v>1925</v>
      </c>
      <c r="F487" s="48">
        <v>45318</v>
      </c>
      <c r="G487" s="49">
        <v>2024</v>
      </c>
      <c r="H487" s="45" t="s">
        <v>1</v>
      </c>
      <c r="I487" s="50" t="s">
        <v>22</v>
      </c>
      <c r="J487" s="50">
        <v>51</v>
      </c>
      <c r="K487" s="50" t="s">
        <v>21</v>
      </c>
      <c r="L487" s="50">
        <v>5</v>
      </c>
      <c r="M487" s="51">
        <v>350</v>
      </c>
    </row>
    <row r="488" spans="5:13" x14ac:dyDescent="0.25">
      <c r="E488" s="32">
        <v>267</v>
      </c>
      <c r="F488" s="43">
        <v>44977</v>
      </c>
      <c r="G488" s="44">
        <v>2023</v>
      </c>
      <c r="H488" s="52" t="s">
        <v>2</v>
      </c>
      <c r="I488" s="46" t="s">
        <v>22</v>
      </c>
      <c r="J488" s="46">
        <v>28</v>
      </c>
      <c r="K488" s="46" t="s">
        <v>24</v>
      </c>
      <c r="L488" s="46">
        <v>1</v>
      </c>
      <c r="M488" s="47">
        <v>30</v>
      </c>
    </row>
    <row r="489" spans="5:13" x14ac:dyDescent="0.25">
      <c r="E489" s="33">
        <v>1298</v>
      </c>
      <c r="F489" s="48">
        <v>45377</v>
      </c>
      <c r="G489" s="49">
        <v>2024</v>
      </c>
      <c r="H489" s="45" t="s">
        <v>3</v>
      </c>
      <c r="I489" s="50" t="s">
        <v>20</v>
      </c>
      <c r="J489" s="50">
        <v>42</v>
      </c>
      <c r="K489" s="50" t="s">
        <v>23</v>
      </c>
      <c r="L489" s="50">
        <v>4</v>
      </c>
      <c r="M489" s="51">
        <v>187</v>
      </c>
    </row>
    <row r="490" spans="5:13" x14ac:dyDescent="0.25">
      <c r="E490" s="32">
        <v>1240</v>
      </c>
      <c r="F490" s="43">
        <v>45435</v>
      </c>
      <c r="G490" s="44">
        <v>2024</v>
      </c>
      <c r="H490" s="52" t="s">
        <v>5</v>
      </c>
      <c r="I490" s="46" t="s">
        <v>22</v>
      </c>
      <c r="J490" s="46">
        <v>23</v>
      </c>
      <c r="K490" s="46" t="s">
        <v>24</v>
      </c>
      <c r="L490" s="46">
        <v>7</v>
      </c>
      <c r="M490" s="47">
        <v>268</v>
      </c>
    </row>
    <row r="491" spans="5:13" x14ac:dyDescent="0.25">
      <c r="E491" s="33">
        <v>242</v>
      </c>
      <c r="F491" s="48">
        <v>45069</v>
      </c>
      <c r="G491" s="49">
        <v>2023</v>
      </c>
      <c r="H491" s="45" t="s">
        <v>5</v>
      </c>
      <c r="I491" s="50" t="s">
        <v>22</v>
      </c>
      <c r="J491" s="50">
        <v>47</v>
      </c>
      <c r="K491" s="50" t="s">
        <v>24</v>
      </c>
      <c r="L491" s="50">
        <v>3</v>
      </c>
      <c r="M491" s="51">
        <v>300</v>
      </c>
    </row>
    <row r="492" spans="5:13" x14ac:dyDescent="0.25">
      <c r="E492" s="32">
        <v>572</v>
      </c>
      <c r="F492" s="43">
        <v>45188</v>
      </c>
      <c r="G492" s="44">
        <v>2023</v>
      </c>
      <c r="H492" s="52" t="s">
        <v>9</v>
      </c>
      <c r="I492" s="46" t="s">
        <v>20</v>
      </c>
      <c r="J492" s="46">
        <v>49</v>
      </c>
      <c r="K492" s="46" t="s">
        <v>21</v>
      </c>
      <c r="L492" s="46">
        <v>2</v>
      </c>
      <c r="M492" s="47">
        <v>30</v>
      </c>
    </row>
    <row r="493" spans="5:13" x14ac:dyDescent="0.25">
      <c r="E493" s="33">
        <v>1309</v>
      </c>
      <c r="F493" s="48">
        <v>45542</v>
      </c>
      <c r="G493" s="49">
        <v>2024</v>
      </c>
      <c r="H493" s="45" t="s">
        <v>9</v>
      </c>
      <c r="I493" s="50" t="s">
        <v>20</v>
      </c>
      <c r="J493" s="50">
        <v>61</v>
      </c>
      <c r="K493" s="50" t="s">
        <v>23</v>
      </c>
      <c r="L493" s="50">
        <v>3</v>
      </c>
      <c r="M493" s="51">
        <v>253</v>
      </c>
    </row>
    <row r="494" spans="5:13" x14ac:dyDescent="0.25">
      <c r="E494" s="32">
        <v>1673</v>
      </c>
      <c r="F494" s="43">
        <v>45592</v>
      </c>
      <c r="G494" s="44">
        <v>2024</v>
      </c>
      <c r="H494" s="52" t="s">
        <v>10</v>
      </c>
      <c r="I494" s="46" t="s">
        <v>22</v>
      </c>
      <c r="J494" s="46">
        <v>39</v>
      </c>
      <c r="K494" s="46" t="s">
        <v>21</v>
      </c>
      <c r="L494" s="46">
        <v>7</v>
      </c>
      <c r="M494" s="47">
        <v>255</v>
      </c>
    </row>
    <row r="495" spans="5:13" x14ac:dyDescent="0.25">
      <c r="E495" s="33">
        <v>1341</v>
      </c>
      <c r="F495" s="48">
        <v>45312</v>
      </c>
      <c r="G495" s="49">
        <v>2024</v>
      </c>
      <c r="H495" s="45" t="s">
        <v>1</v>
      </c>
      <c r="I495" s="50" t="s">
        <v>22</v>
      </c>
      <c r="J495" s="50">
        <v>37</v>
      </c>
      <c r="K495" s="50" t="s">
        <v>21</v>
      </c>
      <c r="L495" s="50">
        <v>6</v>
      </c>
      <c r="M495" s="51">
        <v>370</v>
      </c>
    </row>
    <row r="496" spans="5:13" x14ac:dyDescent="0.25">
      <c r="E496" s="32">
        <v>41</v>
      </c>
      <c r="F496" s="43">
        <v>44979</v>
      </c>
      <c r="G496" s="44">
        <v>2023</v>
      </c>
      <c r="H496" s="52" t="s">
        <v>2</v>
      </c>
      <c r="I496" s="46" t="s">
        <v>20</v>
      </c>
      <c r="J496" s="46">
        <v>34</v>
      </c>
      <c r="K496" s="46" t="s">
        <v>23</v>
      </c>
      <c r="L496" s="46">
        <v>2</v>
      </c>
      <c r="M496" s="47">
        <v>25</v>
      </c>
    </row>
    <row r="497" spans="5:13" x14ac:dyDescent="0.25">
      <c r="E497" s="33">
        <v>1343</v>
      </c>
      <c r="F497" s="48">
        <v>45333</v>
      </c>
      <c r="G497" s="49">
        <v>2024</v>
      </c>
      <c r="H497" s="45" t="s">
        <v>2</v>
      </c>
      <c r="I497" s="50" t="s">
        <v>20</v>
      </c>
      <c r="J497" s="50">
        <v>32</v>
      </c>
      <c r="K497" s="50" t="s">
        <v>23</v>
      </c>
      <c r="L497" s="50">
        <v>1</v>
      </c>
      <c r="M497" s="51">
        <v>311</v>
      </c>
    </row>
    <row r="498" spans="5:13" x14ac:dyDescent="0.25">
      <c r="E498" s="32">
        <v>1372</v>
      </c>
      <c r="F498" s="43">
        <v>45552</v>
      </c>
      <c r="G498" s="44">
        <v>2024</v>
      </c>
      <c r="H498" s="52" t="s">
        <v>9</v>
      </c>
      <c r="I498" s="46" t="s">
        <v>20</v>
      </c>
      <c r="J498" s="46">
        <v>47</v>
      </c>
      <c r="K498" s="46" t="s">
        <v>23</v>
      </c>
      <c r="L498" s="46">
        <v>6</v>
      </c>
      <c r="M498" s="47">
        <v>121</v>
      </c>
    </row>
    <row r="499" spans="5:13" x14ac:dyDescent="0.25">
      <c r="E499" s="33">
        <v>218</v>
      </c>
      <c r="F499" s="48">
        <v>45158</v>
      </c>
      <c r="G499" s="49">
        <v>2023</v>
      </c>
      <c r="H499" s="45" t="s">
        <v>8</v>
      </c>
      <c r="I499" s="50" t="s">
        <v>22</v>
      </c>
      <c r="J499" s="50">
        <v>53</v>
      </c>
      <c r="K499" s="50" t="s">
        <v>24</v>
      </c>
      <c r="L499" s="50">
        <v>3</v>
      </c>
      <c r="M499" s="51">
        <v>30</v>
      </c>
    </row>
    <row r="500" spans="5:13" x14ac:dyDescent="0.25">
      <c r="E500" s="32">
        <v>1435</v>
      </c>
      <c r="F500" s="43">
        <v>45310</v>
      </c>
      <c r="G500" s="44">
        <v>2024</v>
      </c>
      <c r="H500" s="52" t="s">
        <v>1</v>
      </c>
      <c r="I500" s="46" t="s">
        <v>22</v>
      </c>
      <c r="J500" s="46">
        <v>28</v>
      </c>
      <c r="K500" s="46" t="s">
        <v>23</v>
      </c>
      <c r="L500" s="46">
        <v>7</v>
      </c>
      <c r="M500" s="47">
        <v>231</v>
      </c>
    </row>
    <row r="501" spans="5:13" x14ac:dyDescent="0.25">
      <c r="E501" s="33">
        <v>784</v>
      </c>
      <c r="F501" s="48">
        <v>45216</v>
      </c>
      <c r="G501" s="49">
        <v>2023</v>
      </c>
      <c r="H501" s="45" t="s">
        <v>10</v>
      </c>
      <c r="I501" s="50" t="s">
        <v>20</v>
      </c>
      <c r="J501" s="50">
        <v>48</v>
      </c>
      <c r="K501" s="50" t="s">
        <v>23</v>
      </c>
      <c r="L501" s="50">
        <v>4</v>
      </c>
      <c r="M501" s="51">
        <v>25</v>
      </c>
    </row>
    <row r="502" spans="5:13" x14ac:dyDescent="0.25">
      <c r="E502" s="32">
        <v>1377</v>
      </c>
      <c r="F502" s="43">
        <v>45418</v>
      </c>
      <c r="G502" s="44">
        <v>2024</v>
      </c>
      <c r="H502" s="52" t="s">
        <v>5</v>
      </c>
      <c r="I502" s="46" t="s">
        <v>20</v>
      </c>
      <c r="J502" s="46">
        <v>43</v>
      </c>
      <c r="K502" s="46" t="s">
        <v>24</v>
      </c>
      <c r="L502" s="46">
        <v>3</v>
      </c>
      <c r="M502" s="47">
        <v>222</v>
      </c>
    </row>
    <row r="503" spans="5:13" x14ac:dyDescent="0.25">
      <c r="E503" s="33">
        <v>1977</v>
      </c>
      <c r="F503" s="48">
        <v>45523</v>
      </c>
      <c r="G503" s="49">
        <v>2024</v>
      </c>
      <c r="H503" s="45" t="s">
        <v>8</v>
      </c>
      <c r="I503" s="50" t="s">
        <v>22</v>
      </c>
      <c r="J503" s="50">
        <v>26</v>
      </c>
      <c r="K503" s="50" t="s">
        <v>24</v>
      </c>
      <c r="L503" s="50">
        <v>5</v>
      </c>
      <c r="M503" s="51">
        <v>11</v>
      </c>
    </row>
    <row r="504" spans="5:13" x14ac:dyDescent="0.25">
      <c r="E504" s="32">
        <v>470</v>
      </c>
      <c r="F504" s="43">
        <v>45008</v>
      </c>
      <c r="G504" s="44">
        <v>2023</v>
      </c>
      <c r="H504" s="52" t="s">
        <v>3</v>
      </c>
      <c r="I504" s="46" t="s">
        <v>20</v>
      </c>
      <c r="J504" s="46">
        <v>32</v>
      </c>
      <c r="K504" s="46" t="s">
        <v>23</v>
      </c>
      <c r="L504" s="46">
        <v>3</v>
      </c>
      <c r="M504" s="47">
        <v>50</v>
      </c>
    </row>
    <row r="505" spans="5:13" x14ac:dyDescent="0.25">
      <c r="E505" s="33">
        <v>1067</v>
      </c>
      <c r="F505" s="48">
        <v>45412</v>
      </c>
      <c r="G505" s="49">
        <v>2024</v>
      </c>
      <c r="H505" s="45" t="s">
        <v>4</v>
      </c>
      <c r="I505" s="50" t="s">
        <v>22</v>
      </c>
      <c r="J505" s="50">
        <v>49</v>
      </c>
      <c r="K505" s="50" t="s">
        <v>21</v>
      </c>
      <c r="L505" s="50">
        <v>2</v>
      </c>
      <c r="M505" s="51">
        <v>448</v>
      </c>
    </row>
    <row r="506" spans="5:13" x14ac:dyDescent="0.25">
      <c r="E506" s="32">
        <v>94</v>
      </c>
      <c r="F506" s="43">
        <v>45065</v>
      </c>
      <c r="G506" s="44">
        <v>2023</v>
      </c>
      <c r="H506" s="52" t="s">
        <v>5</v>
      </c>
      <c r="I506" s="46" t="s">
        <v>22</v>
      </c>
      <c r="J506" s="46">
        <v>47</v>
      </c>
      <c r="K506" s="46" t="s">
        <v>21</v>
      </c>
      <c r="L506" s="46">
        <v>2</v>
      </c>
      <c r="M506" s="47">
        <v>500</v>
      </c>
    </row>
    <row r="507" spans="5:13" x14ac:dyDescent="0.25">
      <c r="E507" s="33">
        <v>1371</v>
      </c>
      <c r="F507" s="48">
        <v>45402</v>
      </c>
      <c r="G507" s="49">
        <v>2024</v>
      </c>
      <c r="H507" s="45" t="s">
        <v>4</v>
      </c>
      <c r="I507" s="50" t="s">
        <v>22</v>
      </c>
      <c r="J507" s="50">
        <v>48</v>
      </c>
      <c r="K507" s="50" t="s">
        <v>21</v>
      </c>
      <c r="L507" s="50">
        <v>3</v>
      </c>
      <c r="M507" s="51">
        <v>469</v>
      </c>
    </row>
    <row r="508" spans="5:13" x14ac:dyDescent="0.25">
      <c r="E508" s="32">
        <v>1938</v>
      </c>
      <c r="F508" s="43">
        <v>45369</v>
      </c>
      <c r="G508" s="44">
        <v>2024</v>
      </c>
      <c r="H508" s="52" t="s">
        <v>3</v>
      </c>
      <c r="I508" s="46" t="s">
        <v>20</v>
      </c>
      <c r="J508" s="46">
        <v>31</v>
      </c>
      <c r="K508" s="46" t="s">
        <v>23</v>
      </c>
      <c r="L508" s="46">
        <v>2</v>
      </c>
      <c r="M508" s="47">
        <v>485</v>
      </c>
    </row>
    <row r="509" spans="5:13" x14ac:dyDescent="0.25">
      <c r="E509" s="33">
        <v>1696</v>
      </c>
      <c r="F509" s="48">
        <v>45635</v>
      </c>
      <c r="G509" s="49">
        <v>2024</v>
      </c>
      <c r="H509" s="45" t="s">
        <v>12</v>
      </c>
      <c r="I509" s="50" t="s">
        <v>20</v>
      </c>
      <c r="J509" s="50">
        <v>20</v>
      </c>
      <c r="K509" s="50" t="s">
        <v>24</v>
      </c>
      <c r="L509" s="50">
        <v>6</v>
      </c>
      <c r="M509" s="51">
        <v>435</v>
      </c>
    </row>
    <row r="510" spans="5:13" x14ac:dyDescent="0.25">
      <c r="E510" s="32">
        <v>981</v>
      </c>
      <c r="F510" s="43">
        <v>45231</v>
      </c>
      <c r="G510" s="44">
        <v>2023</v>
      </c>
      <c r="H510" s="52" t="s">
        <v>11</v>
      </c>
      <c r="I510" s="46" t="s">
        <v>22</v>
      </c>
      <c r="J510" s="46">
        <v>29</v>
      </c>
      <c r="K510" s="46" t="s">
        <v>23</v>
      </c>
      <c r="L510" s="46">
        <v>1</v>
      </c>
      <c r="M510" s="47">
        <v>300</v>
      </c>
    </row>
    <row r="511" spans="5:13" x14ac:dyDescent="0.25">
      <c r="E511" s="33">
        <v>244</v>
      </c>
      <c r="F511" s="48">
        <v>45175</v>
      </c>
      <c r="G511" s="49">
        <v>2023</v>
      </c>
      <c r="H511" s="45" t="s">
        <v>9</v>
      </c>
      <c r="I511" s="50" t="s">
        <v>20</v>
      </c>
      <c r="J511" s="50">
        <v>47</v>
      </c>
      <c r="K511" s="50" t="s">
        <v>23</v>
      </c>
      <c r="L511" s="50">
        <v>3</v>
      </c>
      <c r="M511" s="51">
        <v>30</v>
      </c>
    </row>
    <row r="512" spans="5:13" x14ac:dyDescent="0.25">
      <c r="E512" s="32">
        <v>1852</v>
      </c>
      <c r="F512" s="43">
        <v>45623</v>
      </c>
      <c r="G512" s="44">
        <v>2024</v>
      </c>
      <c r="H512" s="52" t="s">
        <v>11</v>
      </c>
      <c r="I512" s="46" t="s">
        <v>20</v>
      </c>
      <c r="J512" s="46">
        <v>26</v>
      </c>
      <c r="K512" s="46" t="s">
        <v>24</v>
      </c>
      <c r="L512" s="46">
        <v>1</v>
      </c>
      <c r="M512" s="47">
        <v>378</v>
      </c>
    </row>
    <row r="513" spans="5:13" x14ac:dyDescent="0.25">
      <c r="E513" s="33">
        <v>678</v>
      </c>
      <c r="F513" s="48">
        <v>45221</v>
      </c>
      <c r="G513" s="49">
        <v>2023</v>
      </c>
      <c r="H513" s="45" t="s">
        <v>10</v>
      </c>
      <c r="I513" s="50" t="s">
        <v>22</v>
      </c>
      <c r="J513" s="50">
        <v>53</v>
      </c>
      <c r="K513" s="50" t="s">
        <v>23</v>
      </c>
      <c r="L513" s="50">
        <v>3</v>
      </c>
      <c r="M513" s="51">
        <v>300</v>
      </c>
    </row>
    <row r="514" spans="5:13" x14ac:dyDescent="0.25">
      <c r="E514" s="32">
        <v>60</v>
      </c>
      <c r="F514" s="43">
        <v>45222</v>
      </c>
      <c r="G514" s="44">
        <v>2023</v>
      </c>
      <c r="H514" s="52" t="s">
        <v>10</v>
      </c>
      <c r="I514" s="46" t="s">
        <v>20</v>
      </c>
      <c r="J514" s="46">
        <v>30</v>
      </c>
      <c r="K514" s="46" t="s">
        <v>21</v>
      </c>
      <c r="L514" s="46">
        <v>3</v>
      </c>
      <c r="M514" s="47">
        <v>50</v>
      </c>
    </row>
    <row r="515" spans="5:13" x14ac:dyDescent="0.25">
      <c r="E515" s="33">
        <v>1820</v>
      </c>
      <c r="F515" s="48">
        <v>45417</v>
      </c>
      <c r="G515" s="49">
        <v>2024</v>
      </c>
      <c r="H515" s="45" t="s">
        <v>5</v>
      </c>
      <c r="I515" s="50" t="s">
        <v>20</v>
      </c>
      <c r="J515" s="50">
        <v>22</v>
      </c>
      <c r="K515" s="50" t="s">
        <v>23</v>
      </c>
      <c r="L515" s="50">
        <v>4</v>
      </c>
      <c r="M515" s="51">
        <v>101</v>
      </c>
    </row>
    <row r="516" spans="5:13" x14ac:dyDescent="0.25">
      <c r="E516" s="32">
        <v>519</v>
      </c>
      <c r="F516" s="43">
        <v>45289</v>
      </c>
      <c r="G516" s="44">
        <v>2023</v>
      </c>
      <c r="H516" s="52" t="s">
        <v>12</v>
      </c>
      <c r="I516" s="46" t="s">
        <v>22</v>
      </c>
      <c r="J516" s="46">
        <v>49</v>
      </c>
      <c r="K516" s="46" t="s">
        <v>24</v>
      </c>
      <c r="L516" s="46">
        <v>4</v>
      </c>
      <c r="M516" s="47">
        <v>25</v>
      </c>
    </row>
    <row r="517" spans="5:13" x14ac:dyDescent="0.25">
      <c r="E517" s="33">
        <v>1795</v>
      </c>
      <c r="F517" s="48">
        <v>45543</v>
      </c>
      <c r="G517" s="49">
        <v>2024</v>
      </c>
      <c r="H517" s="45" t="s">
        <v>9</v>
      </c>
      <c r="I517" s="50" t="s">
        <v>20</v>
      </c>
      <c r="J517" s="50">
        <v>25</v>
      </c>
      <c r="K517" s="50" t="s">
        <v>24</v>
      </c>
      <c r="L517" s="50">
        <v>1</v>
      </c>
      <c r="M517" s="51">
        <v>273</v>
      </c>
    </row>
    <row r="518" spans="5:13" x14ac:dyDescent="0.25">
      <c r="E518" s="32">
        <v>809</v>
      </c>
      <c r="F518" s="43">
        <v>45065</v>
      </c>
      <c r="G518" s="44">
        <v>2023</v>
      </c>
      <c r="H518" s="52" t="s">
        <v>5</v>
      </c>
      <c r="I518" s="46" t="s">
        <v>20</v>
      </c>
      <c r="J518" s="46">
        <v>61</v>
      </c>
      <c r="K518" s="46" t="s">
        <v>21</v>
      </c>
      <c r="L518" s="46">
        <v>2</v>
      </c>
      <c r="M518" s="47">
        <v>25</v>
      </c>
    </row>
    <row r="519" spans="5:13" x14ac:dyDescent="0.25">
      <c r="E519" s="33">
        <v>941</v>
      </c>
      <c r="F519" s="48">
        <v>45215</v>
      </c>
      <c r="G519" s="49">
        <v>2023</v>
      </c>
      <c r="H519" s="45" t="s">
        <v>10</v>
      </c>
      <c r="I519" s="50" t="s">
        <v>22</v>
      </c>
      <c r="J519" s="50">
        <v>57</v>
      </c>
      <c r="K519" s="50" t="s">
        <v>23</v>
      </c>
      <c r="L519" s="50">
        <v>4</v>
      </c>
      <c r="M519" s="51">
        <v>300</v>
      </c>
    </row>
    <row r="520" spans="5:13" x14ac:dyDescent="0.25">
      <c r="E520" s="32">
        <v>1483</v>
      </c>
      <c r="F520" s="43">
        <v>45391</v>
      </c>
      <c r="G520" s="44">
        <v>2024</v>
      </c>
      <c r="H520" s="52" t="s">
        <v>4</v>
      </c>
      <c r="I520" s="46" t="s">
        <v>22</v>
      </c>
      <c r="J520" s="46">
        <v>55</v>
      </c>
      <c r="K520" s="46" t="s">
        <v>24</v>
      </c>
      <c r="L520" s="46">
        <v>7</v>
      </c>
      <c r="M520" s="47">
        <v>243</v>
      </c>
    </row>
    <row r="521" spans="5:13" x14ac:dyDescent="0.25">
      <c r="E521" s="33">
        <v>1319</v>
      </c>
      <c r="F521" s="48">
        <v>45321</v>
      </c>
      <c r="G521" s="49">
        <v>2024</v>
      </c>
      <c r="H521" s="45" t="s">
        <v>1</v>
      </c>
      <c r="I521" s="50" t="s">
        <v>20</v>
      </c>
      <c r="J521" s="50">
        <v>46</v>
      </c>
      <c r="K521" s="50" t="s">
        <v>24</v>
      </c>
      <c r="L521" s="50">
        <v>3</v>
      </c>
      <c r="M521" s="51">
        <v>88</v>
      </c>
    </row>
    <row r="522" spans="5:13" x14ac:dyDescent="0.25">
      <c r="E522" s="32">
        <v>1792</v>
      </c>
      <c r="F522" s="43">
        <v>45467</v>
      </c>
      <c r="G522" s="44">
        <v>2024</v>
      </c>
      <c r="H522" s="52" t="s">
        <v>6</v>
      </c>
      <c r="I522" s="46" t="s">
        <v>20</v>
      </c>
      <c r="J522" s="46">
        <v>47</v>
      </c>
      <c r="K522" s="46" t="s">
        <v>21</v>
      </c>
      <c r="L522" s="46">
        <v>2</v>
      </c>
      <c r="M522" s="47">
        <v>340</v>
      </c>
    </row>
    <row r="523" spans="5:13" x14ac:dyDescent="0.25">
      <c r="E523" s="33">
        <v>1125</v>
      </c>
      <c r="F523" s="48">
        <v>45497</v>
      </c>
      <c r="G523" s="49">
        <v>2024</v>
      </c>
      <c r="H523" s="45" t="s">
        <v>7</v>
      </c>
      <c r="I523" s="50" t="s">
        <v>22</v>
      </c>
      <c r="J523" s="50">
        <v>34</v>
      </c>
      <c r="K523" s="50" t="s">
        <v>23</v>
      </c>
      <c r="L523" s="50">
        <v>7</v>
      </c>
      <c r="M523" s="51">
        <v>466</v>
      </c>
    </row>
    <row r="524" spans="5:13" x14ac:dyDescent="0.25">
      <c r="E524" s="32">
        <v>1382</v>
      </c>
      <c r="F524" s="43">
        <v>45571</v>
      </c>
      <c r="G524" s="44">
        <v>2024</v>
      </c>
      <c r="H524" s="52" t="s">
        <v>10</v>
      </c>
      <c r="I524" s="46" t="s">
        <v>20</v>
      </c>
      <c r="J524" s="46">
        <v>19</v>
      </c>
      <c r="K524" s="46" t="s">
        <v>24</v>
      </c>
      <c r="L524" s="46">
        <v>1</v>
      </c>
      <c r="M524" s="47">
        <v>366</v>
      </c>
    </row>
    <row r="525" spans="5:13" x14ac:dyDescent="0.25">
      <c r="E525" s="33">
        <v>1203</v>
      </c>
      <c r="F525" s="48">
        <v>45603</v>
      </c>
      <c r="G525" s="49">
        <v>2024</v>
      </c>
      <c r="H525" s="45" t="s">
        <v>11</v>
      </c>
      <c r="I525" s="50" t="s">
        <v>22</v>
      </c>
      <c r="J525" s="50">
        <v>55</v>
      </c>
      <c r="K525" s="50" t="s">
        <v>23</v>
      </c>
      <c r="L525" s="50">
        <v>1</v>
      </c>
      <c r="M525" s="51">
        <v>238</v>
      </c>
    </row>
    <row r="526" spans="5:13" x14ac:dyDescent="0.25">
      <c r="E526" s="32">
        <v>562</v>
      </c>
      <c r="F526" s="43">
        <v>45147</v>
      </c>
      <c r="G526" s="44">
        <v>2023</v>
      </c>
      <c r="H526" s="52" t="s">
        <v>8</v>
      </c>
      <c r="I526" s="46" t="s">
        <v>20</v>
      </c>
      <c r="J526" s="46">
        <v>20</v>
      </c>
      <c r="K526" s="46" t="s">
        <v>23</v>
      </c>
      <c r="L526" s="46">
        <v>2</v>
      </c>
      <c r="M526" s="47">
        <v>30</v>
      </c>
    </row>
    <row r="527" spans="5:13" x14ac:dyDescent="0.25">
      <c r="E527" s="33">
        <v>852</v>
      </c>
      <c r="F527" s="48">
        <v>45280</v>
      </c>
      <c r="G527" s="49">
        <v>2023</v>
      </c>
      <c r="H527" s="45" t="s">
        <v>12</v>
      </c>
      <c r="I527" s="50" t="s">
        <v>20</v>
      </c>
      <c r="J527" s="50">
        <v>29</v>
      </c>
      <c r="K527" s="50" t="s">
        <v>23</v>
      </c>
      <c r="L527" s="50">
        <v>1</v>
      </c>
      <c r="M527" s="51">
        <v>50</v>
      </c>
    </row>
    <row r="528" spans="5:13" x14ac:dyDescent="0.25">
      <c r="E528" s="32">
        <v>1897</v>
      </c>
      <c r="F528" s="43">
        <v>45392</v>
      </c>
      <c r="G528" s="44">
        <v>2024</v>
      </c>
      <c r="H528" s="52" t="s">
        <v>4</v>
      </c>
      <c r="I528" s="46" t="s">
        <v>20</v>
      </c>
      <c r="J528" s="46">
        <v>55</v>
      </c>
      <c r="K528" s="46" t="s">
        <v>24</v>
      </c>
      <c r="L528" s="46">
        <v>4</v>
      </c>
      <c r="M528" s="47">
        <v>286</v>
      </c>
    </row>
    <row r="529" spans="5:13" x14ac:dyDescent="0.25">
      <c r="E529" s="33">
        <v>1362</v>
      </c>
      <c r="F529" s="48">
        <v>45454</v>
      </c>
      <c r="G529" s="49">
        <v>2024</v>
      </c>
      <c r="H529" s="45" t="s">
        <v>6</v>
      </c>
      <c r="I529" s="50" t="s">
        <v>20</v>
      </c>
      <c r="J529" s="50">
        <v>51</v>
      </c>
      <c r="K529" s="50" t="s">
        <v>23</v>
      </c>
      <c r="L529" s="50">
        <v>5</v>
      </c>
      <c r="M529" s="51">
        <v>406</v>
      </c>
    </row>
    <row r="530" spans="5:13" x14ac:dyDescent="0.25">
      <c r="E530" s="32">
        <v>556</v>
      </c>
      <c r="F530" s="43">
        <v>45134</v>
      </c>
      <c r="G530" s="44">
        <v>2023</v>
      </c>
      <c r="H530" s="52" t="s">
        <v>7</v>
      </c>
      <c r="I530" s="46" t="s">
        <v>22</v>
      </c>
      <c r="J530" s="46">
        <v>20</v>
      </c>
      <c r="K530" s="46" t="s">
        <v>21</v>
      </c>
      <c r="L530" s="46">
        <v>3</v>
      </c>
      <c r="M530" s="47">
        <v>30</v>
      </c>
    </row>
    <row r="531" spans="5:13" x14ac:dyDescent="0.25">
      <c r="E531" s="33">
        <v>1961</v>
      </c>
      <c r="F531" s="48">
        <v>45605</v>
      </c>
      <c r="G531" s="49">
        <v>2024</v>
      </c>
      <c r="H531" s="45" t="s">
        <v>11</v>
      </c>
      <c r="I531" s="50" t="s">
        <v>20</v>
      </c>
      <c r="J531" s="50">
        <v>34</v>
      </c>
      <c r="K531" s="50" t="s">
        <v>23</v>
      </c>
      <c r="L531" s="50">
        <v>7</v>
      </c>
      <c r="M531" s="51">
        <v>496</v>
      </c>
    </row>
    <row r="532" spans="5:13" x14ac:dyDescent="0.25">
      <c r="E532" s="32">
        <v>258</v>
      </c>
      <c r="F532" s="43">
        <v>45147</v>
      </c>
      <c r="G532" s="44">
        <v>2023</v>
      </c>
      <c r="H532" s="52" t="s">
        <v>8</v>
      </c>
      <c r="I532" s="46" t="s">
        <v>22</v>
      </c>
      <c r="J532" s="46">
        <v>45</v>
      </c>
      <c r="K532" s="46" t="s">
        <v>23</v>
      </c>
      <c r="L532" s="46">
        <v>4</v>
      </c>
      <c r="M532" s="47">
        <v>50</v>
      </c>
    </row>
    <row r="533" spans="5:13" x14ac:dyDescent="0.25">
      <c r="E533" s="33">
        <v>988</v>
      </c>
      <c r="F533" s="48">
        <v>45071</v>
      </c>
      <c r="G533" s="49">
        <v>2023</v>
      </c>
      <c r="H533" s="45" t="s">
        <v>5</v>
      </c>
      <c r="I533" s="50" t="s">
        <v>22</v>
      </c>
      <c r="J533" s="50">
        <v>58</v>
      </c>
      <c r="K533" s="50" t="s">
        <v>21</v>
      </c>
      <c r="L533" s="50">
        <v>2</v>
      </c>
      <c r="M533" s="51">
        <v>500</v>
      </c>
    </row>
    <row r="534" spans="5:13" x14ac:dyDescent="0.25">
      <c r="E534" s="32">
        <v>1671</v>
      </c>
      <c r="F534" s="43">
        <v>45508</v>
      </c>
      <c r="G534" s="44">
        <v>2024</v>
      </c>
      <c r="H534" s="52" t="s">
        <v>8</v>
      </c>
      <c r="I534" s="46" t="s">
        <v>22</v>
      </c>
      <c r="J534" s="46">
        <v>20</v>
      </c>
      <c r="K534" s="46" t="s">
        <v>23</v>
      </c>
      <c r="L534" s="46">
        <v>6</v>
      </c>
      <c r="M534" s="47">
        <v>93</v>
      </c>
    </row>
    <row r="535" spans="5:13" x14ac:dyDescent="0.25">
      <c r="E535" s="33">
        <v>1633</v>
      </c>
      <c r="F535" s="48">
        <v>45374</v>
      </c>
      <c r="G535" s="49">
        <v>2024</v>
      </c>
      <c r="H535" s="45" t="s">
        <v>3</v>
      </c>
      <c r="I535" s="50" t="s">
        <v>22</v>
      </c>
      <c r="J535" s="50">
        <v>56</v>
      </c>
      <c r="K535" s="50" t="s">
        <v>21</v>
      </c>
      <c r="L535" s="50">
        <v>2</v>
      </c>
      <c r="M535" s="51">
        <v>384</v>
      </c>
    </row>
    <row r="536" spans="5:13" x14ac:dyDescent="0.25">
      <c r="E536" s="32">
        <v>308</v>
      </c>
      <c r="F536" s="43">
        <v>45283</v>
      </c>
      <c r="G536" s="44">
        <v>2023</v>
      </c>
      <c r="H536" s="52" t="s">
        <v>12</v>
      </c>
      <c r="I536" s="46" t="s">
        <v>22</v>
      </c>
      <c r="J536" s="46">
        <v>26</v>
      </c>
      <c r="K536" s="46" t="s">
        <v>21</v>
      </c>
      <c r="L536" s="46">
        <v>1</v>
      </c>
      <c r="M536" s="47">
        <v>25</v>
      </c>
    </row>
    <row r="537" spans="5:13" x14ac:dyDescent="0.25">
      <c r="E537" s="33">
        <v>681</v>
      </c>
      <c r="F537" s="48">
        <v>44930</v>
      </c>
      <c r="G537" s="49">
        <v>2023</v>
      </c>
      <c r="H537" s="45" t="s">
        <v>1</v>
      </c>
      <c r="I537" s="50" t="s">
        <v>20</v>
      </c>
      <c r="J537" s="50">
        <v>38</v>
      </c>
      <c r="K537" s="50" t="s">
        <v>21</v>
      </c>
      <c r="L537" s="50">
        <v>2</v>
      </c>
      <c r="M537" s="51">
        <v>500</v>
      </c>
    </row>
    <row r="538" spans="5:13" x14ac:dyDescent="0.25">
      <c r="E538" s="32">
        <v>1570</v>
      </c>
      <c r="F538" s="43">
        <v>45554</v>
      </c>
      <c r="G538" s="44">
        <v>2024</v>
      </c>
      <c r="H538" s="52" t="s">
        <v>9</v>
      </c>
      <c r="I538" s="46" t="s">
        <v>20</v>
      </c>
      <c r="J538" s="46">
        <v>23</v>
      </c>
      <c r="K538" s="46" t="s">
        <v>21</v>
      </c>
      <c r="L538" s="46">
        <v>4</v>
      </c>
      <c r="M538" s="47">
        <v>403</v>
      </c>
    </row>
    <row r="539" spans="5:13" x14ac:dyDescent="0.25">
      <c r="E539" s="33">
        <v>1810</v>
      </c>
      <c r="F539" s="48">
        <v>45540</v>
      </c>
      <c r="G539" s="49">
        <v>2024</v>
      </c>
      <c r="H539" s="45" t="s">
        <v>9</v>
      </c>
      <c r="I539" s="50" t="s">
        <v>22</v>
      </c>
      <c r="J539" s="50">
        <v>55</v>
      </c>
      <c r="K539" s="50" t="s">
        <v>23</v>
      </c>
      <c r="L539" s="50">
        <v>2</v>
      </c>
      <c r="M539" s="51">
        <v>113</v>
      </c>
    </row>
    <row r="540" spans="5:13" x14ac:dyDescent="0.25">
      <c r="E540" s="32">
        <v>897</v>
      </c>
      <c r="F540" s="43">
        <v>45071</v>
      </c>
      <c r="G540" s="44">
        <v>2023</v>
      </c>
      <c r="H540" s="52" t="s">
        <v>5</v>
      </c>
      <c r="I540" s="46" t="s">
        <v>20</v>
      </c>
      <c r="J540" s="46">
        <v>26</v>
      </c>
      <c r="K540" s="46" t="s">
        <v>23</v>
      </c>
      <c r="L540" s="46">
        <v>2</v>
      </c>
      <c r="M540" s="47">
        <v>300</v>
      </c>
    </row>
    <row r="541" spans="5:13" x14ac:dyDescent="0.25">
      <c r="E541" s="33">
        <v>1044</v>
      </c>
      <c r="F541" s="48">
        <v>45469</v>
      </c>
      <c r="G541" s="49">
        <v>2024</v>
      </c>
      <c r="H541" s="45" t="s">
        <v>6</v>
      </c>
      <c r="I541" s="50" t="s">
        <v>22</v>
      </c>
      <c r="J541" s="50">
        <v>34</v>
      </c>
      <c r="K541" s="50" t="s">
        <v>24</v>
      </c>
      <c r="L541" s="50">
        <v>7</v>
      </c>
      <c r="M541" s="51">
        <v>370</v>
      </c>
    </row>
    <row r="542" spans="5:13" x14ac:dyDescent="0.25">
      <c r="E542" s="32">
        <v>953</v>
      </c>
      <c r="F542" s="43">
        <v>45121</v>
      </c>
      <c r="G542" s="44">
        <v>2023</v>
      </c>
      <c r="H542" s="52" t="s">
        <v>7</v>
      </c>
      <c r="I542" s="46" t="s">
        <v>20</v>
      </c>
      <c r="J542" s="46">
        <v>58</v>
      </c>
      <c r="K542" s="46" t="s">
        <v>23</v>
      </c>
      <c r="L542" s="46">
        <v>1</v>
      </c>
      <c r="M542" s="47">
        <v>25</v>
      </c>
    </row>
    <row r="543" spans="5:13" x14ac:dyDescent="0.25">
      <c r="E543" s="33">
        <v>787</v>
      </c>
      <c r="F543" s="48">
        <v>45199</v>
      </c>
      <c r="G543" s="49">
        <v>2023</v>
      </c>
      <c r="H543" s="45" t="s">
        <v>9</v>
      </c>
      <c r="I543" s="50" t="s">
        <v>22</v>
      </c>
      <c r="J543" s="50">
        <v>61</v>
      </c>
      <c r="K543" s="50" t="s">
        <v>23</v>
      </c>
      <c r="L543" s="50">
        <v>4</v>
      </c>
      <c r="M543" s="51">
        <v>500</v>
      </c>
    </row>
    <row r="544" spans="5:13" x14ac:dyDescent="0.25">
      <c r="E544" s="32">
        <v>1895</v>
      </c>
      <c r="F544" s="43">
        <v>45437</v>
      </c>
      <c r="G544" s="44">
        <v>2024</v>
      </c>
      <c r="H544" s="52" t="s">
        <v>5</v>
      </c>
      <c r="I544" s="46" t="s">
        <v>20</v>
      </c>
      <c r="J544" s="46">
        <v>25</v>
      </c>
      <c r="K544" s="46" t="s">
        <v>23</v>
      </c>
      <c r="L544" s="46">
        <v>4</v>
      </c>
      <c r="M544" s="47">
        <v>473</v>
      </c>
    </row>
    <row r="545" spans="5:13" x14ac:dyDescent="0.25">
      <c r="E545" s="33">
        <v>573</v>
      </c>
      <c r="F545" s="48">
        <v>45169</v>
      </c>
      <c r="G545" s="49">
        <v>2023</v>
      </c>
      <c r="H545" s="45" t="s">
        <v>8</v>
      </c>
      <c r="I545" s="50" t="s">
        <v>22</v>
      </c>
      <c r="J545" s="50">
        <v>63</v>
      </c>
      <c r="K545" s="50" t="s">
        <v>24</v>
      </c>
      <c r="L545" s="50">
        <v>2</v>
      </c>
      <c r="M545" s="51">
        <v>25</v>
      </c>
    </row>
    <row r="546" spans="5:13" x14ac:dyDescent="0.25">
      <c r="E546" s="32">
        <v>887</v>
      </c>
      <c r="F546" s="43">
        <v>45201</v>
      </c>
      <c r="G546" s="44">
        <v>2023</v>
      </c>
      <c r="H546" s="52" t="s">
        <v>10</v>
      </c>
      <c r="I546" s="46" t="s">
        <v>22</v>
      </c>
      <c r="J546" s="46">
        <v>35</v>
      </c>
      <c r="K546" s="46" t="s">
        <v>24</v>
      </c>
      <c r="L546" s="46">
        <v>1</v>
      </c>
      <c r="M546" s="47">
        <v>50</v>
      </c>
    </row>
    <row r="547" spans="5:13" x14ac:dyDescent="0.25">
      <c r="E547" s="33">
        <v>1246</v>
      </c>
      <c r="F547" s="48">
        <v>45585</v>
      </c>
      <c r="G547" s="49">
        <v>2024</v>
      </c>
      <c r="H547" s="45" t="s">
        <v>10</v>
      </c>
      <c r="I547" s="50" t="s">
        <v>20</v>
      </c>
      <c r="J547" s="50">
        <v>63</v>
      </c>
      <c r="K547" s="50" t="s">
        <v>23</v>
      </c>
      <c r="L547" s="50">
        <v>5</v>
      </c>
      <c r="M547" s="51">
        <v>38</v>
      </c>
    </row>
    <row r="548" spans="5:13" x14ac:dyDescent="0.25">
      <c r="E548" s="32">
        <v>1422</v>
      </c>
      <c r="F548" s="43">
        <v>45427</v>
      </c>
      <c r="G548" s="44">
        <v>2024</v>
      </c>
      <c r="H548" s="52" t="s">
        <v>5</v>
      </c>
      <c r="I548" s="46" t="s">
        <v>22</v>
      </c>
      <c r="J548" s="46">
        <v>42</v>
      </c>
      <c r="K548" s="46" t="s">
        <v>24</v>
      </c>
      <c r="L548" s="46">
        <v>2</v>
      </c>
      <c r="M548" s="47">
        <v>446</v>
      </c>
    </row>
    <row r="549" spans="5:13" x14ac:dyDescent="0.25">
      <c r="E549" s="33">
        <v>1153</v>
      </c>
      <c r="F549" s="48">
        <v>45429</v>
      </c>
      <c r="G549" s="49">
        <v>2024</v>
      </c>
      <c r="H549" s="45" t="s">
        <v>5</v>
      </c>
      <c r="I549" s="50" t="s">
        <v>20</v>
      </c>
      <c r="J549" s="50">
        <v>19</v>
      </c>
      <c r="K549" s="50" t="s">
        <v>24</v>
      </c>
      <c r="L549" s="50">
        <v>1</v>
      </c>
      <c r="M549" s="51">
        <v>28</v>
      </c>
    </row>
    <row r="550" spans="5:13" x14ac:dyDescent="0.25">
      <c r="E550" s="32">
        <v>268</v>
      </c>
      <c r="F550" s="43">
        <v>44958</v>
      </c>
      <c r="G550" s="44">
        <v>2023</v>
      </c>
      <c r="H550" s="52" t="s">
        <v>2</v>
      </c>
      <c r="I550" s="46" t="s">
        <v>20</v>
      </c>
      <c r="J550" s="46">
        <v>25</v>
      </c>
      <c r="K550" s="46" t="s">
        <v>23</v>
      </c>
      <c r="L550" s="46">
        <v>4</v>
      </c>
      <c r="M550" s="47">
        <v>500</v>
      </c>
    </row>
    <row r="551" spans="5:13" x14ac:dyDescent="0.25">
      <c r="E551" s="33">
        <v>939</v>
      </c>
      <c r="F551" s="48">
        <v>45004</v>
      </c>
      <c r="G551" s="49">
        <v>2023</v>
      </c>
      <c r="H551" s="45" t="s">
        <v>3</v>
      </c>
      <c r="I551" s="50" t="s">
        <v>22</v>
      </c>
      <c r="J551" s="50">
        <v>57</v>
      </c>
      <c r="K551" s="50" t="s">
        <v>23</v>
      </c>
      <c r="L551" s="50">
        <v>2</v>
      </c>
      <c r="M551" s="51">
        <v>25</v>
      </c>
    </row>
    <row r="552" spans="5:13" x14ac:dyDescent="0.25">
      <c r="E552" s="32">
        <v>1754</v>
      </c>
      <c r="F552" s="43">
        <v>45424</v>
      </c>
      <c r="G552" s="44">
        <v>2024</v>
      </c>
      <c r="H552" s="52" t="s">
        <v>5</v>
      </c>
      <c r="I552" s="46" t="s">
        <v>20</v>
      </c>
      <c r="J552" s="46">
        <v>62</v>
      </c>
      <c r="K552" s="46" t="s">
        <v>23</v>
      </c>
      <c r="L552" s="46">
        <v>5</v>
      </c>
      <c r="M552" s="47">
        <v>373</v>
      </c>
    </row>
    <row r="553" spans="5:13" x14ac:dyDescent="0.25">
      <c r="E553" s="33">
        <v>1321</v>
      </c>
      <c r="F553" s="48">
        <v>45592</v>
      </c>
      <c r="G553" s="49">
        <v>2024</v>
      </c>
      <c r="H553" s="45" t="s">
        <v>10</v>
      </c>
      <c r="I553" s="50" t="s">
        <v>22</v>
      </c>
      <c r="J553" s="50">
        <v>27</v>
      </c>
      <c r="K553" s="50" t="s">
        <v>24</v>
      </c>
      <c r="L553" s="50">
        <v>5</v>
      </c>
      <c r="M553" s="51">
        <v>395</v>
      </c>
    </row>
    <row r="554" spans="5:13" x14ac:dyDescent="0.25">
      <c r="E554" s="32">
        <v>151</v>
      </c>
      <c r="F554" s="43">
        <v>45275</v>
      </c>
      <c r="G554" s="44">
        <v>2023</v>
      </c>
      <c r="H554" s="52" t="s">
        <v>12</v>
      </c>
      <c r="I554" s="46" t="s">
        <v>20</v>
      </c>
      <c r="J554" s="46">
        <v>29</v>
      </c>
      <c r="K554" s="46" t="s">
        <v>23</v>
      </c>
      <c r="L554" s="46">
        <v>1</v>
      </c>
      <c r="M554" s="47">
        <v>50</v>
      </c>
    </row>
    <row r="555" spans="5:13" x14ac:dyDescent="0.25">
      <c r="E555" s="33">
        <v>713</v>
      </c>
      <c r="F555" s="48">
        <v>45256</v>
      </c>
      <c r="G555" s="49">
        <v>2023</v>
      </c>
      <c r="H555" s="45" t="s">
        <v>11</v>
      </c>
      <c r="I555" s="50" t="s">
        <v>22</v>
      </c>
      <c r="J555" s="50">
        <v>42</v>
      </c>
      <c r="K555" s="50" t="s">
        <v>21</v>
      </c>
      <c r="L555" s="50">
        <v>4</v>
      </c>
      <c r="M555" s="51">
        <v>25</v>
      </c>
    </row>
    <row r="556" spans="5:13" x14ac:dyDescent="0.25">
      <c r="E556" s="32">
        <v>812</v>
      </c>
      <c r="F556" s="43">
        <v>45174</v>
      </c>
      <c r="G556" s="44">
        <v>2023</v>
      </c>
      <c r="H556" s="52" t="s">
        <v>9</v>
      </c>
      <c r="I556" s="46" t="s">
        <v>22</v>
      </c>
      <c r="J556" s="46">
        <v>59</v>
      </c>
      <c r="K556" s="46" t="s">
        <v>23</v>
      </c>
      <c r="L556" s="46">
        <v>1</v>
      </c>
      <c r="M556" s="47">
        <v>500</v>
      </c>
    </row>
    <row r="557" spans="5:13" x14ac:dyDescent="0.25">
      <c r="E557" s="33">
        <v>221</v>
      </c>
      <c r="F557" s="48">
        <v>45042</v>
      </c>
      <c r="G557" s="49">
        <v>2023</v>
      </c>
      <c r="H557" s="45" t="s">
        <v>4</v>
      </c>
      <c r="I557" s="50" t="s">
        <v>20</v>
      </c>
      <c r="J557" s="50">
        <v>51</v>
      </c>
      <c r="K557" s="50" t="s">
        <v>23</v>
      </c>
      <c r="L557" s="50">
        <v>4</v>
      </c>
      <c r="M557" s="51">
        <v>30</v>
      </c>
    </row>
    <row r="558" spans="5:13" x14ac:dyDescent="0.25">
      <c r="E558" s="32">
        <v>1459</v>
      </c>
      <c r="F558" s="43">
        <v>45383</v>
      </c>
      <c r="G558" s="44">
        <v>2024</v>
      </c>
      <c r="H558" s="52" t="s">
        <v>4</v>
      </c>
      <c r="I558" s="46" t="s">
        <v>20</v>
      </c>
      <c r="J558" s="46">
        <v>25</v>
      </c>
      <c r="K558" s="46" t="s">
        <v>24</v>
      </c>
      <c r="L558" s="46">
        <v>6</v>
      </c>
      <c r="M558" s="47">
        <v>162</v>
      </c>
    </row>
    <row r="559" spans="5:13" x14ac:dyDescent="0.25">
      <c r="E559" s="33">
        <v>664</v>
      </c>
      <c r="F559" s="48">
        <v>44959</v>
      </c>
      <c r="G559" s="49">
        <v>2023</v>
      </c>
      <c r="H559" s="45" t="s">
        <v>2</v>
      </c>
      <c r="I559" s="50" t="s">
        <v>20</v>
      </c>
      <c r="J559" s="50">
        <v>51</v>
      </c>
      <c r="K559" s="50" t="s">
        <v>24</v>
      </c>
      <c r="L559" s="50">
        <v>3</v>
      </c>
      <c r="M559" s="51">
        <v>50</v>
      </c>
    </row>
    <row r="560" spans="5:13" x14ac:dyDescent="0.25">
      <c r="E560" s="32">
        <v>442</v>
      </c>
      <c r="F560" s="43">
        <v>45147</v>
      </c>
      <c r="G560" s="44">
        <v>2023</v>
      </c>
      <c r="H560" s="52" t="s">
        <v>8</v>
      </c>
      <c r="I560" s="46" t="s">
        <v>20</v>
      </c>
      <c r="J560" s="46">
        <v>29</v>
      </c>
      <c r="K560" s="46" t="s">
        <v>23</v>
      </c>
      <c r="L560" s="46">
        <v>2</v>
      </c>
      <c r="M560" s="47">
        <v>300</v>
      </c>
    </row>
    <row r="561" spans="5:13" x14ac:dyDescent="0.25">
      <c r="E561" s="33">
        <v>430</v>
      </c>
      <c r="F561" s="48">
        <v>45214</v>
      </c>
      <c r="G561" s="49">
        <v>2023</v>
      </c>
      <c r="H561" s="45" t="s">
        <v>10</v>
      </c>
      <c r="I561" s="50" t="s">
        <v>20</v>
      </c>
      <c r="J561" s="50">
        <v>63</v>
      </c>
      <c r="K561" s="50" t="s">
        <v>24</v>
      </c>
      <c r="L561" s="50">
        <v>4</v>
      </c>
      <c r="M561" s="51">
        <v>300</v>
      </c>
    </row>
    <row r="562" spans="5:13" x14ac:dyDescent="0.25">
      <c r="E562" s="32">
        <v>1595</v>
      </c>
      <c r="F562" s="43">
        <v>45505</v>
      </c>
      <c r="G562" s="44">
        <v>2024</v>
      </c>
      <c r="H562" s="52" t="s">
        <v>8</v>
      </c>
      <c r="I562" s="46" t="s">
        <v>20</v>
      </c>
      <c r="J562" s="46">
        <v>55</v>
      </c>
      <c r="K562" s="46" t="s">
        <v>21</v>
      </c>
      <c r="L562" s="46">
        <v>6</v>
      </c>
      <c r="M562" s="47">
        <v>128</v>
      </c>
    </row>
    <row r="563" spans="5:13" x14ac:dyDescent="0.25">
      <c r="E563" s="33">
        <v>1099</v>
      </c>
      <c r="F563" s="48">
        <v>45320</v>
      </c>
      <c r="G563" s="49">
        <v>2024</v>
      </c>
      <c r="H563" s="45" t="s">
        <v>1</v>
      </c>
      <c r="I563" s="50" t="s">
        <v>20</v>
      </c>
      <c r="J563" s="50">
        <v>45</v>
      </c>
      <c r="K563" s="50" t="s">
        <v>23</v>
      </c>
      <c r="L563" s="50">
        <v>7</v>
      </c>
      <c r="M563" s="51">
        <v>395</v>
      </c>
    </row>
    <row r="564" spans="5:13" x14ac:dyDescent="0.25">
      <c r="E564" s="32">
        <v>1515</v>
      </c>
      <c r="F564" s="43">
        <v>45423</v>
      </c>
      <c r="G564" s="44">
        <v>2024</v>
      </c>
      <c r="H564" s="52" t="s">
        <v>5</v>
      </c>
      <c r="I564" s="46" t="s">
        <v>22</v>
      </c>
      <c r="J564" s="46">
        <v>48</v>
      </c>
      <c r="K564" s="46" t="s">
        <v>23</v>
      </c>
      <c r="L564" s="46">
        <v>2</v>
      </c>
      <c r="M564" s="47">
        <v>185</v>
      </c>
    </row>
    <row r="565" spans="5:13" x14ac:dyDescent="0.25">
      <c r="E565" s="33">
        <v>1135</v>
      </c>
      <c r="F565" s="48">
        <v>45614</v>
      </c>
      <c r="G565" s="49">
        <v>2024</v>
      </c>
      <c r="H565" s="45" t="s">
        <v>11</v>
      </c>
      <c r="I565" s="50" t="s">
        <v>20</v>
      </c>
      <c r="J565" s="50">
        <v>33</v>
      </c>
      <c r="K565" s="50" t="s">
        <v>21</v>
      </c>
      <c r="L565" s="50">
        <v>2</v>
      </c>
      <c r="M565" s="51">
        <v>293</v>
      </c>
    </row>
    <row r="566" spans="5:13" x14ac:dyDescent="0.25">
      <c r="E566" s="32">
        <v>593</v>
      </c>
      <c r="F566" s="43">
        <v>45170</v>
      </c>
      <c r="G566" s="44">
        <v>2023</v>
      </c>
      <c r="H566" s="52" t="s">
        <v>9</v>
      </c>
      <c r="I566" s="46" t="s">
        <v>22</v>
      </c>
      <c r="J566" s="46">
        <v>19</v>
      </c>
      <c r="K566" s="46" t="s">
        <v>24</v>
      </c>
      <c r="L566" s="46">
        <v>2</v>
      </c>
      <c r="M566" s="47">
        <v>300</v>
      </c>
    </row>
    <row r="567" spans="5:13" x14ac:dyDescent="0.25">
      <c r="E567" s="33">
        <v>484</v>
      </c>
      <c r="F567" s="48">
        <v>45264</v>
      </c>
      <c r="G567" s="49">
        <v>2023</v>
      </c>
      <c r="H567" s="45" t="s">
        <v>12</v>
      </c>
      <c r="I567" s="50" t="s">
        <v>20</v>
      </c>
      <c r="J567" s="50">
        <v>24</v>
      </c>
      <c r="K567" s="50" t="s">
        <v>24</v>
      </c>
      <c r="L567" s="50">
        <v>1</v>
      </c>
      <c r="M567" s="51">
        <v>30</v>
      </c>
    </row>
    <row r="568" spans="5:13" x14ac:dyDescent="0.25">
      <c r="E568" s="32">
        <v>493</v>
      </c>
      <c r="F568" s="43">
        <v>45187</v>
      </c>
      <c r="G568" s="44">
        <v>2023</v>
      </c>
      <c r="H568" s="52" t="s">
        <v>9</v>
      </c>
      <c r="I568" s="46" t="s">
        <v>22</v>
      </c>
      <c r="J568" s="46">
        <v>42</v>
      </c>
      <c r="K568" s="46" t="s">
        <v>21</v>
      </c>
      <c r="L568" s="46">
        <v>4</v>
      </c>
      <c r="M568" s="47">
        <v>50</v>
      </c>
    </row>
    <row r="569" spans="5:13" x14ac:dyDescent="0.25">
      <c r="E569" s="33">
        <v>356</v>
      </c>
      <c r="F569" s="48">
        <v>45049</v>
      </c>
      <c r="G569" s="49">
        <v>2023</v>
      </c>
      <c r="H569" s="45" t="s">
        <v>5</v>
      </c>
      <c r="I569" s="50" t="s">
        <v>22</v>
      </c>
      <c r="J569" s="50">
        <v>40</v>
      </c>
      <c r="K569" s="50" t="s">
        <v>24</v>
      </c>
      <c r="L569" s="50">
        <v>3</v>
      </c>
      <c r="M569" s="51">
        <v>25</v>
      </c>
    </row>
    <row r="570" spans="5:13" x14ac:dyDescent="0.25">
      <c r="E570" s="32">
        <v>1663</v>
      </c>
      <c r="F570" s="43">
        <v>45505</v>
      </c>
      <c r="G570" s="44">
        <v>2024</v>
      </c>
      <c r="H570" s="52" t="s">
        <v>8</v>
      </c>
      <c r="I570" s="46" t="s">
        <v>22</v>
      </c>
      <c r="J570" s="46">
        <v>27</v>
      </c>
      <c r="K570" s="46" t="s">
        <v>24</v>
      </c>
      <c r="L570" s="46">
        <v>3</v>
      </c>
      <c r="M570" s="47">
        <v>349</v>
      </c>
    </row>
    <row r="571" spans="5:13" x14ac:dyDescent="0.25">
      <c r="E571" s="33">
        <v>1138</v>
      </c>
      <c r="F571" s="48">
        <v>45509</v>
      </c>
      <c r="G571" s="49">
        <v>2024</v>
      </c>
      <c r="H571" s="45" t="s">
        <v>8</v>
      </c>
      <c r="I571" s="50" t="s">
        <v>20</v>
      </c>
      <c r="J571" s="50">
        <v>24</v>
      </c>
      <c r="K571" s="50" t="s">
        <v>24</v>
      </c>
      <c r="L571" s="50">
        <v>3</v>
      </c>
      <c r="M571" s="51">
        <v>191</v>
      </c>
    </row>
    <row r="572" spans="5:13" x14ac:dyDescent="0.25">
      <c r="E572" s="32">
        <v>542</v>
      </c>
      <c r="F572" s="43">
        <v>45133</v>
      </c>
      <c r="G572" s="44">
        <v>2023</v>
      </c>
      <c r="H572" s="52" t="s">
        <v>7</v>
      </c>
      <c r="I572" s="46" t="s">
        <v>20</v>
      </c>
      <c r="J572" s="46">
        <v>49</v>
      </c>
      <c r="K572" s="46" t="s">
        <v>21</v>
      </c>
      <c r="L572" s="46">
        <v>2</v>
      </c>
      <c r="M572" s="47">
        <v>300</v>
      </c>
    </row>
    <row r="573" spans="5:13" x14ac:dyDescent="0.25">
      <c r="E573" s="33">
        <v>1445</v>
      </c>
      <c r="F573" s="48">
        <v>45312</v>
      </c>
      <c r="G573" s="49">
        <v>2024</v>
      </c>
      <c r="H573" s="45" t="s">
        <v>1</v>
      </c>
      <c r="I573" s="50" t="s">
        <v>22</v>
      </c>
      <c r="J573" s="50">
        <v>34</v>
      </c>
      <c r="K573" s="50" t="s">
        <v>21</v>
      </c>
      <c r="L573" s="50">
        <v>6</v>
      </c>
      <c r="M573" s="51">
        <v>260</v>
      </c>
    </row>
    <row r="574" spans="5:13" x14ac:dyDescent="0.25">
      <c r="E574" s="32">
        <v>1470</v>
      </c>
      <c r="F574" s="43">
        <v>45347</v>
      </c>
      <c r="G574" s="44">
        <v>2024</v>
      </c>
      <c r="H574" s="52" t="s">
        <v>2</v>
      </c>
      <c r="I574" s="46" t="s">
        <v>20</v>
      </c>
      <c r="J574" s="46">
        <v>55</v>
      </c>
      <c r="K574" s="46" t="s">
        <v>21</v>
      </c>
      <c r="L574" s="46">
        <v>1</v>
      </c>
      <c r="M574" s="47">
        <v>121</v>
      </c>
    </row>
    <row r="575" spans="5:13" x14ac:dyDescent="0.25">
      <c r="E575" s="33">
        <v>1167</v>
      </c>
      <c r="F575" s="48">
        <v>45613</v>
      </c>
      <c r="G575" s="49">
        <v>2024</v>
      </c>
      <c r="H575" s="45" t="s">
        <v>11</v>
      </c>
      <c r="I575" s="50" t="s">
        <v>20</v>
      </c>
      <c r="J575" s="50">
        <v>64</v>
      </c>
      <c r="K575" s="50" t="s">
        <v>21</v>
      </c>
      <c r="L575" s="50">
        <v>6</v>
      </c>
      <c r="M575" s="51">
        <v>140</v>
      </c>
    </row>
    <row r="576" spans="5:13" x14ac:dyDescent="0.25">
      <c r="E576" s="32">
        <v>1118</v>
      </c>
      <c r="F576" s="43">
        <v>45419</v>
      </c>
      <c r="G576" s="44">
        <v>2024</v>
      </c>
      <c r="H576" s="52" t="s">
        <v>5</v>
      </c>
      <c r="I576" s="46" t="s">
        <v>20</v>
      </c>
      <c r="J576" s="46">
        <v>18</v>
      </c>
      <c r="K576" s="46" t="s">
        <v>21</v>
      </c>
      <c r="L576" s="46">
        <v>6</v>
      </c>
      <c r="M576" s="47">
        <v>318</v>
      </c>
    </row>
    <row r="577" spans="5:13" x14ac:dyDescent="0.25">
      <c r="E577" s="33">
        <v>785</v>
      </c>
      <c r="F577" s="48">
        <v>44948</v>
      </c>
      <c r="G577" s="49">
        <v>2023</v>
      </c>
      <c r="H577" s="45" t="s">
        <v>1</v>
      </c>
      <c r="I577" s="50" t="s">
        <v>20</v>
      </c>
      <c r="J577" s="50">
        <v>41</v>
      </c>
      <c r="K577" s="50" t="s">
        <v>24</v>
      </c>
      <c r="L577" s="50">
        <v>1</v>
      </c>
      <c r="M577" s="51">
        <v>25</v>
      </c>
    </row>
    <row r="578" spans="5:13" x14ac:dyDescent="0.25">
      <c r="E578" s="32">
        <v>1450</v>
      </c>
      <c r="F578" s="43">
        <v>45634</v>
      </c>
      <c r="G578" s="44">
        <v>2024</v>
      </c>
      <c r="H578" s="52" t="s">
        <v>12</v>
      </c>
      <c r="I578" s="46" t="s">
        <v>22</v>
      </c>
      <c r="J578" s="46">
        <v>18</v>
      </c>
      <c r="K578" s="46" t="s">
        <v>23</v>
      </c>
      <c r="L578" s="46">
        <v>3</v>
      </c>
      <c r="M578" s="47">
        <v>27</v>
      </c>
    </row>
    <row r="579" spans="5:13" x14ac:dyDescent="0.25">
      <c r="E579" s="33">
        <v>579</v>
      </c>
      <c r="F579" s="48">
        <v>45266</v>
      </c>
      <c r="G579" s="49">
        <v>2023</v>
      </c>
      <c r="H579" s="45" t="s">
        <v>12</v>
      </c>
      <c r="I579" s="50" t="s">
        <v>22</v>
      </c>
      <c r="J579" s="50">
        <v>31</v>
      </c>
      <c r="K579" s="50" t="s">
        <v>23</v>
      </c>
      <c r="L579" s="50">
        <v>3</v>
      </c>
      <c r="M579" s="51">
        <v>500</v>
      </c>
    </row>
    <row r="580" spans="5:13" x14ac:dyDescent="0.25">
      <c r="E580" s="32">
        <v>1713</v>
      </c>
      <c r="F580" s="43">
        <v>45362</v>
      </c>
      <c r="G580" s="44">
        <v>2024</v>
      </c>
      <c r="H580" s="52" t="s">
        <v>3</v>
      </c>
      <c r="I580" s="46" t="s">
        <v>20</v>
      </c>
      <c r="J580" s="46">
        <v>31</v>
      </c>
      <c r="K580" s="46" t="s">
        <v>23</v>
      </c>
      <c r="L580" s="46">
        <v>2</v>
      </c>
      <c r="M580" s="47">
        <v>346</v>
      </c>
    </row>
    <row r="581" spans="5:13" x14ac:dyDescent="0.25">
      <c r="E581" s="33">
        <v>1260</v>
      </c>
      <c r="F581" s="48">
        <v>45532</v>
      </c>
      <c r="G581" s="49">
        <v>2024</v>
      </c>
      <c r="H581" s="45" t="s">
        <v>8</v>
      </c>
      <c r="I581" s="50" t="s">
        <v>20</v>
      </c>
      <c r="J581" s="50">
        <v>64</v>
      </c>
      <c r="K581" s="50" t="s">
        <v>21</v>
      </c>
      <c r="L581" s="50">
        <v>2</v>
      </c>
      <c r="M581" s="51">
        <v>308</v>
      </c>
    </row>
    <row r="582" spans="5:13" x14ac:dyDescent="0.25">
      <c r="E582" s="32">
        <v>454</v>
      </c>
      <c r="F582" s="43">
        <v>45108</v>
      </c>
      <c r="G582" s="44">
        <v>2023</v>
      </c>
      <c r="H582" s="52" t="s">
        <v>7</v>
      </c>
      <c r="I582" s="46" t="s">
        <v>20</v>
      </c>
      <c r="J582" s="46">
        <v>31</v>
      </c>
      <c r="K582" s="46" t="s">
        <v>24</v>
      </c>
      <c r="L582" s="46">
        <v>4</v>
      </c>
      <c r="M582" s="47">
        <v>25</v>
      </c>
    </row>
    <row r="583" spans="5:13" x14ac:dyDescent="0.25">
      <c r="E583" s="33">
        <v>1376</v>
      </c>
      <c r="F583" s="48">
        <v>45327</v>
      </c>
      <c r="G583" s="49">
        <v>2024</v>
      </c>
      <c r="H583" s="45" t="s">
        <v>2</v>
      </c>
      <c r="I583" s="50" t="s">
        <v>22</v>
      </c>
      <c r="J583" s="50">
        <v>50</v>
      </c>
      <c r="K583" s="50" t="s">
        <v>23</v>
      </c>
      <c r="L583" s="50">
        <v>6</v>
      </c>
      <c r="M583" s="51">
        <v>33</v>
      </c>
    </row>
    <row r="584" spans="5:13" x14ac:dyDescent="0.25">
      <c r="E584" s="32">
        <v>1050</v>
      </c>
      <c r="F584" s="43">
        <v>45356</v>
      </c>
      <c r="G584" s="44">
        <v>2024</v>
      </c>
      <c r="H584" s="52" t="s">
        <v>3</v>
      </c>
      <c r="I584" s="46" t="s">
        <v>22</v>
      </c>
      <c r="J584" s="46">
        <v>57</v>
      </c>
      <c r="K584" s="46" t="s">
        <v>21</v>
      </c>
      <c r="L584" s="46">
        <v>1</v>
      </c>
      <c r="M584" s="47">
        <v>423</v>
      </c>
    </row>
    <row r="585" spans="5:13" x14ac:dyDescent="0.25">
      <c r="E585" s="33">
        <v>1568</v>
      </c>
      <c r="F585" s="48">
        <v>45638</v>
      </c>
      <c r="G585" s="49">
        <v>2024</v>
      </c>
      <c r="H585" s="45" t="s">
        <v>12</v>
      </c>
      <c r="I585" s="50" t="s">
        <v>22</v>
      </c>
      <c r="J585" s="50">
        <v>43</v>
      </c>
      <c r="K585" s="50" t="s">
        <v>24</v>
      </c>
      <c r="L585" s="50">
        <v>5</v>
      </c>
      <c r="M585" s="51">
        <v>288</v>
      </c>
    </row>
    <row r="586" spans="5:13" x14ac:dyDescent="0.25">
      <c r="E586" s="32">
        <v>148</v>
      </c>
      <c r="F586" s="43">
        <v>45055</v>
      </c>
      <c r="G586" s="44">
        <v>2023</v>
      </c>
      <c r="H586" s="52" t="s">
        <v>5</v>
      </c>
      <c r="I586" s="46" t="s">
        <v>20</v>
      </c>
      <c r="J586" s="46">
        <v>18</v>
      </c>
      <c r="K586" s="46" t="s">
        <v>23</v>
      </c>
      <c r="L586" s="46">
        <v>2</v>
      </c>
      <c r="M586" s="47">
        <v>30</v>
      </c>
    </row>
    <row r="587" spans="5:13" x14ac:dyDescent="0.25">
      <c r="E587" s="33">
        <v>863</v>
      </c>
      <c r="F587" s="48">
        <v>45281</v>
      </c>
      <c r="G587" s="49">
        <v>2023</v>
      </c>
      <c r="H587" s="45" t="s">
        <v>12</v>
      </c>
      <c r="I587" s="50" t="s">
        <v>22</v>
      </c>
      <c r="J587" s="50">
        <v>42</v>
      </c>
      <c r="K587" s="50" t="s">
        <v>23</v>
      </c>
      <c r="L587" s="50">
        <v>1</v>
      </c>
      <c r="M587" s="51">
        <v>300</v>
      </c>
    </row>
    <row r="588" spans="5:13" x14ac:dyDescent="0.25">
      <c r="E588" s="32">
        <v>1202</v>
      </c>
      <c r="F588" s="43">
        <v>45563</v>
      </c>
      <c r="G588" s="44">
        <v>2024</v>
      </c>
      <c r="H588" s="52" t="s">
        <v>9</v>
      </c>
      <c r="I588" s="46" t="s">
        <v>20</v>
      </c>
      <c r="J588" s="46">
        <v>51</v>
      </c>
      <c r="K588" s="46" t="s">
        <v>21</v>
      </c>
      <c r="L588" s="46">
        <v>2</v>
      </c>
      <c r="M588" s="47">
        <v>486</v>
      </c>
    </row>
    <row r="589" spans="5:13" x14ac:dyDescent="0.25">
      <c r="E589" s="33">
        <v>1522</v>
      </c>
      <c r="F589" s="48">
        <v>45644</v>
      </c>
      <c r="G589" s="49">
        <v>2024</v>
      </c>
      <c r="H589" s="45" t="s">
        <v>12</v>
      </c>
      <c r="I589" s="50" t="s">
        <v>22</v>
      </c>
      <c r="J589" s="50">
        <v>20</v>
      </c>
      <c r="K589" s="50" t="s">
        <v>21</v>
      </c>
      <c r="L589" s="50">
        <v>6</v>
      </c>
      <c r="M589" s="51">
        <v>482</v>
      </c>
    </row>
    <row r="590" spans="5:13" x14ac:dyDescent="0.25">
      <c r="E590" s="32">
        <v>604</v>
      </c>
      <c r="F590" s="43">
        <v>45131</v>
      </c>
      <c r="G590" s="44">
        <v>2023</v>
      </c>
      <c r="H590" s="52" t="s">
        <v>7</v>
      </c>
      <c r="I590" s="46" t="s">
        <v>20</v>
      </c>
      <c r="J590" s="46">
        <v>37</v>
      </c>
      <c r="K590" s="46" t="s">
        <v>24</v>
      </c>
      <c r="L590" s="46">
        <v>2</v>
      </c>
      <c r="M590" s="47">
        <v>500</v>
      </c>
    </row>
    <row r="591" spans="5:13" x14ac:dyDescent="0.25">
      <c r="E591" s="33">
        <v>1675</v>
      </c>
      <c r="F591" s="48">
        <v>45302</v>
      </c>
      <c r="G591" s="49">
        <v>2024</v>
      </c>
      <c r="H591" s="45" t="s">
        <v>1</v>
      </c>
      <c r="I591" s="50" t="s">
        <v>22</v>
      </c>
      <c r="J591" s="50">
        <v>33</v>
      </c>
      <c r="K591" s="50" t="s">
        <v>21</v>
      </c>
      <c r="L591" s="50">
        <v>3</v>
      </c>
      <c r="M591" s="51">
        <v>290</v>
      </c>
    </row>
    <row r="592" spans="5:13" x14ac:dyDescent="0.25">
      <c r="E592" s="32">
        <v>363</v>
      </c>
      <c r="F592" s="43">
        <v>45161</v>
      </c>
      <c r="G592" s="44">
        <v>2023</v>
      </c>
      <c r="H592" s="52" t="s">
        <v>8</v>
      </c>
      <c r="I592" s="46" t="s">
        <v>22</v>
      </c>
      <c r="J592" s="46">
        <v>19</v>
      </c>
      <c r="K592" s="46" t="s">
        <v>21</v>
      </c>
      <c r="L592" s="46">
        <v>1</v>
      </c>
      <c r="M592" s="47">
        <v>500</v>
      </c>
    </row>
    <row r="593" spans="5:13" x14ac:dyDescent="0.25">
      <c r="E593" s="33">
        <v>1692</v>
      </c>
      <c r="F593" s="48">
        <v>45541</v>
      </c>
      <c r="G593" s="49">
        <v>2024</v>
      </c>
      <c r="H593" s="45" t="s">
        <v>9</v>
      </c>
      <c r="I593" s="50" t="s">
        <v>22</v>
      </c>
      <c r="J593" s="50">
        <v>61</v>
      </c>
      <c r="K593" s="50" t="s">
        <v>23</v>
      </c>
      <c r="L593" s="50">
        <v>2</v>
      </c>
      <c r="M593" s="51">
        <v>230</v>
      </c>
    </row>
    <row r="594" spans="5:13" x14ac:dyDescent="0.25">
      <c r="E594" s="32">
        <v>1911</v>
      </c>
      <c r="F594" s="43">
        <v>45442</v>
      </c>
      <c r="G594" s="44">
        <v>2024</v>
      </c>
      <c r="H594" s="52" t="s">
        <v>5</v>
      </c>
      <c r="I594" s="46" t="s">
        <v>22</v>
      </c>
      <c r="J594" s="46">
        <v>64</v>
      </c>
      <c r="K594" s="46" t="s">
        <v>21</v>
      </c>
      <c r="L594" s="46">
        <v>6</v>
      </c>
      <c r="M594" s="47">
        <v>101</v>
      </c>
    </row>
    <row r="595" spans="5:13" x14ac:dyDescent="0.25">
      <c r="E595" s="33">
        <v>700</v>
      </c>
      <c r="F595" s="48">
        <v>45134</v>
      </c>
      <c r="G595" s="49">
        <v>2023</v>
      </c>
      <c r="H595" s="45" t="s">
        <v>7</v>
      </c>
      <c r="I595" s="50" t="s">
        <v>22</v>
      </c>
      <c r="J595" s="50">
        <v>60</v>
      </c>
      <c r="K595" s="50" t="s">
        <v>23</v>
      </c>
      <c r="L595" s="50">
        <v>2</v>
      </c>
      <c r="M595" s="51">
        <v>300</v>
      </c>
    </row>
    <row r="596" spans="5:13" x14ac:dyDescent="0.25">
      <c r="E596" s="32">
        <v>1367</v>
      </c>
      <c r="F596" s="43">
        <v>45581</v>
      </c>
      <c r="G596" s="44">
        <v>2024</v>
      </c>
      <c r="H596" s="52" t="s">
        <v>10</v>
      </c>
      <c r="I596" s="46" t="s">
        <v>20</v>
      </c>
      <c r="J596" s="46">
        <v>47</v>
      </c>
      <c r="K596" s="46" t="s">
        <v>24</v>
      </c>
      <c r="L596" s="46">
        <v>7</v>
      </c>
      <c r="M596" s="47">
        <v>340</v>
      </c>
    </row>
    <row r="597" spans="5:13" x14ac:dyDescent="0.25">
      <c r="E597" s="33">
        <v>643</v>
      </c>
      <c r="F597" s="48">
        <v>45175</v>
      </c>
      <c r="G597" s="49">
        <v>2023</v>
      </c>
      <c r="H597" s="45" t="s">
        <v>9</v>
      </c>
      <c r="I597" s="50" t="s">
        <v>20</v>
      </c>
      <c r="J597" s="50">
        <v>23</v>
      </c>
      <c r="K597" s="50" t="s">
        <v>21</v>
      </c>
      <c r="L597" s="50">
        <v>3</v>
      </c>
      <c r="M597" s="51">
        <v>25</v>
      </c>
    </row>
    <row r="598" spans="5:13" x14ac:dyDescent="0.25">
      <c r="E598" s="32">
        <v>1348</v>
      </c>
      <c r="F598" s="43">
        <v>45560</v>
      </c>
      <c r="G598" s="44">
        <v>2024</v>
      </c>
      <c r="H598" s="52" t="s">
        <v>9</v>
      </c>
      <c r="I598" s="46" t="s">
        <v>22</v>
      </c>
      <c r="J598" s="46">
        <v>38</v>
      </c>
      <c r="K598" s="46" t="s">
        <v>23</v>
      </c>
      <c r="L598" s="46">
        <v>1</v>
      </c>
      <c r="M598" s="47">
        <v>239</v>
      </c>
    </row>
    <row r="599" spans="5:13" x14ac:dyDescent="0.25">
      <c r="E599" s="33">
        <v>795</v>
      </c>
      <c r="F599" s="48">
        <v>44933</v>
      </c>
      <c r="G599" s="49">
        <v>2023</v>
      </c>
      <c r="H599" s="45" t="s">
        <v>1</v>
      </c>
      <c r="I599" s="50" t="s">
        <v>20</v>
      </c>
      <c r="J599" s="50">
        <v>40</v>
      </c>
      <c r="K599" s="50" t="s">
        <v>23</v>
      </c>
      <c r="L599" s="50">
        <v>3</v>
      </c>
      <c r="M599" s="51">
        <v>25</v>
      </c>
    </row>
    <row r="600" spans="5:13" x14ac:dyDescent="0.25">
      <c r="E600" s="32">
        <v>577</v>
      </c>
      <c r="F600" s="43">
        <v>45072</v>
      </c>
      <c r="G600" s="44">
        <v>2023</v>
      </c>
      <c r="H600" s="52" t="s">
        <v>5</v>
      </c>
      <c r="I600" s="46" t="s">
        <v>22</v>
      </c>
      <c r="J600" s="46">
        <v>54</v>
      </c>
      <c r="K600" s="46" t="s">
        <v>23</v>
      </c>
      <c r="L600" s="46">
        <v>4</v>
      </c>
      <c r="M600" s="47">
        <v>30</v>
      </c>
    </row>
    <row r="601" spans="5:13" x14ac:dyDescent="0.25">
      <c r="E601" s="33">
        <v>1499</v>
      </c>
      <c r="F601" s="48">
        <v>45384</v>
      </c>
      <c r="G601" s="49">
        <v>2024</v>
      </c>
      <c r="H601" s="45" t="s">
        <v>4</v>
      </c>
      <c r="I601" s="50" t="s">
        <v>20</v>
      </c>
      <c r="J601" s="50">
        <v>53</v>
      </c>
      <c r="K601" s="50" t="s">
        <v>24</v>
      </c>
      <c r="L601" s="50">
        <v>1</v>
      </c>
      <c r="M601" s="51">
        <v>309</v>
      </c>
    </row>
    <row r="602" spans="5:13" x14ac:dyDescent="0.25">
      <c r="E602" s="32">
        <v>1291</v>
      </c>
      <c r="F602" s="43">
        <v>45378</v>
      </c>
      <c r="G602" s="44">
        <v>2024</v>
      </c>
      <c r="H602" s="52" t="s">
        <v>3</v>
      </c>
      <c r="I602" s="46" t="s">
        <v>22</v>
      </c>
      <c r="J602" s="46">
        <v>40</v>
      </c>
      <c r="K602" s="46" t="s">
        <v>23</v>
      </c>
      <c r="L602" s="46">
        <v>1</v>
      </c>
      <c r="M602" s="47">
        <v>173</v>
      </c>
    </row>
    <row r="603" spans="5:13" x14ac:dyDescent="0.25">
      <c r="E603" s="33">
        <v>1702</v>
      </c>
      <c r="F603" s="48">
        <v>45611</v>
      </c>
      <c r="G603" s="49">
        <v>2024</v>
      </c>
      <c r="H603" s="45" t="s">
        <v>11</v>
      </c>
      <c r="I603" s="50" t="s">
        <v>20</v>
      </c>
      <c r="J603" s="50">
        <v>54</v>
      </c>
      <c r="K603" s="50" t="s">
        <v>24</v>
      </c>
      <c r="L603" s="50">
        <v>7</v>
      </c>
      <c r="M603" s="51">
        <v>295</v>
      </c>
    </row>
    <row r="604" spans="5:13" x14ac:dyDescent="0.25">
      <c r="E604" s="32">
        <v>439</v>
      </c>
      <c r="F604" s="43">
        <v>45225</v>
      </c>
      <c r="G604" s="44">
        <v>2023</v>
      </c>
      <c r="H604" s="52" t="s">
        <v>10</v>
      </c>
      <c r="I604" s="46" t="s">
        <v>20</v>
      </c>
      <c r="J604" s="46">
        <v>64</v>
      </c>
      <c r="K604" s="46" t="s">
        <v>23</v>
      </c>
      <c r="L604" s="46">
        <v>2</v>
      </c>
      <c r="M604" s="47">
        <v>300</v>
      </c>
    </row>
    <row r="605" spans="5:13" x14ac:dyDescent="0.25">
      <c r="E605" s="33">
        <v>1013</v>
      </c>
      <c r="F605" s="48">
        <v>45307</v>
      </c>
      <c r="G605" s="49">
        <v>2024</v>
      </c>
      <c r="H605" s="45" t="s">
        <v>1</v>
      </c>
      <c r="I605" s="50" t="s">
        <v>22</v>
      </c>
      <c r="J605" s="50">
        <v>25</v>
      </c>
      <c r="K605" s="50" t="s">
        <v>24</v>
      </c>
      <c r="L605" s="50">
        <v>7</v>
      </c>
      <c r="M605" s="51">
        <v>311</v>
      </c>
    </row>
    <row r="606" spans="5:13" x14ac:dyDescent="0.25">
      <c r="E606" s="32">
        <v>616</v>
      </c>
      <c r="F606" s="43">
        <v>45164</v>
      </c>
      <c r="G606" s="44">
        <v>2023</v>
      </c>
      <c r="H606" s="52" t="s">
        <v>8</v>
      </c>
      <c r="I606" s="46" t="s">
        <v>20</v>
      </c>
      <c r="J606" s="46">
        <v>34</v>
      </c>
      <c r="K606" s="46" t="s">
        <v>24</v>
      </c>
      <c r="L606" s="46">
        <v>1</v>
      </c>
      <c r="M606" s="47">
        <v>30</v>
      </c>
    </row>
    <row r="607" spans="5:13" x14ac:dyDescent="0.25">
      <c r="E607" s="33">
        <v>1465</v>
      </c>
      <c r="F607" s="48">
        <v>45635</v>
      </c>
      <c r="G607" s="49">
        <v>2024</v>
      </c>
      <c r="H607" s="45" t="s">
        <v>12</v>
      </c>
      <c r="I607" s="50" t="s">
        <v>20</v>
      </c>
      <c r="J607" s="50">
        <v>34</v>
      </c>
      <c r="K607" s="50" t="s">
        <v>24</v>
      </c>
      <c r="L607" s="50">
        <v>6</v>
      </c>
      <c r="M607" s="51">
        <v>363</v>
      </c>
    </row>
    <row r="608" spans="5:13" x14ac:dyDescent="0.25">
      <c r="E608" s="32">
        <v>1982</v>
      </c>
      <c r="F608" s="43">
        <v>45308</v>
      </c>
      <c r="G608" s="44">
        <v>2024</v>
      </c>
      <c r="H608" s="52" t="s">
        <v>1</v>
      </c>
      <c r="I608" s="46" t="s">
        <v>22</v>
      </c>
      <c r="J608" s="46">
        <v>27</v>
      </c>
      <c r="K608" s="46" t="s">
        <v>23</v>
      </c>
      <c r="L608" s="46">
        <v>6</v>
      </c>
      <c r="M608" s="47">
        <v>406</v>
      </c>
    </row>
    <row r="609" spans="5:13" x14ac:dyDescent="0.25">
      <c r="E609" s="33">
        <v>1142</v>
      </c>
      <c r="F609" s="48">
        <v>45488</v>
      </c>
      <c r="G609" s="49">
        <v>2024</v>
      </c>
      <c r="H609" s="45" t="s">
        <v>7</v>
      </c>
      <c r="I609" s="50" t="s">
        <v>22</v>
      </c>
      <c r="J609" s="50">
        <v>41</v>
      </c>
      <c r="K609" s="50" t="s">
        <v>21</v>
      </c>
      <c r="L609" s="50">
        <v>2</v>
      </c>
      <c r="M609" s="51">
        <v>436</v>
      </c>
    </row>
    <row r="610" spans="5:13" x14ac:dyDescent="0.25">
      <c r="E610" s="32">
        <v>621</v>
      </c>
      <c r="F610" s="43">
        <v>45160</v>
      </c>
      <c r="G610" s="44">
        <v>2023</v>
      </c>
      <c r="H610" s="52" t="s">
        <v>8</v>
      </c>
      <c r="I610" s="46" t="s">
        <v>22</v>
      </c>
      <c r="J610" s="46">
        <v>49</v>
      </c>
      <c r="K610" s="46" t="s">
        <v>21</v>
      </c>
      <c r="L610" s="46">
        <v>3</v>
      </c>
      <c r="M610" s="47">
        <v>25</v>
      </c>
    </row>
    <row r="611" spans="5:13" x14ac:dyDescent="0.25">
      <c r="E611" s="33">
        <v>1271</v>
      </c>
      <c r="F611" s="48">
        <v>45391</v>
      </c>
      <c r="G611" s="49">
        <v>2024</v>
      </c>
      <c r="H611" s="45" t="s">
        <v>4</v>
      </c>
      <c r="I611" s="50" t="s">
        <v>22</v>
      </c>
      <c r="J611" s="50">
        <v>55</v>
      </c>
      <c r="K611" s="50" t="s">
        <v>23</v>
      </c>
      <c r="L611" s="50">
        <v>4</v>
      </c>
      <c r="M611" s="51">
        <v>415</v>
      </c>
    </row>
    <row r="612" spans="5:13" x14ac:dyDescent="0.25">
      <c r="E612" s="32">
        <v>1868</v>
      </c>
      <c r="F612" s="43">
        <v>45576</v>
      </c>
      <c r="G612" s="44">
        <v>2024</v>
      </c>
      <c r="H612" s="52" t="s">
        <v>10</v>
      </c>
      <c r="I612" s="46" t="s">
        <v>22</v>
      </c>
      <c r="J612" s="46">
        <v>42</v>
      </c>
      <c r="K612" s="46" t="s">
        <v>21</v>
      </c>
      <c r="L612" s="46">
        <v>3</v>
      </c>
      <c r="M612" s="47">
        <v>352</v>
      </c>
    </row>
    <row r="613" spans="5:13" x14ac:dyDescent="0.25">
      <c r="E613" s="33">
        <v>1259</v>
      </c>
      <c r="F613" s="48">
        <v>45503</v>
      </c>
      <c r="G613" s="49">
        <v>2024</v>
      </c>
      <c r="H613" s="45" t="s">
        <v>7</v>
      </c>
      <c r="I613" s="50" t="s">
        <v>22</v>
      </c>
      <c r="J613" s="50">
        <v>42</v>
      </c>
      <c r="K613" s="50" t="s">
        <v>21</v>
      </c>
      <c r="L613" s="50">
        <v>5</v>
      </c>
      <c r="M613" s="51">
        <v>55</v>
      </c>
    </row>
    <row r="614" spans="5:13" x14ac:dyDescent="0.25">
      <c r="E614" s="32">
        <v>448</v>
      </c>
      <c r="F614" s="43">
        <v>45110</v>
      </c>
      <c r="G614" s="44">
        <v>2023</v>
      </c>
      <c r="H614" s="52" t="s">
        <v>7</v>
      </c>
      <c r="I614" s="46" t="s">
        <v>20</v>
      </c>
      <c r="J614" s="46">
        <v>25</v>
      </c>
      <c r="K614" s="46" t="s">
        <v>24</v>
      </c>
      <c r="L614" s="46">
        <v>4</v>
      </c>
      <c r="M614" s="47">
        <v>50</v>
      </c>
    </row>
    <row r="615" spans="5:13" x14ac:dyDescent="0.25">
      <c r="E615" s="33">
        <v>1743</v>
      </c>
      <c r="F615" s="48">
        <v>45611</v>
      </c>
      <c r="G615" s="49">
        <v>2024</v>
      </c>
      <c r="H615" s="45" t="s">
        <v>11</v>
      </c>
      <c r="I615" s="50" t="s">
        <v>20</v>
      </c>
      <c r="J615" s="50">
        <v>50</v>
      </c>
      <c r="K615" s="50" t="s">
        <v>21</v>
      </c>
      <c r="L615" s="50">
        <v>3</v>
      </c>
      <c r="M615" s="51">
        <v>224</v>
      </c>
    </row>
    <row r="616" spans="5:13" x14ac:dyDescent="0.25">
      <c r="E616" s="32">
        <v>612</v>
      </c>
      <c r="F616" s="43">
        <v>45039</v>
      </c>
      <c r="G616" s="44">
        <v>2023</v>
      </c>
      <c r="H616" s="52" t="s">
        <v>4</v>
      </c>
      <c r="I616" s="46" t="s">
        <v>22</v>
      </c>
      <c r="J616" s="46">
        <v>52</v>
      </c>
      <c r="K616" s="46" t="s">
        <v>23</v>
      </c>
      <c r="L616" s="46">
        <v>3</v>
      </c>
      <c r="M616" s="47">
        <v>30</v>
      </c>
    </row>
    <row r="617" spans="5:13" x14ac:dyDescent="0.25">
      <c r="E617" s="33">
        <v>333</v>
      </c>
      <c r="F617" s="48">
        <v>45231</v>
      </c>
      <c r="G617" s="49">
        <v>2023</v>
      </c>
      <c r="H617" s="45" t="s">
        <v>11</v>
      </c>
      <c r="I617" s="50" t="s">
        <v>20</v>
      </c>
      <c r="J617" s="50">
        <v>31</v>
      </c>
      <c r="K617" s="50" t="s">
        <v>24</v>
      </c>
      <c r="L617" s="50">
        <v>3</v>
      </c>
      <c r="M617" s="51">
        <v>300</v>
      </c>
    </row>
    <row r="618" spans="5:13" x14ac:dyDescent="0.25">
      <c r="E618" s="32">
        <v>1335</v>
      </c>
      <c r="F618" s="43">
        <v>45499</v>
      </c>
      <c r="G618" s="44">
        <v>2024</v>
      </c>
      <c r="H618" s="52" t="s">
        <v>7</v>
      </c>
      <c r="I618" s="46" t="s">
        <v>20</v>
      </c>
      <c r="J618" s="46">
        <v>43</v>
      </c>
      <c r="K618" s="46" t="s">
        <v>21</v>
      </c>
      <c r="L618" s="46">
        <v>6</v>
      </c>
      <c r="M618" s="47">
        <v>20</v>
      </c>
    </row>
    <row r="619" spans="5:13" x14ac:dyDescent="0.25">
      <c r="E619" s="33">
        <v>460</v>
      </c>
      <c r="F619" s="48">
        <v>45010</v>
      </c>
      <c r="G619" s="49">
        <v>2023</v>
      </c>
      <c r="H619" s="45" t="s">
        <v>3</v>
      </c>
      <c r="I619" s="50" t="s">
        <v>22</v>
      </c>
      <c r="J619" s="50">
        <v>18</v>
      </c>
      <c r="K619" s="50" t="s">
        <v>21</v>
      </c>
      <c r="L619" s="50">
        <v>2</v>
      </c>
      <c r="M619" s="51">
        <v>500</v>
      </c>
    </row>
    <row r="620" spans="5:13" x14ac:dyDescent="0.25">
      <c r="E620" s="32">
        <v>1326</v>
      </c>
      <c r="F620" s="43">
        <v>45321</v>
      </c>
      <c r="G620" s="44">
        <v>2024</v>
      </c>
      <c r="H620" s="52" t="s">
        <v>1</v>
      </c>
      <c r="I620" s="46" t="s">
        <v>22</v>
      </c>
      <c r="J620" s="46">
        <v>26</v>
      </c>
      <c r="K620" s="46" t="s">
        <v>24</v>
      </c>
      <c r="L620" s="46">
        <v>3</v>
      </c>
      <c r="M620" s="47">
        <v>460</v>
      </c>
    </row>
    <row r="621" spans="5:13" x14ac:dyDescent="0.25">
      <c r="E621" s="33">
        <v>998</v>
      </c>
      <c r="F621" s="48">
        <v>45028</v>
      </c>
      <c r="G621" s="49">
        <v>2023</v>
      </c>
      <c r="H621" s="45" t="s">
        <v>4</v>
      </c>
      <c r="I621" s="50" t="s">
        <v>20</v>
      </c>
      <c r="J621" s="50">
        <v>47</v>
      </c>
      <c r="K621" s="50" t="s">
        <v>24</v>
      </c>
      <c r="L621" s="50">
        <v>4</v>
      </c>
      <c r="M621" s="51">
        <v>30</v>
      </c>
    </row>
    <row r="622" spans="5:13" x14ac:dyDescent="0.25">
      <c r="E622" s="32">
        <v>332</v>
      </c>
      <c r="F622" s="43">
        <v>44962</v>
      </c>
      <c r="G622" s="44">
        <v>2023</v>
      </c>
      <c r="H622" s="52" t="s">
        <v>2</v>
      </c>
      <c r="I622" s="46" t="s">
        <v>22</v>
      </c>
      <c r="J622" s="46">
        <v>54</v>
      </c>
      <c r="K622" s="46" t="s">
        <v>24</v>
      </c>
      <c r="L622" s="46">
        <v>4</v>
      </c>
      <c r="M622" s="47">
        <v>300</v>
      </c>
    </row>
    <row r="623" spans="5:13" x14ac:dyDescent="0.25">
      <c r="E623" s="33">
        <v>87</v>
      </c>
      <c r="F623" s="48">
        <v>45252</v>
      </c>
      <c r="G623" s="49">
        <v>2023</v>
      </c>
      <c r="H623" s="45" t="s">
        <v>11</v>
      </c>
      <c r="I623" s="50" t="s">
        <v>22</v>
      </c>
      <c r="J623" s="50">
        <v>28</v>
      </c>
      <c r="K623" s="50" t="s">
        <v>21</v>
      </c>
      <c r="L623" s="50">
        <v>2</v>
      </c>
      <c r="M623" s="51">
        <v>50</v>
      </c>
    </row>
    <row r="624" spans="5:13" x14ac:dyDescent="0.25">
      <c r="E624" s="32">
        <v>533</v>
      </c>
      <c r="F624" s="43">
        <v>45087</v>
      </c>
      <c r="G624" s="44">
        <v>2023</v>
      </c>
      <c r="H624" s="52" t="s">
        <v>6</v>
      </c>
      <c r="I624" s="46" t="s">
        <v>20</v>
      </c>
      <c r="J624" s="46">
        <v>45</v>
      </c>
      <c r="K624" s="46" t="s">
        <v>23</v>
      </c>
      <c r="L624" s="46">
        <v>2</v>
      </c>
      <c r="M624" s="47">
        <v>500</v>
      </c>
    </row>
    <row r="625" spans="5:13" x14ac:dyDescent="0.25">
      <c r="E625" s="33">
        <v>645</v>
      </c>
      <c r="F625" s="48">
        <v>45049</v>
      </c>
      <c r="G625" s="49">
        <v>2023</v>
      </c>
      <c r="H625" s="45" t="s">
        <v>5</v>
      </c>
      <c r="I625" s="50" t="s">
        <v>20</v>
      </c>
      <c r="J625" s="50">
        <v>38</v>
      </c>
      <c r="K625" s="50" t="s">
        <v>23</v>
      </c>
      <c r="L625" s="50">
        <v>3</v>
      </c>
      <c r="M625" s="51">
        <v>30</v>
      </c>
    </row>
    <row r="626" spans="5:13" x14ac:dyDescent="0.25">
      <c r="E626" s="32">
        <v>90</v>
      </c>
      <c r="F626" s="43">
        <v>45052</v>
      </c>
      <c r="G626" s="44">
        <v>2023</v>
      </c>
      <c r="H626" s="52" t="s">
        <v>5</v>
      </c>
      <c r="I626" s="46" t="s">
        <v>22</v>
      </c>
      <c r="J626" s="46">
        <v>51</v>
      </c>
      <c r="K626" s="46" t="s">
        <v>24</v>
      </c>
      <c r="L626" s="46">
        <v>1</v>
      </c>
      <c r="M626" s="47">
        <v>30</v>
      </c>
    </row>
    <row r="627" spans="5:13" x14ac:dyDescent="0.25">
      <c r="E627" s="33">
        <v>1217</v>
      </c>
      <c r="F627" s="48">
        <v>45354</v>
      </c>
      <c r="G627" s="49">
        <v>2024</v>
      </c>
      <c r="H627" s="45" t="s">
        <v>3</v>
      </c>
      <c r="I627" s="50" t="s">
        <v>20</v>
      </c>
      <c r="J627" s="50">
        <v>24</v>
      </c>
      <c r="K627" s="50" t="s">
        <v>21</v>
      </c>
      <c r="L627" s="50">
        <v>2</v>
      </c>
      <c r="M627" s="51">
        <v>131</v>
      </c>
    </row>
    <row r="628" spans="5:13" x14ac:dyDescent="0.25">
      <c r="E628" s="32">
        <v>193</v>
      </c>
      <c r="F628" s="43">
        <v>44970</v>
      </c>
      <c r="G628" s="44">
        <v>2023</v>
      </c>
      <c r="H628" s="52" t="s">
        <v>2</v>
      </c>
      <c r="I628" s="46" t="s">
        <v>20</v>
      </c>
      <c r="J628" s="46">
        <v>35</v>
      </c>
      <c r="K628" s="46" t="s">
        <v>21</v>
      </c>
      <c r="L628" s="46">
        <v>3</v>
      </c>
      <c r="M628" s="47">
        <v>500</v>
      </c>
    </row>
    <row r="629" spans="5:13" x14ac:dyDescent="0.25">
      <c r="E629" s="33">
        <v>1124</v>
      </c>
      <c r="F629" s="48">
        <v>45591</v>
      </c>
      <c r="G629" s="49">
        <v>2024</v>
      </c>
      <c r="H629" s="45" t="s">
        <v>10</v>
      </c>
      <c r="I629" s="50" t="s">
        <v>22</v>
      </c>
      <c r="J629" s="50">
        <v>26</v>
      </c>
      <c r="K629" s="50" t="s">
        <v>23</v>
      </c>
      <c r="L629" s="50">
        <v>7</v>
      </c>
      <c r="M629" s="51">
        <v>238</v>
      </c>
    </row>
    <row r="630" spans="5:13" x14ac:dyDescent="0.25">
      <c r="E630" s="32">
        <v>104</v>
      </c>
      <c r="F630" s="43">
        <v>45088</v>
      </c>
      <c r="G630" s="44">
        <v>2023</v>
      </c>
      <c r="H630" s="52" t="s">
        <v>6</v>
      </c>
      <c r="I630" s="46" t="s">
        <v>22</v>
      </c>
      <c r="J630" s="46">
        <v>34</v>
      </c>
      <c r="K630" s="46" t="s">
        <v>21</v>
      </c>
      <c r="L630" s="46">
        <v>2</v>
      </c>
      <c r="M630" s="47">
        <v>500</v>
      </c>
    </row>
    <row r="631" spans="5:13" x14ac:dyDescent="0.25">
      <c r="E631" s="33">
        <v>495</v>
      </c>
      <c r="F631" s="48">
        <v>45274</v>
      </c>
      <c r="G631" s="49">
        <v>2023</v>
      </c>
      <c r="H631" s="45" t="s">
        <v>12</v>
      </c>
      <c r="I631" s="50" t="s">
        <v>20</v>
      </c>
      <c r="J631" s="50">
        <v>23</v>
      </c>
      <c r="K631" s="50" t="s">
        <v>23</v>
      </c>
      <c r="L631" s="50">
        <v>2</v>
      </c>
      <c r="M631" s="51">
        <v>300</v>
      </c>
    </row>
    <row r="632" spans="5:13" x14ac:dyDescent="0.25">
      <c r="E632" s="32">
        <v>1975</v>
      </c>
      <c r="F632" s="43">
        <v>45293</v>
      </c>
      <c r="G632" s="44">
        <v>2024</v>
      </c>
      <c r="H632" s="52" t="s">
        <v>1</v>
      </c>
      <c r="I632" s="46" t="s">
        <v>22</v>
      </c>
      <c r="J632" s="46">
        <v>51</v>
      </c>
      <c r="K632" s="46" t="s">
        <v>21</v>
      </c>
      <c r="L632" s="46">
        <v>7</v>
      </c>
      <c r="M632" s="47">
        <v>143</v>
      </c>
    </row>
    <row r="633" spans="5:13" x14ac:dyDescent="0.25">
      <c r="E633" s="33">
        <v>1247</v>
      </c>
      <c r="F633" s="48">
        <v>45588</v>
      </c>
      <c r="G633" s="49">
        <v>2024</v>
      </c>
      <c r="H633" s="45" t="s">
        <v>10</v>
      </c>
      <c r="I633" s="50" t="s">
        <v>20</v>
      </c>
      <c r="J633" s="50">
        <v>49</v>
      </c>
      <c r="K633" s="50" t="s">
        <v>24</v>
      </c>
      <c r="L633" s="50">
        <v>7</v>
      </c>
      <c r="M633" s="51">
        <v>382</v>
      </c>
    </row>
    <row r="634" spans="5:13" x14ac:dyDescent="0.25">
      <c r="E634" s="32">
        <v>1839</v>
      </c>
      <c r="F634" s="43">
        <v>45434</v>
      </c>
      <c r="G634" s="44">
        <v>2024</v>
      </c>
      <c r="H634" s="52" t="s">
        <v>5</v>
      </c>
      <c r="I634" s="46" t="s">
        <v>20</v>
      </c>
      <c r="J634" s="46">
        <v>43</v>
      </c>
      <c r="K634" s="46" t="s">
        <v>21</v>
      </c>
      <c r="L634" s="46">
        <v>4</v>
      </c>
      <c r="M634" s="47">
        <v>308</v>
      </c>
    </row>
    <row r="635" spans="5:13" x14ac:dyDescent="0.25">
      <c r="E635" s="33">
        <v>1243</v>
      </c>
      <c r="F635" s="48">
        <v>45402</v>
      </c>
      <c r="G635" s="49">
        <v>2024</v>
      </c>
      <c r="H635" s="45" t="s">
        <v>4</v>
      </c>
      <c r="I635" s="50" t="s">
        <v>22</v>
      </c>
      <c r="J635" s="50">
        <v>47</v>
      </c>
      <c r="K635" s="50" t="s">
        <v>24</v>
      </c>
      <c r="L635" s="50">
        <v>3</v>
      </c>
      <c r="M635" s="51">
        <v>469</v>
      </c>
    </row>
    <row r="636" spans="5:13" x14ac:dyDescent="0.25">
      <c r="E636" s="32">
        <v>45</v>
      </c>
      <c r="F636" s="43">
        <v>45110</v>
      </c>
      <c r="G636" s="44">
        <v>2023</v>
      </c>
      <c r="H636" s="52" t="s">
        <v>7</v>
      </c>
      <c r="I636" s="46" t="s">
        <v>22</v>
      </c>
      <c r="J636" s="46">
        <v>55</v>
      </c>
      <c r="K636" s="46" t="s">
        <v>24</v>
      </c>
      <c r="L636" s="46">
        <v>1</v>
      </c>
      <c r="M636" s="47">
        <v>30</v>
      </c>
    </row>
    <row r="637" spans="5:13" x14ac:dyDescent="0.25">
      <c r="E637" s="33">
        <v>1742</v>
      </c>
      <c r="F637" s="48">
        <v>45302</v>
      </c>
      <c r="G637" s="49">
        <v>2024</v>
      </c>
      <c r="H637" s="45" t="s">
        <v>1</v>
      </c>
      <c r="I637" s="50" t="s">
        <v>22</v>
      </c>
      <c r="J637" s="50">
        <v>58</v>
      </c>
      <c r="K637" s="50" t="s">
        <v>23</v>
      </c>
      <c r="L637" s="50">
        <v>3</v>
      </c>
      <c r="M637" s="51">
        <v>337</v>
      </c>
    </row>
    <row r="638" spans="5:13" x14ac:dyDescent="0.25">
      <c r="E638" s="32">
        <v>1011</v>
      </c>
      <c r="F638" s="43">
        <v>45509</v>
      </c>
      <c r="G638" s="44">
        <v>2024</v>
      </c>
      <c r="H638" s="52" t="s">
        <v>8</v>
      </c>
      <c r="I638" s="46" t="s">
        <v>20</v>
      </c>
      <c r="J638" s="46">
        <v>34</v>
      </c>
      <c r="K638" s="46" t="s">
        <v>24</v>
      </c>
      <c r="L638" s="46">
        <v>5</v>
      </c>
      <c r="M638" s="47">
        <v>299</v>
      </c>
    </row>
    <row r="639" spans="5:13" x14ac:dyDescent="0.25">
      <c r="E639" s="33">
        <v>1154</v>
      </c>
      <c r="F639" s="48">
        <v>45621</v>
      </c>
      <c r="G639" s="49">
        <v>2024</v>
      </c>
      <c r="H639" s="45" t="s">
        <v>11</v>
      </c>
      <c r="I639" s="50" t="s">
        <v>22</v>
      </c>
      <c r="J639" s="50">
        <v>37</v>
      </c>
      <c r="K639" s="50" t="s">
        <v>23</v>
      </c>
      <c r="L639" s="50">
        <v>5</v>
      </c>
      <c r="M639" s="51">
        <v>498</v>
      </c>
    </row>
    <row r="640" spans="5:13" x14ac:dyDescent="0.25">
      <c r="E640" s="32">
        <v>1670</v>
      </c>
      <c r="F640" s="43">
        <v>45398</v>
      </c>
      <c r="G640" s="44">
        <v>2024</v>
      </c>
      <c r="H640" s="52" t="s">
        <v>4</v>
      </c>
      <c r="I640" s="46" t="s">
        <v>22</v>
      </c>
      <c r="J640" s="46">
        <v>33</v>
      </c>
      <c r="K640" s="46" t="s">
        <v>23</v>
      </c>
      <c r="L640" s="46">
        <v>4</v>
      </c>
      <c r="M640" s="47">
        <v>198</v>
      </c>
    </row>
    <row r="641" spans="5:13" x14ac:dyDescent="0.25">
      <c r="E641" s="33">
        <v>776</v>
      </c>
      <c r="F641" s="48">
        <v>45248</v>
      </c>
      <c r="G641" s="49">
        <v>2023</v>
      </c>
      <c r="H641" s="45" t="s">
        <v>11</v>
      </c>
      <c r="I641" s="50" t="s">
        <v>22</v>
      </c>
      <c r="J641" s="50">
        <v>47</v>
      </c>
      <c r="K641" s="50" t="s">
        <v>21</v>
      </c>
      <c r="L641" s="50">
        <v>4</v>
      </c>
      <c r="M641" s="51">
        <v>25</v>
      </c>
    </row>
    <row r="642" spans="5:13" x14ac:dyDescent="0.25">
      <c r="E642" s="32">
        <v>1490</v>
      </c>
      <c r="F642" s="43">
        <v>45621</v>
      </c>
      <c r="G642" s="44">
        <v>2024</v>
      </c>
      <c r="H642" s="52" t="s">
        <v>11</v>
      </c>
      <c r="I642" s="46" t="s">
        <v>20</v>
      </c>
      <c r="J642" s="46">
        <v>49</v>
      </c>
      <c r="K642" s="46" t="s">
        <v>21</v>
      </c>
      <c r="L642" s="46">
        <v>7</v>
      </c>
      <c r="M642" s="47">
        <v>314</v>
      </c>
    </row>
    <row r="643" spans="5:13" x14ac:dyDescent="0.25">
      <c r="E643" s="33">
        <v>339</v>
      </c>
      <c r="F643" s="48">
        <v>45218</v>
      </c>
      <c r="G643" s="49">
        <v>2023</v>
      </c>
      <c r="H643" s="45" t="s">
        <v>10</v>
      </c>
      <c r="I643" s="50" t="s">
        <v>22</v>
      </c>
      <c r="J643" s="50">
        <v>36</v>
      </c>
      <c r="K643" s="50" t="s">
        <v>23</v>
      </c>
      <c r="L643" s="50">
        <v>4</v>
      </c>
      <c r="M643" s="51">
        <v>300</v>
      </c>
    </row>
    <row r="644" spans="5:13" x14ac:dyDescent="0.25">
      <c r="E644" s="32">
        <v>449</v>
      </c>
      <c r="F644" s="43">
        <v>45034</v>
      </c>
      <c r="G644" s="44">
        <v>2023</v>
      </c>
      <c r="H644" s="52" t="s">
        <v>4</v>
      </c>
      <c r="I644" s="46" t="s">
        <v>22</v>
      </c>
      <c r="J644" s="46">
        <v>59</v>
      </c>
      <c r="K644" s="46" t="s">
        <v>21</v>
      </c>
      <c r="L644" s="46">
        <v>2</v>
      </c>
      <c r="M644" s="47">
        <v>25</v>
      </c>
    </row>
    <row r="645" spans="5:13" x14ac:dyDescent="0.25">
      <c r="E645" s="33">
        <v>1733</v>
      </c>
      <c r="F645" s="48">
        <v>45472</v>
      </c>
      <c r="G645" s="49">
        <v>2024</v>
      </c>
      <c r="H645" s="45" t="s">
        <v>6</v>
      </c>
      <c r="I645" s="50" t="s">
        <v>22</v>
      </c>
      <c r="J645" s="50">
        <v>18</v>
      </c>
      <c r="K645" s="50" t="s">
        <v>23</v>
      </c>
      <c r="L645" s="50">
        <v>4</v>
      </c>
      <c r="M645" s="51">
        <v>292</v>
      </c>
    </row>
    <row r="646" spans="5:13" x14ac:dyDescent="0.25">
      <c r="E646" s="32">
        <v>340</v>
      </c>
      <c r="F646" s="43">
        <v>45053</v>
      </c>
      <c r="G646" s="44">
        <v>2023</v>
      </c>
      <c r="H646" s="52" t="s">
        <v>5</v>
      </c>
      <c r="I646" s="46" t="s">
        <v>20</v>
      </c>
      <c r="J646" s="46">
        <v>31</v>
      </c>
      <c r="K646" s="46" t="s">
        <v>23</v>
      </c>
      <c r="L646" s="46">
        <v>4</v>
      </c>
      <c r="M646" s="47">
        <v>50</v>
      </c>
    </row>
    <row r="647" spans="5:13" x14ac:dyDescent="0.25">
      <c r="E647" s="33">
        <v>5</v>
      </c>
      <c r="F647" s="48">
        <v>45052</v>
      </c>
      <c r="G647" s="49">
        <v>2023</v>
      </c>
      <c r="H647" s="45" t="s">
        <v>5</v>
      </c>
      <c r="I647" s="50" t="s">
        <v>20</v>
      </c>
      <c r="J647" s="50">
        <v>30</v>
      </c>
      <c r="K647" s="50" t="s">
        <v>21</v>
      </c>
      <c r="L647" s="50">
        <v>2</v>
      </c>
      <c r="M647" s="51">
        <v>50</v>
      </c>
    </row>
    <row r="648" spans="5:13" x14ac:dyDescent="0.25">
      <c r="E648" s="32">
        <v>1038</v>
      </c>
      <c r="F648" s="43">
        <v>45465</v>
      </c>
      <c r="G648" s="44">
        <v>2024</v>
      </c>
      <c r="H648" s="52" t="s">
        <v>6</v>
      </c>
      <c r="I648" s="46" t="s">
        <v>20</v>
      </c>
      <c r="J648" s="46">
        <v>22</v>
      </c>
      <c r="K648" s="46" t="s">
        <v>21</v>
      </c>
      <c r="L648" s="46">
        <v>7</v>
      </c>
      <c r="M648" s="47">
        <v>55</v>
      </c>
    </row>
    <row r="649" spans="5:13" x14ac:dyDescent="0.25">
      <c r="E649" s="33">
        <v>86</v>
      </c>
      <c r="F649" s="48">
        <v>45238</v>
      </c>
      <c r="G649" s="49">
        <v>2023</v>
      </c>
      <c r="H649" s="45" t="s">
        <v>11</v>
      </c>
      <c r="I649" s="50" t="s">
        <v>20</v>
      </c>
      <c r="J649" s="50">
        <v>19</v>
      </c>
      <c r="K649" s="50" t="s">
        <v>21</v>
      </c>
      <c r="L649" s="50">
        <v>3</v>
      </c>
      <c r="M649" s="51">
        <v>30</v>
      </c>
    </row>
    <row r="650" spans="5:13" x14ac:dyDescent="0.25">
      <c r="E650" s="32">
        <v>1813</v>
      </c>
      <c r="F650" s="43">
        <v>45596</v>
      </c>
      <c r="G650" s="44">
        <v>2024</v>
      </c>
      <c r="H650" s="52" t="s">
        <v>10</v>
      </c>
      <c r="I650" s="46" t="s">
        <v>20</v>
      </c>
      <c r="J650" s="46">
        <v>65</v>
      </c>
      <c r="K650" s="46" t="s">
        <v>21</v>
      </c>
      <c r="L650" s="46">
        <v>6</v>
      </c>
      <c r="M650" s="47">
        <v>398</v>
      </c>
    </row>
    <row r="651" spans="5:13" x14ac:dyDescent="0.25">
      <c r="E651" s="33">
        <v>1917</v>
      </c>
      <c r="F651" s="48">
        <v>45298</v>
      </c>
      <c r="G651" s="49">
        <v>2024</v>
      </c>
      <c r="H651" s="45" t="s">
        <v>1</v>
      </c>
      <c r="I651" s="50" t="s">
        <v>20</v>
      </c>
      <c r="J651" s="50">
        <v>30</v>
      </c>
      <c r="K651" s="50" t="s">
        <v>24</v>
      </c>
      <c r="L651" s="50">
        <v>6</v>
      </c>
      <c r="M651" s="51">
        <v>489</v>
      </c>
    </row>
    <row r="652" spans="5:13" x14ac:dyDescent="0.25">
      <c r="E652" s="32">
        <v>1550</v>
      </c>
      <c r="F652" s="43">
        <v>45382</v>
      </c>
      <c r="G652" s="44">
        <v>2024</v>
      </c>
      <c r="H652" s="52" t="s">
        <v>3</v>
      </c>
      <c r="I652" s="46" t="s">
        <v>20</v>
      </c>
      <c r="J652" s="46">
        <v>53</v>
      </c>
      <c r="K652" s="46" t="s">
        <v>23</v>
      </c>
      <c r="L652" s="46">
        <v>4</v>
      </c>
      <c r="M652" s="47">
        <v>268</v>
      </c>
    </row>
    <row r="653" spans="5:13" x14ac:dyDescent="0.25">
      <c r="E653" s="33">
        <v>262</v>
      </c>
      <c r="F653" s="48">
        <v>45166</v>
      </c>
      <c r="G653" s="49">
        <v>2023</v>
      </c>
      <c r="H653" s="45" t="s">
        <v>8</v>
      </c>
      <c r="I653" s="50" t="s">
        <v>20</v>
      </c>
      <c r="J653" s="50">
        <v>23</v>
      </c>
      <c r="K653" s="50" t="s">
        <v>21</v>
      </c>
      <c r="L653" s="50">
        <v>2</v>
      </c>
      <c r="M653" s="51">
        <v>30</v>
      </c>
    </row>
    <row r="654" spans="5:13" x14ac:dyDescent="0.25">
      <c r="E654" s="32">
        <v>1583</v>
      </c>
      <c r="F654" s="43">
        <v>45637</v>
      </c>
      <c r="G654" s="44">
        <v>2024</v>
      </c>
      <c r="H654" s="52" t="s">
        <v>12</v>
      </c>
      <c r="I654" s="46" t="s">
        <v>20</v>
      </c>
      <c r="J654" s="46">
        <v>25</v>
      </c>
      <c r="K654" s="46" t="s">
        <v>24</v>
      </c>
      <c r="L654" s="46">
        <v>3</v>
      </c>
      <c r="M654" s="47">
        <v>115</v>
      </c>
    </row>
    <row r="655" spans="5:13" x14ac:dyDescent="0.25">
      <c r="E655" s="33">
        <v>815</v>
      </c>
      <c r="F655" s="48">
        <v>45230</v>
      </c>
      <c r="G655" s="49">
        <v>2023</v>
      </c>
      <c r="H655" s="45" t="s">
        <v>10</v>
      </c>
      <c r="I655" s="50" t="s">
        <v>20</v>
      </c>
      <c r="J655" s="50">
        <v>30</v>
      </c>
      <c r="K655" s="50" t="s">
        <v>21</v>
      </c>
      <c r="L655" s="50">
        <v>4</v>
      </c>
      <c r="M655" s="51">
        <v>50</v>
      </c>
    </row>
    <row r="656" spans="5:13" x14ac:dyDescent="0.25">
      <c r="E656" s="32">
        <v>1115</v>
      </c>
      <c r="F656" s="43">
        <v>45366</v>
      </c>
      <c r="G656" s="44">
        <v>2024</v>
      </c>
      <c r="H656" s="52" t="s">
        <v>3</v>
      </c>
      <c r="I656" s="46" t="s">
        <v>20</v>
      </c>
      <c r="J656" s="46">
        <v>38</v>
      </c>
      <c r="K656" s="46" t="s">
        <v>24</v>
      </c>
      <c r="L656" s="46">
        <v>4</v>
      </c>
      <c r="M656" s="47">
        <v>43</v>
      </c>
    </row>
    <row r="657" spans="5:13" x14ac:dyDescent="0.25">
      <c r="E657" s="33">
        <v>995</v>
      </c>
      <c r="F657" s="48">
        <v>45247</v>
      </c>
      <c r="G657" s="49">
        <v>2023</v>
      </c>
      <c r="H657" s="45" t="s">
        <v>11</v>
      </c>
      <c r="I657" s="50" t="s">
        <v>20</v>
      </c>
      <c r="J657" s="50">
        <v>52</v>
      </c>
      <c r="K657" s="50" t="s">
        <v>21</v>
      </c>
      <c r="L657" s="50">
        <v>3</v>
      </c>
      <c r="M657" s="51">
        <v>30</v>
      </c>
    </row>
    <row r="658" spans="5:13" x14ac:dyDescent="0.25">
      <c r="E658" s="32">
        <v>899</v>
      </c>
      <c r="F658" s="43">
        <v>45026</v>
      </c>
      <c r="G658" s="44">
        <v>2023</v>
      </c>
      <c r="H658" s="52" t="s">
        <v>4</v>
      </c>
      <c r="I658" s="46" t="s">
        <v>20</v>
      </c>
      <c r="J658" s="46">
        <v>31</v>
      </c>
      <c r="K658" s="46" t="s">
        <v>24</v>
      </c>
      <c r="L658" s="46">
        <v>1</v>
      </c>
      <c r="M658" s="47">
        <v>30</v>
      </c>
    </row>
    <row r="659" spans="5:13" x14ac:dyDescent="0.25">
      <c r="E659" s="33">
        <v>1591</v>
      </c>
      <c r="F659" s="48">
        <v>45536</v>
      </c>
      <c r="G659" s="49">
        <v>2024</v>
      </c>
      <c r="H659" s="45" t="s">
        <v>9</v>
      </c>
      <c r="I659" s="50" t="s">
        <v>22</v>
      </c>
      <c r="J659" s="50">
        <v>26</v>
      </c>
      <c r="K659" s="50" t="s">
        <v>24</v>
      </c>
      <c r="L659" s="50">
        <v>5</v>
      </c>
      <c r="M659" s="51">
        <v>211</v>
      </c>
    </row>
    <row r="660" spans="5:13" x14ac:dyDescent="0.25">
      <c r="E660" s="32">
        <v>345</v>
      </c>
      <c r="F660" s="43">
        <v>44968</v>
      </c>
      <c r="G660" s="44">
        <v>2023</v>
      </c>
      <c r="H660" s="52" t="s">
        <v>2</v>
      </c>
      <c r="I660" s="46" t="s">
        <v>20</v>
      </c>
      <c r="J660" s="46">
        <v>59</v>
      </c>
      <c r="K660" s="46" t="s">
        <v>23</v>
      </c>
      <c r="L660" s="46">
        <v>2</v>
      </c>
      <c r="M660" s="47">
        <v>500</v>
      </c>
    </row>
    <row r="661" spans="5:13" x14ac:dyDescent="0.25">
      <c r="E661" s="33">
        <v>1652</v>
      </c>
      <c r="F661" s="48">
        <v>45569</v>
      </c>
      <c r="G661" s="49">
        <v>2024</v>
      </c>
      <c r="H661" s="45" t="s">
        <v>10</v>
      </c>
      <c r="I661" s="50" t="s">
        <v>20</v>
      </c>
      <c r="J661" s="50">
        <v>36</v>
      </c>
      <c r="K661" s="50" t="s">
        <v>21</v>
      </c>
      <c r="L661" s="50">
        <v>4</v>
      </c>
      <c r="M661" s="51">
        <v>495</v>
      </c>
    </row>
    <row r="662" spans="5:13" x14ac:dyDescent="0.25">
      <c r="E662" s="32">
        <v>883</v>
      </c>
      <c r="F662" s="43">
        <v>44988</v>
      </c>
      <c r="G662" s="44">
        <v>2023</v>
      </c>
      <c r="H662" s="52" t="s">
        <v>3</v>
      </c>
      <c r="I662" s="46" t="s">
        <v>22</v>
      </c>
      <c r="J662" s="46">
        <v>52</v>
      </c>
      <c r="K662" s="46" t="s">
        <v>23</v>
      </c>
      <c r="L662" s="46">
        <v>4</v>
      </c>
      <c r="M662" s="47">
        <v>30</v>
      </c>
    </row>
    <row r="663" spans="5:13" x14ac:dyDescent="0.25">
      <c r="E663" s="33">
        <v>1287</v>
      </c>
      <c r="F663" s="48">
        <v>45569</v>
      </c>
      <c r="G663" s="49">
        <v>2024</v>
      </c>
      <c r="H663" s="45" t="s">
        <v>10</v>
      </c>
      <c r="I663" s="50" t="s">
        <v>22</v>
      </c>
      <c r="J663" s="50">
        <v>45</v>
      </c>
      <c r="K663" s="50" t="s">
        <v>21</v>
      </c>
      <c r="L663" s="50">
        <v>1</v>
      </c>
      <c r="M663" s="51">
        <v>260</v>
      </c>
    </row>
    <row r="664" spans="5:13" x14ac:dyDescent="0.25">
      <c r="E664" s="32">
        <v>1228</v>
      </c>
      <c r="F664" s="43">
        <v>45295</v>
      </c>
      <c r="G664" s="44">
        <v>2024</v>
      </c>
      <c r="H664" s="52" t="s">
        <v>1</v>
      </c>
      <c r="I664" s="46" t="s">
        <v>22</v>
      </c>
      <c r="J664" s="46">
        <v>27</v>
      </c>
      <c r="K664" s="46" t="s">
        <v>23</v>
      </c>
      <c r="L664" s="46">
        <v>1</v>
      </c>
      <c r="M664" s="47">
        <v>247</v>
      </c>
    </row>
    <row r="665" spans="5:13" x14ac:dyDescent="0.25">
      <c r="E665" s="33">
        <v>915</v>
      </c>
      <c r="F665" s="48">
        <v>44991</v>
      </c>
      <c r="G665" s="49">
        <v>2023</v>
      </c>
      <c r="H665" s="45" t="s">
        <v>3</v>
      </c>
      <c r="I665" s="50" t="s">
        <v>22</v>
      </c>
      <c r="J665" s="50">
        <v>57</v>
      </c>
      <c r="K665" s="50" t="s">
        <v>24</v>
      </c>
      <c r="L665" s="50">
        <v>4</v>
      </c>
      <c r="M665" s="51">
        <v>50</v>
      </c>
    </row>
    <row r="666" spans="5:13" x14ac:dyDescent="0.25">
      <c r="E666" s="32">
        <v>185</v>
      </c>
      <c r="F666" s="43">
        <v>44984</v>
      </c>
      <c r="G666" s="44">
        <v>2023</v>
      </c>
      <c r="H666" s="52" t="s">
        <v>2</v>
      </c>
      <c r="I666" s="46" t="s">
        <v>20</v>
      </c>
      <c r="J666" s="46">
        <v>24</v>
      </c>
      <c r="K666" s="46" t="s">
        <v>23</v>
      </c>
      <c r="L666" s="46">
        <v>1</v>
      </c>
      <c r="M666" s="47">
        <v>25</v>
      </c>
    </row>
    <row r="667" spans="5:13" x14ac:dyDescent="0.25">
      <c r="E667" s="33">
        <v>615</v>
      </c>
      <c r="F667" s="48">
        <v>45192</v>
      </c>
      <c r="G667" s="49">
        <v>2023</v>
      </c>
      <c r="H667" s="45" t="s">
        <v>9</v>
      </c>
      <c r="I667" s="50" t="s">
        <v>20</v>
      </c>
      <c r="J667" s="50">
        <v>41</v>
      </c>
      <c r="K667" s="50" t="s">
        <v>23</v>
      </c>
      <c r="L667" s="50">
        <v>2</v>
      </c>
      <c r="M667" s="51">
        <v>50</v>
      </c>
    </row>
    <row r="668" spans="5:13" x14ac:dyDescent="0.25">
      <c r="E668" s="32">
        <v>1019</v>
      </c>
      <c r="F668" s="43">
        <v>45305</v>
      </c>
      <c r="G668" s="44">
        <v>2024</v>
      </c>
      <c r="H668" s="52" t="s">
        <v>1</v>
      </c>
      <c r="I668" s="46" t="s">
        <v>22</v>
      </c>
      <c r="J668" s="46">
        <v>49</v>
      </c>
      <c r="K668" s="46" t="s">
        <v>21</v>
      </c>
      <c r="L668" s="46">
        <v>2</v>
      </c>
      <c r="M668" s="47">
        <v>150</v>
      </c>
    </row>
    <row r="669" spans="5:13" x14ac:dyDescent="0.25">
      <c r="E669" s="33">
        <v>969</v>
      </c>
      <c r="F669" s="48">
        <v>45265</v>
      </c>
      <c r="G669" s="49">
        <v>2023</v>
      </c>
      <c r="H669" s="45" t="s">
        <v>12</v>
      </c>
      <c r="I669" s="50" t="s">
        <v>22</v>
      </c>
      <c r="J669" s="50">
        <v>27</v>
      </c>
      <c r="K669" s="50" t="s">
        <v>24</v>
      </c>
      <c r="L669" s="50">
        <v>4</v>
      </c>
      <c r="M669" s="51">
        <v>50</v>
      </c>
    </row>
    <row r="670" spans="5:13" x14ac:dyDescent="0.25">
      <c r="E670" s="32">
        <v>238</v>
      </c>
      <c r="F670" s="43">
        <v>45096</v>
      </c>
      <c r="G670" s="44">
        <v>2023</v>
      </c>
      <c r="H670" s="52" t="s">
        <v>6</v>
      </c>
      <c r="I670" s="46" t="s">
        <v>20</v>
      </c>
      <c r="J670" s="46">
        <v>38</v>
      </c>
      <c r="K670" s="46" t="s">
        <v>24</v>
      </c>
      <c r="L670" s="46">
        <v>3</v>
      </c>
      <c r="M670" s="47">
        <v>500</v>
      </c>
    </row>
    <row r="671" spans="5:13" x14ac:dyDescent="0.25">
      <c r="E671" s="33">
        <v>252</v>
      </c>
      <c r="F671" s="48">
        <v>45169</v>
      </c>
      <c r="G671" s="49">
        <v>2023</v>
      </c>
      <c r="H671" s="45" t="s">
        <v>8</v>
      </c>
      <c r="I671" s="50" t="s">
        <v>22</v>
      </c>
      <c r="J671" s="50">
        <v>53</v>
      </c>
      <c r="K671" s="50" t="s">
        <v>23</v>
      </c>
      <c r="L671" s="50">
        <v>4</v>
      </c>
      <c r="M671" s="51">
        <v>500</v>
      </c>
    </row>
    <row r="672" spans="5:13" x14ac:dyDescent="0.25">
      <c r="E672" s="32">
        <v>534</v>
      </c>
      <c r="F672" s="43">
        <v>45266</v>
      </c>
      <c r="G672" s="44">
        <v>2023</v>
      </c>
      <c r="H672" s="52" t="s">
        <v>12</v>
      </c>
      <c r="I672" s="46" t="s">
        <v>20</v>
      </c>
      <c r="J672" s="46">
        <v>47</v>
      </c>
      <c r="K672" s="46" t="s">
        <v>21</v>
      </c>
      <c r="L672" s="46">
        <v>3</v>
      </c>
      <c r="M672" s="47">
        <v>30</v>
      </c>
    </row>
    <row r="673" spans="5:13" x14ac:dyDescent="0.25">
      <c r="E673" s="33">
        <v>1510</v>
      </c>
      <c r="F673" s="48">
        <v>45554</v>
      </c>
      <c r="G673" s="49">
        <v>2024</v>
      </c>
      <c r="H673" s="45" t="s">
        <v>9</v>
      </c>
      <c r="I673" s="50" t="s">
        <v>20</v>
      </c>
      <c r="J673" s="50">
        <v>45</v>
      </c>
      <c r="K673" s="50" t="s">
        <v>24</v>
      </c>
      <c r="L673" s="50">
        <v>2</v>
      </c>
      <c r="M673" s="51">
        <v>330</v>
      </c>
    </row>
    <row r="674" spans="5:13" x14ac:dyDescent="0.25">
      <c r="E674" s="32">
        <v>1322</v>
      </c>
      <c r="F674" s="43">
        <v>45537</v>
      </c>
      <c r="G674" s="44">
        <v>2024</v>
      </c>
      <c r="H674" s="52" t="s">
        <v>9</v>
      </c>
      <c r="I674" s="46" t="s">
        <v>22</v>
      </c>
      <c r="J674" s="46">
        <v>63</v>
      </c>
      <c r="K674" s="46" t="s">
        <v>24</v>
      </c>
      <c r="L674" s="46">
        <v>6</v>
      </c>
      <c r="M674" s="47">
        <v>77</v>
      </c>
    </row>
    <row r="675" spans="5:13" x14ac:dyDescent="0.25">
      <c r="E675" s="33">
        <v>1941</v>
      </c>
      <c r="F675" s="48">
        <v>45335</v>
      </c>
      <c r="G675" s="49">
        <v>2024</v>
      </c>
      <c r="H675" s="45" t="s">
        <v>2</v>
      </c>
      <c r="I675" s="50" t="s">
        <v>20</v>
      </c>
      <c r="J675" s="50">
        <v>61</v>
      </c>
      <c r="K675" s="50" t="s">
        <v>21</v>
      </c>
      <c r="L675" s="50">
        <v>6</v>
      </c>
      <c r="M675" s="51">
        <v>448</v>
      </c>
    </row>
    <row r="676" spans="5:13" x14ac:dyDescent="0.25">
      <c r="E676" s="32">
        <v>1192</v>
      </c>
      <c r="F676" s="43">
        <v>45541</v>
      </c>
      <c r="G676" s="44">
        <v>2024</v>
      </c>
      <c r="H676" s="52" t="s">
        <v>9</v>
      </c>
      <c r="I676" s="46" t="s">
        <v>20</v>
      </c>
      <c r="J676" s="46">
        <v>26</v>
      </c>
      <c r="K676" s="46" t="s">
        <v>23</v>
      </c>
      <c r="L676" s="46">
        <v>5</v>
      </c>
      <c r="M676" s="47">
        <v>328</v>
      </c>
    </row>
    <row r="677" spans="5:13" x14ac:dyDescent="0.25">
      <c r="E677" s="33">
        <v>126</v>
      </c>
      <c r="F677" s="48">
        <v>45225</v>
      </c>
      <c r="G677" s="49">
        <v>2023</v>
      </c>
      <c r="H677" s="45" t="s">
        <v>10</v>
      </c>
      <c r="I677" s="50" t="s">
        <v>22</v>
      </c>
      <c r="J677" s="50">
        <v>28</v>
      </c>
      <c r="K677" s="50" t="s">
        <v>23</v>
      </c>
      <c r="L677" s="50">
        <v>3</v>
      </c>
      <c r="M677" s="51">
        <v>30</v>
      </c>
    </row>
    <row r="678" spans="5:13" x14ac:dyDescent="0.25">
      <c r="E678" s="32">
        <v>1031</v>
      </c>
      <c r="F678" s="43">
        <v>45374</v>
      </c>
      <c r="G678" s="44">
        <v>2024</v>
      </c>
      <c r="H678" s="52" t="s">
        <v>3</v>
      </c>
      <c r="I678" s="46" t="s">
        <v>22</v>
      </c>
      <c r="J678" s="46">
        <v>31</v>
      </c>
      <c r="K678" s="46" t="s">
        <v>24</v>
      </c>
      <c r="L678" s="46">
        <v>1</v>
      </c>
      <c r="M678" s="47">
        <v>296</v>
      </c>
    </row>
    <row r="679" spans="5:13" x14ac:dyDescent="0.25">
      <c r="E679" s="33">
        <v>388</v>
      </c>
      <c r="F679" s="48">
        <v>45261</v>
      </c>
      <c r="G679" s="49">
        <v>2023</v>
      </c>
      <c r="H679" s="45" t="s">
        <v>12</v>
      </c>
      <c r="I679" s="50" t="s">
        <v>20</v>
      </c>
      <c r="J679" s="50">
        <v>21</v>
      </c>
      <c r="K679" s="50" t="s">
        <v>23</v>
      </c>
      <c r="L679" s="50">
        <v>2</v>
      </c>
      <c r="M679" s="51">
        <v>25</v>
      </c>
    </row>
    <row r="680" spans="5:13" x14ac:dyDescent="0.25">
      <c r="E680" s="32">
        <v>1359</v>
      </c>
      <c r="F680" s="43">
        <v>45623</v>
      </c>
      <c r="G680" s="44">
        <v>2024</v>
      </c>
      <c r="H680" s="52" t="s">
        <v>11</v>
      </c>
      <c r="I680" s="46" t="s">
        <v>20</v>
      </c>
      <c r="J680" s="46">
        <v>51</v>
      </c>
      <c r="K680" s="46" t="s">
        <v>23</v>
      </c>
      <c r="L680" s="46">
        <v>4</v>
      </c>
      <c r="M680" s="47">
        <v>53</v>
      </c>
    </row>
    <row r="681" spans="5:13" x14ac:dyDescent="0.25">
      <c r="E681" s="33">
        <v>1132</v>
      </c>
      <c r="F681" s="48">
        <v>45316</v>
      </c>
      <c r="G681" s="49">
        <v>2024</v>
      </c>
      <c r="H681" s="45" t="s">
        <v>1</v>
      </c>
      <c r="I681" s="50" t="s">
        <v>20</v>
      </c>
      <c r="J681" s="50">
        <v>30</v>
      </c>
      <c r="K681" s="50" t="s">
        <v>24</v>
      </c>
      <c r="L681" s="50">
        <v>5</v>
      </c>
      <c r="M681" s="51">
        <v>450</v>
      </c>
    </row>
    <row r="682" spans="5:13" x14ac:dyDescent="0.25">
      <c r="E682" s="32">
        <v>1580</v>
      </c>
      <c r="F682" s="43">
        <v>45464</v>
      </c>
      <c r="G682" s="44">
        <v>2024</v>
      </c>
      <c r="H682" s="52" t="s">
        <v>6</v>
      </c>
      <c r="I682" s="46" t="s">
        <v>22</v>
      </c>
      <c r="J682" s="46">
        <v>56</v>
      </c>
      <c r="K682" s="46" t="s">
        <v>24</v>
      </c>
      <c r="L682" s="46">
        <v>5</v>
      </c>
      <c r="M682" s="47">
        <v>431</v>
      </c>
    </row>
    <row r="683" spans="5:13" x14ac:dyDescent="0.25">
      <c r="E683" s="33">
        <v>833</v>
      </c>
      <c r="F683" s="48">
        <v>45176</v>
      </c>
      <c r="G683" s="49">
        <v>2023</v>
      </c>
      <c r="H683" s="45" t="s">
        <v>9</v>
      </c>
      <c r="I683" s="50" t="s">
        <v>20</v>
      </c>
      <c r="J683" s="50">
        <v>37</v>
      </c>
      <c r="K683" s="50" t="s">
        <v>23</v>
      </c>
      <c r="L683" s="50">
        <v>4</v>
      </c>
      <c r="M683" s="51">
        <v>50</v>
      </c>
    </row>
    <row r="684" spans="5:13" x14ac:dyDescent="0.25">
      <c r="E684" s="32">
        <v>182</v>
      </c>
      <c r="F684" s="43">
        <v>45092</v>
      </c>
      <c r="G684" s="44">
        <v>2023</v>
      </c>
      <c r="H684" s="52" t="s">
        <v>6</v>
      </c>
      <c r="I684" s="46" t="s">
        <v>20</v>
      </c>
      <c r="J684" s="46">
        <v>62</v>
      </c>
      <c r="K684" s="46" t="s">
        <v>21</v>
      </c>
      <c r="L684" s="46">
        <v>4</v>
      </c>
      <c r="M684" s="47">
        <v>30</v>
      </c>
    </row>
    <row r="685" spans="5:13" x14ac:dyDescent="0.25">
      <c r="E685" s="33">
        <v>1323</v>
      </c>
      <c r="F685" s="48">
        <v>45550</v>
      </c>
      <c r="G685" s="49">
        <v>2024</v>
      </c>
      <c r="H685" s="45" t="s">
        <v>9</v>
      </c>
      <c r="I685" s="50" t="s">
        <v>22</v>
      </c>
      <c r="J685" s="50">
        <v>53</v>
      </c>
      <c r="K685" s="50" t="s">
        <v>23</v>
      </c>
      <c r="L685" s="50">
        <v>6</v>
      </c>
      <c r="M685" s="51">
        <v>205</v>
      </c>
    </row>
    <row r="686" spans="5:13" x14ac:dyDescent="0.25">
      <c r="E686" s="32">
        <v>158</v>
      </c>
      <c r="F686" s="43">
        <v>44984</v>
      </c>
      <c r="G686" s="44">
        <v>2023</v>
      </c>
      <c r="H686" s="52" t="s">
        <v>2</v>
      </c>
      <c r="I686" s="46" t="s">
        <v>22</v>
      </c>
      <c r="J686" s="46">
        <v>44</v>
      </c>
      <c r="K686" s="46" t="s">
        <v>24</v>
      </c>
      <c r="L686" s="46">
        <v>2</v>
      </c>
      <c r="M686" s="47">
        <v>300</v>
      </c>
    </row>
    <row r="687" spans="5:13" x14ac:dyDescent="0.25">
      <c r="E687" s="33">
        <v>1157</v>
      </c>
      <c r="F687" s="48">
        <v>45443</v>
      </c>
      <c r="G687" s="49">
        <v>2024</v>
      </c>
      <c r="H687" s="45" t="s">
        <v>5</v>
      </c>
      <c r="I687" s="50" t="s">
        <v>20</v>
      </c>
      <c r="J687" s="50">
        <v>23</v>
      </c>
      <c r="K687" s="50" t="s">
        <v>23</v>
      </c>
      <c r="L687" s="50">
        <v>3</v>
      </c>
      <c r="M687" s="51">
        <v>239</v>
      </c>
    </row>
    <row r="688" spans="5:13" x14ac:dyDescent="0.25">
      <c r="E688" s="32">
        <v>1764</v>
      </c>
      <c r="F688" s="43">
        <v>45305</v>
      </c>
      <c r="G688" s="44">
        <v>2024</v>
      </c>
      <c r="H688" s="52" t="s">
        <v>1</v>
      </c>
      <c r="I688" s="46" t="s">
        <v>22</v>
      </c>
      <c r="J688" s="46">
        <v>44</v>
      </c>
      <c r="K688" s="46" t="s">
        <v>21</v>
      </c>
      <c r="L688" s="46">
        <v>1</v>
      </c>
      <c r="M688" s="47">
        <v>499</v>
      </c>
    </row>
    <row r="689" spans="5:13" x14ac:dyDescent="0.25">
      <c r="E689" s="33">
        <v>1690</v>
      </c>
      <c r="F689" s="48">
        <v>45432</v>
      </c>
      <c r="G689" s="49">
        <v>2024</v>
      </c>
      <c r="H689" s="45" t="s">
        <v>5</v>
      </c>
      <c r="I689" s="50" t="s">
        <v>22</v>
      </c>
      <c r="J689" s="50">
        <v>27</v>
      </c>
      <c r="K689" s="50" t="s">
        <v>24</v>
      </c>
      <c r="L689" s="50">
        <v>7</v>
      </c>
      <c r="M689" s="51">
        <v>144</v>
      </c>
    </row>
    <row r="690" spans="5:13" x14ac:dyDescent="0.25">
      <c r="E690" s="32">
        <v>805</v>
      </c>
      <c r="F690" s="43">
        <v>45149</v>
      </c>
      <c r="G690" s="44">
        <v>2023</v>
      </c>
      <c r="H690" s="52" t="s">
        <v>8</v>
      </c>
      <c r="I690" s="46" t="s">
        <v>22</v>
      </c>
      <c r="J690" s="46">
        <v>50</v>
      </c>
      <c r="K690" s="46" t="s">
        <v>24</v>
      </c>
      <c r="L690" s="46">
        <v>4</v>
      </c>
      <c r="M690" s="47">
        <v>50</v>
      </c>
    </row>
    <row r="691" spans="5:13" x14ac:dyDescent="0.25">
      <c r="E691" s="33">
        <v>1597</v>
      </c>
      <c r="F691" s="48">
        <v>45587</v>
      </c>
      <c r="G691" s="49">
        <v>2024</v>
      </c>
      <c r="H691" s="45" t="s">
        <v>10</v>
      </c>
      <c r="I691" s="50" t="s">
        <v>22</v>
      </c>
      <c r="J691" s="50">
        <v>59</v>
      </c>
      <c r="K691" s="50" t="s">
        <v>21</v>
      </c>
      <c r="L691" s="50">
        <v>6</v>
      </c>
      <c r="M691" s="51">
        <v>500</v>
      </c>
    </row>
    <row r="692" spans="5:13" x14ac:dyDescent="0.25">
      <c r="E692" s="32">
        <v>769</v>
      </c>
      <c r="F692" s="43">
        <v>45273</v>
      </c>
      <c r="G692" s="44">
        <v>2023</v>
      </c>
      <c r="H692" s="52" t="s">
        <v>12</v>
      </c>
      <c r="I692" s="46" t="s">
        <v>20</v>
      </c>
      <c r="J692" s="46">
        <v>24</v>
      </c>
      <c r="K692" s="46" t="s">
        <v>24</v>
      </c>
      <c r="L692" s="46">
        <v>2</v>
      </c>
      <c r="M692" s="47">
        <v>25</v>
      </c>
    </row>
    <row r="693" spans="5:13" x14ac:dyDescent="0.25">
      <c r="E693" s="33">
        <v>1497</v>
      </c>
      <c r="F693" s="48">
        <v>45352</v>
      </c>
      <c r="G693" s="49">
        <v>2024</v>
      </c>
      <c r="H693" s="45" t="s">
        <v>3</v>
      </c>
      <c r="I693" s="50" t="s">
        <v>22</v>
      </c>
      <c r="J693" s="50">
        <v>18</v>
      </c>
      <c r="K693" s="50" t="s">
        <v>21</v>
      </c>
      <c r="L693" s="50">
        <v>2</v>
      </c>
      <c r="M693" s="51">
        <v>449</v>
      </c>
    </row>
    <row r="694" spans="5:13" x14ac:dyDescent="0.25">
      <c r="E694" s="32">
        <v>1097</v>
      </c>
      <c r="F694" s="43">
        <v>45643</v>
      </c>
      <c r="G694" s="44">
        <v>2024</v>
      </c>
      <c r="H694" s="52" t="s">
        <v>12</v>
      </c>
      <c r="I694" s="46" t="s">
        <v>22</v>
      </c>
      <c r="J694" s="46">
        <v>27</v>
      </c>
      <c r="K694" s="46" t="s">
        <v>24</v>
      </c>
      <c r="L694" s="46">
        <v>6</v>
      </c>
      <c r="M694" s="47">
        <v>319</v>
      </c>
    </row>
    <row r="695" spans="5:13" x14ac:dyDescent="0.25">
      <c r="E695" s="33">
        <v>916</v>
      </c>
      <c r="F695" s="48">
        <v>45253</v>
      </c>
      <c r="G695" s="49">
        <v>2023</v>
      </c>
      <c r="H695" s="45" t="s">
        <v>11</v>
      </c>
      <c r="I695" s="50" t="s">
        <v>22</v>
      </c>
      <c r="J695" s="50">
        <v>42</v>
      </c>
      <c r="K695" s="50" t="s">
        <v>24</v>
      </c>
      <c r="L695" s="50">
        <v>3</v>
      </c>
      <c r="M695" s="51">
        <v>30</v>
      </c>
    </row>
    <row r="696" spans="5:13" x14ac:dyDescent="0.25">
      <c r="E696" s="32">
        <v>742</v>
      </c>
      <c r="F696" s="43">
        <v>45053</v>
      </c>
      <c r="G696" s="44">
        <v>2023</v>
      </c>
      <c r="H696" s="52" t="s">
        <v>5</v>
      </c>
      <c r="I696" s="46" t="s">
        <v>20</v>
      </c>
      <c r="J696" s="46">
        <v>40</v>
      </c>
      <c r="K696" s="46" t="s">
        <v>24</v>
      </c>
      <c r="L696" s="46">
        <v>1</v>
      </c>
      <c r="M696" s="47">
        <v>25</v>
      </c>
    </row>
    <row r="697" spans="5:13" x14ac:dyDescent="0.25">
      <c r="E697" s="33">
        <v>1281</v>
      </c>
      <c r="F697" s="48">
        <v>45330</v>
      </c>
      <c r="G697" s="49">
        <v>2024</v>
      </c>
      <c r="H697" s="45" t="s">
        <v>2</v>
      </c>
      <c r="I697" s="50" t="s">
        <v>20</v>
      </c>
      <c r="J697" s="50">
        <v>24</v>
      </c>
      <c r="K697" s="50" t="s">
        <v>23</v>
      </c>
      <c r="L697" s="50">
        <v>5</v>
      </c>
      <c r="M697" s="51">
        <v>261</v>
      </c>
    </row>
    <row r="698" spans="5:13" x14ac:dyDescent="0.25">
      <c r="E698" s="32">
        <v>827</v>
      </c>
      <c r="F698" s="43">
        <v>45121</v>
      </c>
      <c r="G698" s="44">
        <v>2023</v>
      </c>
      <c r="H698" s="52" t="s">
        <v>7</v>
      </c>
      <c r="I698" s="46" t="s">
        <v>20</v>
      </c>
      <c r="J698" s="46">
        <v>61</v>
      </c>
      <c r="K698" s="46" t="s">
        <v>21</v>
      </c>
      <c r="L698" s="46">
        <v>3</v>
      </c>
      <c r="M698" s="47">
        <v>30</v>
      </c>
    </row>
    <row r="699" spans="5:13" x14ac:dyDescent="0.25">
      <c r="E699" s="33">
        <v>1746</v>
      </c>
      <c r="F699" s="48">
        <v>45357</v>
      </c>
      <c r="G699" s="49">
        <v>2024</v>
      </c>
      <c r="H699" s="45" t="s">
        <v>3</v>
      </c>
      <c r="I699" s="50" t="s">
        <v>22</v>
      </c>
      <c r="J699" s="50">
        <v>38</v>
      </c>
      <c r="K699" s="50" t="s">
        <v>23</v>
      </c>
      <c r="L699" s="50">
        <v>5</v>
      </c>
      <c r="M699" s="51">
        <v>340</v>
      </c>
    </row>
    <row r="700" spans="5:13" x14ac:dyDescent="0.25">
      <c r="E700" s="32">
        <v>1285</v>
      </c>
      <c r="F700" s="43">
        <v>45317</v>
      </c>
      <c r="G700" s="44">
        <v>2024</v>
      </c>
      <c r="H700" s="52" t="s">
        <v>1</v>
      </c>
      <c r="I700" s="46" t="s">
        <v>20</v>
      </c>
      <c r="J700" s="46">
        <v>61</v>
      </c>
      <c r="K700" s="46" t="s">
        <v>23</v>
      </c>
      <c r="L700" s="46">
        <v>6</v>
      </c>
      <c r="M700" s="47">
        <v>289</v>
      </c>
    </row>
    <row r="701" spans="5:13" x14ac:dyDescent="0.25">
      <c r="E701" s="33">
        <v>455</v>
      </c>
      <c r="F701" s="48">
        <v>45213</v>
      </c>
      <c r="G701" s="49">
        <v>2023</v>
      </c>
      <c r="H701" s="45" t="s">
        <v>10</v>
      </c>
      <c r="I701" s="50" t="s">
        <v>20</v>
      </c>
      <c r="J701" s="50">
        <v>57</v>
      </c>
      <c r="K701" s="50" t="s">
        <v>24</v>
      </c>
      <c r="L701" s="50">
        <v>2</v>
      </c>
      <c r="M701" s="51">
        <v>30</v>
      </c>
    </row>
    <row r="702" spans="5:13" x14ac:dyDescent="0.25">
      <c r="E702" s="32">
        <v>1573</v>
      </c>
      <c r="F702" s="43">
        <v>45630</v>
      </c>
      <c r="G702" s="44">
        <v>2024</v>
      </c>
      <c r="H702" s="52" t="s">
        <v>12</v>
      </c>
      <c r="I702" s="46" t="s">
        <v>22</v>
      </c>
      <c r="J702" s="46">
        <v>31</v>
      </c>
      <c r="K702" s="46" t="s">
        <v>21</v>
      </c>
      <c r="L702" s="46">
        <v>6</v>
      </c>
      <c r="M702" s="47">
        <v>250</v>
      </c>
    </row>
    <row r="703" spans="5:13" x14ac:dyDescent="0.25">
      <c r="E703" s="33">
        <v>1169</v>
      </c>
      <c r="F703" s="48">
        <v>45620</v>
      </c>
      <c r="G703" s="49">
        <v>2024</v>
      </c>
      <c r="H703" s="45" t="s">
        <v>11</v>
      </c>
      <c r="I703" s="50" t="s">
        <v>22</v>
      </c>
      <c r="J703" s="50">
        <v>57</v>
      </c>
      <c r="K703" s="50" t="s">
        <v>23</v>
      </c>
      <c r="L703" s="50">
        <v>7</v>
      </c>
      <c r="M703" s="51">
        <v>217</v>
      </c>
    </row>
    <row r="704" spans="5:13" x14ac:dyDescent="0.25">
      <c r="E704" s="32">
        <v>184</v>
      </c>
      <c r="F704" s="43">
        <v>44936</v>
      </c>
      <c r="G704" s="44">
        <v>2023</v>
      </c>
      <c r="H704" s="52" t="s">
        <v>1</v>
      </c>
      <c r="I704" s="46" t="s">
        <v>20</v>
      </c>
      <c r="J704" s="46">
        <v>31</v>
      </c>
      <c r="K704" s="46" t="s">
        <v>24</v>
      </c>
      <c r="L704" s="46">
        <v>4</v>
      </c>
      <c r="M704" s="47">
        <v>50</v>
      </c>
    </row>
    <row r="705" spans="5:13" x14ac:dyDescent="0.25">
      <c r="E705" s="33">
        <v>67</v>
      </c>
      <c r="F705" s="48">
        <v>45075</v>
      </c>
      <c r="G705" s="49">
        <v>2023</v>
      </c>
      <c r="H705" s="45" t="s">
        <v>5</v>
      </c>
      <c r="I705" s="50" t="s">
        <v>22</v>
      </c>
      <c r="J705" s="50">
        <v>48</v>
      </c>
      <c r="K705" s="50" t="s">
        <v>21</v>
      </c>
      <c r="L705" s="50">
        <v>4</v>
      </c>
      <c r="M705" s="51">
        <v>300</v>
      </c>
    </row>
    <row r="706" spans="5:13" x14ac:dyDescent="0.25">
      <c r="E706" s="32">
        <v>618</v>
      </c>
      <c r="F706" s="43">
        <v>45212</v>
      </c>
      <c r="G706" s="44">
        <v>2023</v>
      </c>
      <c r="H706" s="52" t="s">
        <v>10</v>
      </c>
      <c r="I706" s="46" t="s">
        <v>20</v>
      </c>
      <c r="J706" s="46">
        <v>47</v>
      </c>
      <c r="K706" s="46" t="s">
        <v>24</v>
      </c>
      <c r="L706" s="46">
        <v>4</v>
      </c>
      <c r="M706" s="47">
        <v>25</v>
      </c>
    </row>
    <row r="707" spans="5:13" x14ac:dyDescent="0.25">
      <c r="E707" s="33">
        <v>1220</v>
      </c>
      <c r="F707" s="48">
        <v>45324</v>
      </c>
      <c r="G707" s="49">
        <v>2024</v>
      </c>
      <c r="H707" s="45" t="s">
        <v>2</v>
      </c>
      <c r="I707" s="50" t="s">
        <v>22</v>
      </c>
      <c r="J707" s="50">
        <v>31</v>
      </c>
      <c r="K707" s="50" t="s">
        <v>23</v>
      </c>
      <c r="L707" s="50">
        <v>4</v>
      </c>
      <c r="M707" s="51">
        <v>281</v>
      </c>
    </row>
    <row r="708" spans="5:13" x14ac:dyDescent="0.25">
      <c r="E708" s="32">
        <v>1579</v>
      </c>
      <c r="F708" s="43">
        <v>45610</v>
      </c>
      <c r="G708" s="44">
        <v>2024</v>
      </c>
      <c r="H708" s="52" t="s">
        <v>11</v>
      </c>
      <c r="I708" s="46" t="s">
        <v>20</v>
      </c>
      <c r="J708" s="46">
        <v>41</v>
      </c>
      <c r="K708" s="46" t="s">
        <v>23</v>
      </c>
      <c r="L708" s="46">
        <v>4</v>
      </c>
      <c r="M708" s="47">
        <v>248</v>
      </c>
    </row>
    <row r="709" spans="5:13" x14ac:dyDescent="0.25">
      <c r="E709" s="33">
        <v>1993</v>
      </c>
      <c r="F709" s="48">
        <v>45613</v>
      </c>
      <c r="G709" s="49">
        <v>2024</v>
      </c>
      <c r="H709" s="45" t="s">
        <v>11</v>
      </c>
      <c r="I709" s="50" t="s">
        <v>20</v>
      </c>
      <c r="J709" s="50">
        <v>56</v>
      </c>
      <c r="K709" s="50" t="s">
        <v>21</v>
      </c>
      <c r="L709" s="50">
        <v>3</v>
      </c>
      <c r="M709" s="51">
        <v>417</v>
      </c>
    </row>
    <row r="710" spans="5:13" x14ac:dyDescent="0.25">
      <c r="E710" s="32">
        <v>687</v>
      </c>
      <c r="F710" s="43">
        <v>45206</v>
      </c>
      <c r="G710" s="44">
        <v>2023</v>
      </c>
      <c r="H710" s="52" t="s">
        <v>10</v>
      </c>
      <c r="I710" s="46" t="s">
        <v>20</v>
      </c>
      <c r="J710" s="46">
        <v>57</v>
      </c>
      <c r="K710" s="46" t="s">
        <v>24</v>
      </c>
      <c r="L710" s="46">
        <v>2</v>
      </c>
      <c r="M710" s="47">
        <v>50</v>
      </c>
    </row>
    <row r="711" spans="5:13" x14ac:dyDescent="0.25">
      <c r="E711" s="33">
        <v>396</v>
      </c>
      <c r="F711" s="48">
        <v>44995</v>
      </c>
      <c r="G711" s="49">
        <v>2023</v>
      </c>
      <c r="H711" s="45" t="s">
        <v>3</v>
      </c>
      <c r="I711" s="50" t="s">
        <v>22</v>
      </c>
      <c r="J711" s="50">
        <v>30</v>
      </c>
      <c r="K711" s="50" t="s">
        <v>21</v>
      </c>
      <c r="L711" s="50">
        <v>1</v>
      </c>
      <c r="M711" s="51">
        <v>25</v>
      </c>
    </row>
    <row r="712" spans="5:13" x14ac:dyDescent="0.25">
      <c r="E712" s="32">
        <v>911</v>
      </c>
      <c r="F712" s="43">
        <v>44954</v>
      </c>
      <c r="G712" s="44">
        <v>2023</v>
      </c>
      <c r="H712" s="52" t="s">
        <v>1</v>
      </c>
      <c r="I712" s="46" t="s">
        <v>20</v>
      </c>
      <c r="J712" s="46">
        <v>29</v>
      </c>
      <c r="K712" s="46" t="s">
        <v>24</v>
      </c>
      <c r="L712" s="46">
        <v>3</v>
      </c>
      <c r="M712" s="47">
        <v>30</v>
      </c>
    </row>
    <row r="713" spans="5:13" x14ac:dyDescent="0.25">
      <c r="E713" s="33">
        <v>461</v>
      </c>
      <c r="F713" s="48">
        <v>45017</v>
      </c>
      <c r="G713" s="49">
        <v>2023</v>
      </c>
      <c r="H713" s="45" t="s">
        <v>4</v>
      </c>
      <c r="I713" s="50" t="s">
        <v>20</v>
      </c>
      <c r="J713" s="50">
        <v>63</v>
      </c>
      <c r="K713" s="50" t="s">
        <v>24</v>
      </c>
      <c r="L713" s="50">
        <v>4</v>
      </c>
      <c r="M713" s="51">
        <v>300</v>
      </c>
    </row>
    <row r="714" spans="5:13" x14ac:dyDescent="0.25">
      <c r="E714" s="32">
        <v>155</v>
      </c>
      <c r="F714" s="43">
        <v>45063</v>
      </c>
      <c r="G714" s="44">
        <v>2023</v>
      </c>
      <c r="H714" s="52" t="s">
        <v>5</v>
      </c>
      <c r="I714" s="46" t="s">
        <v>20</v>
      </c>
      <c r="J714" s="46">
        <v>31</v>
      </c>
      <c r="K714" s="46" t="s">
        <v>24</v>
      </c>
      <c r="L714" s="46">
        <v>4</v>
      </c>
      <c r="M714" s="47">
        <v>500</v>
      </c>
    </row>
    <row r="715" spans="5:13" x14ac:dyDescent="0.25">
      <c r="E715" s="33">
        <v>693</v>
      </c>
      <c r="F715" s="48">
        <v>45150</v>
      </c>
      <c r="G715" s="49">
        <v>2023</v>
      </c>
      <c r="H715" s="45" t="s">
        <v>8</v>
      </c>
      <c r="I715" s="50" t="s">
        <v>22</v>
      </c>
      <c r="J715" s="50">
        <v>22</v>
      </c>
      <c r="K715" s="50" t="s">
        <v>24</v>
      </c>
      <c r="L715" s="50">
        <v>3</v>
      </c>
      <c r="M715" s="51">
        <v>50</v>
      </c>
    </row>
    <row r="716" spans="5:13" x14ac:dyDescent="0.25">
      <c r="E716" s="32">
        <v>1744</v>
      </c>
      <c r="F716" s="43">
        <v>45371</v>
      </c>
      <c r="G716" s="44">
        <v>2024</v>
      </c>
      <c r="H716" s="52" t="s">
        <v>3</v>
      </c>
      <c r="I716" s="46" t="s">
        <v>20</v>
      </c>
      <c r="J716" s="46">
        <v>52</v>
      </c>
      <c r="K716" s="46" t="s">
        <v>23</v>
      </c>
      <c r="L716" s="46">
        <v>4</v>
      </c>
      <c r="M716" s="47">
        <v>96</v>
      </c>
    </row>
    <row r="717" spans="5:13" x14ac:dyDescent="0.25">
      <c r="E717" s="33">
        <v>307</v>
      </c>
      <c r="F717" s="48">
        <v>45143</v>
      </c>
      <c r="G717" s="49">
        <v>2023</v>
      </c>
      <c r="H717" s="45" t="s">
        <v>8</v>
      </c>
      <c r="I717" s="50" t="s">
        <v>22</v>
      </c>
      <c r="J717" s="50">
        <v>34</v>
      </c>
      <c r="K717" s="50" t="s">
        <v>21</v>
      </c>
      <c r="L717" s="50">
        <v>4</v>
      </c>
      <c r="M717" s="51">
        <v>300</v>
      </c>
    </row>
    <row r="718" spans="5:13" x14ac:dyDescent="0.25">
      <c r="E718" s="32">
        <v>813</v>
      </c>
      <c r="F718" s="43">
        <v>45165</v>
      </c>
      <c r="G718" s="44">
        <v>2023</v>
      </c>
      <c r="H718" s="52" t="s">
        <v>8</v>
      </c>
      <c r="I718" s="46" t="s">
        <v>22</v>
      </c>
      <c r="J718" s="46">
        <v>51</v>
      </c>
      <c r="K718" s="46" t="s">
        <v>23</v>
      </c>
      <c r="L718" s="46">
        <v>3</v>
      </c>
      <c r="M718" s="47">
        <v>25</v>
      </c>
    </row>
    <row r="719" spans="5:13" x14ac:dyDescent="0.25">
      <c r="E719" s="33">
        <v>1036</v>
      </c>
      <c r="F719" s="48">
        <v>45372</v>
      </c>
      <c r="G719" s="49">
        <v>2024</v>
      </c>
      <c r="H719" s="45" t="s">
        <v>3</v>
      </c>
      <c r="I719" s="50" t="s">
        <v>20</v>
      </c>
      <c r="J719" s="50">
        <v>46</v>
      </c>
      <c r="K719" s="50" t="s">
        <v>21</v>
      </c>
      <c r="L719" s="50">
        <v>7</v>
      </c>
      <c r="M719" s="51">
        <v>419</v>
      </c>
    </row>
    <row r="720" spans="5:13" x14ac:dyDescent="0.25">
      <c r="E720" s="32">
        <v>1942</v>
      </c>
      <c r="F720" s="43">
        <v>45420</v>
      </c>
      <c r="G720" s="44">
        <v>2024</v>
      </c>
      <c r="H720" s="52" t="s">
        <v>5</v>
      </c>
      <c r="I720" s="46" t="s">
        <v>20</v>
      </c>
      <c r="J720" s="46">
        <v>48</v>
      </c>
      <c r="K720" s="46" t="s">
        <v>24</v>
      </c>
      <c r="L720" s="46">
        <v>5</v>
      </c>
      <c r="M720" s="47">
        <v>374</v>
      </c>
    </row>
    <row r="721" spans="5:13" x14ac:dyDescent="0.25">
      <c r="E721" s="33">
        <v>777</v>
      </c>
      <c r="F721" s="48">
        <v>45051</v>
      </c>
      <c r="G721" s="49">
        <v>2023</v>
      </c>
      <c r="H721" s="45" t="s">
        <v>5</v>
      </c>
      <c r="I721" s="50" t="s">
        <v>22</v>
      </c>
      <c r="J721" s="50">
        <v>56</v>
      </c>
      <c r="K721" s="50" t="s">
        <v>24</v>
      </c>
      <c r="L721" s="50">
        <v>2</v>
      </c>
      <c r="M721" s="51">
        <v>500</v>
      </c>
    </row>
    <row r="722" spans="5:13" x14ac:dyDescent="0.25">
      <c r="E722" s="32">
        <v>639</v>
      </c>
      <c r="F722" s="43">
        <v>45053</v>
      </c>
      <c r="G722" s="44">
        <v>2023</v>
      </c>
      <c r="H722" s="52" t="s">
        <v>5</v>
      </c>
      <c r="I722" s="46" t="s">
        <v>22</v>
      </c>
      <c r="J722" s="46">
        <v>51</v>
      </c>
      <c r="K722" s="46" t="s">
        <v>24</v>
      </c>
      <c r="L722" s="46">
        <v>4</v>
      </c>
      <c r="M722" s="47">
        <v>30</v>
      </c>
    </row>
    <row r="723" spans="5:13" x14ac:dyDescent="0.25">
      <c r="E723" s="33">
        <v>704</v>
      </c>
      <c r="F723" s="48">
        <v>45245</v>
      </c>
      <c r="G723" s="49">
        <v>2023</v>
      </c>
      <c r="H723" s="45" t="s">
        <v>11</v>
      </c>
      <c r="I723" s="50" t="s">
        <v>20</v>
      </c>
      <c r="J723" s="50">
        <v>51</v>
      </c>
      <c r="K723" s="50" t="s">
        <v>24</v>
      </c>
      <c r="L723" s="50">
        <v>4</v>
      </c>
      <c r="M723" s="51">
        <v>25</v>
      </c>
    </row>
    <row r="724" spans="5:13" x14ac:dyDescent="0.25">
      <c r="E724" s="32">
        <v>1355</v>
      </c>
      <c r="F724" s="43">
        <v>45428</v>
      </c>
      <c r="G724" s="44">
        <v>2024</v>
      </c>
      <c r="H724" s="52" t="s">
        <v>5</v>
      </c>
      <c r="I724" s="46" t="s">
        <v>22</v>
      </c>
      <c r="J724" s="46">
        <v>60</v>
      </c>
      <c r="K724" s="46" t="s">
        <v>21</v>
      </c>
      <c r="L724" s="46">
        <v>4</v>
      </c>
      <c r="M724" s="47">
        <v>322</v>
      </c>
    </row>
    <row r="725" spans="5:13" x14ac:dyDescent="0.25">
      <c r="E725" s="33">
        <v>1611</v>
      </c>
      <c r="F725" s="48">
        <v>45383</v>
      </c>
      <c r="G725" s="49">
        <v>2024</v>
      </c>
      <c r="H725" s="45" t="s">
        <v>4</v>
      </c>
      <c r="I725" s="50" t="s">
        <v>22</v>
      </c>
      <c r="J725" s="50">
        <v>20</v>
      </c>
      <c r="K725" s="50" t="s">
        <v>21</v>
      </c>
      <c r="L725" s="50">
        <v>3</v>
      </c>
      <c r="M725" s="51">
        <v>426</v>
      </c>
    </row>
    <row r="726" spans="5:13" x14ac:dyDescent="0.25">
      <c r="E726" s="32">
        <v>1316</v>
      </c>
      <c r="F726" s="43">
        <v>45570</v>
      </c>
      <c r="G726" s="44">
        <v>2024</v>
      </c>
      <c r="H726" s="52" t="s">
        <v>10</v>
      </c>
      <c r="I726" s="46" t="s">
        <v>20</v>
      </c>
      <c r="J726" s="46">
        <v>44</v>
      </c>
      <c r="K726" s="46" t="s">
        <v>23</v>
      </c>
      <c r="L726" s="46">
        <v>7</v>
      </c>
      <c r="M726" s="47">
        <v>380</v>
      </c>
    </row>
    <row r="727" spans="5:13" x14ac:dyDescent="0.25">
      <c r="E727" s="33">
        <v>1437</v>
      </c>
      <c r="F727" s="48">
        <v>45591</v>
      </c>
      <c r="G727" s="49">
        <v>2024</v>
      </c>
      <c r="H727" s="45" t="s">
        <v>10</v>
      </c>
      <c r="I727" s="50" t="s">
        <v>20</v>
      </c>
      <c r="J727" s="50">
        <v>43</v>
      </c>
      <c r="K727" s="50" t="s">
        <v>23</v>
      </c>
      <c r="L727" s="50">
        <v>7</v>
      </c>
      <c r="M727" s="51">
        <v>13</v>
      </c>
    </row>
    <row r="728" spans="5:13" x14ac:dyDescent="0.25">
      <c r="E728" s="32">
        <v>902</v>
      </c>
      <c r="F728" s="43">
        <v>45111</v>
      </c>
      <c r="G728" s="44">
        <v>2023</v>
      </c>
      <c r="H728" s="52" t="s">
        <v>7</v>
      </c>
      <c r="I728" s="46" t="s">
        <v>20</v>
      </c>
      <c r="J728" s="46">
        <v>28</v>
      </c>
      <c r="K728" s="46" t="s">
        <v>23</v>
      </c>
      <c r="L728" s="46">
        <v>1</v>
      </c>
      <c r="M728" s="47">
        <v>500</v>
      </c>
    </row>
    <row r="729" spans="5:13" x14ac:dyDescent="0.25">
      <c r="E729" s="33">
        <v>929</v>
      </c>
      <c r="F729" s="48">
        <v>45171</v>
      </c>
      <c r="G729" s="49">
        <v>2023</v>
      </c>
      <c r="H729" s="45" t="s">
        <v>9</v>
      </c>
      <c r="I729" s="50" t="s">
        <v>20</v>
      </c>
      <c r="J729" s="50">
        <v>30</v>
      </c>
      <c r="K729" s="50" t="s">
        <v>21</v>
      </c>
      <c r="L729" s="50">
        <v>4</v>
      </c>
      <c r="M729" s="51">
        <v>30</v>
      </c>
    </row>
    <row r="730" spans="5:13" x14ac:dyDescent="0.25">
      <c r="E730" s="32">
        <v>1857</v>
      </c>
      <c r="F730" s="43">
        <v>45339</v>
      </c>
      <c r="G730" s="44">
        <v>2024</v>
      </c>
      <c r="H730" s="52" t="s">
        <v>2</v>
      </c>
      <c r="I730" s="46" t="s">
        <v>22</v>
      </c>
      <c r="J730" s="46">
        <v>54</v>
      </c>
      <c r="K730" s="46" t="s">
        <v>23</v>
      </c>
      <c r="L730" s="46">
        <v>1</v>
      </c>
      <c r="M730" s="47">
        <v>453</v>
      </c>
    </row>
    <row r="731" spans="5:13" x14ac:dyDescent="0.25">
      <c r="E731" s="33">
        <v>61</v>
      </c>
      <c r="F731" s="48">
        <v>45025</v>
      </c>
      <c r="G731" s="49">
        <v>2023</v>
      </c>
      <c r="H731" s="45" t="s">
        <v>4</v>
      </c>
      <c r="I731" s="50" t="s">
        <v>20</v>
      </c>
      <c r="J731" s="50">
        <v>21</v>
      </c>
      <c r="K731" s="50" t="s">
        <v>21</v>
      </c>
      <c r="L731" s="50">
        <v>4</v>
      </c>
      <c r="M731" s="51">
        <v>50</v>
      </c>
    </row>
    <row r="732" spans="5:13" x14ac:dyDescent="0.25">
      <c r="E732" s="32">
        <v>1584</v>
      </c>
      <c r="F732" s="43">
        <v>45451</v>
      </c>
      <c r="G732" s="44">
        <v>2024</v>
      </c>
      <c r="H732" s="52" t="s">
        <v>6</v>
      </c>
      <c r="I732" s="46" t="s">
        <v>22</v>
      </c>
      <c r="J732" s="46">
        <v>27</v>
      </c>
      <c r="K732" s="46" t="s">
        <v>21</v>
      </c>
      <c r="L732" s="46">
        <v>4</v>
      </c>
      <c r="M732" s="47">
        <v>101</v>
      </c>
    </row>
    <row r="733" spans="5:13" x14ac:dyDescent="0.25">
      <c r="E733" s="33">
        <v>830</v>
      </c>
      <c r="F733" s="48">
        <v>45180</v>
      </c>
      <c r="G733" s="49">
        <v>2023</v>
      </c>
      <c r="H733" s="45" t="s">
        <v>9</v>
      </c>
      <c r="I733" s="50" t="s">
        <v>20</v>
      </c>
      <c r="J733" s="50">
        <v>47</v>
      </c>
      <c r="K733" s="50" t="s">
        <v>21</v>
      </c>
      <c r="L733" s="50">
        <v>4</v>
      </c>
      <c r="M733" s="51">
        <v>500</v>
      </c>
    </row>
    <row r="734" spans="5:13" x14ac:dyDescent="0.25">
      <c r="E734" s="32">
        <v>1448</v>
      </c>
      <c r="F734" s="43">
        <v>45642</v>
      </c>
      <c r="G734" s="44">
        <v>2024</v>
      </c>
      <c r="H734" s="52" t="s">
        <v>12</v>
      </c>
      <c r="I734" s="46" t="s">
        <v>22</v>
      </c>
      <c r="J734" s="46">
        <v>38</v>
      </c>
      <c r="K734" s="46" t="s">
        <v>24</v>
      </c>
      <c r="L734" s="46">
        <v>2</v>
      </c>
      <c r="M734" s="47">
        <v>29</v>
      </c>
    </row>
    <row r="735" spans="5:13" x14ac:dyDescent="0.25">
      <c r="E735" s="33">
        <v>1244</v>
      </c>
      <c r="F735" s="48">
        <v>45569</v>
      </c>
      <c r="G735" s="49">
        <v>2024</v>
      </c>
      <c r="H735" s="45" t="s">
        <v>10</v>
      </c>
      <c r="I735" s="50" t="s">
        <v>20</v>
      </c>
      <c r="J735" s="50">
        <v>24</v>
      </c>
      <c r="K735" s="50" t="s">
        <v>24</v>
      </c>
      <c r="L735" s="50">
        <v>3</v>
      </c>
      <c r="M735" s="51">
        <v>284</v>
      </c>
    </row>
    <row r="736" spans="5:13" x14ac:dyDescent="0.25">
      <c r="E736" s="32">
        <v>1009</v>
      </c>
      <c r="F736" s="43">
        <v>45336</v>
      </c>
      <c r="G736" s="44">
        <v>2024</v>
      </c>
      <c r="H736" s="52" t="s">
        <v>2</v>
      </c>
      <c r="I736" s="46" t="s">
        <v>20</v>
      </c>
      <c r="J736" s="46">
        <v>52</v>
      </c>
      <c r="K736" s="46" t="s">
        <v>23</v>
      </c>
      <c r="L736" s="46">
        <v>4</v>
      </c>
      <c r="M736" s="47">
        <v>321</v>
      </c>
    </row>
    <row r="737" spans="5:13" x14ac:dyDescent="0.25">
      <c r="E737" s="33">
        <v>918</v>
      </c>
      <c r="F737" s="48">
        <v>44979</v>
      </c>
      <c r="G737" s="49">
        <v>2023</v>
      </c>
      <c r="H737" s="45" t="s">
        <v>2</v>
      </c>
      <c r="I737" s="50" t="s">
        <v>22</v>
      </c>
      <c r="J737" s="50">
        <v>28</v>
      </c>
      <c r="K737" s="50" t="s">
        <v>21</v>
      </c>
      <c r="L737" s="50">
        <v>3</v>
      </c>
      <c r="M737" s="51">
        <v>25</v>
      </c>
    </row>
    <row r="738" spans="5:13" x14ac:dyDescent="0.25">
      <c r="E738" s="32">
        <v>1896</v>
      </c>
      <c r="F738" s="43">
        <v>45343</v>
      </c>
      <c r="G738" s="44">
        <v>2024</v>
      </c>
      <c r="H738" s="52" t="s">
        <v>2</v>
      </c>
      <c r="I738" s="46" t="s">
        <v>20</v>
      </c>
      <c r="J738" s="46">
        <v>35</v>
      </c>
      <c r="K738" s="46" t="s">
        <v>23</v>
      </c>
      <c r="L738" s="46">
        <v>1</v>
      </c>
      <c r="M738" s="47">
        <v>333</v>
      </c>
    </row>
    <row r="739" spans="5:13" x14ac:dyDescent="0.25">
      <c r="E739" s="33">
        <v>1529</v>
      </c>
      <c r="F739" s="48">
        <v>45462</v>
      </c>
      <c r="G739" s="49">
        <v>2024</v>
      </c>
      <c r="H739" s="45" t="s">
        <v>6</v>
      </c>
      <c r="I739" s="50" t="s">
        <v>22</v>
      </c>
      <c r="J739" s="50">
        <v>46</v>
      </c>
      <c r="K739" s="50" t="s">
        <v>23</v>
      </c>
      <c r="L739" s="50">
        <v>5</v>
      </c>
      <c r="M739" s="51">
        <v>429</v>
      </c>
    </row>
    <row r="740" spans="5:13" x14ac:dyDescent="0.25">
      <c r="E740" s="32">
        <v>1753</v>
      </c>
      <c r="F740" s="43">
        <v>45651</v>
      </c>
      <c r="G740" s="44">
        <v>2024</v>
      </c>
      <c r="H740" s="52" t="s">
        <v>12</v>
      </c>
      <c r="I740" s="46" t="s">
        <v>22</v>
      </c>
      <c r="J740" s="46">
        <v>64</v>
      </c>
      <c r="K740" s="46" t="s">
        <v>24</v>
      </c>
      <c r="L740" s="46">
        <v>1</v>
      </c>
      <c r="M740" s="47">
        <v>377</v>
      </c>
    </row>
    <row r="741" spans="5:13" x14ac:dyDescent="0.25">
      <c r="E741" s="33">
        <v>1040</v>
      </c>
      <c r="F741" s="48">
        <v>45339</v>
      </c>
      <c r="G741" s="49">
        <v>2024</v>
      </c>
      <c r="H741" s="45" t="s">
        <v>2</v>
      </c>
      <c r="I741" s="50" t="s">
        <v>20</v>
      </c>
      <c r="J741" s="50">
        <v>49</v>
      </c>
      <c r="K741" s="50" t="s">
        <v>23</v>
      </c>
      <c r="L741" s="50">
        <v>1</v>
      </c>
      <c r="M741" s="51">
        <v>496</v>
      </c>
    </row>
    <row r="742" spans="5:13" x14ac:dyDescent="0.25">
      <c r="E742" s="32">
        <v>890</v>
      </c>
      <c r="F742" s="43">
        <v>45025</v>
      </c>
      <c r="G742" s="44">
        <v>2023</v>
      </c>
      <c r="H742" s="52" t="s">
        <v>4</v>
      </c>
      <c r="I742" s="46" t="s">
        <v>20</v>
      </c>
      <c r="J742" s="46">
        <v>20</v>
      </c>
      <c r="K742" s="46" t="s">
        <v>24</v>
      </c>
      <c r="L742" s="46">
        <v>1</v>
      </c>
      <c r="M742" s="47">
        <v>50</v>
      </c>
    </row>
    <row r="743" spans="5:13" x14ac:dyDescent="0.25">
      <c r="E743" s="33">
        <v>435</v>
      </c>
      <c r="F743" s="48">
        <v>45003</v>
      </c>
      <c r="G743" s="49">
        <v>2023</v>
      </c>
      <c r="H743" s="45" t="s">
        <v>3</v>
      </c>
      <c r="I743" s="50" t="s">
        <v>22</v>
      </c>
      <c r="J743" s="50">
        <v>57</v>
      </c>
      <c r="K743" s="50" t="s">
        <v>23</v>
      </c>
      <c r="L743" s="50">
        <v>4</v>
      </c>
      <c r="M743" s="51">
        <v>30</v>
      </c>
    </row>
    <row r="744" spans="5:13" x14ac:dyDescent="0.25">
      <c r="E744" s="32">
        <v>1181</v>
      </c>
      <c r="F744" s="43">
        <v>45543</v>
      </c>
      <c r="G744" s="44">
        <v>2024</v>
      </c>
      <c r="H744" s="52" t="s">
        <v>9</v>
      </c>
      <c r="I744" s="46" t="s">
        <v>22</v>
      </c>
      <c r="J744" s="46">
        <v>21</v>
      </c>
      <c r="K744" s="46" t="s">
        <v>21</v>
      </c>
      <c r="L744" s="46">
        <v>4</v>
      </c>
      <c r="M744" s="47">
        <v>188</v>
      </c>
    </row>
    <row r="745" spans="5:13" x14ac:dyDescent="0.25">
      <c r="E745" s="33">
        <v>1921</v>
      </c>
      <c r="F745" s="48">
        <v>45538</v>
      </c>
      <c r="G745" s="49">
        <v>2024</v>
      </c>
      <c r="H745" s="45" t="s">
        <v>9</v>
      </c>
      <c r="I745" s="50" t="s">
        <v>20</v>
      </c>
      <c r="J745" s="50">
        <v>20</v>
      </c>
      <c r="K745" s="50" t="s">
        <v>24</v>
      </c>
      <c r="L745" s="50">
        <v>7</v>
      </c>
      <c r="M745" s="51">
        <v>249</v>
      </c>
    </row>
    <row r="746" spans="5:13" x14ac:dyDescent="0.25">
      <c r="E746" s="32">
        <v>1094</v>
      </c>
      <c r="F746" s="43">
        <v>45645</v>
      </c>
      <c r="G746" s="44">
        <v>2024</v>
      </c>
      <c r="H746" s="52" t="s">
        <v>12</v>
      </c>
      <c r="I746" s="46" t="s">
        <v>22</v>
      </c>
      <c r="J746" s="46">
        <v>40</v>
      </c>
      <c r="K746" s="46" t="s">
        <v>23</v>
      </c>
      <c r="L746" s="46">
        <v>2</v>
      </c>
      <c r="M746" s="47">
        <v>243</v>
      </c>
    </row>
    <row r="747" spans="5:13" x14ac:dyDescent="0.25">
      <c r="E747" s="33">
        <v>1053</v>
      </c>
      <c r="F747" s="48">
        <v>45575</v>
      </c>
      <c r="G747" s="49">
        <v>2024</v>
      </c>
      <c r="H747" s="45" t="s">
        <v>10</v>
      </c>
      <c r="I747" s="50" t="s">
        <v>20</v>
      </c>
      <c r="J747" s="50">
        <v>43</v>
      </c>
      <c r="K747" s="50" t="s">
        <v>21</v>
      </c>
      <c r="L747" s="50">
        <v>6</v>
      </c>
      <c r="M747" s="51">
        <v>55</v>
      </c>
    </row>
    <row r="748" spans="5:13" x14ac:dyDescent="0.25">
      <c r="E748" s="32">
        <v>1168</v>
      </c>
      <c r="F748" s="43">
        <v>45445</v>
      </c>
      <c r="G748" s="44">
        <v>2024</v>
      </c>
      <c r="H748" s="52" t="s">
        <v>6</v>
      </c>
      <c r="I748" s="46" t="s">
        <v>22</v>
      </c>
      <c r="J748" s="46">
        <v>22</v>
      </c>
      <c r="K748" s="46" t="s">
        <v>23</v>
      </c>
      <c r="L748" s="46">
        <v>4</v>
      </c>
      <c r="M748" s="47">
        <v>206</v>
      </c>
    </row>
    <row r="749" spans="5:13" x14ac:dyDescent="0.25">
      <c r="E749" s="33">
        <v>213</v>
      </c>
      <c r="F749" s="48">
        <v>45270</v>
      </c>
      <c r="G749" s="49">
        <v>2023</v>
      </c>
      <c r="H749" s="45" t="s">
        <v>12</v>
      </c>
      <c r="I749" s="50" t="s">
        <v>20</v>
      </c>
      <c r="J749" s="50">
        <v>20</v>
      </c>
      <c r="K749" s="50" t="s">
        <v>21</v>
      </c>
      <c r="L749" s="50">
        <v>2</v>
      </c>
      <c r="M749" s="51">
        <v>30</v>
      </c>
    </row>
    <row r="750" spans="5:13" x14ac:dyDescent="0.25">
      <c r="E750" s="32">
        <v>1447</v>
      </c>
      <c r="F750" s="43">
        <v>45400</v>
      </c>
      <c r="G750" s="44">
        <v>2024</v>
      </c>
      <c r="H750" s="52" t="s">
        <v>4</v>
      </c>
      <c r="I750" s="46" t="s">
        <v>22</v>
      </c>
      <c r="J750" s="46">
        <v>55</v>
      </c>
      <c r="K750" s="46" t="s">
        <v>21</v>
      </c>
      <c r="L750" s="46">
        <v>2</v>
      </c>
      <c r="M750" s="47">
        <v>85</v>
      </c>
    </row>
    <row r="751" spans="5:13" x14ac:dyDescent="0.25">
      <c r="E751" s="33">
        <v>1270</v>
      </c>
      <c r="F751" s="48">
        <v>45420</v>
      </c>
      <c r="G751" s="49">
        <v>2024</v>
      </c>
      <c r="H751" s="45" t="s">
        <v>5</v>
      </c>
      <c r="I751" s="50" t="s">
        <v>22</v>
      </c>
      <c r="J751" s="50">
        <v>44</v>
      </c>
      <c r="K751" s="50" t="s">
        <v>21</v>
      </c>
      <c r="L751" s="50">
        <v>3</v>
      </c>
      <c r="M751" s="51">
        <v>433</v>
      </c>
    </row>
    <row r="752" spans="5:13" x14ac:dyDescent="0.25">
      <c r="E752" s="32">
        <v>1788</v>
      </c>
      <c r="F752" s="43">
        <v>45482</v>
      </c>
      <c r="G752" s="44">
        <v>2024</v>
      </c>
      <c r="H752" s="52" t="s">
        <v>7</v>
      </c>
      <c r="I752" s="46" t="s">
        <v>22</v>
      </c>
      <c r="J752" s="46">
        <v>25</v>
      </c>
      <c r="K752" s="46" t="s">
        <v>21</v>
      </c>
      <c r="L752" s="46">
        <v>1</v>
      </c>
      <c r="M752" s="47">
        <v>145</v>
      </c>
    </row>
    <row r="753" spans="5:13" x14ac:dyDescent="0.25">
      <c r="E753" s="33">
        <v>1107</v>
      </c>
      <c r="F753" s="48">
        <v>45583</v>
      </c>
      <c r="G753" s="49">
        <v>2024</v>
      </c>
      <c r="H753" s="45" t="s">
        <v>10</v>
      </c>
      <c r="I753" s="50" t="s">
        <v>22</v>
      </c>
      <c r="J753" s="50">
        <v>39</v>
      </c>
      <c r="K753" s="50" t="s">
        <v>24</v>
      </c>
      <c r="L753" s="50">
        <v>4</v>
      </c>
      <c r="M753" s="51">
        <v>281</v>
      </c>
    </row>
    <row r="754" spans="5:13" x14ac:dyDescent="0.25">
      <c r="E754" s="32">
        <v>1136</v>
      </c>
      <c r="F754" s="43">
        <v>45374</v>
      </c>
      <c r="G754" s="44">
        <v>2024</v>
      </c>
      <c r="H754" s="52" t="s">
        <v>3</v>
      </c>
      <c r="I754" s="46" t="s">
        <v>20</v>
      </c>
      <c r="J754" s="46">
        <v>20</v>
      </c>
      <c r="K754" s="46" t="s">
        <v>23</v>
      </c>
      <c r="L754" s="46">
        <v>4</v>
      </c>
      <c r="M754" s="47">
        <v>166</v>
      </c>
    </row>
    <row r="755" spans="5:13" x14ac:dyDescent="0.25">
      <c r="E755" s="33">
        <v>1476</v>
      </c>
      <c r="F755" s="48">
        <v>45528</v>
      </c>
      <c r="G755" s="49">
        <v>2024</v>
      </c>
      <c r="H755" s="45" t="s">
        <v>8</v>
      </c>
      <c r="I755" s="50" t="s">
        <v>20</v>
      </c>
      <c r="J755" s="50">
        <v>26</v>
      </c>
      <c r="K755" s="50" t="s">
        <v>24</v>
      </c>
      <c r="L755" s="50">
        <v>1</v>
      </c>
      <c r="M755" s="51">
        <v>23</v>
      </c>
    </row>
    <row r="756" spans="5:13" x14ac:dyDescent="0.25">
      <c r="E756" s="32">
        <v>391</v>
      </c>
      <c r="F756" s="43">
        <v>45268</v>
      </c>
      <c r="G756" s="44">
        <v>2023</v>
      </c>
      <c r="H756" s="52" t="s">
        <v>12</v>
      </c>
      <c r="I756" s="46" t="s">
        <v>20</v>
      </c>
      <c r="J756" s="46">
        <v>27</v>
      </c>
      <c r="K756" s="46" t="s">
        <v>23</v>
      </c>
      <c r="L756" s="46">
        <v>2</v>
      </c>
      <c r="M756" s="47">
        <v>300</v>
      </c>
    </row>
    <row r="757" spans="5:13" x14ac:dyDescent="0.25">
      <c r="E757" s="33">
        <v>164</v>
      </c>
      <c r="F757" s="48">
        <v>45061</v>
      </c>
      <c r="G757" s="49">
        <v>2023</v>
      </c>
      <c r="H757" s="45" t="s">
        <v>5</v>
      </c>
      <c r="I757" s="50" t="s">
        <v>22</v>
      </c>
      <c r="J757" s="50">
        <v>47</v>
      </c>
      <c r="K757" s="50" t="s">
        <v>21</v>
      </c>
      <c r="L757" s="50">
        <v>3</v>
      </c>
      <c r="M757" s="51">
        <v>500</v>
      </c>
    </row>
    <row r="758" spans="5:13" x14ac:dyDescent="0.25">
      <c r="E758" s="32">
        <v>1253</v>
      </c>
      <c r="F758" s="43">
        <v>45340</v>
      </c>
      <c r="G758" s="44">
        <v>2024</v>
      </c>
      <c r="H758" s="52" t="s">
        <v>2</v>
      </c>
      <c r="I758" s="46" t="s">
        <v>20</v>
      </c>
      <c r="J758" s="46">
        <v>27</v>
      </c>
      <c r="K758" s="46" t="s">
        <v>23</v>
      </c>
      <c r="L758" s="46">
        <v>1</v>
      </c>
      <c r="M758" s="47">
        <v>153</v>
      </c>
    </row>
    <row r="759" spans="5:13" x14ac:dyDescent="0.25">
      <c r="E759" s="33">
        <v>1859</v>
      </c>
      <c r="F759" s="48">
        <v>45406</v>
      </c>
      <c r="G759" s="49">
        <v>2024</v>
      </c>
      <c r="H759" s="45" t="s">
        <v>4</v>
      </c>
      <c r="I759" s="50" t="s">
        <v>22</v>
      </c>
      <c r="J759" s="50">
        <v>45</v>
      </c>
      <c r="K759" s="50" t="s">
        <v>24</v>
      </c>
      <c r="L759" s="50">
        <v>5</v>
      </c>
      <c r="M759" s="51">
        <v>116</v>
      </c>
    </row>
    <row r="760" spans="5:13" x14ac:dyDescent="0.25">
      <c r="E760" s="32">
        <v>1785</v>
      </c>
      <c r="F760" s="43">
        <v>45565</v>
      </c>
      <c r="G760" s="44">
        <v>2024</v>
      </c>
      <c r="H760" s="52" t="s">
        <v>9</v>
      </c>
      <c r="I760" s="46" t="s">
        <v>22</v>
      </c>
      <c r="J760" s="46">
        <v>32</v>
      </c>
      <c r="K760" s="46" t="s">
        <v>23</v>
      </c>
      <c r="L760" s="46">
        <v>3</v>
      </c>
      <c r="M760" s="47">
        <v>10</v>
      </c>
    </row>
    <row r="761" spans="5:13" x14ac:dyDescent="0.25">
      <c r="E761" s="33">
        <v>1325</v>
      </c>
      <c r="F761" s="48">
        <v>45373</v>
      </c>
      <c r="G761" s="49">
        <v>2024</v>
      </c>
      <c r="H761" s="45" t="s">
        <v>3</v>
      </c>
      <c r="I761" s="50" t="s">
        <v>20</v>
      </c>
      <c r="J761" s="50">
        <v>22</v>
      </c>
      <c r="K761" s="50" t="s">
        <v>21</v>
      </c>
      <c r="L761" s="50">
        <v>6</v>
      </c>
      <c r="M761" s="51">
        <v>26</v>
      </c>
    </row>
    <row r="762" spans="5:13" x14ac:dyDescent="0.25">
      <c r="E762" s="32">
        <v>1062</v>
      </c>
      <c r="F762" s="43">
        <v>45315</v>
      </c>
      <c r="G762" s="44">
        <v>2024</v>
      </c>
      <c r="H762" s="52" t="s">
        <v>1</v>
      </c>
      <c r="I762" s="46" t="s">
        <v>20</v>
      </c>
      <c r="J762" s="46">
        <v>32</v>
      </c>
      <c r="K762" s="46" t="s">
        <v>23</v>
      </c>
      <c r="L762" s="46">
        <v>2</v>
      </c>
      <c r="M762" s="47">
        <v>209</v>
      </c>
    </row>
    <row r="763" spans="5:13" x14ac:dyDescent="0.25">
      <c r="E763" s="33">
        <v>596</v>
      </c>
      <c r="F763" s="48">
        <v>45160</v>
      </c>
      <c r="G763" s="49">
        <v>2023</v>
      </c>
      <c r="H763" s="45" t="s">
        <v>8</v>
      </c>
      <c r="I763" s="50" t="s">
        <v>20</v>
      </c>
      <c r="J763" s="50">
        <v>22</v>
      </c>
      <c r="K763" s="50" t="s">
        <v>21</v>
      </c>
      <c r="L763" s="50">
        <v>4</v>
      </c>
      <c r="M763" s="51">
        <v>300</v>
      </c>
    </row>
    <row r="764" spans="5:13" x14ac:dyDescent="0.25">
      <c r="E764" s="32">
        <v>1954</v>
      </c>
      <c r="F764" s="43">
        <v>45445</v>
      </c>
      <c r="G764" s="44">
        <v>2024</v>
      </c>
      <c r="H764" s="52" t="s">
        <v>6</v>
      </c>
      <c r="I764" s="46" t="s">
        <v>20</v>
      </c>
      <c r="J764" s="46">
        <v>46</v>
      </c>
      <c r="K764" s="46" t="s">
        <v>24</v>
      </c>
      <c r="L764" s="46">
        <v>5</v>
      </c>
      <c r="M764" s="47">
        <v>261</v>
      </c>
    </row>
    <row r="765" spans="5:13" x14ac:dyDescent="0.25">
      <c r="E765" s="33">
        <v>1945</v>
      </c>
      <c r="F765" s="48">
        <v>45506</v>
      </c>
      <c r="G765" s="49">
        <v>2024</v>
      </c>
      <c r="H765" s="45" t="s">
        <v>8</v>
      </c>
      <c r="I765" s="50" t="s">
        <v>22</v>
      </c>
      <c r="J765" s="50">
        <v>54</v>
      </c>
      <c r="K765" s="50" t="s">
        <v>24</v>
      </c>
      <c r="L765" s="50">
        <v>7</v>
      </c>
      <c r="M765" s="51">
        <v>397</v>
      </c>
    </row>
    <row r="766" spans="5:13" x14ac:dyDescent="0.25">
      <c r="E766" s="32">
        <v>994</v>
      </c>
      <c r="F766" s="43">
        <v>45062</v>
      </c>
      <c r="G766" s="44">
        <v>2023</v>
      </c>
      <c r="H766" s="52" t="s">
        <v>5</v>
      </c>
      <c r="I766" s="46" t="s">
        <v>20</v>
      </c>
      <c r="J766" s="46">
        <v>62</v>
      </c>
      <c r="K766" s="46" t="s">
        <v>23</v>
      </c>
      <c r="L766" s="46">
        <v>1</v>
      </c>
      <c r="M766" s="47">
        <v>50</v>
      </c>
    </row>
    <row r="767" spans="5:13" x14ac:dyDescent="0.25">
      <c r="E767" s="33">
        <v>1429</v>
      </c>
      <c r="F767" s="48">
        <v>45296</v>
      </c>
      <c r="G767" s="49">
        <v>2024</v>
      </c>
      <c r="H767" s="45" t="s">
        <v>1</v>
      </c>
      <c r="I767" s="50" t="s">
        <v>22</v>
      </c>
      <c r="J767" s="50">
        <v>57</v>
      </c>
      <c r="K767" s="50" t="s">
        <v>24</v>
      </c>
      <c r="L767" s="50">
        <v>4</v>
      </c>
      <c r="M767" s="51">
        <v>216</v>
      </c>
    </row>
    <row r="768" spans="5:13" x14ac:dyDescent="0.25">
      <c r="E768" s="32">
        <v>350</v>
      </c>
      <c r="F768" s="43">
        <v>45194</v>
      </c>
      <c r="G768" s="44">
        <v>2023</v>
      </c>
      <c r="H768" s="52" t="s">
        <v>9</v>
      </c>
      <c r="I768" s="46" t="s">
        <v>22</v>
      </c>
      <c r="J768" s="46">
        <v>56</v>
      </c>
      <c r="K768" s="46" t="s">
        <v>23</v>
      </c>
      <c r="L768" s="46">
        <v>3</v>
      </c>
      <c r="M768" s="47">
        <v>30</v>
      </c>
    </row>
    <row r="769" spans="5:13" x14ac:dyDescent="0.25">
      <c r="E769" s="33">
        <v>557</v>
      </c>
      <c r="F769" s="48">
        <v>45207</v>
      </c>
      <c r="G769" s="49">
        <v>2023</v>
      </c>
      <c r="H769" s="45" t="s">
        <v>10</v>
      </c>
      <c r="I769" s="50" t="s">
        <v>22</v>
      </c>
      <c r="J769" s="50">
        <v>41</v>
      </c>
      <c r="K769" s="50" t="s">
        <v>23</v>
      </c>
      <c r="L769" s="50">
        <v>1</v>
      </c>
      <c r="M769" s="51">
        <v>25</v>
      </c>
    </row>
    <row r="770" spans="5:13" x14ac:dyDescent="0.25">
      <c r="E770" s="32">
        <v>131</v>
      </c>
      <c r="F770" s="43">
        <v>45187</v>
      </c>
      <c r="G770" s="44">
        <v>2023</v>
      </c>
      <c r="H770" s="52" t="s">
        <v>9</v>
      </c>
      <c r="I770" s="46" t="s">
        <v>22</v>
      </c>
      <c r="J770" s="46">
        <v>21</v>
      </c>
      <c r="K770" s="46" t="s">
        <v>21</v>
      </c>
      <c r="L770" s="46">
        <v>2</v>
      </c>
      <c r="M770" s="47">
        <v>300</v>
      </c>
    </row>
    <row r="771" spans="5:13" x14ac:dyDescent="0.25">
      <c r="E771" s="33">
        <v>1834</v>
      </c>
      <c r="F771" s="48">
        <v>45425</v>
      </c>
      <c r="G771" s="49">
        <v>2024</v>
      </c>
      <c r="H771" s="45" t="s">
        <v>5</v>
      </c>
      <c r="I771" s="50" t="s">
        <v>20</v>
      </c>
      <c r="J771" s="50">
        <v>36</v>
      </c>
      <c r="K771" s="50" t="s">
        <v>24</v>
      </c>
      <c r="L771" s="50">
        <v>2</v>
      </c>
      <c r="M771" s="51">
        <v>268</v>
      </c>
    </row>
    <row r="772" spans="5:13" x14ac:dyDescent="0.25">
      <c r="E772" s="32">
        <v>1995</v>
      </c>
      <c r="F772" s="43">
        <v>45631</v>
      </c>
      <c r="G772" s="44">
        <v>2024</v>
      </c>
      <c r="H772" s="52" t="s">
        <v>12</v>
      </c>
      <c r="I772" s="46" t="s">
        <v>22</v>
      </c>
      <c r="J772" s="46">
        <v>56</v>
      </c>
      <c r="K772" s="46" t="s">
        <v>24</v>
      </c>
      <c r="L772" s="46">
        <v>7</v>
      </c>
      <c r="M772" s="47">
        <v>379</v>
      </c>
    </row>
    <row r="773" spans="5:13" x14ac:dyDescent="0.25">
      <c r="E773" s="33">
        <v>1424</v>
      </c>
      <c r="F773" s="48">
        <v>45519</v>
      </c>
      <c r="G773" s="49">
        <v>2024</v>
      </c>
      <c r="H773" s="45" t="s">
        <v>8</v>
      </c>
      <c r="I773" s="50" t="s">
        <v>20</v>
      </c>
      <c r="J773" s="50">
        <v>60</v>
      </c>
      <c r="K773" s="50" t="s">
        <v>24</v>
      </c>
      <c r="L773" s="50">
        <v>1</v>
      </c>
      <c r="M773" s="51">
        <v>163</v>
      </c>
    </row>
    <row r="774" spans="5:13" x14ac:dyDescent="0.25">
      <c r="E774" s="32">
        <v>1363</v>
      </c>
      <c r="F774" s="43">
        <v>45329</v>
      </c>
      <c r="G774" s="44">
        <v>2024</v>
      </c>
      <c r="H774" s="52" t="s">
        <v>2</v>
      </c>
      <c r="I774" s="46" t="s">
        <v>20</v>
      </c>
      <c r="J774" s="46">
        <v>63</v>
      </c>
      <c r="K774" s="46" t="s">
        <v>23</v>
      </c>
      <c r="L774" s="46">
        <v>7</v>
      </c>
      <c r="M774" s="47">
        <v>335</v>
      </c>
    </row>
    <row r="775" spans="5:13" x14ac:dyDescent="0.25">
      <c r="E775" s="33">
        <v>1041</v>
      </c>
      <c r="F775" s="48">
        <v>45487</v>
      </c>
      <c r="G775" s="49">
        <v>2024</v>
      </c>
      <c r="H775" s="45" t="s">
        <v>7</v>
      </c>
      <c r="I775" s="50" t="s">
        <v>22</v>
      </c>
      <c r="J775" s="50">
        <v>54</v>
      </c>
      <c r="K775" s="50" t="s">
        <v>23</v>
      </c>
      <c r="L775" s="50">
        <v>5</v>
      </c>
      <c r="M775" s="51">
        <v>340</v>
      </c>
    </row>
    <row r="776" spans="5:13" x14ac:dyDescent="0.25">
      <c r="E776" s="32">
        <v>1724</v>
      </c>
      <c r="F776" s="43">
        <v>45487</v>
      </c>
      <c r="G776" s="44">
        <v>2024</v>
      </c>
      <c r="H776" s="52" t="s">
        <v>7</v>
      </c>
      <c r="I776" s="46" t="s">
        <v>20</v>
      </c>
      <c r="J776" s="46">
        <v>41</v>
      </c>
      <c r="K776" s="46" t="s">
        <v>24</v>
      </c>
      <c r="L776" s="46">
        <v>6</v>
      </c>
      <c r="M776" s="47">
        <v>184</v>
      </c>
    </row>
    <row r="777" spans="5:13" x14ac:dyDescent="0.25">
      <c r="E777" s="33">
        <v>125</v>
      </c>
      <c r="F777" s="48">
        <v>45146</v>
      </c>
      <c r="G777" s="49">
        <v>2023</v>
      </c>
      <c r="H777" s="45" t="s">
        <v>8</v>
      </c>
      <c r="I777" s="50" t="s">
        <v>20</v>
      </c>
      <c r="J777" s="50">
        <v>48</v>
      </c>
      <c r="K777" s="50" t="s">
        <v>23</v>
      </c>
      <c r="L777" s="50">
        <v>2</v>
      </c>
      <c r="M777" s="51">
        <v>50</v>
      </c>
    </row>
    <row r="778" spans="5:13" x14ac:dyDescent="0.25">
      <c r="E778" s="32">
        <v>672</v>
      </c>
      <c r="F778" s="43">
        <v>45032</v>
      </c>
      <c r="G778" s="44">
        <v>2023</v>
      </c>
      <c r="H778" s="52" t="s">
        <v>4</v>
      </c>
      <c r="I778" s="46" t="s">
        <v>22</v>
      </c>
      <c r="J778" s="46">
        <v>38</v>
      </c>
      <c r="K778" s="46" t="s">
        <v>23</v>
      </c>
      <c r="L778" s="46">
        <v>1</v>
      </c>
      <c r="M778" s="47">
        <v>300</v>
      </c>
    </row>
    <row r="779" spans="5:13" x14ac:dyDescent="0.25">
      <c r="E779" s="33">
        <v>390</v>
      </c>
      <c r="F779" s="48">
        <v>44931</v>
      </c>
      <c r="G779" s="49">
        <v>2023</v>
      </c>
      <c r="H779" s="45" t="s">
        <v>1</v>
      </c>
      <c r="I779" s="50" t="s">
        <v>20</v>
      </c>
      <c r="J779" s="50">
        <v>19</v>
      </c>
      <c r="K779" s="50" t="s">
        <v>21</v>
      </c>
      <c r="L779" s="50">
        <v>2</v>
      </c>
      <c r="M779" s="51">
        <v>25</v>
      </c>
    </row>
    <row r="780" spans="5:13" x14ac:dyDescent="0.25">
      <c r="E780" s="32">
        <v>1420</v>
      </c>
      <c r="F780" s="43">
        <v>45359</v>
      </c>
      <c r="G780" s="44">
        <v>2024</v>
      </c>
      <c r="H780" s="52" t="s">
        <v>3</v>
      </c>
      <c r="I780" s="46" t="s">
        <v>22</v>
      </c>
      <c r="J780" s="46">
        <v>23</v>
      </c>
      <c r="K780" s="46" t="s">
        <v>23</v>
      </c>
      <c r="L780" s="46">
        <v>7</v>
      </c>
      <c r="M780" s="47">
        <v>127</v>
      </c>
    </row>
    <row r="781" spans="5:13" x14ac:dyDescent="0.25">
      <c r="E781" s="33">
        <v>1255</v>
      </c>
      <c r="F781" s="48">
        <v>45630</v>
      </c>
      <c r="G781" s="49">
        <v>2024</v>
      </c>
      <c r="H781" s="45" t="s">
        <v>12</v>
      </c>
      <c r="I781" s="50" t="s">
        <v>22</v>
      </c>
      <c r="J781" s="50">
        <v>48</v>
      </c>
      <c r="K781" s="50" t="s">
        <v>23</v>
      </c>
      <c r="L781" s="50">
        <v>1</v>
      </c>
      <c r="M781" s="51">
        <v>29</v>
      </c>
    </row>
    <row r="782" spans="5:13" x14ac:dyDescent="0.25">
      <c r="E782" s="32">
        <v>848</v>
      </c>
      <c r="F782" s="43">
        <v>45135</v>
      </c>
      <c r="G782" s="44">
        <v>2023</v>
      </c>
      <c r="H782" s="52" t="s">
        <v>7</v>
      </c>
      <c r="I782" s="46" t="s">
        <v>22</v>
      </c>
      <c r="J782" s="46">
        <v>26</v>
      </c>
      <c r="K782" s="46" t="s">
        <v>21</v>
      </c>
      <c r="L782" s="46">
        <v>2</v>
      </c>
      <c r="M782" s="47">
        <v>500</v>
      </c>
    </row>
    <row r="783" spans="5:13" x14ac:dyDescent="0.25">
      <c r="E783" s="33">
        <v>1193</v>
      </c>
      <c r="F783" s="48">
        <v>45327</v>
      </c>
      <c r="G783" s="49">
        <v>2024</v>
      </c>
      <c r="H783" s="45" t="s">
        <v>2</v>
      </c>
      <c r="I783" s="50" t="s">
        <v>20</v>
      </c>
      <c r="J783" s="50">
        <v>57</v>
      </c>
      <c r="K783" s="50" t="s">
        <v>23</v>
      </c>
      <c r="L783" s="50">
        <v>1</v>
      </c>
      <c r="M783" s="51">
        <v>259</v>
      </c>
    </row>
    <row r="784" spans="5:13" x14ac:dyDescent="0.25">
      <c r="E784" s="32">
        <v>633</v>
      </c>
      <c r="F784" s="43">
        <v>45207</v>
      </c>
      <c r="G784" s="44">
        <v>2023</v>
      </c>
      <c r="H784" s="52" t="s">
        <v>10</v>
      </c>
      <c r="I784" s="46" t="s">
        <v>20</v>
      </c>
      <c r="J784" s="46">
        <v>60</v>
      </c>
      <c r="K784" s="46" t="s">
        <v>24</v>
      </c>
      <c r="L784" s="46">
        <v>4</v>
      </c>
      <c r="M784" s="47">
        <v>500</v>
      </c>
    </row>
    <row r="785" spans="5:13" x14ac:dyDescent="0.25">
      <c r="E785" s="33">
        <v>511</v>
      </c>
      <c r="F785" s="48">
        <v>45237</v>
      </c>
      <c r="G785" s="49">
        <v>2023</v>
      </c>
      <c r="H785" s="45" t="s">
        <v>11</v>
      </c>
      <c r="I785" s="50" t="s">
        <v>22</v>
      </c>
      <c r="J785" s="50">
        <v>57</v>
      </c>
      <c r="K785" s="50" t="s">
        <v>21</v>
      </c>
      <c r="L785" s="50">
        <v>1</v>
      </c>
      <c r="M785" s="51">
        <v>25</v>
      </c>
    </row>
    <row r="786" spans="5:13" x14ac:dyDescent="0.25">
      <c r="E786" s="32">
        <v>839</v>
      </c>
      <c r="F786" s="43">
        <v>45232</v>
      </c>
      <c r="G786" s="44">
        <v>2023</v>
      </c>
      <c r="H786" s="52" t="s">
        <v>11</v>
      </c>
      <c r="I786" s="46" t="s">
        <v>20</v>
      </c>
      <c r="J786" s="46">
        <v>31</v>
      </c>
      <c r="K786" s="46" t="s">
        <v>24</v>
      </c>
      <c r="L786" s="46">
        <v>4</v>
      </c>
      <c r="M786" s="47">
        <v>25</v>
      </c>
    </row>
    <row r="787" spans="5:13" x14ac:dyDescent="0.25">
      <c r="E787" s="33">
        <v>1674</v>
      </c>
      <c r="F787" s="48">
        <v>45649</v>
      </c>
      <c r="G787" s="49">
        <v>2024</v>
      </c>
      <c r="H787" s="45" t="s">
        <v>12</v>
      </c>
      <c r="I787" s="50" t="s">
        <v>22</v>
      </c>
      <c r="J787" s="50">
        <v>58</v>
      </c>
      <c r="K787" s="50" t="s">
        <v>24</v>
      </c>
      <c r="L787" s="50">
        <v>6</v>
      </c>
      <c r="M787" s="51">
        <v>83</v>
      </c>
    </row>
    <row r="788" spans="5:13" x14ac:dyDescent="0.25">
      <c r="E788" s="32">
        <v>420</v>
      </c>
      <c r="F788" s="43">
        <v>44928</v>
      </c>
      <c r="G788" s="44">
        <v>2023</v>
      </c>
      <c r="H788" s="52" t="s">
        <v>1</v>
      </c>
      <c r="I788" s="46" t="s">
        <v>22</v>
      </c>
      <c r="J788" s="46">
        <v>37</v>
      </c>
      <c r="K788" s="46" t="s">
        <v>23</v>
      </c>
      <c r="L788" s="46">
        <v>3</v>
      </c>
      <c r="M788" s="47">
        <v>500</v>
      </c>
    </row>
    <row r="789" spans="5:13" x14ac:dyDescent="0.25">
      <c r="E789" s="33">
        <v>27</v>
      </c>
      <c r="F789" s="48">
        <v>45141</v>
      </c>
      <c r="G789" s="49">
        <v>2023</v>
      </c>
      <c r="H789" s="45" t="s">
        <v>8</v>
      </c>
      <c r="I789" s="50" t="s">
        <v>22</v>
      </c>
      <c r="J789" s="50">
        <v>38</v>
      </c>
      <c r="K789" s="50" t="s">
        <v>21</v>
      </c>
      <c r="L789" s="50">
        <v>2</v>
      </c>
      <c r="M789" s="51">
        <v>25</v>
      </c>
    </row>
    <row r="790" spans="5:13" x14ac:dyDescent="0.25">
      <c r="E790" s="32">
        <v>1567</v>
      </c>
      <c r="F790" s="43">
        <v>45519</v>
      </c>
      <c r="G790" s="44">
        <v>2024</v>
      </c>
      <c r="H790" s="52" t="s">
        <v>8</v>
      </c>
      <c r="I790" s="46" t="s">
        <v>20</v>
      </c>
      <c r="J790" s="46">
        <v>47</v>
      </c>
      <c r="K790" s="46" t="s">
        <v>23</v>
      </c>
      <c r="L790" s="46">
        <v>7</v>
      </c>
      <c r="M790" s="47">
        <v>373</v>
      </c>
    </row>
    <row r="791" spans="5:13" x14ac:dyDescent="0.25">
      <c r="E791" s="33">
        <v>1466</v>
      </c>
      <c r="F791" s="48">
        <v>45420</v>
      </c>
      <c r="G791" s="49">
        <v>2024</v>
      </c>
      <c r="H791" s="45" t="s">
        <v>5</v>
      </c>
      <c r="I791" s="50" t="s">
        <v>20</v>
      </c>
      <c r="J791" s="50">
        <v>65</v>
      </c>
      <c r="K791" s="50" t="s">
        <v>21</v>
      </c>
      <c r="L791" s="50">
        <v>6</v>
      </c>
      <c r="M791" s="51">
        <v>19</v>
      </c>
    </row>
    <row r="792" spans="5:13" x14ac:dyDescent="0.25">
      <c r="E792" s="32">
        <v>1214</v>
      </c>
      <c r="F792" s="43">
        <v>45517</v>
      </c>
      <c r="G792" s="44">
        <v>2024</v>
      </c>
      <c r="H792" s="52" t="s">
        <v>8</v>
      </c>
      <c r="I792" s="46" t="s">
        <v>22</v>
      </c>
      <c r="J792" s="46">
        <v>31</v>
      </c>
      <c r="K792" s="46" t="s">
        <v>24</v>
      </c>
      <c r="L792" s="46">
        <v>1</v>
      </c>
      <c r="M792" s="47">
        <v>495</v>
      </c>
    </row>
    <row r="793" spans="5:13" x14ac:dyDescent="0.25">
      <c r="E793" s="33">
        <v>1658</v>
      </c>
      <c r="F793" s="48">
        <v>45648</v>
      </c>
      <c r="G793" s="49">
        <v>2024</v>
      </c>
      <c r="H793" s="45" t="s">
        <v>12</v>
      </c>
      <c r="I793" s="50" t="s">
        <v>20</v>
      </c>
      <c r="J793" s="50">
        <v>36</v>
      </c>
      <c r="K793" s="50" t="s">
        <v>21</v>
      </c>
      <c r="L793" s="50">
        <v>3</v>
      </c>
      <c r="M793" s="51">
        <v>234</v>
      </c>
    </row>
    <row r="794" spans="5:13" x14ac:dyDescent="0.25">
      <c r="E794" s="32">
        <v>765</v>
      </c>
      <c r="F794" s="43">
        <v>45223</v>
      </c>
      <c r="G794" s="44">
        <v>2023</v>
      </c>
      <c r="H794" s="52" t="s">
        <v>10</v>
      </c>
      <c r="I794" s="46" t="s">
        <v>20</v>
      </c>
      <c r="J794" s="46">
        <v>39</v>
      </c>
      <c r="K794" s="46" t="s">
        <v>21</v>
      </c>
      <c r="L794" s="46">
        <v>3</v>
      </c>
      <c r="M794" s="47">
        <v>25</v>
      </c>
    </row>
    <row r="795" spans="5:13" x14ac:dyDescent="0.25">
      <c r="E795" s="33">
        <v>1738</v>
      </c>
      <c r="F795" s="48">
        <v>45312</v>
      </c>
      <c r="G795" s="49">
        <v>2024</v>
      </c>
      <c r="H795" s="45" t="s">
        <v>1</v>
      </c>
      <c r="I795" s="50" t="s">
        <v>22</v>
      </c>
      <c r="J795" s="50">
        <v>42</v>
      </c>
      <c r="K795" s="50" t="s">
        <v>24</v>
      </c>
      <c r="L795" s="50">
        <v>5</v>
      </c>
      <c r="M795" s="51">
        <v>242</v>
      </c>
    </row>
    <row r="796" spans="5:13" x14ac:dyDescent="0.25">
      <c r="E796" s="32">
        <v>276</v>
      </c>
      <c r="F796" s="43">
        <v>45156</v>
      </c>
      <c r="G796" s="44">
        <v>2023</v>
      </c>
      <c r="H796" s="52" t="s">
        <v>8</v>
      </c>
      <c r="I796" s="46" t="s">
        <v>20</v>
      </c>
      <c r="J796" s="46">
        <v>36</v>
      </c>
      <c r="K796" s="46" t="s">
        <v>23</v>
      </c>
      <c r="L796" s="46">
        <v>4</v>
      </c>
      <c r="M796" s="47">
        <v>25</v>
      </c>
    </row>
    <row r="797" spans="5:13" x14ac:dyDescent="0.25">
      <c r="E797" s="33">
        <v>79</v>
      </c>
      <c r="F797" s="48">
        <v>45034</v>
      </c>
      <c r="G797" s="49">
        <v>2023</v>
      </c>
      <c r="H797" s="45" t="s">
        <v>4</v>
      </c>
      <c r="I797" s="50" t="s">
        <v>20</v>
      </c>
      <c r="J797" s="50">
        <v>34</v>
      </c>
      <c r="K797" s="50" t="s">
        <v>21</v>
      </c>
      <c r="L797" s="50">
        <v>1</v>
      </c>
      <c r="M797" s="51">
        <v>300</v>
      </c>
    </row>
    <row r="798" spans="5:13" x14ac:dyDescent="0.25">
      <c r="E798" s="32">
        <v>910</v>
      </c>
      <c r="F798" s="43">
        <v>44950</v>
      </c>
      <c r="G798" s="44">
        <v>2023</v>
      </c>
      <c r="H798" s="52" t="s">
        <v>1</v>
      </c>
      <c r="I798" s="46" t="s">
        <v>20</v>
      </c>
      <c r="J798" s="46">
        <v>51</v>
      </c>
      <c r="K798" s="46" t="s">
        <v>21</v>
      </c>
      <c r="L798" s="46">
        <v>3</v>
      </c>
      <c r="M798" s="47">
        <v>50</v>
      </c>
    </row>
    <row r="799" spans="5:13" x14ac:dyDescent="0.25">
      <c r="E799" s="33">
        <v>273</v>
      </c>
      <c r="F799" s="48">
        <v>45025</v>
      </c>
      <c r="G799" s="49">
        <v>2023</v>
      </c>
      <c r="H799" s="45" t="s">
        <v>4</v>
      </c>
      <c r="I799" s="50" t="s">
        <v>22</v>
      </c>
      <c r="J799" s="50">
        <v>23</v>
      </c>
      <c r="K799" s="50" t="s">
        <v>23</v>
      </c>
      <c r="L799" s="50">
        <v>2</v>
      </c>
      <c r="M799" s="51">
        <v>500</v>
      </c>
    </row>
    <row r="800" spans="5:13" x14ac:dyDescent="0.25">
      <c r="E800" s="32">
        <v>1923</v>
      </c>
      <c r="F800" s="43">
        <v>45467</v>
      </c>
      <c r="G800" s="44">
        <v>2024</v>
      </c>
      <c r="H800" s="52" t="s">
        <v>6</v>
      </c>
      <c r="I800" s="46" t="s">
        <v>20</v>
      </c>
      <c r="J800" s="46">
        <v>35</v>
      </c>
      <c r="K800" s="46" t="s">
        <v>24</v>
      </c>
      <c r="L800" s="46">
        <v>7</v>
      </c>
      <c r="M800" s="47">
        <v>460</v>
      </c>
    </row>
    <row r="801" spans="5:13" x14ac:dyDescent="0.25">
      <c r="E801" s="33">
        <v>510</v>
      </c>
      <c r="F801" s="48">
        <v>45150</v>
      </c>
      <c r="G801" s="49">
        <v>2023</v>
      </c>
      <c r="H801" s="45" t="s">
        <v>8</v>
      </c>
      <c r="I801" s="50" t="s">
        <v>20</v>
      </c>
      <c r="J801" s="50">
        <v>45</v>
      </c>
      <c r="K801" s="50" t="s">
        <v>21</v>
      </c>
      <c r="L801" s="50">
        <v>2</v>
      </c>
      <c r="M801" s="51">
        <v>50</v>
      </c>
    </row>
    <row r="802" spans="5:13" x14ac:dyDescent="0.25">
      <c r="E802" s="32">
        <v>191</v>
      </c>
      <c r="F802" s="43">
        <v>45217</v>
      </c>
      <c r="G802" s="44">
        <v>2023</v>
      </c>
      <c r="H802" s="52" t="s">
        <v>10</v>
      </c>
      <c r="I802" s="46" t="s">
        <v>20</v>
      </c>
      <c r="J802" s="46">
        <v>64</v>
      </c>
      <c r="K802" s="46" t="s">
        <v>21</v>
      </c>
      <c r="L802" s="46">
        <v>1</v>
      </c>
      <c r="M802" s="47">
        <v>25</v>
      </c>
    </row>
    <row r="803" spans="5:13" x14ac:dyDescent="0.25">
      <c r="E803" s="33">
        <v>1302</v>
      </c>
      <c r="F803" s="48">
        <v>45428</v>
      </c>
      <c r="G803" s="49">
        <v>2024</v>
      </c>
      <c r="H803" s="45" t="s">
        <v>5</v>
      </c>
      <c r="I803" s="50" t="s">
        <v>22</v>
      </c>
      <c r="J803" s="50">
        <v>19</v>
      </c>
      <c r="K803" s="50" t="s">
        <v>21</v>
      </c>
      <c r="L803" s="50">
        <v>1</v>
      </c>
      <c r="M803" s="51">
        <v>99</v>
      </c>
    </row>
    <row r="804" spans="5:13" x14ac:dyDescent="0.25">
      <c r="E804" s="32">
        <v>1908</v>
      </c>
      <c r="F804" s="43">
        <v>45315</v>
      </c>
      <c r="G804" s="44">
        <v>2024</v>
      </c>
      <c r="H804" s="52" t="s">
        <v>1</v>
      </c>
      <c r="I804" s="46" t="s">
        <v>20</v>
      </c>
      <c r="J804" s="46">
        <v>58</v>
      </c>
      <c r="K804" s="46" t="s">
        <v>21</v>
      </c>
      <c r="L804" s="46">
        <v>5</v>
      </c>
      <c r="M804" s="47">
        <v>95</v>
      </c>
    </row>
    <row r="805" spans="5:13" x14ac:dyDescent="0.25">
      <c r="E805" s="33">
        <v>838</v>
      </c>
      <c r="F805" s="48">
        <v>45070</v>
      </c>
      <c r="G805" s="49">
        <v>2023</v>
      </c>
      <c r="H805" s="45" t="s">
        <v>5</v>
      </c>
      <c r="I805" s="50" t="s">
        <v>20</v>
      </c>
      <c r="J805" s="50">
        <v>62</v>
      </c>
      <c r="K805" s="50" t="s">
        <v>23</v>
      </c>
      <c r="L805" s="50">
        <v>2</v>
      </c>
      <c r="M805" s="51">
        <v>25</v>
      </c>
    </row>
    <row r="806" spans="5:13" x14ac:dyDescent="0.25">
      <c r="E806" s="32">
        <v>1400</v>
      </c>
      <c r="F806" s="43">
        <v>45432</v>
      </c>
      <c r="G806" s="44">
        <v>2024</v>
      </c>
      <c r="H806" s="52" t="s">
        <v>5</v>
      </c>
      <c r="I806" s="46" t="s">
        <v>20</v>
      </c>
      <c r="J806" s="46">
        <v>52</v>
      </c>
      <c r="K806" s="46" t="s">
        <v>23</v>
      </c>
      <c r="L806" s="46">
        <v>6</v>
      </c>
      <c r="M806" s="47">
        <v>299</v>
      </c>
    </row>
    <row r="807" spans="5:13" x14ac:dyDescent="0.25">
      <c r="E807" s="33">
        <v>1469</v>
      </c>
      <c r="F807" s="48">
        <v>45652</v>
      </c>
      <c r="G807" s="49">
        <v>2024</v>
      </c>
      <c r="H807" s="45" t="s">
        <v>12</v>
      </c>
      <c r="I807" s="50" t="s">
        <v>22</v>
      </c>
      <c r="J807" s="50">
        <v>36</v>
      </c>
      <c r="K807" s="50" t="s">
        <v>21</v>
      </c>
      <c r="L807" s="50">
        <v>2</v>
      </c>
      <c r="M807" s="51">
        <v>330</v>
      </c>
    </row>
    <row r="808" spans="5:13" x14ac:dyDescent="0.25">
      <c r="E808" s="32">
        <v>1662</v>
      </c>
      <c r="F808" s="43">
        <v>45324</v>
      </c>
      <c r="G808" s="44">
        <v>2024</v>
      </c>
      <c r="H808" s="52" t="s">
        <v>2</v>
      </c>
      <c r="I808" s="46" t="s">
        <v>20</v>
      </c>
      <c r="J808" s="46">
        <v>61</v>
      </c>
      <c r="K808" s="46" t="s">
        <v>24</v>
      </c>
      <c r="L808" s="46">
        <v>4</v>
      </c>
      <c r="M808" s="47">
        <v>354</v>
      </c>
    </row>
    <row r="809" spans="5:13" x14ac:dyDescent="0.25">
      <c r="E809" s="33">
        <v>759</v>
      </c>
      <c r="F809" s="48">
        <v>45237</v>
      </c>
      <c r="G809" s="49">
        <v>2023</v>
      </c>
      <c r="H809" s="45" t="s">
        <v>11</v>
      </c>
      <c r="I809" s="50" t="s">
        <v>22</v>
      </c>
      <c r="J809" s="50">
        <v>33</v>
      </c>
      <c r="K809" s="50" t="s">
        <v>23</v>
      </c>
      <c r="L809" s="50">
        <v>1</v>
      </c>
      <c r="M809" s="51">
        <v>500</v>
      </c>
    </row>
    <row r="810" spans="5:13" x14ac:dyDescent="0.25">
      <c r="E810" s="32">
        <v>357</v>
      </c>
      <c r="F810" s="43">
        <v>45062</v>
      </c>
      <c r="G810" s="44">
        <v>2023</v>
      </c>
      <c r="H810" s="52" t="s">
        <v>5</v>
      </c>
      <c r="I810" s="46" t="s">
        <v>22</v>
      </c>
      <c r="J810" s="46">
        <v>32</v>
      </c>
      <c r="K810" s="46" t="s">
        <v>21</v>
      </c>
      <c r="L810" s="46">
        <v>1</v>
      </c>
      <c r="M810" s="47">
        <v>300</v>
      </c>
    </row>
    <row r="811" spans="5:13" x14ac:dyDescent="0.25">
      <c r="E811" s="33">
        <v>1088</v>
      </c>
      <c r="F811" s="48">
        <v>45418</v>
      </c>
      <c r="G811" s="49">
        <v>2024</v>
      </c>
      <c r="H811" s="45" t="s">
        <v>5</v>
      </c>
      <c r="I811" s="50" t="s">
        <v>22</v>
      </c>
      <c r="J811" s="50">
        <v>22</v>
      </c>
      <c r="K811" s="50" t="s">
        <v>24</v>
      </c>
      <c r="L811" s="50">
        <v>4</v>
      </c>
      <c r="M811" s="51">
        <v>391</v>
      </c>
    </row>
    <row r="812" spans="5:13" x14ac:dyDescent="0.25">
      <c r="E812" s="32">
        <v>178</v>
      </c>
      <c r="F812" s="43">
        <v>45203</v>
      </c>
      <c r="G812" s="44">
        <v>2023</v>
      </c>
      <c r="H812" s="52" t="s">
        <v>10</v>
      </c>
      <c r="I812" s="46" t="s">
        <v>20</v>
      </c>
      <c r="J812" s="46">
        <v>40</v>
      </c>
      <c r="K812" s="46" t="s">
        <v>23</v>
      </c>
      <c r="L812" s="46">
        <v>2</v>
      </c>
      <c r="M812" s="47">
        <v>30</v>
      </c>
    </row>
    <row r="813" spans="5:13" x14ac:dyDescent="0.25">
      <c r="E813" s="33">
        <v>1781</v>
      </c>
      <c r="F813" s="48">
        <v>45354</v>
      </c>
      <c r="G813" s="49">
        <v>2024</v>
      </c>
      <c r="H813" s="45" t="s">
        <v>3</v>
      </c>
      <c r="I813" s="50" t="s">
        <v>22</v>
      </c>
      <c r="J813" s="50">
        <v>45</v>
      </c>
      <c r="K813" s="50" t="s">
        <v>21</v>
      </c>
      <c r="L813" s="50">
        <v>6</v>
      </c>
      <c r="M813" s="51">
        <v>88</v>
      </c>
    </row>
    <row r="814" spans="5:13" x14ac:dyDescent="0.25">
      <c r="E814" s="32">
        <v>1487</v>
      </c>
      <c r="F814" s="43">
        <v>45327</v>
      </c>
      <c r="G814" s="44">
        <v>2024</v>
      </c>
      <c r="H814" s="52" t="s">
        <v>2</v>
      </c>
      <c r="I814" s="46" t="s">
        <v>20</v>
      </c>
      <c r="J814" s="46">
        <v>57</v>
      </c>
      <c r="K814" s="46" t="s">
        <v>23</v>
      </c>
      <c r="L814" s="46">
        <v>1</v>
      </c>
      <c r="M814" s="47">
        <v>175</v>
      </c>
    </row>
    <row r="815" spans="5:13" x14ac:dyDescent="0.25">
      <c r="E815" s="33">
        <v>315</v>
      </c>
      <c r="F815" s="48">
        <v>45038</v>
      </c>
      <c r="G815" s="49">
        <v>2023</v>
      </c>
      <c r="H815" s="45" t="s">
        <v>4</v>
      </c>
      <c r="I815" s="50" t="s">
        <v>22</v>
      </c>
      <c r="J815" s="50">
        <v>48</v>
      </c>
      <c r="K815" s="50" t="s">
        <v>23</v>
      </c>
      <c r="L815" s="50">
        <v>2</v>
      </c>
      <c r="M815" s="51">
        <v>25</v>
      </c>
    </row>
    <row r="816" spans="5:13" x14ac:dyDescent="0.25">
      <c r="E816" s="32">
        <v>1635</v>
      </c>
      <c r="F816" s="43">
        <v>45523</v>
      </c>
      <c r="G816" s="44">
        <v>2024</v>
      </c>
      <c r="H816" s="52" t="s">
        <v>8</v>
      </c>
      <c r="I816" s="46" t="s">
        <v>20</v>
      </c>
      <c r="J816" s="46">
        <v>60</v>
      </c>
      <c r="K816" s="46" t="s">
        <v>24</v>
      </c>
      <c r="L816" s="46">
        <v>2</v>
      </c>
      <c r="M816" s="47">
        <v>463</v>
      </c>
    </row>
    <row r="817" spans="5:13" x14ac:dyDescent="0.25">
      <c r="E817" s="33">
        <v>1940</v>
      </c>
      <c r="F817" s="48">
        <v>45448</v>
      </c>
      <c r="G817" s="49">
        <v>2024</v>
      </c>
      <c r="H817" s="45" t="s">
        <v>6</v>
      </c>
      <c r="I817" s="50" t="s">
        <v>20</v>
      </c>
      <c r="J817" s="50">
        <v>51</v>
      </c>
      <c r="K817" s="50" t="s">
        <v>23</v>
      </c>
      <c r="L817" s="50">
        <v>6</v>
      </c>
      <c r="M817" s="51">
        <v>84</v>
      </c>
    </row>
    <row r="818" spans="5:13" x14ac:dyDescent="0.25">
      <c r="E818" s="32">
        <v>1892</v>
      </c>
      <c r="F818" s="43">
        <v>45594</v>
      </c>
      <c r="G818" s="44">
        <v>2024</v>
      </c>
      <c r="H818" s="52" t="s">
        <v>10</v>
      </c>
      <c r="I818" s="46" t="s">
        <v>22</v>
      </c>
      <c r="J818" s="46">
        <v>58</v>
      </c>
      <c r="K818" s="46" t="s">
        <v>24</v>
      </c>
      <c r="L818" s="46">
        <v>2</v>
      </c>
      <c r="M818" s="47">
        <v>112</v>
      </c>
    </row>
    <row r="819" spans="5:13" x14ac:dyDescent="0.25">
      <c r="E819" s="33">
        <v>1151</v>
      </c>
      <c r="F819" s="48">
        <v>45642</v>
      </c>
      <c r="G819" s="49">
        <v>2024</v>
      </c>
      <c r="H819" s="45" t="s">
        <v>12</v>
      </c>
      <c r="I819" s="50" t="s">
        <v>20</v>
      </c>
      <c r="J819" s="50">
        <v>56</v>
      </c>
      <c r="K819" s="50" t="s">
        <v>24</v>
      </c>
      <c r="L819" s="50">
        <v>6</v>
      </c>
      <c r="M819" s="51">
        <v>176</v>
      </c>
    </row>
    <row r="820" spans="5:13" x14ac:dyDescent="0.25">
      <c r="E820" s="32">
        <v>1541</v>
      </c>
      <c r="F820" s="43">
        <v>45649</v>
      </c>
      <c r="G820" s="44">
        <v>2024</v>
      </c>
      <c r="H820" s="52" t="s">
        <v>12</v>
      </c>
      <c r="I820" s="46" t="s">
        <v>22</v>
      </c>
      <c r="J820" s="46">
        <v>52</v>
      </c>
      <c r="K820" s="46" t="s">
        <v>24</v>
      </c>
      <c r="L820" s="46">
        <v>7</v>
      </c>
      <c r="M820" s="47">
        <v>42</v>
      </c>
    </row>
    <row r="821" spans="5:13" x14ac:dyDescent="0.25">
      <c r="E821" s="33">
        <v>395</v>
      </c>
      <c r="F821" s="48">
        <v>44980</v>
      </c>
      <c r="G821" s="49">
        <v>2023</v>
      </c>
      <c r="H821" s="45" t="s">
        <v>2</v>
      </c>
      <c r="I821" s="50" t="s">
        <v>22</v>
      </c>
      <c r="J821" s="50">
        <v>55</v>
      </c>
      <c r="K821" s="50" t="s">
        <v>21</v>
      </c>
      <c r="L821" s="50">
        <v>1</v>
      </c>
      <c r="M821" s="51">
        <v>30</v>
      </c>
    </row>
    <row r="822" spans="5:13" x14ac:dyDescent="0.25">
      <c r="E822" s="32">
        <v>1095</v>
      </c>
      <c r="F822" s="43">
        <v>45578</v>
      </c>
      <c r="G822" s="44">
        <v>2024</v>
      </c>
      <c r="H822" s="52" t="s">
        <v>10</v>
      </c>
      <c r="I822" s="46" t="s">
        <v>22</v>
      </c>
      <c r="J822" s="46">
        <v>47</v>
      </c>
      <c r="K822" s="46" t="s">
        <v>21</v>
      </c>
      <c r="L822" s="46">
        <v>4</v>
      </c>
      <c r="M822" s="47">
        <v>404</v>
      </c>
    </row>
    <row r="823" spans="5:13" x14ac:dyDescent="0.25">
      <c r="E823" s="33">
        <v>553</v>
      </c>
      <c r="F823" s="48">
        <v>45242</v>
      </c>
      <c r="G823" s="49">
        <v>2023</v>
      </c>
      <c r="H823" s="45" t="s">
        <v>11</v>
      </c>
      <c r="I823" s="50" t="s">
        <v>22</v>
      </c>
      <c r="J823" s="50">
        <v>46</v>
      </c>
      <c r="K823" s="50" t="s">
        <v>21</v>
      </c>
      <c r="L823" s="50">
        <v>3</v>
      </c>
      <c r="M823" s="51">
        <v>50</v>
      </c>
    </row>
    <row r="824" spans="5:13" x14ac:dyDescent="0.25">
      <c r="E824" s="32">
        <v>481</v>
      </c>
      <c r="F824" s="43">
        <v>45043</v>
      </c>
      <c r="G824" s="44">
        <v>2023</v>
      </c>
      <c r="H824" s="52" t="s">
        <v>4</v>
      </c>
      <c r="I824" s="46" t="s">
        <v>22</v>
      </c>
      <c r="J824" s="46">
        <v>28</v>
      </c>
      <c r="K824" s="46" t="s">
        <v>23</v>
      </c>
      <c r="L824" s="46">
        <v>4</v>
      </c>
      <c r="M824" s="47">
        <v>300</v>
      </c>
    </row>
    <row r="825" spans="5:13" x14ac:dyDescent="0.25">
      <c r="E825" s="33">
        <v>680</v>
      </c>
      <c r="F825" s="48">
        <v>45171</v>
      </c>
      <c r="G825" s="49">
        <v>2023</v>
      </c>
      <c r="H825" s="45" t="s">
        <v>9</v>
      </c>
      <c r="I825" s="50" t="s">
        <v>20</v>
      </c>
      <c r="J825" s="50">
        <v>46</v>
      </c>
      <c r="K825" s="50" t="s">
        <v>21</v>
      </c>
      <c r="L825" s="50">
        <v>4</v>
      </c>
      <c r="M825" s="51">
        <v>300</v>
      </c>
    </row>
    <row r="826" spans="5:13" x14ac:dyDescent="0.25">
      <c r="E826" s="32">
        <v>1423</v>
      </c>
      <c r="F826" s="43">
        <v>45375</v>
      </c>
      <c r="G826" s="44">
        <v>2024</v>
      </c>
      <c r="H826" s="52" t="s">
        <v>3</v>
      </c>
      <c r="I826" s="46" t="s">
        <v>20</v>
      </c>
      <c r="J826" s="46">
        <v>37</v>
      </c>
      <c r="K826" s="46" t="s">
        <v>24</v>
      </c>
      <c r="L826" s="46">
        <v>2</v>
      </c>
      <c r="M826" s="47">
        <v>476</v>
      </c>
    </row>
    <row r="827" spans="5:13" x14ac:dyDescent="0.25">
      <c r="E827" s="33">
        <v>1703</v>
      </c>
      <c r="F827" s="48">
        <v>45566</v>
      </c>
      <c r="G827" s="49">
        <v>2024</v>
      </c>
      <c r="H827" s="45" t="s">
        <v>10</v>
      </c>
      <c r="I827" s="50" t="s">
        <v>22</v>
      </c>
      <c r="J827" s="50">
        <v>32</v>
      </c>
      <c r="K827" s="50" t="s">
        <v>23</v>
      </c>
      <c r="L827" s="50">
        <v>6</v>
      </c>
      <c r="M827" s="51">
        <v>211</v>
      </c>
    </row>
    <row r="828" spans="5:13" x14ac:dyDescent="0.25">
      <c r="E828" s="32">
        <v>924</v>
      </c>
      <c r="F828" s="43">
        <v>45152</v>
      </c>
      <c r="G828" s="44">
        <v>2023</v>
      </c>
      <c r="H828" s="52" t="s">
        <v>8</v>
      </c>
      <c r="I828" s="46" t="s">
        <v>20</v>
      </c>
      <c r="J828" s="46">
        <v>22</v>
      </c>
      <c r="K828" s="46" t="s">
        <v>24</v>
      </c>
      <c r="L828" s="46">
        <v>1</v>
      </c>
      <c r="M828" s="47">
        <v>30</v>
      </c>
    </row>
    <row r="829" spans="5:13" x14ac:dyDescent="0.25">
      <c r="E829" s="33">
        <v>1653</v>
      </c>
      <c r="F829" s="48">
        <v>45333</v>
      </c>
      <c r="G829" s="49">
        <v>2024</v>
      </c>
      <c r="H829" s="45" t="s">
        <v>2</v>
      </c>
      <c r="I829" s="50" t="s">
        <v>20</v>
      </c>
      <c r="J829" s="50">
        <v>32</v>
      </c>
      <c r="K829" s="50" t="s">
        <v>23</v>
      </c>
      <c r="L829" s="50">
        <v>6</v>
      </c>
      <c r="M829" s="51">
        <v>258</v>
      </c>
    </row>
    <row r="830" spans="5:13" x14ac:dyDescent="0.25">
      <c r="E830" s="32">
        <v>706</v>
      </c>
      <c r="F830" s="43">
        <v>44940</v>
      </c>
      <c r="G830" s="44">
        <v>2023</v>
      </c>
      <c r="H830" s="52" t="s">
        <v>1</v>
      </c>
      <c r="I830" s="46" t="s">
        <v>22</v>
      </c>
      <c r="J830" s="46">
        <v>43</v>
      </c>
      <c r="K830" s="46" t="s">
        <v>21</v>
      </c>
      <c r="L830" s="46">
        <v>3</v>
      </c>
      <c r="M830" s="47">
        <v>300</v>
      </c>
    </row>
    <row r="831" spans="5:13" x14ac:dyDescent="0.25">
      <c r="E831" s="33">
        <v>504</v>
      </c>
      <c r="F831" s="48">
        <v>44946</v>
      </c>
      <c r="G831" s="49">
        <v>2023</v>
      </c>
      <c r="H831" s="45" t="s">
        <v>1</v>
      </c>
      <c r="I831" s="50" t="s">
        <v>20</v>
      </c>
      <c r="J831" s="50">
        <v>24</v>
      </c>
      <c r="K831" s="50" t="s">
        <v>21</v>
      </c>
      <c r="L831" s="50">
        <v>1</v>
      </c>
      <c r="M831" s="51">
        <v>50</v>
      </c>
    </row>
    <row r="832" spans="5:13" x14ac:dyDescent="0.25">
      <c r="E832" s="32">
        <v>1707</v>
      </c>
      <c r="F832" s="43">
        <v>45581</v>
      </c>
      <c r="G832" s="44">
        <v>2024</v>
      </c>
      <c r="H832" s="52" t="s">
        <v>10</v>
      </c>
      <c r="I832" s="46" t="s">
        <v>20</v>
      </c>
      <c r="J832" s="46">
        <v>49</v>
      </c>
      <c r="K832" s="46" t="s">
        <v>24</v>
      </c>
      <c r="L832" s="46">
        <v>5</v>
      </c>
      <c r="M832" s="47">
        <v>193</v>
      </c>
    </row>
    <row r="833" spans="5:13" x14ac:dyDescent="0.25">
      <c r="E833" s="33">
        <v>507</v>
      </c>
      <c r="F833" s="48">
        <v>45149</v>
      </c>
      <c r="G833" s="49">
        <v>2023</v>
      </c>
      <c r="H833" s="45" t="s">
        <v>8</v>
      </c>
      <c r="I833" s="50" t="s">
        <v>20</v>
      </c>
      <c r="J833" s="50">
        <v>58</v>
      </c>
      <c r="K833" s="50" t="s">
        <v>21</v>
      </c>
      <c r="L833" s="50">
        <v>2</v>
      </c>
      <c r="M833" s="51">
        <v>300</v>
      </c>
    </row>
    <row r="834" spans="5:13" x14ac:dyDescent="0.25">
      <c r="E834" s="32">
        <v>1311</v>
      </c>
      <c r="F834" s="43">
        <v>45390</v>
      </c>
      <c r="G834" s="44">
        <v>2024</v>
      </c>
      <c r="H834" s="52" t="s">
        <v>4</v>
      </c>
      <c r="I834" s="46" t="s">
        <v>20</v>
      </c>
      <c r="J834" s="46">
        <v>65</v>
      </c>
      <c r="K834" s="46" t="s">
        <v>23</v>
      </c>
      <c r="L834" s="46">
        <v>6</v>
      </c>
      <c r="M834" s="47">
        <v>135</v>
      </c>
    </row>
    <row r="835" spans="5:13" x14ac:dyDescent="0.25">
      <c r="E835" s="33">
        <v>1851</v>
      </c>
      <c r="F835" s="48">
        <v>45536</v>
      </c>
      <c r="G835" s="49">
        <v>2024</v>
      </c>
      <c r="H835" s="45" t="s">
        <v>9</v>
      </c>
      <c r="I835" s="50" t="s">
        <v>20</v>
      </c>
      <c r="J835" s="50">
        <v>20</v>
      </c>
      <c r="K835" s="50" t="s">
        <v>21</v>
      </c>
      <c r="L835" s="50">
        <v>3</v>
      </c>
      <c r="M835" s="51">
        <v>492</v>
      </c>
    </row>
    <row r="836" spans="5:13" x14ac:dyDescent="0.25">
      <c r="E836" s="32">
        <v>751</v>
      </c>
      <c r="F836" s="43">
        <v>44985</v>
      </c>
      <c r="G836" s="44">
        <v>2023</v>
      </c>
      <c r="H836" s="52" t="s">
        <v>2</v>
      </c>
      <c r="I836" s="46" t="s">
        <v>22</v>
      </c>
      <c r="J836" s="46">
        <v>32</v>
      </c>
      <c r="K836" s="46" t="s">
        <v>23</v>
      </c>
      <c r="L836" s="46">
        <v>1</v>
      </c>
      <c r="M836" s="47">
        <v>30</v>
      </c>
    </row>
    <row r="837" spans="5:13" x14ac:dyDescent="0.25">
      <c r="E837" s="33">
        <v>1176</v>
      </c>
      <c r="F837" s="48">
        <v>45569</v>
      </c>
      <c r="G837" s="49">
        <v>2024</v>
      </c>
      <c r="H837" s="45" t="s">
        <v>10</v>
      </c>
      <c r="I837" s="50" t="s">
        <v>20</v>
      </c>
      <c r="J837" s="50">
        <v>47</v>
      </c>
      <c r="K837" s="50" t="s">
        <v>23</v>
      </c>
      <c r="L837" s="50">
        <v>2</v>
      </c>
      <c r="M837" s="51">
        <v>54</v>
      </c>
    </row>
    <row r="838" spans="5:13" x14ac:dyDescent="0.25">
      <c r="E838" s="32">
        <v>1749</v>
      </c>
      <c r="F838" s="43">
        <v>45350</v>
      </c>
      <c r="G838" s="44">
        <v>2024</v>
      </c>
      <c r="H838" s="52" t="s">
        <v>2</v>
      </c>
      <c r="I838" s="46" t="s">
        <v>22</v>
      </c>
      <c r="J838" s="46">
        <v>55</v>
      </c>
      <c r="K838" s="46" t="s">
        <v>23</v>
      </c>
      <c r="L838" s="46">
        <v>6</v>
      </c>
      <c r="M838" s="47">
        <v>158</v>
      </c>
    </row>
    <row r="839" spans="5:13" x14ac:dyDescent="0.25">
      <c r="E839" s="33">
        <v>1416</v>
      </c>
      <c r="F839" s="48">
        <v>45434</v>
      </c>
      <c r="G839" s="49">
        <v>2024</v>
      </c>
      <c r="H839" s="45" t="s">
        <v>5</v>
      </c>
      <c r="I839" s="50" t="s">
        <v>22</v>
      </c>
      <c r="J839" s="50">
        <v>46</v>
      </c>
      <c r="K839" s="50" t="s">
        <v>23</v>
      </c>
      <c r="L839" s="50">
        <v>7</v>
      </c>
      <c r="M839" s="51">
        <v>72</v>
      </c>
    </row>
    <row r="840" spans="5:13" x14ac:dyDescent="0.25">
      <c r="E840" s="32">
        <v>146</v>
      </c>
      <c r="F840" s="43">
        <v>45166</v>
      </c>
      <c r="G840" s="44">
        <v>2023</v>
      </c>
      <c r="H840" s="52" t="s">
        <v>8</v>
      </c>
      <c r="I840" s="46" t="s">
        <v>20</v>
      </c>
      <c r="J840" s="46">
        <v>38</v>
      </c>
      <c r="K840" s="46" t="s">
        <v>23</v>
      </c>
      <c r="L840" s="46">
        <v>4</v>
      </c>
      <c r="M840" s="47">
        <v>50</v>
      </c>
    </row>
    <row r="841" spans="5:13" x14ac:dyDescent="0.25">
      <c r="E841" s="33">
        <v>908</v>
      </c>
      <c r="F841" s="48">
        <v>44991</v>
      </c>
      <c r="G841" s="49">
        <v>2023</v>
      </c>
      <c r="H841" s="45" t="s">
        <v>3</v>
      </c>
      <c r="I841" s="50" t="s">
        <v>22</v>
      </c>
      <c r="J841" s="50">
        <v>20</v>
      </c>
      <c r="K841" s="50" t="s">
        <v>21</v>
      </c>
      <c r="L841" s="50">
        <v>3</v>
      </c>
      <c r="M841" s="51">
        <v>50</v>
      </c>
    </row>
    <row r="842" spans="5:13" x14ac:dyDescent="0.25">
      <c r="E842" s="32">
        <v>1719</v>
      </c>
      <c r="F842" s="43">
        <v>45460</v>
      </c>
      <c r="G842" s="44">
        <v>2024</v>
      </c>
      <c r="H842" s="52" t="s">
        <v>6</v>
      </c>
      <c r="I842" s="46" t="s">
        <v>22</v>
      </c>
      <c r="J842" s="46">
        <v>43</v>
      </c>
      <c r="K842" s="46" t="s">
        <v>21</v>
      </c>
      <c r="L842" s="46">
        <v>5</v>
      </c>
      <c r="M842" s="47">
        <v>110</v>
      </c>
    </row>
    <row r="843" spans="5:13" x14ac:dyDescent="0.25">
      <c r="E843" s="33">
        <v>1460</v>
      </c>
      <c r="F843" s="48">
        <v>45504</v>
      </c>
      <c r="G843" s="49">
        <v>2024</v>
      </c>
      <c r="H843" s="45" t="s">
        <v>7</v>
      </c>
      <c r="I843" s="50" t="s">
        <v>22</v>
      </c>
      <c r="J843" s="50">
        <v>54</v>
      </c>
      <c r="K843" s="50" t="s">
        <v>21</v>
      </c>
      <c r="L843" s="50">
        <v>4</v>
      </c>
      <c r="M843" s="51">
        <v>415</v>
      </c>
    </row>
    <row r="844" spans="5:13" x14ac:dyDescent="0.25">
      <c r="E844" s="32">
        <v>1920</v>
      </c>
      <c r="F844" s="43">
        <v>45533</v>
      </c>
      <c r="G844" s="44">
        <v>2024</v>
      </c>
      <c r="H844" s="52" t="s">
        <v>8</v>
      </c>
      <c r="I844" s="46" t="s">
        <v>20</v>
      </c>
      <c r="J844" s="46">
        <v>19</v>
      </c>
      <c r="K844" s="46" t="s">
        <v>21</v>
      </c>
      <c r="L844" s="46">
        <v>4</v>
      </c>
      <c r="M844" s="47">
        <v>35</v>
      </c>
    </row>
    <row r="845" spans="5:13" x14ac:dyDescent="0.25">
      <c r="E845" s="33">
        <v>1615</v>
      </c>
      <c r="F845" s="48">
        <v>45317</v>
      </c>
      <c r="G845" s="49">
        <v>2024</v>
      </c>
      <c r="H845" s="45" t="s">
        <v>1</v>
      </c>
      <c r="I845" s="50" t="s">
        <v>22</v>
      </c>
      <c r="J845" s="50">
        <v>24</v>
      </c>
      <c r="K845" s="50" t="s">
        <v>21</v>
      </c>
      <c r="L845" s="50">
        <v>6</v>
      </c>
      <c r="M845" s="51">
        <v>293</v>
      </c>
    </row>
    <row r="846" spans="5:13" x14ac:dyDescent="0.25">
      <c r="E846" s="32">
        <v>1283</v>
      </c>
      <c r="F846" s="43">
        <v>45574</v>
      </c>
      <c r="G846" s="44">
        <v>2024</v>
      </c>
      <c r="H846" s="52" t="s">
        <v>10</v>
      </c>
      <c r="I846" s="46" t="s">
        <v>20</v>
      </c>
      <c r="J846" s="46">
        <v>39</v>
      </c>
      <c r="K846" s="46" t="s">
        <v>24</v>
      </c>
      <c r="L846" s="46">
        <v>2</v>
      </c>
      <c r="M846" s="47">
        <v>211</v>
      </c>
    </row>
    <row r="847" spans="5:13" x14ac:dyDescent="0.25">
      <c r="E847" s="33">
        <v>1200</v>
      </c>
      <c r="F847" s="48">
        <v>45377</v>
      </c>
      <c r="G847" s="49">
        <v>2024</v>
      </c>
      <c r="H847" s="45" t="s">
        <v>3</v>
      </c>
      <c r="I847" s="50" t="s">
        <v>22</v>
      </c>
      <c r="J847" s="50">
        <v>49</v>
      </c>
      <c r="K847" s="50" t="s">
        <v>23</v>
      </c>
      <c r="L847" s="50">
        <v>3</v>
      </c>
      <c r="M847" s="51">
        <v>467</v>
      </c>
    </row>
    <row r="848" spans="5:13" x14ac:dyDescent="0.25">
      <c r="E848" s="32">
        <v>1872</v>
      </c>
      <c r="F848" s="43">
        <v>45574</v>
      </c>
      <c r="G848" s="44">
        <v>2024</v>
      </c>
      <c r="H848" s="52" t="s">
        <v>10</v>
      </c>
      <c r="I848" s="46" t="s">
        <v>20</v>
      </c>
      <c r="J848" s="46">
        <v>38</v>
      </c>
      <c r="K848" s="46" t="s">
        <v>23</v>
      </c>
      <c r="L848" s="46">
        <v>5</v>
      </c>
      <c r="M848" s="47">
        <v>408</v>
      </c>
    </row>
    <row r="849" spans="5:13" x14ac:dyDescent="0.25">
      <c r="E849" s="33">
        <v>1187</v>
      </c>
      <c r="F849" s="48">
        <v>45321</v>
      </c>
      <c r="G849" s="49">
        <v>2024</v>
      </c>
      <c r="H849" s="45" t="s">
        <v>1</v>
      </c>
      <c r="I849" s="50" t="s">
        <v>20</v>
      </c>
      <c r="J849" s="50">
        <v>43</v>
      </c>
      <c r="K849" s="50" t="s">
        <v>21</v>
      </c>
      <c r="L849" s="50">
        <v>5</v>
      </c>
      <c r="M849" s="51">
        <v>440</v>
      </c>
    </row>
    <row r="850" spans="5:13" x14ac:dyDescent="0.25">
      <c r="E850" s="32">
        <v>1639</v>
      </c>
      <c r="F850" s="43">
        <v>45434</v>
      </c>
      <c r="G850" s="44">
        <v>2024</v>
      </c>
      <c r="H850" s="52" t="s">
        <v>5</v>
      </c>
      <c r="I850" s="46" t="s">
        <v>22</v>
      </c>
      <c r="J850" s="46">
        <v>65</v>
      </c>
      <c r="K850" s="46" t="s">
        <v>23</v>
      </c>
      <c r="L850" s="46">
        <v>7</v>
      </c>
      <c r="M850" s="47">
        <v>206</v>
      </c>
    </row>
    <row r="851" spans="5:13" x14ac:dyDescent="0.25">
      <c r="E851" s="33">
        <v>874</v>
      </c>
      <c r="F851" s="48">
        <v>45208</v>
      </c>
      <c r="G851" s="49">
        <v>2023</v>
      </c>
      <c r="H851" s="45" t="s">
        <v>10</v>
      </c>
      <c r="I851" s="50" t="s">
        <v>20</v>
      </c>
      <c r="J851" s="50">
        <v>43</v>
      </c>
      <c r="K851" s="50" t="s">
        <v>23</v>
      </c>
      <c r="L851" s="50">
        <v>4</v>
      </c>
      <c r="M851" s="51">
        <v>30</v>
      </c>
    </row>
    <row r="852" spans="5:13" x14ac:dyDescent="0.25">
      <c r="E852" s="32">
        <v>629</v>
      </c>
      <c r="F852" s="43">
        <v>45153</v>
      </c>
      <c r="G852" s="44">
        <v>2023</v>
      </c>
      <c r="H852" s="52" t="s">
        <v>8</v>
      </c>
      <c r="I852" s="46" t="s">
        <v>20</v>
      </c>
      <c r="J852" s="46">
        <v>42</v>
      </c>
      <c r="K852" s="46" t="s">
        <v>23</v>
      </c>
      <c r="L852" s="46">
        <v>2</v>
      </c>
      <c r="M852" s="47">
        <v>50</v>
      </c>
    </row>
    <row r="853" spans="5:13" x14ac:dyDescent="0.25">
      <c r="E853" s="33">
        <v>1393</v>
      </c>
      <c r="F853" s="48">
        <v>45345</v>
      </c>
      <c r="G853" s="49">
        <v>2024</v>
      </c>
      <c r="H853" s="45" t="s">
        <v>2</v>
      </c>
      <c r="I853" s="50" t="s">
        <v>22</v>
      </c>
      <c r="J853" s="50">
        <v>62</v>
      </c>
      <c r="K853" s="50" t="s">
        <v>21</v>
      </c>
      <c r="L853" s="50">
        <v>4</v>
      </c>
      <c r="M853" s="51">
        <v>13</v>
      </c>
    </row>
    <row r="854" spans="5:13" x14ac:dyDescent="0.25">
      <c r="E854" s="32">
        <v>650</v>
      </c>
      <c r="F854" s="43">
        <v>45047</v>
      </c>
      <c r="G854" s="44">
        <v>2023</v>
      </c>
      <c r="H854" s="52" t="s">
        <v>5</v>
      </c>
      <c r="I854" s="46" t="s">
        <v>22</v>
      </c>
      <c r="J854" s="46">
        <v>34</v>
      </c>
      <c r="K854" s="46" t="s">
        <v>21</v>
      </c>
      <c r="L854" s="46">
        <v>2</v>
      </c>
      <c r="M854" s="47">
        <v>50</v>
      </c>
    </row>
    <row r="855" spans="5:13" x14ac:dyDescent="0.25">
      <c r="E855" s="33">
        <v>1841</v>
      </c>
      <c r="F855" s="48">
        <v>45297</v>
      </c>
      <c r="G855" s="49">
        <v>2024</v>
      </c>
      <c r="H855" s="45" t="s">
        <v>1</v>
      </c>
      <c r="I855" s="50" t="s">
        <v>20</v>
      </c>
      <c r="J855" s="50">
        <v>54</v>
      </c>
      <c r="K855" s="50" t="s">
        <v>23</v>
      </c>
      <c r="L855" s="50">
        <v>6</v>
      </c>
      <c r="M855" s="51">
        <v>465</v>
      </c>
    </row>
    <row r="856" spans="5:13" x14ac:dyDescent="0.25">
      <c r="E856" s="32">
        <v>265</v>
      </c>
      <c r="F856" s="43">
        <v>45261</v>
      </c>
      <c r="G856" s="44">
        <v>2023</v>
      </c>
      <c r="H856" s="52" t="s">
        <v>12</v>
      </c>
      <c r="I856" s="46" t="s">
        <v>22</v>
      </c>
      <c r="J856" s="46">
        <v>19</v>
      </c>
      <c r="K856" s="46" t="s">
        <v>24</v>
      </c>
      <c r="L856" s="46">
        <v>2</v>
      </c>
      <c r="M856" s="47">
        <v>30</v>
      </c>
    </row>
    <row r="857" spans="5:13" x14ac:dyDescent="0.25">
      <c r="E857" s="33">
        <v>229</v>
      </c>
      <c r="F857" s="48">
        <v>45039</v>
      </c>
      <c r="G857" s="49">
        <v>2023</v>
      </c>
      <c r="H857" s="45" t="s">
        <v>4</v>
      </c>
      <c r="I857" s="50" t="s">
        <v>20</v>
      </c>
      <c r="J857" s="50">
        <v>54</v>
      </c>
      <c r="K857" s="50" t="s">
        <v>21</v>
      </c>
      <c r="L857" s="50">
        <v>1</v>
      </c>
      <c r="M857" s="51">
        <v>25</v>
      </c>
    </row>
    <row r="858" spans="5:13" x14ac:dyDescent="0.25">
      <c r="E858" s="32">
        <v>219</v>
      </c>
      <c r="F858" s="43">
        <v>44988</v>
      </c>
      <c r="G858" s="44">
        <v>2023</v>
      </c>
      <c r="H858" s="52" t="s">
        <v>3</v>
      </c>
      <c r="I858" s="46" t="s">
        <v>20</v>
      </c>
      <c r="J858" s="46">
        <v>64</v>
      </c>
      <c r="K858" s="46" t="s">
        <v>21</v>
      </c>
      <c r="L858" s="46">
        <v>1</v>
      </c>
      <c r="M858" s="47">
        <v>500</v>
      </c>
    </row>
    <row r="859" spans="5:13" x14ac:dyDescent="0.25">
      <c r="E859" s="33">
        <v>611</v>
      </c>
      <c r="F859" s="48">
        <v>45144</v>
      </c>
      <c r="G859" s="49">
        <v>2023</v>
      </c>
      <c r="H859" s="45" t="s">
        <v>8</v>
      </c>
      <c r="I859" s="50" t="s">
        <v>22</v>
      </c>
      <c r="J859" s="50">
        <v>61</v>
      </c>
      <c r="K859" s="50" t="s">
        <v>24</v>
      </c>
      <c r="L859" s="50">
        <v>1</v>
      </c>
      <c r="M859" s="51">
        <v>500</v>
      </c>
    </row>
    <row r="860" spans="5:13" x14ac:dyDescent="0.25">
      <c r="E860" s="32">
        <v>778</v>
      </c>
      <c r="F860" s="43">
        <v>44979</v>
      </c>
      <c r="G860" s="44">
        <v>2023</v>
      </c>
      <c r="H860" s="52" t="s">
        <v>2</v>
      </c>
      <c r="I860" s="46" t="s">
        <v>20</v>
      </c>
      <c r="J860" s="46">
        <v>52</v>
      </c>
      <c r="K860" s="46" t="s">
        <v>24</v>
      </c>
      <c r="L860" s="46">
        <v>2</v>
      </c>
      <c r="M860" s="47">
        <v>25</v>
      </c>
    </row>
    <row r="861" spans="5:13" x14ac:dyDescent="0.25">
      <c r="E861" s="33">
        <v>16</v>
      </c>
      <c r="F861" s="48">
        <v>44974</v>
      </c>
      <c r="G861" s="49">
        <v>2023</v>
      </c>
      <c r="H861" s="45" t="s">
        <v>2</v>
      </c>
      <c r="I861" s="50" t="s">
        <v>20</v>
      </c>
      <c r="J861" s="50">
        <v>19</v>
      </c>
      <c r="K861" s="50" t="s">
        <v>23</v>
      </c>
      <c r="L861" s="50">
        <v>3</v>
      </c>
      <c r="M861" s="51">
        <v>500</v>
      </c>
    </row>
    <row r="862" spans="5:13" x14ac:dyDescent="0.25">
      <c r="E862" s="32">
        <v>1728</v>
      </c>
      <c r="F862" s="43">
        <v>45333</v>
      </c>
      <c r="G862" s="44">
        <v>2024</v>
      </c>
      <c r="H862" s="52" t="s">
        <v>2</v>
      </c>
      <c r="I862" s="46" t="s">
        <v>20</v>
      </c>
      <c r="J862" s="46">
        <v>49</v>
      </c>
      <c r="K862" s="46" t="s">
        <v>24</v>
      </c>
      <c r="L862" s="46">
        <v>2</v>
      </c>
      <c r="M862" s="47">
        <v>322</v>
      </c>
    </row>
    <row r="863" spans="5:13" x14ac:dyDescent="0.25">
      <c r="E863" s="33">
        <v>4</v>
      </c>
      <c r="F863" s="48">
        <v>45067</v>
      </c>
      <c r="G863" s="49">
        <v>2023</v>
      </c>
      <c r="H863" s="45" t="s">
        <v>5</v>
      </c>
      <c r="I863" s="50" t="s">
        <v>20</v>
      </c>
      <c r="J863" s="50">
        <v>37</v>
      </c>
      <c r="K863" s="50" t="s">
        <v>23</v>
      </c>
      <c r="L863" s="50">
        <v>1</v>
      </c>
      <c r="M863" s="51">
        <v>500</v>
      </c>
    </row>
    <row r="864" spans="5:13" x14ac:dyDescent="0.25">
      <c r="E864" s="32">
        <v>559</v>
      </c>
      <c r="F864" s="43">
        <v>45082</v>
      </c>
      <c r="G864" s="44">
        <v>2023</v>
      </c>
      <c r="H864" s="52" t="s">
        <v>6</v>
      </c>
      <c r="I864" s="46" t="s">
        <v>22</v>
      </c>
      <c r="J864" s="46">
        <v>25</v>
      </c>
      <c r="K864" s="46" t="s">
        <v>24</v>
      </c>
      <c r="L864" s="46">
        <v>1</v>
      </c>
      <c r="M864" s="47">
        <v>50</v>
      </c>
    </row>
    <row r="865" spans="5:13" x14ac:dyDescent="0.25">
      <c r="E865" s="33">
        <v>1577</v>
      </c>
      <c r="F865" s="48">
        <v>45632</v>
      </c>
      <c r="G865" s="49">
        <v>2024</v>
      </c>
      <c r="H865" s="45" t="s">
        <v>12</v>
      </c>
      <c r="I865" s="50" t="s">
        <v>22</v>
      </c>
      <c r="J865" s="50">
        <v>53</v>
      </c>
      <c r="K865" s="50" t="s">
        <v>23</v>
      </c>
      <c r="L865" s="50">
        <v>7</v>
      </c>
      <c r="M865" s="51">
        <v>307</v>
      </c>
    </row>
    <row r="866" spans="5:13" x14ac:dyDescent="0.25">
      <c r="E866" s="32">
        <v>1640</v>
      </c>
      <c r="F866" s="43">
        <v>45559</v>
      </c>
      <c r="G866" s="44">
        <v>2024</v>
      </c>
      <c r="H866" s="52" t="s">
        <v>9</v>
      </c>
      <c r="I866" s="46" t="s">
        <v>22</v>
      </c>
      <c r="J866" s="46">
        <v>37</v>
      </c>
      <c r="K866" s="46" t="s">
        <v>24</v>
      </c>
      <c r="L866" s="46">
        <v>7</v>
      </c>
      <c r="M866" s="47">
        <v>339</v>
      </c>
    </row>
    <row r="867" spans="5:13" x14ac:dyDescent="0.25">
      <c r="E867" s="33">
        <v>1717</v>
      </c>
      <c r="F867" s="48">
        <v>45426</v>
      </c>
      <c r="G867" s="49">
        <v>2024</v>
      </c>
      <c r="H867" s="45" t="s">
        <v>5</v>
      </c>
      <c r="I867" s="50" t="s">
        <v>22</v>
      </c>
      <c r="J867" s="50">
        <v>32</v>
      </c>
      <c r="K867" s="50" t="s">
        <v>23</v>
      </c>
      <c r="L867" s="50">
        <v>1</v>
      </c>
      <c r="M867" s="51">
        <v>29</v>
      </c>
    </row>
    <row r="868" spans="5:13" x14ac:dyDescent="0.25">
      <c r="E868" s="32">
        <v>1965</v>
      </c>
      <c r="F868" s="43">
        <v>45401</v>
      </c>
      <c r="G868" s="44">
        <v>2024</v>
      </c>
      <c r="H868" s="52" t="s">
        <v>4</v>
      </c>
      <c r="I868" s="46" t="s">
        <v>22</v>
      </c>
      <c r="J868" s="46">
        <v>21</v>
      </c>
      <c r="K868" s="46" t="s">
        <v>23</v>
      </c>
      <c r="L868" s="46">
        <v>2</v>
      </c>
      <c r="M868" s="47">
        <v>333</v>
      </c>
    </row>
    <row r="869" spans="5:13" x14ac:dyDescent="0.25">
      <c r="E869" s="33">
        <v>263</v>
      </c>
      <c r="F869" s="48">
        <v>44954</v>
      </c>
      <c r="G869" s="49">
        <v>2023</v>
      </c>
      <c r="H869" s="45" t="s">
        <v>1</v>
      </c>
      <c r="I869" s="50" t="s">
        <v>20</v>
      </c>
      <c r="J869" s="50">
        <v>47</v>
      </c>
      <c r="K869" s="50" t="s">
        <v>23</v>
      </c>
      <c r="L869" s="50">
        <v>3</v>
      </c>
      <c r="M869" s="51">
        <v>300</v>
      </c>
    </row>
    <row r="870" spans="5:13" x14ac:dyDescent="0.25">
      <c r="E870" s="32">
        <v>1916</v>
      </c>
      <c r="F870" s="43">
        <v>45344</v>
      </c>
      <c r="G870" s="44">
        <v>2024</v>
      </c>
      <c r="H870" s="52" t="s">
        <v>2</v>
      </c>
      <c r="I870" s="46" t="s">
        <v>22</v>
      </c>
      <c r="J870" s="46">
        <v>40</v>
      </c>
      <c r="K870" s="46" t="s">
        <v>21</v>
      </c>
      <c r="L870" s="46">
        <v>3</v>
      </c>
      <c r="M870" s="47">
        <v>228</v>
      </c>
    </row>
    <row r="871" spans="5:13" x14ac:dyDescent="0.25">
      <c r="E871" s="33">
        <v>288</v>
      </c>
      <c r="F871" s="48">
        <v>45260</v>
      </c>
      <c r="G871" s="49">
        <v>2023</v>
      </c>
      <c r="H871" s="45" t="s">
        <v>11</v>
      </c>
      <c r="I871" s="50" t="s">
        <v>20</v>
      </c>
      <c r="J871" s="50">
        <v>53</v>
      </c>
      <c r="K871" s="50" t="s">
        <v>24</v>
      </c>
      <c r="L871" s="50">
        <v>2</v>
      </c>
      <c r="M871" s="51">
        <v>30</v>
      </c>
    </row>
    <row r="872" spans="5:13" x14ac:dyDescent="0.25">
      <c r="E872" s="32">
        <v>311</v>
      </c>
      <c r="F872" s="43">
        <v>45176</v>
      </c>
      <c r="G872" s="44">
        <v>2023</v>
      </c>
      <c r="H872" s="52" t="s">
        <v>9</v>
      </c>
      <c r="I872" s="46" t="s">
        <v>20</v>
      </c>
      <c r="J872" s="46">
        <v>41</v>
      </c>
      <c r="K872" s="46" t="s">
        <v>23</v>
      </c>
      <c r="L872" s="46">
        <v>4</v>
      </c>
      <c r="M872" s="47">
        <v>30</v>
      </c>
    </row>
    <row r="873" spans="5:13" x14ac:dyDescent="0.25">
      <c r="E873" s="33">
        <v>1756</v>
      </c>
      <c r="F873" s="48">
        <v>45378</v>
      </c>
      <c r="G873" s="49">
        <v>2024</v>
      </c>
      <c r="H873" s="45" t="s">
        <v>3</v>
      </c>
      <c r="I873" s="50" t="s">
        <v>20</v>
      </c>
      <c r="J873" s="50">
        <v>49</v>
      </c>
      <c r="K873" s="50" t="s">
        <v>21</v>
      </c>
      <c r="L873" s="50">
        <v>5</v>
      </c>
      <c r="M873" s="51">
        <v>107</v>
      </c>
    </row>
    <row r="874" spans="5:13" x14ac:dyDescent="0.25">
      <c r="E874" s="32">
        <v>192</v>
      </c>
      <c r="F874" s="43">
        <v>44967</v>
      </c>
      <c r="G874" s="44">
        <v>2023</v>
      </c>
      <c r="H874" s="52" t="s">
        <v>2</v>
      </c>
      <c r="I874" s="46" t="s">
        <v>20</v>
      </c>
      <c r="J874" s="46">
        <v>62</v>
      </c>
      <c r="K874" s="46" t="s">
        <v>21</v>
      </c>
      <c r="L874" s="46">
        <v>2</v>
      </c>
      <c r="M874" s="47">
        <v>50</v>
      </c>
    </row>
    <row r="875" spans="5:13" x14ac:dyDescent="0.25">
      <c r="E875" s="33">
        <v>1502</v>
      </c>
      <c r="F875" s="48">
        <v>45311</v>
      </c>
      <c r="G875" s="49">
        <v>2024</v>
      </c>
      <c r="H875" s="45" t="s">
        <v>1</v>
      </c>
      <c r="I875" s="50" t="s">
        <v>20</v>
      </c>
      <c r="J875" s="50">
        <v>23</v>
      </c>
      <c r="K875" s="50" t="s">
        <v>21</v>
      </c>
      <c r="L875" s="50">
        <v>6</v>
      </c>
      <c r="M875" s="51">
        <v>367</v>
      </c>
    </row>
    <row r="876" spans="5:13" x14ac:dyDescent="0.25">
      <c r="E876" s="32">
        <v>1039</v>
      </c>
      <c r="F876" s="43">
        <v>45344</v>
      </c>
      <c r="G876" s="44">
        <v>2024</v>
      </c>
      <c r="H876" s="52" t="s">
        <v>2</v>
      </c>
      <c r="I876" s="46" t="s">
        <v>20</v>
      </c>
      <c r="J876" s="46">
        <v>37</v>
      </c>
      <c r="K876" s="46" t="s">
        <v>23</v>
      </c>
      <c r="L876" s="46">
        <v>6</v>
      </c>
      <c r="M876" s="47">
        <v>278</v>
      </c>
    </row>
    <row r="877" spans="5:13" x14ac:dyDescent="0.25">
      <c r="E877" s="33">
        <v>372</v>
      </c>
      <c r="F877" s="48">
        <v>45202</v>
      </c>
      <c r="G877" s="49">
        <v>2023</v>
      </c>
      <c r="H877" s="45" t="s">
        <v>10</v>
      </c>
      <c r="I877" s="50" t="s">
        <v>22</v>
      </c>
      <c r="J877" s="50">
        <v>25</v>
      </c>
      <c r="K877" s="50" t="s">
        <v>21</v>
      </c>
      <c r="L877" s="50">
        <v>2</v>
      </c>
      <c r="M877" s="51">
        <v>300</v>
      </c>
    </row>
    <row r="878" spans="5:13" x14ac:dyDescent="0.25">
      <c r="E878" s="32">
        <v>1007</v>
      </c>
      <c r="F878" s="43">
        <v>45639</v>
      </c>
      <c r="G878" s="44">
        <v>2024</v>
      </c>
      <c r="H878" s="52" t="s">
        <v>12</v>
      </c>
      <c r="I878" s="46" t="s">
        <v>20</v>
      </c>
      <c r="J878" s="46">
        <v>65</v>
      </c>
      <c r="K878" s="46" t="s">
        <v>24</v>
      </c>
      <c r="L878" s="46">
        <v>2</v>
      </c>
      <c r="M878" s="47">
        <v>444</v>
      </c>
    </row>
    <row r="879" spans="5:13" x14ac:dyDescent="0.25">
      <c r="E879" s="33">
        <v>1245</v>
      </c>
      <c r="F879" s="48">
        <v>45360</v>
      </c>
      <c r="G879" s="49">
        <v>2024</v>
      </c>
      <c r="H879" s="45" t="s">
        <v>3</v>
      </c>
      <c r="I879" s="50" t="s">
        <v>20</v>
      </c>
      <c r="J879" s="50">
        <v>61</v>
      </c>
      <c r="K879" s="50" t="s">
        <v>23</v>
      </c>
      <c r="L879" s="50">
        <v>4</v>
      </c>
      <c r="M879" s="51">
        <v>392</v>
      </c>
    </row>
    <row r="880" spans="5:13" x14ac:dyDescent="0.25">
      <c r="E880" s="32">
        <v>349</v>
      </c>
      <c r="F880" s="43">
        <v>45216</v>
      </c>
      <c r="G880" s="44">
        <v>2023</v>
      </c>
      <c r="H880" s="52" t="s">
        <v>10</v>
      </c>
      <c r="I880" s="46" t="s">
        <v>20</v>
      </c>
      <c r="J880" s="46">
        <v>25</v>
      </c>
      <c r="K880" s="46" t="s">
        <v>21</v>
      </c>
      <c r="L880" s="46">
        <v>3</v>
      </c>
      <c r="M880" s="47">
        <v>25</v>
      </c>
    </row>
    <row r="881" spans="5:13" x14ac:dyDescent="0.25">
      <c r="E881" s="33">
        <v>1641</v>
      </c>
      <c r="F881" s="48">
        <v>45541</v>
      </c>
      <c r="G881" s="49">
        <v>2024</v>
      </c>
      <c r="H881" s="45" t="s">
        <v>9</v>
      </c>
      <c r="I881" s="50" t="s">
        <v>20</v>
      </c>
      <c r="J881" s="50">
        <v>39</v>
      </c>
      <c r="K881" s="50" t="s">
        <v>21</v>
      </c>
      <c r="L881" s="50">
        <v>2</v>
      </c>
      <c r="M881" s="51">
        <v>436</v>
      </c>
    </row>
    <row r="882" spans="5:13" x14ac:dyDescent="0.25">
      <c r="E882" s="32">
        <v>1686</v>
      </c>
      <c r="F882" s="43">
        <v>45601</v>
      </c>
      <c r="G882" s="44">
        <v>2024</v>
      </c>
      <c r="H882" s="52" t="s">
        <v>11</v>
      </c>
      <c r="I882" s="46" t="s">
        <v>22</v>
      </c>
      <c r="J882" s="46">
        <v>43</v>
      </c>
      <c r="K882" s="46" t="s">
        <v>23</v>
      </c>
      <c r="L882" s="46">
        <v>2</v>
      </c>
      <c r="M882" s="47">
        <v>234</v>
      </c>
    </row>
    <row r="883" spans="5:13" x14ac:dyDescent="0.25">
      <c r="E883" s="33">
        <v>1449</v>
      </c>
      <c r="F883" s="48">
        <v>45420</v>
      </c>
      <c r="G883" s="49">
        <v>2024</v>
      </c>
      <c r="H883" s="45" t="s">
        <v>5</v>
      </c>
      <c r="I883" s="50" t="s">
        <v>22</v>
      </c>
      <c r="J883" s="50">
        <v>22</v>
      </c>
      <c r="K883" s="50" t="s">
        <v>23</v>
      </c>
      <c r="L883" s="50">
        <v>2</v>
      </c>
      <c r="M883" s="51">
        <v>182</v>
      </c>
    </row>
    <row r="884" spans="5:13" x14ac:dyDescent="0.25">
      <c r="E884" s="32">
        <v>552</v>
      </c>
      <c r="F884" s="43">
        <v>45016</v>
      </c>
      <c r="G884" s="44">
        <v>2023</v>
      </c>
      <c r="H884" s="52" t="s">
        <v>3</v>
      </c>
      <c r="I884" s="46" t="s">
        <v>20</v>
      </c>
      <c r="J884" s="46">
        <v>24</v>
      </c>
      <c r="K884" s="46" t="s">
        <v>23</v>
      </c>
      <c r="L884" s="46">
        <v>4</v>
      </c>
      <c r="M884" s="47">
        <v>300</v>
      </c>
    </row>
    <row r="885" spans="5:13" x14ac:dyDescent="0.25">
      <c r="E885" s="33">
        <v>1131</v>
      </c>
      <c r="F885" s="48">
        <v>45338</v>
      </c>
      <c r="G885" s="49">
        <v>2024</v>
      </c>
      <c r="H885" s="45" t="s">
        <v>2</v>
      </c>
      <c r="I885" s="50" t="s">
        <v>20</v>
      </c>
      <c r="J885" s="50">
        <v>58</v>
      </c>
      <c r="K885" s="50" t="s">
        <v>24</v>
      </c>
      <c r="L885" s="50">
        <v>7</v>
      </c>
      <c r="M885" s="51">
        <v>93</v>
      </c>
    </row>
    <row r="886" spans="5:13" x14ac:dyDescent="0.25">
      <c r="E886" s="32">
        <v>750</v>
      </c>
      <c r="F886" s="43">
        <v>45269</v>
      </c>
      <c r="G886" s="44">
        <v>2023</v>
      </c>
      <c r="H886" s="52" t="s">
        <v>12</v>
      </c>
      <c r="I886" s="46" t="s">
        <v>20</v>
      </c>
      <c r="J886" s="46">
        <v>29</v>
      </c>
      <c r="K886" s="46" t="s">
        <v>23</v>
      </c>
      <c r="L886" s="46">
        <v>2</v>
      </c>
      <c r="M886" s="47">
        <v>50</v>
      </c>
    </row>
    <row r="887" spans="5:13" x14ac:dyDescent="0.25">
      <c r="E887" s="33">
        <v>270</v>
      </c>
      <c r="F887" s="48">
        <v>45100</v>
      </c>
      <c r="G887" s="49">
        <v>2023</v>
      </c>
      <c r="H887" s="45" t="s">
        <v>6</v>
      </c>
      <c r="I887" s="50" t="s">
        <v>22</v>
      </c>
      <c r="J887" s="50">
        <v>62</v>
      </c>
      <c r="K887" s="50" t="s">
        <v>21</v>
      </c>
      <c r="L887" s="50">
        <v>4</v>
      </c>
      <c r="M887" s="51">
        <v>30</v>
      </c>
    </row>
    <row r="888" spans="5:13" x14ac:dyDescent="0.25">
      <c r="E888" s="32">
        <v>1159</v>
      </c>
      <c r="F888" s="43">
        <v>45373</v>
      </c>
      <c r="G888" s="44">
        <v>2024</v>
      </c>
      <c r="H888" s="52" t="s">
        <v>3</v>
      </c>
      <c r="I888" s="46" t="s">
        <v>20</v>
      </c>
      <c r="J888" s="46">
        <v>42</v>
      </c>
      <c r="K888" s="46" t="s">
        <v>21</v>
      </c>
      <c r="L888" s="46">
        <v>6</v>
      </c>
      <c r="M888" s="47">
        <v>151</v>
      </c>
    </row>
    <row r="889" spans="5:13" x14ac:dyDescent="0.25">
      <c r="E889" s="33">
        <v>1043</v>
      </c>
      <c r="F889" s="48">
        <v>45476</v>
      </c>
      <c r="G889" s="49">
        <v>2024</v>
      </c>
      <c r="H889" s="45" t="s">
        <v>7</v>
      </c>
      <c r="I889" s="50" t="s">
        <v>22</v>
      </c>
      <c r="J889" s="50">
        <v>36</v>
      </c>
      <c r="K889" s="50" t="s">
        <v>24</v>
      </c>
      <c r="L889" s="50">
        <v>6</v>
      </c>
      <c r="M889" s="51">
        <v>39</v>
      </c>
    </row>
    <row r="890" spans="5:13" x14ac:dyDescent="0.25">
      <c r="E890" s="32">
        <v>1821</v>
      </c>
      <c r="F890" s="43">
        <v>45530</v>
      </c>
      <c r="G890" s="44">
        <v>2024</v>
      </c>
      <c r="H890" s="52" t="s">
        <v>8</v>
      </c>
      <c r="I890" s="46" t="s">
        <v>22</v>
      </c>
      <c r="J890" s="46">
        <v>39</v>
      </c>
      <c r="K890" s="46" t="s">
        <v>21</v>
      </c>
      <c r="L890" s="46">
        <v>2</v>
      </c>
      <c r="M890" s="47">
        <v>257</v>
      </c>
    </row>
    <row r="891" spans="5:13" x14ac:dyDescent="0.25">
      <c r="E891" s="33">
        <v>1730</v>
      </c>
      <c r="F891" s="48">
        <v>45301</v>
      </c>
      <c r="G891" s="49">
        <v>2024</v>
      </c>
      <c r="H891" s="45" t="s">
        <v>1</v>
      </c>
      <c r="I891" s="50" t="s">
        <v>22</v>
      </c>
      <c r="J891" s="50">
        <v>50</v>
      </c>
      <c r="K891" s="50" t="s">
        <v>23</v>
      </c>
      <c r="L891" s="50">
        <v>3</v>
      </c>
      <c r="M891" s="51">
        <v>127</v>
      </c>
    </row>
    <row r="892" spans="5:13" x14ac:dyDescent="0.25">
      <c r="E892" s="32">
        <v>370</v>
      </c>
      <c r="F892" s="43">
        <v>44978</v>
      </c>
      <c r="G892" s="44">
        <v>2023</v>
      </c>
      <c r="H892" s="52" t="s">
        <v>2</v>
      </c>
      <c r="I892" s="46" t="s">
        <v>22</v>
      </c>
      <c r="J892" s="46">
        <v>20</v>
      </c>
      <c r="K892" s="46" t="s">
        <v>21</v>
      </c>
      <c r="L892" s="46">
        <v>1</v>
      </c>
      <c r="M892" s="47">
        <v>25</v>
      </c>
    </row>
    <row r="893" spans="5:13" x14ac:dyDescent="0.25">
      <c r="E893" s="33">
        <v>862</v>
      </c>
      <c r="F893" s="48">
        <v>45134</v>
      </c>
      <c r="G893" s="49">
        <v>2023</v>
      </c>
      <c r="H893" s="45" t="s">
        <v>7</v>
      </c>
      <c r="I893" s="50" t="s">
        <v>22</v>
      </c>
      <c r="J893" s="50">
        <v>51</v>
      </c>
      <c r="K893" s="50" t="s">
        <v>24</v>
      </c>
      <c r="L893" s="50">
        <v>1</v>
      </c>
      <c r="M893" s="51">
        <v>500</v>
      </c>
    </row>
    <row r="894" spans="5:13" x14ac:dyDescent="0.25">
      <c r="E894" s="32">
        <v>824</v>
      </c>
      <c r="F894" s="43">
        <v>45218</v>
      </c>
      <c r="G894" s="44">
        <v>2023</v>
      </c>
      <c r="H894" s="52" t="s">
        <v>10</v>
      </c>
      <c r="I894" s="46" t="s">
        <v>22</v>
      </c>
      <c r="J894" s="46">
        <v>46</v>
      </c>
      <c r="K894" s="46" t="s">
        <v>23</v>
      </c>
      <c r="L894" s="46">
        <v>1</v>
      </c>
      <c r="M894" s="47">
        <v>300</v>
      </c>
    </row>
    <row r="895" spans="5:13" x14ac:dyDescent="0.25">
      <c r="E895" s="33">
        <v>40</v>
      </c>
      <c r="F895" s="48">
        <v>45099</v>
      </c>
      <c r="G895" s="49">
        <v>2023</v>
      </c>
      <c r="H895" s="45" t="s">
        <v>6</v>
      </c>
      <c r="I895" s="50" t="s">
        <v>20</v>
      </c>
      <c r="J895" s="50">
        <v>45</v>
      </c>
      <c r="K895" s="50" t="s">
        <v>21</v>
      </c>
      <c r="L895" s="50">
        <v>1</v>
      </c>
      <c r="M895" s="51">
        <v>50</v>
      </c>
    </row>
    <row r="896" spans="5:13" x14ac:dyDescent="0.25">
      <c r="E896" s="32">
        <v>483</v>
      </c>
      <c r="F896" s="43">
        <v>44939</v>
      </c>
      <c r="G896" s="44">
        <v>2023</v>
      </c>
      <c r="H896" s="52" t="s">
        <v>1</v>
      </c>
      <c r="I896" s="46" t="s">
        <v>22</v>
      </c>
      <c r="J896" s="46">
        <v>19</v>
      </c>
      <c r="K896" s="46" t="s">
        <v>23</v>
      </c>
      <c r="L896" s="46">
        <v>4</v>
      </c>
      <c r="M896" s="47">
        <v>300</v>
      </c>
    </row>
    <row r="897" spans="5:13" x14ac:dyDescent="0.25">
      <c r="E897" s="33">
        <v>122</v>
      </c>
      <c r="F897" s="48">
        <v>45202</v>
      </c>
      <c r="G897" s="49">
        <v>2023</v>
      </c>
      <c r="H897" s="45" t="s">
        <v>10</v>
      </c>
      <c r="I897" s="50" t="s">
        <v>20</v>
      </c>
      <c r="J897" s="50">
        <v>64</v>
      </c>
      <c r="K897" s="50" t="s">
        <v>24</v>
      </c>
      <c r="L897" s="50">
        <v>4</v>
      </c>
      <c r="M897" s="51">
        <v>30</v>
      </c>
    </row>
    <row r="898" spans="5:13" x14ac:dyDescent="0.25">
      <c r="E898" s="32">
        <v>490</v>
      </c>
      <c r="F898" s="43">
        <v>45069</v>
      </c>
      <c r="G898" s="44">
        <v>2023</v>
      </c>
      <c r="H898" s="52" t="s">
        <v>5</v>
      </c>
      <c r="I898" s="46" t="s">
        <v>22</v>
      </c>
      <c r="J898" s="46">
        <v>60</v>
      </c>
      <c r="K898" s="46" t="s">
        <v>24</v>
      </c>
      <c r="L898" s="46">
        <v>3</v>
      </c>
      <c r="M898" s="47">
        <v>300</v>
      </c>
    </row>
    <row r="899" spans="5:13" x14ac:dyDescent="0.25">
      <c r="E899" s="33">
        <v>1528</v>
      </c>
      <c r="F899" s="48">
        <v>45633</v>
      </c>
      <c r="G899" s="49">
        <v>2024</v>
      </c>
      <c r="H899" s="45" t="s">
        <v>12</v>
      </c>
      <c r="I899" s="50" t="s">
        <v>20</v>
      </c>
      <c r="J899" s="50">
        <v>58</v>
      </c>
      <c r="K899" s="50" t="s">
        <v>24</v>
      </c>
      <c r="L899" s="50">
        <v>2</v>
      </c>
      <c r="M899" s="51">
        <v>266</v>
      </c>
    </row>
    <row r="900" spans="5:13" x14ac:dyDescent="0.25">
      <c r="E900" s="32">
        <v>1250</v>
      </c>
      <c r="F900" s="43">
        <v>45535</v>
      </c>
      <c r="G900" s="44">
        <v>2024</v>
      </c>
      <c r="H900" s="52" t="s">
        <v>8</v>
      </c>
      <c r="I900" s="46" t="s">
        <v>22</v>
      </c>
      <c r="J900" s="46">
        <v>21</v>
      </c>
      <c r="K900" s="46" t="s">
        <v>23</v>
      </c>
      <c r="L900" s="46">
        <v>6</v>
      </c>
      <c r="M900" s="47">
        <v>108</v>
      </c>
    </row>
    <row r="901" spans="5:13" x14ac:dyDescent="0.25">
      <c r="E901" s="33">
        <v>1693</v>
      </c>
      <c r="F901" s="48">
        <v>45306</v>
      </c>
      <c r="G901" s="49">
        <v>2024</v>
      </c>
      <c r="H901" s="45" t="s">
        <v>1</v>
      </c>
      <c r="I901" s="50" t="s">
        <v>20</v>
      </c>
      <c r="J901" s="50">
        <v>33</v>
      </c>
      <c r="K901" s="50" t="s">
        <v>23</v>
      </c>
      <c r="L901" s="50">
        <v>3</v>
      </c>
      <c r="M901" s="51">
        <v>320</v>
      </c>
    </row>
    <row r="902" spans="5:13" x14ac:dyDescent="0.25">
      <c r="E902" s="32">
        <v>1774</v>
      </c>
      <c r="F902" s="43">
        <v>45614</v>
      </c>
      <c r="G902" s="44">
        <v>2024</v>
      </c>
      <c r="H902" s="52" t="s">
        <v>11</v>
      </c>
      <c r="I902" s="46" t="s">
        <v>22</v>
      </c>
      <c r="J902" s="46">
        <v>50</v>
      </c>
      <c r="K902" s="46" t="s">
        <v>21</v>
      </c>
      <c r="L902" s="46">
        <v>2</v>
      </c>
      <c r="M902" s="47">
        <v>91</v>
      </c>
    </row>
    <row r="903" spans="5:13" x14ac:dyDescent="0.25">
      <c r="E903" s="33">
        <v>1967</v>
      </c>
      <c r="F903" s="48">
        <v>45631</v>
      </c>
      <c r="G903" s="49">
        <v>2024</v>
      </c>
      <c r="H903" s="45" t="s">
        <v>12</v>
      </c>
      <c r="I903" s="50" t="s">
        <v>22</v>
      </c>
      <c r="J903" s="50">
        <v>60</v>
      </c>
      <c r="K903" s="50" t="s">
        <v>24</v>
      </c>
      <c r="L903" s="50">
        <v>6</v>
      </c>
      <c r="M903" s="51">
        <v>461</v>
      </c>
    </row>
    <row r="904" spans="5:13" x14ac:dyDescent="0.25">
      <c r="E904" s="32">
        <v>300</v>
      </c>
      <c r="F904" s="43">
        <v>45011</v>
      </c>
      <c r="G904" s="44">
        <v>2023</v>
      </c>
      <c r="H904" s="52" t="s">
        <v>3</v>
      </c>
      <c r="I904" s="46" t="s">
        <v>20</v>
      </c>
      <c r="J904" s="46">
        <v>30</v>
      </c>
      <c r="K904" s="46" t="s">
        <v>23</v>
      </c>
      <c r="L904" s="46">
        <v>4</v>
      </c>
      <c r="M904" s="47">
        <v>30</v>
      </c>
    </row>
    <row r="905" spans="5:13" x14ac:dyDescent="0.25">
      <c r="E905" s="33">
        <v>1689</v>
      </c>
      <c r="F905" s="48">
        <v>45405</v>
      </c>
      <c r="G905" s="49">
        <v>2024</v>
      </c>
      <c r="H905" s="45" t="s">
        <v>4</v>
      </c>
      <c r="I905" s="50" t="s">
        <v>20</v>
      </c>
      <c r="J905" s="50">
        <v>50</v>
      </c>
      <c r="K905" s="50" t="s">
        <v>21</v>
      </c>
      <c r="L905" s="50">
        <v>3</v>
      </c>
      <c r="M905" s="51">
        <v>425</v>
      </c>
    </row>
    <row r="906" spans="5:13" x14ac:dyDescent="0.25">
      <c r="E906" s="32">
        <v>165</v>
      </c>
      <c r="F906" s="43">
        <v>45183</v>
      </c>
      <c r="G906" s="44">
        <v>2023</v>
      </c>
      <c r="H906" s="52" t="s">
        <v>9</v>
      </c>
      <c r="I906" s="46" t="s">
        <v>22</v>
      </c>
      <c r="J906" s="46">
        <v>60</v>
      </c>
      <c r="K906" s="46" t="s">
        <v>23</v>
      </c>
      <c r="L906" s="46">
        <v>4</v>
      </c>
      <c r="M906" s="47">
        <v>300</v>
      </c>
    </row>
    <row r="907" spans="5:13" x14ac:dyDescent="0.25">
      <c r="E907" s="33">
        <v>385</v>
      </c>
      <c r="F907" s="48">
        <v>45287</v>
      </c>
      <c r="G907" s="49">
        <v>2023</v>
      </c>
      <c r="H907" s="45" t="s">
        <v>12</v>
      </c>
      <c r="I907" s="50" t="s">
        <v>22</v>
      </c>
      <c r="J907" s="50">
        <v>54</v>
      </c>
      <c r="K907" s="50" t="s">
        <v>24</v>
      </c>
      <c r="L907" s="50">
        <v>2</v>
      </c>
      <c r="M907" s="51">
        <v>300</v>
      </c>
    </row>
    <row r="908" spans="5:13" x14ac:dyDescent="0.25">
      <c r="E908" s="32">
        <v>206</v>
      </c>
      <c r="F908" s="43">
        <v>45143</v>
      </c>
      <c r="G908" s="44">
        <v>2023</v>
      </c>
      <c r="H908" s="52" t="s">
        <v>8</v>
      </c>
      <c r="I908" s="46" t="s">
        <v>20</v>
      </c>
      <c r="J908" s="46">
        <v>61</v>
      </c>
      <c r="K908" s="46" t="s">
        <v>23</v>
      </c>
      <c r="L908" s="46">
        <v>1</v>
      </c>
      <c r="M908" s="47">
        <v>25</v>
      </c>
    </row>
    <row r="909" spans="5:13" x14ac:dyDescent="0.25">
      <c r="E909" s="33">
        <v>1759</v>
      </c>
      <c r="F909" s="48">
        <v>45350</v>
      </c>
      <c r="G909" s="49">
        <v>2024</v>
      </c>
      <c r="H909" s="45" t="s">
        <v>2</v>
      </c>
      <c r="I909" s="50" t="s">
        <v>20</v>
      </c>
      <c r="J909" s="50">
        <v>43</v>
      </c>
      <c r="K909" s="50" t="s">
        <v>23</v>
      </c>
      <c r="L909" s="50">
        <v>5</v>
      </c>
      <c r="M909" s="51">
        <v>322</v>
      </c>
    </row>
    <row r="910" spans="5:13" x14ac:dyDescent="0.25">
      <c r="E910" s="32">
        <v>241</v>
      </c>
      <c r="F910" s="43">
        <v>45048</v>
      </c>
      <c r="G910" s="44">
        <v>2023</v>
      </c>
      <c r="H910" s="52" t="s">
        <v>5</v>
      </c>
      <c r="I910" s="46" t="s">
        <v>20</v>
      </c>
      <c r="J910" s="46">
        <v>21</v>
      </c>
      <c r="K910" s="46" t="s">
        <v>23</v>
      </c>
      <c r="L910" s="46">
        <v>1</v>
      </c>
      <c r="M910" s="47">
        <v>25</v>
      </c>
    </row>
    <row r="911" spans="5:13" x14ac:dyDescent="0.25">
      <c r="E911" s="33">
        <v>230</v>
      </c>
      <c r="F911" s="48">
        <v>44930</v>
      </c>
      <c r="G911" s="49">
        <v>2023</v>
      </c>
      <c r="H911" s="45" t="s">
        <v>1</v>
      </c>
      <c r="I911" s="50" t="s">
        <v>22</v>
      </c>
      <c r="J911" s="50">
        <v>23</v>
      </c>
      <c r="K911" s="50" t="s">
        <v>23</v>
      </c>
      <c r="L911" s="50">
        <v>3</v>
      </c>
      <c r="M911" s="51">
        <v>50</v>
      </c>
    </row>
    <row r="912" spans="5:13" x14ac:dyDescent="0.25">
      <c r="E912" s="32">
        <v>433</v>
      </c>
      <c r="F912" s="43">
        <v>44965</v>
      </c>
      <c r="G912" s="44">
        <v>2023</v>
      </c>
      <c r="H912" s="52" t="s">
        <v>2</v>
      </c>
      <c r="I912" s="46" t="s">
        <v>22</v>
      </c>
      <c r="J912" s="46">
        <v>43</v>
      </c>
      <c r="K912" s="46" t="s">
        <v>24</v>
      </c>
      <c r="L912" s="46">
        <v>2</v>
      </c>
      <c r="M912" s="47">
        <v>25</v>
      </c>
    </row>
    <row r="913" spans="5:13" x14ac:dyDescent="0.25">
      <c r="E913" s="33">
        <v>1116</v>
      </c>
      <c r="F913" s="48">
        <v>45428</v>
      </c>
      <c r="G913" s="49">
        <v>2024</v>
      </c>
      <c r="H913" s="45" t="s">
        <v>5</v>
      </c>
      <c r="I913" s="50" t="s">
        <v>22</v>
      </c>
      <c r="J913" s="50">
        <v>49</v>
      </c>
      <c r="K913" s="50" t="s">
        <v>24</v>
      </c>
      <c r="L913" s="50">
        <v>1</v>
      </c>
      <c r="M913" s="51">
        <v>44</v>
      </c>
    </row>
    <row r="914" spans="5:13" x14ac:dyDescent="0.25">
      <c r="E914" s="32">
        <v>1354</v>
      </c>
      <c r="F914" s="43">
        <v>45415</v>
      </c>
      <c r="G914" s="44">
        <v>2024</v>
      </c>
      <c r="H914" s="52" t="s">
        <v>5</v>
      </c>
      <c r="I914" s="46" t="s">
        <v>22</v>
      </c>
      <c r="J914" s="46">
        <v>29</v>
      </c>
      <c r="K914" s="46" t="s">
        <v>24</v>
      </c>
      <c r="L914" s="46">
        <v>1</v>
      </c>
      <c r="M914" s="47">
        <v>72</v>
      </c>
    </row>
    <row r="915" spans="5:13" x14ac:dyDescent="0.25">
      <c r="E915" s="33">
        <v>1552</v>
      </c>
      <c r="F915" s="48">
        <v>45584</v>
      </c>
      <c r="G915" s="49">
        <v>2024</v>
      </c>
      <c r="H915" s="45" t="s">
        <v>10</v>
      </c>
      <c r="I915" s="50" t="s">
        <v>20</v>
      </c>
      <c r="J915" s="50">
        <v>53</v>
      </c>
      <c r="K915" s="50" t="s">
        <v>21</v>
      </c>
      <c r="L915" s="50">
        <v>1</v>
      </c>
      <c r="M915" s="51">
        <v>20</v>
      </c>
    </row>
    <row r="916" spans="5:13" x14ac:dyDescent="0.25">
      <c r="E916" s="32">
        <v>1284</v>
      </c>
      <c r="F916" s="43">
        <v>45342</v>
      </c>
      <c r="G916" s="44">
        <v>2024</v>
      </c>
      <c r="H916" s="52" t="s">
        <v>2</v>
      </c>
      <c r="I916" s="46" t="s">
        <v>20</v>
      </c>
      <c r="J916" s="46">
        <v>53</v>
      </c>
      <c r="K916" s="46" t="s">
        <v>23</v>
      </c>
      <c r="L916" s="46">
        <v>1</v>
      </c>
      <c r="M916" s="47">
        <v>446</v>
      </c>
    </row>
    <row r="917" spans="5:13" x14ac:dyDescent="0.25">
      <c r="E917" s="33">
        <v>257</v>
      </c>
      <c r="F917" s="48">
        <v>45264</v>
      </c>
      <c r="G917" s="49">
        <v>2023</v>
      </c>
      <c r="H917" s="45" t="s">
        <v>12</v>
      </c>
      <c r="I917" s="50" t="s">
        <v>22</v>
      </c>
      <c r="J917" s="50">
        <v>37</v>
      </c>
      <c r="K917" s="50" t="s">
        <v>23</v>
      </c>
      <c r="L917" s="50">
        <v>1</v>
      </c>
      <c r="M917" s="51">
        <v>50</v>
      </c>
    </row>
    <row r="918" spans="5:13" x14ac:dyDescent="0.25">
      <c r="E918" s="32">
        <v>1542</v>
      </c>
      <c r="F918" s="43">
        <v>45444</v>
      </c>
      <c r="G918" s="44">
        <v>2024</v>
      </c>
      <c r="H918" s="52" t="s">
        <v>6</v>
      </c>
      <c r="I918" s="46" t="s">
        <v>20</v>
      </c>
      <c r="J918" s="46">
        <v>20</v>
      </c>
      <c r="K918" s="46" t="s">
        <v>23</v>
      </c>
      <c r="L918" s="46">
        <v>3</v>
      </c>
      <c r="M918" s="47">
        <v>332</v>
      </c>
    </row>
    <row r="919" spans="5:13" x14ac:dyDescent="0.25">
      <c r="E919" s="33">
        <v>1906</v>
      </c>
      <c r="F919" s="48">
        <v>45357</v>
      </c>
      <c r="G919" s="49">
        <v>2024</v>
      </c>
      <c r="H919" s="45" t="s">
        <v>3</v>
      </c>
      <c r="I919" s="50" t="s">
        <v>22</v>
      </c>
      <c r="J919" s="50">
        <v>19</v>
      </c>
      <c r="K919" s="50" t="s">
        <v>21</v>
      </c>
      <c r="L919" s="50">
        <v>7</v>
      </c>
      <c r="M919" s="51">
        <v>396</v>
      </c>
    </row>
    <row r="920" spans="5:13" x14ac:dyDescent="0.25">
      <c r="E920" s="32">
        <v>29</v>
      </c>
      <c r="F920" s="43">
        <v>45156</v>
      </c>
      <c r="G920" s="44">
        <v>2023</v>
      </c>
      <c r="H920" s="52" t="s">
        <v>8</v>
      </c>
      <c r="I920" s="46" t="s">
        <v>22</v>
      </c>
      <c r="J920" s="46">
        <v>42</v>
      </c>
      <c r="K920" s="46" t="s">
        <v>24</v>
      </c>
      <c r="L920" s="46">
        <v>1</v>
      </c>
      <c r="M920" s="47">
        <v>30</v>
      </c>
    </row>
    <row r="921" spans="5:13" x14ac:dyDescent="0.25">
      <c r="E921" s="33">
        <v>17</v>
      </c>
      <c r="F921" s="48">
        <v>45038</v>
      </c>
      <c r="G921" s="49">
        <v>2023</v>
      </c>
      <c r="H921" s="45" t="s">
        <v>4</v>
      </c>
      <c r="I921" s="50" t="s">
        <v>22</v>
      </c>
      <c r="J921" s="50">
        <v>27</v>
      </c>
      <c r="K921" s="50" t="s">
        <v>23</v>
      </c>
      <c r="L921" s="50">
        <v>4</v>
      </c>
      <c r="M921" s="51">
        <v>25</v>
      </c>
    </row>
    <row r="922" spans="5:13" x14ac:dyDescent="0.25">
      <c r="E922" s="32">
        <v>1102</v>
      </c>
      <c r="F922" s="43">
        <v>45454</v>
      </c>
      <c r="G922" s="44">
        <v>2024</v>
      </c>
      <c r="H922" s="52" t="s">
        <v>6</v>
      </c>
      <c r="I922" s="46" t="s">
        <v>22</v>
      </c>
      <c r="J922" s="46">
        <v>50</v>
      </c>
      <c r="K922" s="46" t="s">
        <v>21</v>
      </c>
      <c r="L922" s="46">
        <v>1</v>
      </c>
      <c r="M922" s="47">
        <v>150</v>
      </c>
    </row>
    <row r="923" spans="5:13" x14ac:dyDescent="0.25">
      <c r="E923" s="33">
        <v>1206</v>
      </c>
      <c r="F923" s="48">
        <v>45569</v>
      </c>
      <c r="G923" s="49">
        <v>2024</v>
      </c>
      <c r="H923" s="45" t="s">
        <v>10</v>
      </c>
      <c r="I923" s="50" t="s">
        <v>22</v>
      </c>
      <c r="J923" s="50">
        <v>53</v>
      </c>
      <c r="K923" s="50" t="s">
        <v>24</v>
      </c>
      <c r="L923" s="50">
        <v>7</v>
      </c>
      <c r="M923" s="51">
        <v>155</v>
      </c>
    </row>
    <row r="924" spans="5:13" x14ac:dyDescent="0.25">
      <c r="E924" s="32">
        <v>297</v>
      </c>
      <c r="F924" s="43">
        <v>45036</v>
      </c>
      <c r="G924" s="44">
        <v>2023</v>
      </c>
      <c r="H924" s="52" t="s">
        <v>4</v>
      </c>
      <c r="I924" s="46" t="s">
        <v>20</v>
      </c>
      <c r="J924" s="46">
        <v>27</v>
      </c>
      <c r="K924" s="46" t="s">
        <v>21</v>
      </c>
      <c r="L924" s="46">
        <v>4</v>
      </c>
      <c r="M924" s="47">
        <v>300</v>
      </c>
    </row>
    <row r="925" spans="5:13" x14ac:dyDescent="0.25">
      <c r="E925" s="33">
        <v>1428</v>
      </c>
      <c r="F925" s="48">
        <v>45580</v>
      </c>
      <c r="G925" s="49">
        <v>2024</v>
      </c>
      <c r="H925" s="45" t="s">
        <v>10</v>
      </c>
      <c r="I925" s="50" t="s">
        <v>20</v>
      </c>
      <c r="J925" s="50">
        <v>31</v>
      </c>
      <c r="K925" s="50" t="s">
        <v>24</v>
      </c>
      <c r="L925" s="50">
        <v>5</v>
      </c>
      <c r="M925" s="51">
        <v>83</v>
      </c>
    </row>
    <row r="926" spans="5:13" x14ac:dyDescent="0.25">
      <c r="E926" s="32">
        <v>489</v>
      </c>
      <c r="F926" s="43">
        <v>44962</v>
      </c>
      <c r="G926" s="44">
        <v>2023</v>
      </c>
      <c r="H926" s="52" t="s">
        <v>2</v>
      </c>
      <c r="I926" s="46" t="s">
        <v>20</v>
      </c>
      <c r="J926" s="46">
        <v>34</v>
      </c>
      <c r="K926" s="46" t="s">
        <v>23</v>
      </c>
      <c r="L926" s="46">
        <v>3</v>
      </c>
      <c r="M926" s="47">
        <v>50</v>
      </c>
    </row>
    <row r="927" spans="5:13" x14ac:dyDescent="0.25">
      <c r="E927" s="33">
        <v>411</v>
      </c>
      <c r="F927" s="48">
        <v>45185</v>
      </c>
      <c r="G927" s="49">
        <v>2023</v>
      </c>
      <c r="H927" s="45" t="s">
        <v>9</v>
      </c>
      <c r="I927" s="50" t="s">
        <v>22</v>
      </c>
      <c r="J927" s="50">
        <v>19</v>
      </c>
      <c r="K927" s="50" t="s">
        <v>24</v>
      </c>
      <c r="L927" s="50">
        <v>4</v>
      </c>
      <c r="M927" s="51">
        <v>500</v>
      </c>
    </row>
    <row r="928" spans="5:13" x14ac:dyDescent="0.25">
      <c r="E928" s="32">
        <v>137</v>
      </c>
      <c r="F928" s="43">
        <v>45248</v>
      </c>
      <c r="G928" s="44">
        <v>2023</v>
      </c>
      <c r="H928" s="52" t="s">
        <v>11</v>
      </c>
      <c r="I928" s="46" t="s">
        <v>20</v>
      </c>
      <c r="J928" s="46">
        <v>46</v>
      </c>
      <c r="K928" s="46" t="s">
        <v>21</v>
      </c>
      <c r="L928" s="46">
        <v>2</v>
      </c>
      <c r="M928" s="47">
        <v>500</v>
      </c>
    </row>
    <row r="929" spans="5:13" x14ac:dyDescent="0.25">
      <c r="E929" s="33">
        <v>1881</v>
      </c>
      <c r="F929" s="48">
        <v>45354</v>
      </c>
      <c r="G929" s="49">
        <v>2024</v>
      </c>
      <c r="H929" s="45" t="s">
        <v>3</v>
      </c>
      <c r="I929" s="50" t="s">
        <v>22</v>
      </c>
      <c r="J929" s="50">
        <v>32</v>
      </c>
      <c r="K929" s="50" t="s">
        <v>23</v>
      </c>
      <c r="L929" s="50">
        <v>1</v>
      </c>
      <c r="M929" s="51">
        <v>115</v>
      </c>
    </row>
    <row r="930" spans="5:13" x14ac:dyDescent="0.25">
      <c r="E930" s="32">
        <v>1818</v>
      </c>
      <c r="F930" s="43">
        <v>45435</v>
      </c>
      <c r="G930" s="44">
        <v>2024</v>
      </c>
      <c r="H930" s="52" t="s">
        <v>5</v>
      </c>
      <c r="I930" s="46" t="s">
        <v>22</v>
      </c>
      <c r="J930" s="46">
        <v>30</v>
      </c>
      <c r="K930" s="46" t="s">
        <v>21</v>
      </c>
      <c r="L930" s="46">
        <v>2</v>
      </c>
      <c r="M930" s="47">
        <v>468</v>
      </c>
    </row>
    <row r="931" spans="5:13" x14ac:dyDescent="0.25">
      <c r="E931" s="33">
        <v>1601</v>
      </c>
      <c r="F931" s="48">
        <v>45546</v>
      </c>
      <c r="G931" s="49">
        <v>2024</v>
      </c>
      <c r="H931" s="45" t="s">
        <v>9</v>
      </c>
      <c r="I931" s="50" t="s">
        <v>22</v>
      </c>
      <c r="J931" s="50">
        <v>43</v>
      </c>
      <c r="K931" s="50" t="s">
        <v>24</v>
      </c>
      <c r="L931" s="50">
        <v>7</v>
      </c>
      <c r="M931" s="51">
        <v>304</v>
      </c>
    </row>
    <row r="932" spans="5:13" x14ac:dyDescent="0.25">
      <c r="E932" s="32">
        <v>1989</v>
      </c>
      <c r="F932" s="43">
        <v>45328</v>
      </c>
      <c r="G932" s="44">
        <v>2024</v>
      </c>
      <c r="H932" s="52" t="s">
        <v>2</v>
      </c>
      <c r="I932" s="46" t="s">
        <v>22</v>
      </c>
      <c r="J932" s="46">
        <v>30</v>
      </c>
      <c r="K932" s="46" t="s">
        <v>24</v>
      </c>
      <c r="L932" s="46">
        <v>7</v>
      </c>
      <c r="M932" s="47">
        <v>484</v>
      </c>
    </row>
    <row r="933" spans="5:13" x14ac:dyDescent="0.25">
      <c r="E933" s="33">
        <v>560</v>
      </c>
      <c r="F933" s="48">
        <v>45073</v>
      </c>
      <c r="G933" s="49">
        <v>2023</v>
      </c>
      <c r="H933" s="45" t="s">
        <v>5</v>
      </c>
      <c r="I933" s="50" t="s">
        <v>22</v>
      </c>
      <c r="J933" s="50">
        <v>64</v>
      </c>
      <c r="K933" s="50" t="s">
        <v>23</v>
      </c>
      <c r="L933" s="50">
        <v>4</v>
      </c>
      <c r="M933" s="51">
        <v>500</v>
      </c>
    </row>
    <row r="934" spans="5:13" x14ac:dyDescent="0.25">
      <c r="E934" s="32">
        <v>1661</v>
      </c>
      <c r="F934" s="43">
        <v>45402</v>
      </c>
      <c r="G934" s="44">
        <v>2024</v>
      </c>
      <c r="H934" s="52" t="s">
        <v>4</v>
      </c>
      <c r="I934" s="46" t="s">
        <v>20</v>
      </c>
      <c r="J934" s="46">
        <v>30</v>
      </c>
      <c r="K934" s="46" t="s">
        <v>23</v>
      </c>
      <c r="L934" s="46">
        <v>6</v>
      </c>
      <c r="M934" s="47">
        <v>331</v>
      </c>
    </row>
    <row r="935" spans="5:13" x14ac:dyDescent="0.25">
      <c r="E935" s="33">
        <v>1186</v>
      </c>
      <c r="F935" s="48">
        <v>45415</v>
      </c>
      <c r="G935" s="49">
        <v>2024</v>
      </c>
      <c r="H935" s="45" t="s">
        <v>5</v>
      </c>
      <c r="I935" s="50" t="s">
        <v>20</v>
      </c>
      <c r="J935" s="50">
        <v>27</v>
      </c>
      <c r="K935" s="50" t="s">
        <v>23</v>
      </c>
      <c r="L935" s="50">
        <v>7</v>
      </c>
      <c r="M935" s="51">
        <v>87</v>
      </c>
    </row>
    <row r="936" spans="5:13" x14ac:dyDescent="0.25">
      <c r="E936" s="32">
        <v>446</v>
      </c>
      <c r="F936" s="43">
        <v>45113</v>
      </c>
      <c r="G936" s="44">
        <v>2023</v>
      </c>
      <c r="H936" s="52" t="s">
        <v>7</v>
      </c>
      <c r="I936" s="46" t="s">
        <v>20</v>
      </c>
      <c r="J936" s="46">
        <v>22</v>
      </c>
      <c r="K936" s="46" t="s">
        <v>21</v>
      </c>
      <c r="L936" s="46">
        <v>4</v>
      </c>
      <c r="M936" s="47">
        <v>500</v>
      </c>
    </row>
    <row r="937" spans="5:13" x14ac:dyDescent="0.25">
      <c r="E937" s="33">
        <v>1477</v>
      </c>
      <c r="F937" s="48">
        <v>45472</v>
      </c>
      <c r="G937" s="49">
        <v>2024</v>
      </c>
      <c r="H937" s="45" t="s">
        <v>6</v>
      </c>
      <c r="I937" s="50" t="s">
        <v>22</v>
      </c>
      <c r="J937" s="50">
        <v>57</v>
      </c>
      <c r="K937" s="50" t="s">
        <v>21</v>
      </c>
      <c r="L937" s="50">
        <v>7</v>
      </c>
      <c r="M937" s="51">
        <v>223</v>
      </c>
    </row>
    <row r="938" spans="5:13" x14ac:dyDescent="0.25">
      <c r="E938" s="32">
        <v>428</v>
      </c>
      <c r="F938" s="43">
        <v>45288</v>
      </c>
      <c r="G938" s="44">
        <v>2023</v>
      </c>
      <c r="H938" s="52" t="s">
        <v>12</v>
      </c>
      <c r="I938" s="46" t="s">
        <v>20</v>
      </c>
      <c r="J938" s="46">
        <v>64</v>
      </c>
      <c r="K938" s="46" t="s">
        <v>24</v>
      </c>
      <c r="L938" s="46">
        <v>2</v>
      </c>
      <c r="M938" s="47">
        <v>25</v>
      </c>
    </row>
    <row r="939" spans="5:13" x14ac:dyDescent="0.25">
      <c r="E939" s="33">
        <v>358</v>
      </c>
      <c r="F939" s="48">
        <v>45129</v>
      </c>
      <c r="G939" s="49">
        <v>2023</v>
      </c>
      <c r="H939" s="45" t="s">
        <v>7</v>
      </c>
      <c r="I939" s="50" t="s">
        <v>20</v>
      </c>
      <c r="J939" s="50">
        <v>50</v>
      </c>
      <c r="K939" s="50" t="s">
        <v>23</v>
      </c>
      <c r="L939" s="50">
        <v>1</v>
      </c>
      <c r="M939" s="51">
        <v>50</v>
      </c>
    </row>
    <row r="940" spans="5:13" x14ac:dyDescent="0.25">
      <c r="E940" s="32">
        <v>452</v>
      </c>
      <c r="F940" s="43">
        <v>45268</v>
      </c>
      <c r="G940" s="44">
        <v>2023</v>
      </c>
      <c r="H940" s="52" t="s">
        <v>12</v>
      </c>
      <c r="I940" s="46" t="s">
        <v>22</v>
      </c>
      <c r="J940" s="46">
        <v>26</v>
      </c>
      <c r="K940" s="46" t="s">
        <v>23</v>
      </c>
      <c r="L940" s="46">
        <v>2</v>
      </c>
      <c r="M940" s="47">
        <v>500</v>
      </c>
    </row>
    <row r="941" spans="5:13" x14ac:dyDescent="0.25">
      <c r="E941" s="33">
        <v>1113</v>
      </c>
      <c r="F941" s="48">
        <v>45622</v>
      </c>
      <c r="G941" s="49">
        <v>2024</v>
      </c>
      <c r="H941" s="45" t="s">
        <v>11</v>
      </c>
      <c r="I941" s="50" t="s">
        <v>20</v>
      </c>
      <c r="J941" s="50">
        <v>36</v>
      </c>
      <c r="K941" s="50" t="s">
        <v>23</v>
      </c>
      <c r="L941" s="50">
        <v>4</v>
      </c>
      <c r="M941" s="51">
        <v>164</v>
      </c>
    </row>
    <row r="942" spans="5:13" x14ac:dyDescent="0.25">
      <c r="E942" s="32">
        <v>207</v>
      </c>
      <c r="F942" s="43">
        <v>45035</v>
      </c>
      <c r="G942" s="44">
        <v>2023</v>
      </c>
      <c r="H942" s="52" t="s">
        <v>4</v>
      </c>
      <c r="I942" s="46" t="s">
        <v>22</v>
      </c>
      <c r="J942" s="46">
        <v>42</v>
      </c>
      <c r="K942" s="46" t="s">
        <v>21</v>
      </c>
      <c r="L942" s="46">
        <v>2</v>
      </c>
      <c r="M942" s="47">
        <v>25</v>
      </c>
    </row>
    <row r="943" spans="5:13" x14ac:dyDescent="0.25">
      <c r="E943" s="33">
        <v>1994</v>
      </c>
      <c r="F943" s="48">
        <v>45594</v>
      </c>
      <c r="G943" s="49">
        <v>2024</v>
      </c>
      <c r="H943" s="45" t="s">
        <v>10</v>
      </c>
      <c r="I943" s="50" t="s">
        <v>22</v>
      </c>
      <c r="J943" s="50">
        <v>58</v>
      </c>
      <c r="K943" s="50" t="s">
        <v>21</v>
      </c>
      <c r="L943" s="50">
        <v>1</v>
      </c>
      <c r="M943" s="51">
        <v>497</v>
      </c>
    </row>
    <row r="944" spans="5:13" x14ac:dyDescent="0.25">
      <c r="E944" s="32">
        <v>202</v>
      </c>
      <c r="F944" s="43">
        <v>45011</v>
      </c>
      <c r="G944" s="44">
        <v>2023</v>
      </c>
      <c r="H944" s="52" t="s">
        <v>3</v>
      </c>
      <c r="I944" s="46" t="s">
        <v>22</v>
      </c>
      <c r="J944" s="46">
        <v>34</v>
      </c>
      <c r="K944" s="46" t="s">
        <v>23</v>
      </c>
      <c r="L944" s="46">
        <v>4</v>
      </c>
      <c r="M944" s="47">
        <v>300</v>
      </c>
    </row>
    <row r="945" spans="5:13" x14ac:dyDescent="0.25">
      <c r="E945" s="33">
        <v>1919</v>
      </c>
      <c r="F945" s="48">
        <v>45438</v>
      </c>
      <c r="G945" s="49">
        <v>2024</v>
      </c>
      <c r="H945" s="45" t="s">
        <v>5</v>
      </c>
      <c r="I945" s="50" t="s">
        <v>20</v>
      </c>
      <c r="J945" s="50">
        <v>27</v>
      </c>
      <c r="K945" s="50" t="s">
        <v>21</v>
      </c>
      <c r="L945" s="50">
        <v>5</v>
      </c>
      <c r="M945" s="51">
        <v>295</v>
      </c>
    </row>
    <row r="946" spans="5:13" x14ac:dyDescent="0.25">
      <c r="E946" s="32">
        <v>686</v>
      </c>
      <c r="F946" s="43">
        <v>45202</v>
      </c>
      <c r="G946" s="44">
        <v>2023</v>
      </c>
      <c r="H946" s="52" t="s">
        <v>10</v>
      </c>
      <c r="I946" s="46" t="s">
        <v>20</v>
      </c>
      <c r="J946" s="46">
        <v>56</v>
      </c>
      <c r="K946" s="46" t="s">
        <v>23</v>
      </c>
      <c r="L946" s="46">
        <v>4</v>
      </c>
      <c r="M946" s="47">
        <v>25</v>
      </c>
    </row>
    <row r="947" spans="5:13" x14ac:dyDescent="0.25">
      <c r="E947" s="33">
        <v>901</v>
      </c>
      <c r="F947" s="48">
        <v>45043</v>
      </c>
      <c r="G947" s="49">
        <v>2023</v>
      </c>
      <c r="H947" s="45" t="s">
        <v>4</v>
      </c>
      <c r="I947" s="50" t="s">
        <v>22</v>
      </c>
      <c r="J947" s="50">
        <v>51</v>
      </c>
      <c r="K947" s="50" t="s">
        <v>21</v>
      </c>
      <c r="L947" s="50">
        <v>4</v>
      </c>
      <c r="M947" s="51">
        <v>50</v>
      </c>
    </row>
    <row r="948" spans="5:13" x14ac:dyDescent="0.25">
      <c r="E948" s="32">
        <v>56</v>
      </c>
      <c r="F948" s="43">
        <v>45077</v>
      </c>
      <c r="G948" s="44">
        <v>2023</v>
      </c>
      <c r="H948" s="52" t="s">
        <v>5</v>
      </c>
      <c r="I948" s="46" t="s">
        <v>22</v>
      </c>
      <c r="J948" s="46">
        <v>26</v>
      </c>
      <c r="K948" s="46" t="s">
        <v>23</v>
      </c>
      <c r="L948" s="46">
        <v>3</v>
      </c>
      <c r="M948" s="47">
        <v>300</v>
      </c>
    </row>
    <row r="949" spans="5:13" x14ac:dyDescent="0.25">
      <c r="E949" s="33">
        <v>1807</v>
      </c>
      <c r="F949" s="48">
        <v>45431</v>
      </c>
      <c r="G949" s="49">
        <v>2024</v>
      </c>
      <c r="H949" s="45" t="s">
        <v>5</v>
      </c>
      <c r="I949" s="50" t="s">
        <v>20</v>
      </c>
      <c r="J949" s="50">
        <v>42</v>
      </c>
      <c r="K949" s="50" t="s">
        <v>21</v>
      </c>
      <c r="L949" s="50">
        <v>7</v>
      </c>
      <c r="M949" s="51">
        <v>389</v>
      </c>
    </row>
    <row r="950" spans="5:13" x14ac:dyDescent="0.25">
      <c r="E950" s="32">
        <v>660</v>
      </c>
      <c r="F950" s="43">
        <v>45282</v>
      </c>
      <c r="G950" s="44">
        <v>2023</v>
      </c>
      <c r="H950" s="52" t="s">
        <v>12</v>
      </c>
      <c r="I950" s="46" t="s">
        <v>20</v>
      </c>
      <c r="J950" s="46">
        <v>48</v>
      </c>
      <c r="K950" s="46" t="s">
        <v>21</v>
      </c>
      <c r="L950" s="46">
        <v>2</v>
      </c>
      <c r="M950" s="47">
        <v>500</v>
      </c>
    </row>
    <row r="951" spans="5:13" x14ac:dyDescent="0.25">
      <c r="E951" s="33">
        <v>1806</v>
      </c>
      <c r="F951" s="48">
        <v>45626</v>
      </c>
      <c r="G951" s="49">
        <v>2024</v>
      </c>
      <c r="H951" s="45" t="s">
        <v>11</v>
      </c>
      <c r="I951" s="50" t="s">
        <v>20</v>
      </c>
      <c r="J951" s="50">
        <v>42</v>
      </c>
      <c r="K951" s="50" t="s">
        <v>24</v>
      </c>
      <c r="L951" s="50">
        <v>3</v>
      </c>
      <c r="M951" s="51">
        <v>270</v>
      </c>
    </row>
    <row r="952" spans="5:13" x14ac:dyDescent="0.25">
      <c r="E952" s="32">
        <v>286</v>
      </c>
      <c r="F952" s="43">
        <v>44977</v>
      </c>
      <c r="G952" s="44">
        <v>2023</v>
      </c>
      <c r="H952" s="52" t="s">
        <v>2</v>
      </c>
      <c r="I952" s="46" t="s">
        <v>20</v>
      </c>
      <c r="J952" s="46">
        <v>54</v>
      </c>
      <c r="K952" s="46" t="s">
        <v>23</v>
      </c>
      <c r="L952" s="46">
        <v>4</v>
      </c>
      <c r="M952" s="47">
        <v>25</v>
      </c>
    </row>
    <row r="953" spans="5:13" x14ac:dyDescent="0.25">
      <c r="E953" s="33">
        <v>679</v>
      </c>
      <c r="F953" s="48">
        <v>45121</v>
      </c>
      <c r="G953" s="49">
        <v>2023</v>
      </c>
      <c r="H953" s="45" t="s">
        <v>7</v>
      </c>
      <c r="I953" s="50" t="s">
        <v>22</v>
      </c>
      <c r="J953" s="50">
        <v>43</v>
      </c>
      <c r="K953" s="50" t="s">
        <v>24</v>
      </c>
      <c r="L953" s="50">
        <v>2</v>
      </c>
      <c r="M953" s="51">
        <v>30</v>
      </c>
    </row>
    <row r="954" spans="5:13" x14ac:dyDescent="0.25">
      <c r="E954" s="32">
        <v>544</v>
      </c>
      <c r="F954" s="43">
        <v>45078</v>
      </c>
      <c r="G954" s="44">
        <v>2023</v>
      </c>
      <c r="H954" s="52" t="s">
        <v>6</v>
      </c>
      <c r="I954" s="46" t="s">
        <v>20</v>
      </c>
      <c r="J954" s="46">
        <v>27</v>
      </c>
      <c r="K954" s="46" t="s">
        <v>23</v>
      </c>
      <c r="L954" s="46">
        <v>2</v>
      </c>
      <c r="M954" s="47">
        <v>25</v>
      </c>
    </row>
    <row r="955" spans="5:13" x14ac:dyDescent="0.25">
      <c r="E955" s="33">
        <v>626</v>
      </c>
      <c r="F955" s="48">
        <v>45213</v>
      </c>
      <c r="G955" s="49">
        <v>2023</v>
      </c>
      <c r="H955" s="45" t="s">
        <v>10</v>
      </c>
      <c r="I955" s="50" t="s">
        <v>20</v>
      </c>
      <c r="J955" s="50">
        <v>57</v>
      </c>
      <c r="K955" s="50" t="s">
        <v>23</v>
      </c>
      <c r="L955" s="50">
        <v>1</v>
      </c>
      <c r="M955" s="51">
        <v>50</v>
      </c>
    </row>
    <row r="956" spans="5:13" x14ac:dyDescent="0.25">
      <c r="E956" s="32">
        <v>1290</v>
      </c>
      <c r="F956" s="43">
        <v>45414</v>
      </c>
      <c r="G956" s="44">
        <v>2024</v>
      </c>
      <c r="H956" s="52" t="s">
        <v>5</v>
      </c>
      <c r="I956" s="46" t="s">
        <v>20</v>
      </c>
      <c r="J956" s="46">
        <v>41</v>
      </c>
      <c r="K956" s="46" t="s">
        <v>24</v>
      </c>
      <c r="L956" s="46">
        <v>2</v>
      </c>
      <c r="M956" s="47">
        <v>92</v>
      </c>
    </row>
    <row r="957" spans="5:13" x14ac:dyDescent="0.25">
      <c r="E957" s="33">
        <v>1824</v>
      </c>
      <c r="F957" s="48">
        <v>45635</v>
      </c>
      <c r="G957" s="49">
        <v>2024</v>
      </c>
      <c r="H957" s="45" t="s">
        <v>12</v>
      </c>
      <c r="I957" s="50" t="s">
        <v>22</v>
      </c>
      <c r="J957" s="50">
        <v>62</v>
      </c>
      <c r="K957" s="50" t="s">
        <v>24</v>
      </c>
      <c r="L957" s="50">
        <v>2</v>
      </c>
      <c r="M957" s="51">
        <v>58</v>
      </c>
    </row>
    <row r="958" spans="5:13" x14ac:dyDescent="0.25">
      <c r="E958" s="32">
        <v>1453</v>
      </c>
      <c r="F958" s="43">
        <v>45579</v>
      </c>
      <c r="G958" s="44">
        <v>2024</v>
      </c>
      <c r="H958" s="52" t="s">
        <v>10</v>
      </c>
      <c r="I958" s="46" t="s">
        <v>20</v>
      </c>
      <c r="J958" s="46">
        <v>59</v>
      </c>
      <c r="K958" s="46" t="s">
        <v>24</v>
      </c>
      <c r="L958" s="46">
        <v>3</v>
      </c>
      <c r="M958" s="47">
        <v>322</v>
      </c>
    </row>
    <row r="959" spans="5:13" x14ac:dyDescent="0.25">
      <c r="E959" s="33">
        <v>965</v>
      </c>
      <c r="F959" s="48">
        <v>45033</v>
      </c>
      <c r="G959" s="49">
        <v>2023</v>
      </c>
      <c r="H959" s="45" t="s">
        <v>4</v>
      </c>
      <c r="I959" s="50" t="s">
        <v>20</v>
      </c>
      <c r="J959" s="50">
        <v>62</v>
      </c>
      <c r="K959" s="50" t="s">
        <v>21</v>
      </c>
      <c r="L959" s="50">
        <v>1</v>
      </c>
      <c r="M959" s="51">
        <v>25</v>
      </c>
    </row>
    <row r="960" spans="5:13" x14ac:dyDescent="0.25">
      <c r="E960" s="32">
        <v>720</v>
      </c>
      <c r="F960" s="43">
        <v>45121</v>
      </c>
      <c r="G960" s="44">
        <v>2023</v>
      </c>
      <c r="H960" s="52" t="s">
        <v>7</v>
      </c>
      <c r="I960" s="46" t="s">
        <v>20</v>
      </c>
      <c r="J960" s="46">
        <v>20</v>
      </c>
      <c r="K960" s="46" t="s">
        <v>21</v>
      </c>
      <c r="L960" s="46">
        <v>3</v>
      </c>
      <c r="M960" s="47">
        <v>300</v>
      </c>
    </row>
    <row r="961" spans="5:13" x14ac:dyDescent="0.25">
      <c r="E961" s="33">
        <v>33</v>
      </c>
      <c r="F961" s="48">
        <v>45008</v>
      </c>
      <c r="G961" s="49">
        <v>2023</v>
      </c>
      <c r="H961" s="45" t="s">
        <v>3</v>
      </c>
      <c r="I961" s="50" t="s">
        <v>22</v>
      </c>
      <c r="J961" s="50">
        <v>50</v>
      </c>
      <c r="K961" s="50" t="s">
        <v>24</v>
      </c>
      <c r="L961" s="50">
        <v>2</v>
      </c>
      <c r="M961" s="51">
        <v>50</v>
      </c>
    </row>
    <row r="962" spans="5:13" x14ac:dyDescent="0.25">
      <c r="E962" s="32">
        <v>1002</v>
      </c>
      <c r="F962" s="43">
        <v>45433</v>
      </c>
      <c r="G962" s="44">
        <v>2024</v>
      </c>
      <c r="H962" s="52" t="s">
        <v>5</v>
      </c>
      <c r="I962" s="46" t="s">
        <v>20</v>
      </c>
      <c r="J962" s="46">
        <v>30</v>
      </c>
      <c r="K962" s="46" t="s">
        <v>23</v>
      </c>
      <c r="L962" s="46">
        <v>7</v>
      </c>
      <c r="M962" s="47">
        <v>159</v>
      </c>
    </row>
    <row r="963" spans="5:13" x14ac:dyDescent="0.25">
      <c r="E963" s="33">
        <v>1980</v>
      </c>
      <c r="F963" s="48">
        <v>45533</v>
      </c>
      <c r="G963" s="49">
        <v>2024</v>
      </c>
      <c r="H963" s="45" t="s">
        <v>8</v>
      </c>
      <c r="I963" s="50" t="s">
        <v>20</v>
      </c>
      <c r="J963" s="50">
        <v>65</v>
      </c>
      <c r="K963" s="50" t="s">
        <v>23</v>
      </c>
      <c r="L963" s="50">
        <v>7</v>
      </c>
      <c r="M963" s="51">
        <v>93</v>
      </c>
    </row>
    <row r="964" spans="5:13" x14ac:dyDescent="0.25">
      <c r="E964" s="32">
        <v>1564</v>
      </c>
      <c r="F964" s="43">
        <v>45457</v>
      </c>
      <c r="G964" s="44">
        <v>2024</v>
      </c>
      <c r="H964" s="52" t="s">
        <v>6</v>
      </c>
      <c r="I964" s="46" t="s">
        <v>22</v>
      </c>
      <c r="J964" s="46">
        <v>40</v>
      </c>
      <c r="K964" s="46" t="s">
        <v>23</v>
      </c>
      <c r="L964" s="46">
        <v>4</v>
      </c>
      <c r="M964" s="47">
        <v>318</v>
      </c>
    </row>
    <row r="965" spans="5:13" x14ac:dyDescent="0.25">
      <c r="E965" s="33">
        <v>458</v>
      </c>
      <c r="F965" s="48">
        <v>45006</v>
      </c>
      <c r="G965" s="49">
        <v>2023</v>
      </c>
      <c r="H965" s="45" t="s">
        <v>3</v>
      </c>
      <c r="I965" s="50" t="s">
        <v>20</v>
      </c>
      <c r="J965" s="50">
        <v>28</v>
      </c>
      <c r="K965" s="50" t="s">
        <v>23</v>
      </c>
      <c r="L965" s="50">
        <v>4</v>
      </c>
      <c r="M965" s="51">
        <v>300</v>
      </c>
    </row>
    <row r="966" spans="5:13" x14ac:dyDescent="0.25">
      <c r="E966" s="32">
        <v>1087</v>
      </c>
      <c r="F966" s="43">
        <v>45566</v>
      </c>
      <c r="G966" s="44">
        <v>2024</v>
      </c>
      <c r="H966" s="52" t="s">
        <v>10</v>
      </c>
      <c r="I966" s="46" t="s">
        <v>22</v>
      </c>
      <c r="J966" s="46">
        <v>50</v>
      </c>
      <c r="K966" s="46" t="s">
        <v>24</v>
      </c>
      <c r="L966" s="46">
        <v>5</v>
      </c>
      <c r="M966" s="47">
        <v>287</v>
      </c>
    </row>
    <row r="967" spans="5:13" x14ac:dyDescent="0.25">
      <c r="E967" s="33">
        <v>180</v>
      </c>
      <c r="F967" s="48">
        <v>44927</v>
      </c>
      <c r="G967" s="49">
        <v>2023</v>
      </c>
      <c r="H967" s="45" t="s">
        <v>1</v>
      </c>
      <c r="I967" s="50" t="s">
        <v>20</v>
      </c>
      <c r="J967" s="50">
        <v>41</v>
      </c>
      <c r="K967" s="50" t="s">
        <v>23</v>
      </c>
      <c r="L967" s="50">
        <v>3</v>
      </c>
      <c r="M967" s="51">
        <v>300</v>
      </c>
    </row>
    <row r="968" spans="5:13" x14ac:dyDescent="0.25">
      <c r="E968" s="32">
        <v>661</v>
      </c>
      <c r="F968" s="43">
        <v>45005</v>
      </c>
      <c r="G968" s="44">
        <v>2023</v>
      </c>
      <c r="H968" s="52" t="s">
        <v>3</v>
      </c>
      <c r="I968" s="46" t="s">
        <v>20</v>
      </c>
      <c r="J968" s="46">
        <v>23</v>
      </c>
      <c r="K968" s="46" t="s">
        <v>23</v>
      </c>
      <c r="L968" s="46">
        <v>4</v>
      </c>
      <c r="M968" s="47">
        <v>300</v>
      </c>
    </row>
    <row r="969" spans="5:13" x14ac:dyDescent="0.25">
      <c r="E969" s="33">
        <v>77</v>
      </c>
      <c r="F969" s="48">
        <v>45116</v>
      </c>
      <c r="G969" s="49">
        <v>2023</v>
      </c>
      <c r="H969" s="45" t="s">
        <v>7</v>
      </c>
      <c r="I969" s="50" t="s">
        <v>22</v>
      </c>
      <c r="J969" s="50">
        <v>47</v>
      </c>
      <c r="K969" s="50" t="s">
        <v>23</v>
      </c>
      <c r="L969" s="50">
        <v>2</v>
      </c>
      <c r="M969" s="51">
        <v>50</v>
      </c>
    </row>
    <row r="970" spans="5:13" x14ac:dyDescent="0.25">
      <c r="E970" s="32">
        <v>1718</v>
      </c>
      <c r="F970" s="43">
        <v>45487</v>
      </c>
      <c r="G970" s="44">
        <v>2024</v>
      </c>
      <c r="H970" s="52" t="s">
        <v>7</v>
      </c>
      <c r="I970" s="46" t="s">
        <v>20</v>
      </c>
      <c r="J970" s="46">
        <v>59</v>
      </c>
      <c r="K970" s="46" t="s">
        <v>21</v>
      </c>
      <c r="L970" s="46">
        <v>2</v>
      </c>
      <c r="M970" s="47">
        <v>104</v>
      </c>
    </row>
    <row r="971" spans="5:13" x14ac:dyDescent="0.25">
      <c r="E971" s="33">
        <v>1172</v>
      </c>
      <c r="F971" s="48">
        <v>45394</v>
      </c>
      <c r="G971" s="49">
        <v>2024</v>
      </c>
      <c r="H971" s="45" t="s">
        <v>4</v>
      </c>
      <c r="I971" s="50" t="s">
        <v>22</v>
      </c>
      <c r="J971" s="50">
        <v>40</v>
      </c>
      <c r="K971" s="50" t="s">
        <v>21</v>
      </c>
      <c r="L971" s="50">
        <v>3</v>
      </c>
      <c r="M971" s="51">
        <v>183</v>
      </c>
    </row>
    <row r="972" spans="5:13" x14ac:dyDescent="0.25">
      <c r="E972" s="32">
        <v>1289</v>
      </c>
      <c r="F972" s="43">
        <v>45339</v>
      </c>
      <c r="G972" s="44">
        <v>2024</v>
      </c>
      <c r="H972" s="52" t="s">
        <v>2</v>
      </c>
      <c r="I972" s="46" t="s">
        <v>20</v>
      </c>
      <c r="J972" s="46">
        <v>46</v>
      </c>
      <c r="K972" s="46" t="s">
        <v>21</v>
      </c>
      <c r="L972" s="46">
        <v>5</v>
      </c>
      <c r="M972" s="47">
        <v>491</v>
      </c>
    </row>
    <row r="973" spans="5:13" x14ac:dyDescent="0.25">
      <c r="E973" s="33">
        <v>368</v>
      </c>
      <c r="F973" s="48">
        <v>45245</v>
      </c>
      <c r="G973" s="49">
        <v>2023</v>
      </c>
      <c r="H973" s="45" t="s">
        <v>11</v>
      </c>
      <c r="I973" s="50" t="s">
        <v>20</v>
      </c>
      <c r="J973" s="50">
        <v>23</v>
      </c>
      <c r="K973" s="50" t="s">
        <v>24</v>
      </c>
      <c r="L973" s="50">
        <v>3</v>
      </c>
      <c r="M973" s="51">
        <v>500</v>
      </c>
    </row>
    <row r="974" spans="5:13" x14ac:dyDescent="0.25">
      <c r="E974" s="32">
        <v>1017</v>
      </c>
      <c r="F974" s="43">
        <v>45551</v>
      </c>
      <c r="G974" s="44">
        <v>2024</v>
      </c>
      <c r="H974" s="52" t="s">
        <v>9</v>
      </c>
      <c r="I974" s="46" t="s">
        <v>22</v>
      </c>
      <c r="J974" s="46">
        <v>36</v>
      </c>
      <c r="K974" s="46" t="s">
        <v>23</v>
      </c>
      <c r="L974" s="46">
        <v>7</v>
      </c>
      <c r="M974" s="47">
        <v>385</v>
      </c>
    </row>
    <row r="975" spans="5:13" x14ac:dyDescent="0.25">
      <c r="E975" s="33">
        <v>1741</v>
      </c>
      <c r="F975" s="48">
        <v>45395</v>
      </c>
      <c r="G975" s="49">
        <v>2024</v>
      </c>
      <c r="H975" s="45" t="s">
        <v>4</v>
      </c>
      <c r="I975" s="50" t="s">
        <v>20</v>
      </c>
      <c r="J975" s="50">
        <v>27</v>
      </c>
      <c r="K975" s="50" t="s">
        <v>21</v>
      </c>
      <c r="L975" s="50">
        <v>1</v>
      </c>
      <c r="M975" s="51">
        <v>445</v>
      </c>
    </row>
    <row r="976" spans="5:13" x14ac:dyDescent="0.25">
      <c r="E976" s="32">
        <v>1590</v>
      </c>
      <c r="F976" s="43">
        <v>45418</v>
      </c>
      <c r="G976" s="44">
        <v>2024</v>
      </c>
      <c r="H976" s="52" t="s">
        <v>5</v>
      </c>
      <c r="I976" s="46" t="s">
        <v>20</v>
      </c>
      <c r="J976" s="46">
        <v>63</v>
      </c>
      <c r="K976" s="46" t="s">
        <v>24</v>
      </c>
      <c r="L976" s="46">
        <v>3</v>
      </c>
      <c r="M976" s="47">
        <v>456</v>
      </c>
    </row>
    <row r="977" spans="5:13" x14ac:dyDescent="0.25">
      <c r="E977" s="33">
        <v>595</v>
      </c>
      <c r="F977" s="48">
        <v>44964</v>
      </c>
      <c r="G977" s="49">
        <v>2023</v>
      </c>
      <c r="H977" s="45" t="s">
        <v>2</v>
      </c>
      <c r="I977" s="50" t="s">
        <v>22</v>
      </c>
      <c r="J977" s="50">
        <v>64</v>
      </c>
      <c r="K977" s="50" t="s">
        <v>24</v>
      </c>
      <c r="L977" s="50">
        <v>1</v>
      </c>
      <c r="M977" s="51">
        <v>300</v>
      </c>
    </row>
    <row r="978" spans="5:13" x14ac:dyDescent="0.25">
      <c r="E978" s="32">
        <v>264</v>
      </c>
      <c r="F978" s="43">
        <v>45271</v>
      </c>
      <c r="G978" s="44">
        <v>2023</v>
      </c>
      <c r="H978" s="52" t="s">
        <v>12</v>
      </c>
      <c r="I978" s="46" t="s">
        <v>20</v>
      </c>
      <c r="J978" s="46">
        <v>55</v>
      </c>
      <c r="K978" s="46" t="s">
        <v>23</v>
      </c>
      <c r="L978" s="46">
        <v>3</v>
      </c>
      <c r="M978" s="47">
        <v>300</v>
      </c>
    </row>
    <row r="979" spans="5:13" x14ac:dyDescent="0.25">
      <c r="E979" s="33">
        <v>591</v>
      </c>
      <c r="F979" s="48">
        <v>44950</v>
      </c>
      <c r="G979" s="49">
        <v>2023</v>
      </c>
      <c r="H979" s="45" t="s">
        <v>1</v>
      </c>
      <c r="I979" s="50" t="s">
        <v>22</v>
      </c>
      <c r="J979" s="50">
        <v>46</v>
      </c>
      <c r="K979" s="50" t="s">
        <v>21</v>
      </c>
      <c r="L979" s="50">
        <v>4</v>
      </c>
      <c r="M979" s="51">
        <v>500</v>
      </c>
    </row>
    <row r="980" spans="5:13" x14ac:dyDescent="0.25">
      <c r="E980" s="32">
        <v>1968</v>
      </c>
      <c r="F980" s="43">
        <v>45333</v>
      </c>
      <c r="G980" s="44">
        <v>2024</v>
      </c>
      <c r="H980" s="52" t="s">
        <v>2</v>
      </c>
      <c r="I980" s="46" t="s">
        <v>20</v>
      </c>
      <c r="J980" s="46">
        <v>40</v>
      </c>
      <c r="K980" s="46" t="s">
        <v>21</v>
      </c>
      <c r="L980" s="46">
        <v>6</v>
      </c>
      <c r="M980" s="47">
        <v>378</v>
      </c>
    </row>
    <row r="981" spans="5:13" x14ac:dyDescent="0.25">
      <c r="E981" s="33">
        <v>392</v>
      </c>
      <c r="F981" s="48">
        <v>45210</v>
      </c>
      <c r="G981" s="49">
        <v>2023</v>
      </c>
      <c r="H981" s="45" t="s">
        <v>10</v>
      </c>
      <c r="I981" s="50" t="s">
        <v>22</v>
      </c>
      <c r="J981" s="50">
        <v>22</v>
      </c>
      <c r="K981" s="50" t="s">
        <v>21</v>
      </c>
      <c r="L981" s="50">
        <v>2</v>
      </c>
      <c r="M981" s="51">
        <v>500</v>
      </c>
    </row>
    <row r="982" spans="5:13" x14ac:dyDescent="0.25">
      <c r="E982" s="32">
        <v>1711</v>
      </c>
      <c r="F982" s="43">
        <v>45622</v>
      </c>
      <c r="G982" s="44">
        <v>2024</v>
      </c>
      <c r="H982" s="52" t="s">
        <v>11</v>
      </c>
      <c r="I982" s="46" t="s">
        <v>22</v>
      </c>
      <c r="J982" s="46">
        <v>61</v>
      </c>
      <c r="K982" s="46" t="s">
        <v>21</v>
      </c>
      <c r="L982" s="46">
        <v>1</v>
      </c>
      <c r="M982" s="47">
        <v>101</v>
      </c>
    </row>
    <row r="983" spans="5:13" x14ac:dyDescent="0.25">
      <c r="E983" s="33">
        <v>160</v>
      </c>
      <c r="F983" s="48">
        <v>45149</v>
      </c>
      <c r="G983" s="49">
        <v>2023</v>
      </c>
      <c r="H983" s="45" t="s">
        <v>8</v>
      </c>
      <c r="I983" s="50" t="s">
        <v>22</v>
      </c>
      <c r="J983" s="50">
        <v>43</v>
      </c>
      <c r="K983" s="50" t="s">
        <v>23</v>
      </c>
      <c r="L983" s="50">
        <v>2</v>
      </c>
      <c r="M983" s="51">
        <v>50</v>
      </c>
    </row>
    <row r="984" spans="5:13" x14ac:dyDescent="0.25">
      <c r="E984" s="32">
        <v>854</v>
      </c>
      <c r="F984" s="43">
        <v>45257</v>
      </c>
      <c r="G984" s="44">
        <v>2023</v>
      </c>
      <c r="H984" s="52" t="s">
        <v>11</v>
      </c>
      <c r="I984" s="46" t="s">
        <v>20</v>
      </c>
      <c r="J984" s="46">
        <v>54</v>
      </c>
      <c r="K984" s="46" t="s">
        <v>24</v>
      </c>
      <c r="L984" s="46">
        <v>4</v>
      </c>
      <c r="M984" s="47">
        <v>30</v>
      </c>
    </row>
    <row r="985" spans="5:13" x14ac:dyDescent="0.25">
      <c r="E985" s="33">
        <v>708</v>
      </c>
      <c r="F985" s="48">
        <v>45230</v>
      </c>
      <c r="G985" s="49">
        <v>2023</v>
      </c>
      <c r="H985" s="45" t="s">
        <v>10</v>
      </c>
      <c r="I985" s="50" t="s">
        <v>22</v>
      </c>
      <c r="J985" s="50">
        <v>26</v>
      </c>
      <c r="K985" s="50" t="s">
        <v>24</v>
      </c>
      <c r="L985" s="50">
        <v>3</v>
      </c>
      <c r="M985" s="51">
        <v>500</v>
      </c>
    </row>
    <row r="986" spans="5:13" x14ac:dyDescent="0.25">
      <c r="E986" s="32">
        <v>1198</v>
      </c>
      <c r="F986" s="43">
        <v>45536</v>
      </c>
      <c r="G986" s="44">
        <v>2024</v>
      </c>
      <c r="H986" s="52" t="s">
        <v>9</v>
      </c>
      <c r="I986" s="46" t="s">
        <v>20</v>
      </c>
      <c r="J986" s="46">
        <v>36</v>
      </c>
      <c r="K986" s="46" t="s">
        <v>21</v>
      </c>
      <c r="L986" s="46">
        <v>2</v>
      </c>
      <c r="M986" s="47">
        <v>77</v>
      </c>
    </row>
    <row r="987" spans="5:13" x14ac:dyDescent="0.25">
      <c r="E987" s="33">
        <v>2</v>
      </c>
      <c r="F987" s="48">
        <v>44984</v>
      </c>
      <c r="G987" s="49">
        <v>2023</v>
      </c>
      <c r="H987" s="45" t="s">
        <v>2</v>
      </c>
      <c r="I987" s="50" t="s">
        <v>22</v>
      </c>
      <c r="J987" s="50">
        <v>26</v>
      </c>
      <c r="K987" s="50" t="s">
        <v>23</v>
      </c>
      <c r="L987" s="50">
        <v>2</v>
      </c>
      <c r="M987" s="51">
        <v>500</v>
      </c>
    </row>
    <row r="988" spans="5:13" x14ac:dyDescent="0.25">
      <c r="E988" s="32">
        <v>1189</v>
      </c>
      <c r="F988" s="43">
        <v>45583</v>
      </c>
      <c r="G988" s="44">
        <v>2024</v>
      </c>
      <c r="H988" s="52" t="s">
        <v>10</v>
      </c>
      <c r="I988" s="46" t="s">
        <v>20</v>
      </c>
      <c r="J988" s="46">
        <v>20</v>
      </c>
      <c r="K988" s="46" t="s">
        <v>21</v>
      </c>
      <c r="L988" s="46">
        <v>1</v>
      </c>
      <c r="M988" s="47">
        <v>96</v>
      </c>
    </row>
    <row r="989" spans="5:13" x14ac:dyDescent="0.25">
      <c r="E989" s="33">
        <v>944</v>
      </c>
      <c r="F989" s="48">
        <v>45054</v>
      </c>
      <c r="G989" s="49">
        <v>2023</v>
      </c>
      <c r="H989" s="45" t="s">
        <v>5</v>
      </c>
      <c r="I989" s="50" t="s">
        <v>20</v>
      </c>
      <c r="J989" s="50">
        <v>62</v>
      </c>
      <c r="K989" s="50" t="s">
        <v>24</v>
      </c>
      <c r="L989" s="50">
        <v>4</v>
      </c>
      <c r="M989" s="51">
        <v>500</v>
      </c>
    </row>
    <row r="990" spans="5:13" x14ac:dyDescent="0.25">
      <c r="E990" s="32">
        <v>733</v>
      </c>
      <c r="F990" s="43">
        <v>45203</v>
      </c>
      <c r="G990" s="44">
        <v>2023</v>
      </c>
      <c r="H990" s="52" t="s">
        <v>10</v>
      </c>
      <c r="I990" s="46" t="s">
        <v>22</v>
      </c>
      <c r="J990" s="46">
        <v>64</v>
      </c>
      <c r="K990" s="46" t="s">
        <v>23</v>
      </c>
      <c r="L990" s="46">
        <v>4</v>
      </c>
      <c r="M990" s="47">
        <v>500</v>
      </c>
    </row>
    <row r="991" spans="5:13" x14ac:dyDescent="0.25">
      <c r="E991" s="33">
        <v>1331</v>
      </c>
      <c r="F991" s="48">
        <v>45597</v>
      </c>
      <c r="G991" s="49">
        <v>2024</v>
      </c>
      <c r="H991" s="45" t="s">
        <v>11</v>
      </c>
      <c r="I991" s="50" t="s">
        <v>20</v>
      </c>
      <c r="J991" s="50">
        <v>37</v>
      </c>
      <c r="K991" s="50" t="s">
        <v>24</v>
      </c>
      <c r="L991" s="50">
        <v>4</v>
      </c>
      <c r="M991" s="51">
        <v>66</v>
      </c>
    </row>
    <row r="992" spans="5:13" x14ac:dyDescent="0.25">
      <c r="E992" s="32">
        <v>714</v>
      </c>
      <c r="F992" s="43">
        <v>45146</v>
      </c>
      <c r="G992" s="44">
        <v>2023</v>
      </c>
      <c r="H992" s="52" t="s">
        <v>8</v>
      </c>
      <c r="I992" s="46" t="s">
        <v>22</v>
      </c>
      <c r="J992" s="46">
        <v>60</v>
      </c>
      <c r="K992" s="46" t="s">
        <v>23</v>
      </c>
      <c r="L992" s="46">
        <v>4</v>
      </c>
      <c r="M992" s="47">
        <v>300</v>
      </c>
    </row>
    <row r="993" spans="5:13" x14ac:dyDescent="0.25">
      <c r="E993" s="33">
        <v>373</v>
      </c>
      <c r="F993" s="48">
        <v>45036</v>
      </c>
      <c r="G993" s="49">
        <v>2023</v>
      </c>
      <c r="H993" s="45" t="s">
        <v>4</v>
      </c>
      <c r="I993" s="50" t="s">
        <v>22</v>
      </c>
      <c r="J993" s="50">
        <v>59</v>
      </c>
      <c r="K993" s="50" t="s">
        <v>21</v>
      </c>
      <c r="L993" s="50">
        <v>3</v>
      </c>
      <c r="M993" s="51">
        <v>25</v>
      </c>
    </row>
    <row r="994" spans="5:13" x14ac:dyDescent="0.25">
      <c r="E994" s="32">
        <v>301</v>
      </c>
      <c r="F994" s="43">
        <v>45121</v>
      </c>
      <c r="G994" s="44">
        <v>2023</v>
      </c>
      <c r="H994" s="52" t="s">
        <v>7</v>
      </c>
      <c r="I994" s="46" t="s">
        <v>20</v>
      </c>
      <c r="J994" s="46">
        <v>57</v>
      </c>
      <c r="K994" s="46" t="s">
        <v>21</v>
      </c>
      <c r="L994" s="46">
        <v>2</v>
      </c>
      <c r="M994" s="47">
        <v>300</v>
      </c>
    </row>
    <row r="995" spans="5:13" x14ac:dyDescent="0.25">
      <c r="E995" s="33">
        <v>1710</v>
      </c>
      <c r="F995" s="48">
        <v>45334</v>
      </c>
      <c r="G995" s="49">
        <v>2024</v>
      </c>
      <c r="H995" s="45" t="s">
        <v>2</v>
      </c>
      <c r="I995" s="50" t="s">
        <v>22</v>
      </c>
      <c r="J995" s="50">
        <v>42</v>
      </c>
      <c r="K995" s="50" t="s">
        <v>23</v>
      </c>
      <c r="L995" s="50">
        <v>6</v>
      </c>
      <c r="M995" s="51">
        <v>31</v>
      </c>
    </row>
    <row r="996" spans="5:13" x14ac:dyDescent="0.25">
      <c r="E996" s="32">
        <v>488</v>
      </c>
      <c r="F996" s="43">
        <v>45069</v>
      </c>
      <c r="G996" s="44">
        <v>2023</v>
      </c>
      <c r="H996" s="52" t="s">
        <v>5</v>
      </c>
      <c r="I996" s="46" t="s">
        <v>20</v>
      </c>
      <c r="J996" s="46">
        <v>44</v>
      </c>
      <c r="K996" s="46" t="s">
        <v>24</v>
      </c>
      <c r="L996" s="46">
        <v>1</v>
      </c>
      <c r="M996" s="47">
        <v>30</v>
      </c>
    </row>
    <row r="997" spans="5:13" x14ac:dyDescent="0.25">
      <c r="E997" s="33">
        <v>1972</v>
      </c>
      <c r="F997" s="48">
        <v>45575</v>
      </c>
      <c r="G997" s="49">
        <v>2024</v>
      </c>
      <c r="H997" s="45" t="s">
        <v>10</v>
      </c>
      <c r="I997" s="50" t="s">
        <v>22</v>
      </c>
      <c r="J997" s="50">
        <v>59</v>
      </c>
      <c r="K997" s="50" t="s">
        <v>21</v>
      </c>
      <c r="L997" s="50">
        <v>6</v>
      </c>
      <c r="M997" s="51">
        <v>424</v>
      </c>
    </row>
    <row r="998" spans="5:13" x14ac:dyDescent="0.25">
      <c r="E998" s="32">
        <v>423</v>
      </c>
      <c r="F998" s="43">
        <v>45253</v>
      </c>
      <c r="G998" s="44">
        <v>2023</v>
      </c>
      <c r="H998" s="52" t="s">
        <v>11</v>
      </c>
      <c r="I998" s="46" t="s">
        <v>20</v>
      </c>
      <c r="J998" s="46">
        <v>57</v>
      </c>
      <c r="K998" s="46" t="s">
        <v>21</v>
      </c>
      <c r="L998" s="46">
        <v>4</v>
      </c>
      <c r="M998" s="47">
        <v>300</v>
      </c>
    </row>
    <row r="999" spans="5:13" x14ac:dyDescent="0.25">
      <c r="E999" s="33">
        <v>1398</v>
      </c>
      <c r="F999" s="48">
        <v>45576</v>
      </c>
      <c r="G999" s="49">
        <v>2024</v>
      </c>
      <c r="H999" s="45" t="s">
        <v>10</v>
      </c>
      <c r="I999" s="50" t="s">
        <v>22</v>
      </c>
      <c r="J999" s="50">
        <v>57</v>
      </c>
      <c r="K999" s="50" t="s">
        <v>23</v>
      </c>
      <c r="L999" s="50">
        <v>6</v>
      </c>
      <c r="M999" s="51">
        <v>27</v>
      </c>
    </row>
    <row r="1000" spans="5:13" x14ac:dyDescent="0.25">
      <c r="E1000" s="32">
        <v>906</v>
      </c>
      <c r="F1000" s="43">
        <v>45289</v>
      </c>
      <c r="G1000" s="44">
        <v>2023</v>
      </c>
      <c r="H1000" s="52" t="s">
        <v>12</v>
      </c>
      <c r="I1000" s="46" t="s">
        <v>20</v>
      </c>
      <c r="J1000" s="46">
        <v>46</v>
      </c>
      <c r="K1000" s="46" t="s">
        <v>21</v>
      </c>
      <c r="L1000" s="46">
        <v>4</v>
      </c>
      <c r="M1000" s="47">
        <v>300</v>
      </c>
    </row>
    <row r="1001" spans="5:13" x14ac:dyDescent="0.25">
      <c r="E1001" s="33">
        <v>749</v>
      </c>
      <c r="F1001" s="48">
        <v>45169</v>
      </c>
      <c r="G1001" s="49">
        <v>2023</v>
      </c>
      <c r="H1001" s="45" t="s">
        <v>8</v>
      </c>
      <c r="I1001" s="50" t="s">
        <v>22</v>
      </c>
      <c r="J1001" s="50">
        <v>42</v>
      </c>
      <c r="K1001" s="50" t="s">
        <v>23</v>
      </c>
      <c r="L1001" s="50">
        <v>2</v>
      </c>
      <c r="M1001" s="51">
        <v>25</v>
      </c>
    </row>
    <row r="1002" spans="5:13" x14ac:dyDescent="0.25">
      <c r="E1002" s="32">
        <v>377</v>
      </c>
      <c r="F1002" s="43">
        <v>45105</v>
      </c>
      <c r="G1002" s="44">
        <v>2023</v>
      </c>
      <c r="H1002" s="52" t="s">
        <v>6</v>
      </c>
      <c r="I1002" s="46" t="s">
        <v>20</v>
      </c>
      <c r="J1002" s="46">
        <v>50</v>
      </c>
      <c r="K1002" s="46" t="s">
        <v>21</v>
      </c>
      <c r="L1002" s="46">
        <v>1</v>
      </c>
      <c r="M1002" s="47">
        <v>300</v>
      </c>
    </row>
    <row r="1003" spans="5:13" x14ac:dyDescent="0.25">
      <c r="E1003" s="33">
        <v>381</v>
      </c>
      <c r="F1003" s="48">
        <v>45072</v>
      </c>
      <c r="G1003" s="49">
        <v>2023</v>
      </c>
      <c r="H1003" s="45" t="s">
        <v>5</v>
      </c>
      <c r="I1003" s="50" t="s">
        <v>22</v>
      </c>
      <c r="J1003" s="50">
        <v>53</v>
      </c>
      <c r="K1003" s="50" t="s">
        <v>23</v>
      </c>
      <c r="L1003" s="50">
        <v>2</v>
      </c>
      <c r="M1003" s="51">
        <v>500</v>
      </c>
    </row>
    <row r="1004" spans="5:13" x14ac:dyDescent="0.25">
      <c r="E1004" s="32">
        <v>1979</v>
      </c>
      <c r="F1004" s="43">
        <v>45597</v>
      </c>
      <c r="G1004" s="44">
        <v>2024</v>
      </c>
      <c r="H1004" s="52" t="s">
        <v>11</v>
      </c>
      <c r="I1004" s="46" t="s">
        <v>22</v>
      </c>
      <c r="J1004" s="46">
        <v>59</v>
      </c>
      <c r="K1004" s="46" t="s">
        <v>23</v>
      </c>
      <c r="L1004" s="46">
        <v>4</v>
      </c>
      <c r="M1004" s="47">
        <v>132</v>
      </c>
    </row>
    <row r="1005" spans="5:13" x14ac:dyDescent="0.25">
      <c r="E1005" s="33">
        <v>526</v>
      </c>
      <c r="F1005" s="48">
        <v>45027</v>
      </c>
      <c r="G1005" s="49">
        <v>2023</v>
      </c>
      <c r="H1005" s="45" t="s">
        <v>4</v>
      </c>
      <c r="I1005" s="50" t="s">
        <v>20</v>
      </c>
      <c r="J1005" s="50">
        <v>57</v>
      </c>
      <c r="K1005" s="50" t="s">
        <v>23</v>
      </c>
      <c r="L1005" s="50">
        <v>2</v>
      </c>
      <c r="M1005" s="51">
        <v>25</v>
      </c>
    </row>
    <row r="1006" spans="5:13" x14ac:dyDescent="0.25">
      <c r="E1006" s="32">
        <v>648</v>
      </c>
      <c r="F1006" s="43">
        <v>44966</v>
      </c>
      <c r="G1006" s="44">
        <v>2023</v>
      </c>
      <c r="H1006" s="52" t="s">
        <v>2</v>
      </c>
      <c r="I1006" s="46" t="s">
        <v>22</v>
      </c>
      <c r="J1006" s="46">
        <v>58</v>
      </c>
      <c r="K1006" s="46" t="s">
        <v>23</v>
      </c>
      <c r="L1006" s="46">
        <v>2</v>
      </c>
      <c r="M1006" s="47">
        <v>300</v>
      </c>
    </row>
    <row r="1007" spans="5:13" x14ac:dyDescent="0.25">
      <c r="E1007" s="33">
        <v>1554</v>
      </c>
      <c r="F1007" s="48">
        <v>45500</v>
      </c>
      <c r="G1007" s="49">
        <v>2024</v>
      </c>
      <c r="H1007" s="45" t="s">
        <v>7</v>
      </c>
      <c r="I1007" s="50" t="s">
        <v>22</v>
      </c>
      <c r="J1007" s="50">
        <v>36</v>
      </c>
      <c r="K1007" s="50" t="s">
        <v>21</v>
      </c>
      <c r="L1007" s="50">
        <v>5</v>
      </c>
      <c r="M1007" s="51">
        <v>86</v>
      </c>
    </row>
    <row r="1008" spans="5:13" x14ac:dyDescent="0.25">
      <c r="E1008" s="32">
        <v>1712</v>
      </c>
      <c r="F1008" s="43">
        <v>45512</v>
      </c>
      <c r="G1008" s="44">
        <v>2024</v>
      </c>
      <c r="H1008" s="52" t="s">
        <v>8</v>
      </c>
      <c r="I1008" s="46" t="s">
        <v>22</v>
      </c>
      <c r="J1008" s="46">
        <v>49</v>
      </c>
      <c r="K1008" s="46" t="s">
        <v>23</v>
      </c>
      <c r="L1008" s="46">
        <v>3</v>
      </c>
      <c r="M1008" s="47">
        <v>161</v>
      </c>
    </row>
    <row r="1009" spans="5:13" x14ac:dyDescent="0.25">
      <c r="E1009" s="33">
        <v>1345</v>
      </c>
      <c r="F1009" s="48">
        <v>45629</v>
      </c>
      <c r="G1009" s="49">
        <v>2024</v>
      </c>
      <c r="H1009" s="45" t="s">
        <v>12</v>
      </c>
      <c r="I1009" s="50" t="s">
        <v>22</v>
      </c>
      <c r="J1009" s="50">
        <v>27</v>
      </c>
      <c r="K1009" s="50" t="s">
        <v>24</v>
      </c>
      <c r="L1009" s="50">
        <v>5</v>
      </c>
      <c r="M1009" s="51">
        <v>96</v>
      </c>
    </row>
    <row r="1010" spans="5:13" x14ac:dyDescent="0.25">
      <c r="E1010" s="32">
        <v>296</v>
      </c>
      <c r="F1010" s="43">
        <v>45173</v>
      </c>
      <c r="G1010" s="44">
        <v>2023</v>
      </c>
      <c r="H1010" s="52" t="s">
        <v>9</v>
      </c>
      <c r="I1010" s="46" t="s">
        <v>22</v>
      </c>
      <c r="J1010" s="46">
        <v>40</v>
      </c>
      <c r="K1010" s="46" t="s">
        <v>24</v>
      </c>
      <c r="L1010" s="46">
        <v>2</v>
      </c>
      <c r="M1010" s="47">
        <v>500</v>
      </c>
    </row>
    <row r="1011" spans="5:13" x14ac:dyDescent="0.25">
      <c r="E1011" s="33">
        <v>1438</v>
      </c>
      <c r="F1011" s="48">
        <v>45575</v>
      </c>
      <c r="G1011" s="49">
        <v>2024</v>
      </c>
      <c r="H1011" s="45" t="s">
        <v>10</v>
      </c>
      <c r="I1011" s="50" t="s">
        <v>20</v>
      </c>
      <c r="J1011" s="50">
        <v>31</v>
      </c>
      <c r="K1011" s="50" t="s">
        <v>21</v>
      </c>
      <c r="L1011" s="50">
        <v>4</v>
      </c>
      <c r="M1011" s="51">
        <v>86</v>
      </c>
    </row>
    <row r="1012" spans="5:13" x14ac:dyDescent="0.25">
      <c r="E1012" s="32">
        <v>1880</v>
      </c>
      <c r="F1012" s="43">
        <v>45411</v>
      </c>
      <c r="G1012" s="44">
        <v>2024</v>
      </c>
      <c r="H1012" s="52" t="s">
        <v>4</v>
      </c>
      <c r="I1012" s="46" t="s">
        <v>22</v>
      </c>
      <c r="J1012" s="46">
        <v>53</v>
      </c>
      <c r="K1012" s="46" t="s">
        <v>23</v>
      </c>
      <c r="L1012" s="46">
        <v>5</v>
      </c>
      <c r="M1012" s="47">
        <v>407</v>
      </c>
    </row>
    <row r="1013" spans="5:13" x14ac:dyDescent="0.25">
      <c r="E1013" s="33">
        <v>1602</v>
      </c>
      <c r="F1013" s="48">
        <v>45497</v>
      </c>
      <c r="G1013" s="49">
        <v>2024</v>
      </c>
      <c r="H1013" s="45" t="s">
        <v>7</v>
      </c>
      <c r="I1013" s="50" t="s">
        <v>20</v>
      </c>
      <c r="J1013" s="50">
        <v>22</v>
      </c>
      <c r="K1013" s="50" t="s">
        <v>24</v>
      </c>
      <c r="L1013" s="50">
        <v>1</v>
      </c>
      <c r="M1013" s="51">
        <v>97</v>
      </c>
    </row>
    <row r="1014" spans="5:13" x14ac:dyDescent="0.25">
      <c r="E1014" s="32">
        <v>304</v>
      </c>
      <c r="F1014" s="43">
        <v>45062</v>
      </c>
      <c r="G1014" s="44">
        <v>2023</v>
      </c>
      <c r="H1014" s="52" t="s">
        <v>5</v>
      </c>
      <c r="I1014" s="46" t="s">
        <v>22</v>
      </c>
      <c r="J1014" s="46">
        <v>18</v>
      </c>
      <c r="K1014" s="46" t="s">
        <v>21</v>
      </c>
      <c r="L1014" s="46">
        <v>1</v>
      </c>
      <c r="M1014" s="47">
        <v>30</v>
      </c>
    </row>
    <row r="1015" spans="5:13" x14ac:dyDescent="0.25">
      <c r="E1015" s="33">
        <v>1861</v>
      </c>
      <c r="F1015" s="48">
        <v>45647</v>
      </c>
      <c r="G1015" s="49">
        <v>2024</v>
      </c>
      <c r="H1015" s="45" t="s">
        <v>12</v>
      </c>
      <c r="I1015" s="50" t="s">
        <v>22</v>
      </c>
      <c r="J1015" s="50">
        <v>35</v>
      </c>
      <c r="K1015" s="50" t="s">
        <v>23</v>
      </c>
      <c r="L1015" s="50">
        <v>3</v>
      </c>
      <c r="M1015" s="51">
        <v>228</v>
      </c>
    </row>
    <row r="1016" spans="5:13" x14ac:dyDescent="0.25">
      <c r="E1016" s="32">
        <v>512</v>
      </c>
      <c r="F1016" s="43">
        <v>45188</v>
      </c>
      <c r="G1016" s="44">
        <v>2023</v>
      </c>
      <c r="H1016" s="52" t="s">
        <v>9</v>
      </c>
      <c r="I1016" s="46" t="s">
        <v>20</v>
      </c>
      <c r="J1016" s="46">
        <v>24</v>
      </c>
      <c r="K1016" s="46" t="s">
        <v>24</v>
      </c>
      <c r="L1016" s="46">
        <v>4</v>
      </c>
      <c r="M1016" s="47">
        <v>25</v>
      </c>
    </row>
    <row r="1017" spans="5:13" x14ac:dyDescent="0.25">
      <c r="E1017" s="33">
        <v>1485</v>
      </c>
      <c r="F1017" s="48">
        <v>45461</v>
      </c>
      <c r="G1017" s="49">
        <v>2024</v>
      </c>
      <c r="H1017" s="45" t="s">
        <v>6</v>
      </c>
      <c r="I1017" s="50" t="s">
        <v>22</v>
      </c>
      <c r="J1017" s="50">
        <v>31</v>
      </c>
      <c r="K1017" s="50" t="s">
        <v>24</v>
      </c>
      <c r="L1017" s="50">
        <v>7</v>
      </c>
      <c r="M1017" s="51">
        <v>343</v>
      </c>
    </row>
    <row r="1018" spans="5:13" x14ac:dyDescent="0.25">
      <c r="E1018" s="32">
        <v>1252</v>
      </c>
      <c r="F1018" s="43">
        <v>45390</v>
      </c>
      <c r="G1018" s="44">
        <v>2024</v>
      </c>
      <c r="H1018" s="52" t="s">
        <v>4</v>
      </c>
      <c r="I1018" s="46" t="s">
        <v>20</v>
      </c>
      <c r="J1018" s="46">
        <v>50</v>
      </c>
      <c r="K1018" s="46" t="s">
        <v>23</v>
      </c>
      <c r="L1018" s="46">
        <v>1</v>
      </c>
      <c r="M1018" s="47">
        <v>178</v>
      </c>
    </row>
    <row r="1019" spans="5:13" x14ac:dyDescent="0.25">
      <c r="E1019" s="33">
        <v>30</v>
      </c>
      <c r="F1019" s="48">
        <v>45228</v>
      </c>
      <c r="G1019" s="49">
        <v>2023</v>
      </c>
      <c r="H1019" s="45" t="s">
        <v>10</v>
      </c>
      <c r="I1019" s="50" t="s">
        <v>22</v>
      </c>
      <c r="J1019" s="50">
        <v>39</v>
      </c>
      <c r="K1019" s="50" t="s">
        <v>21</v>
      </c>
      <c r="L1019" s="50">
        <v>3</v>
      </c>
      <c r="M1019" s="51">
        <v>300</v>
      </c>
    </row>
    <row r="1020" spans="5:13" x14ac:dyDescent="0.25">
      <c r="E1020" s="32">
        <v>1556</v>
      </c>
      <c r="F1020" s="43">
        <v>45292</v>
      </c>
      <c r="G1020" s="44">
        <v>2024</v>
      </c>
      <c r="H1020" s="52" t="s">
        <v>1</v>
      </c>
      <c r="I1020" s="46" t="s">
        <v>22</v>
      </c>
      <c r="J1020" s="46">
        <v>52</v>
      </c>
      <c r="K1020" s="46" t="s">
        <v>23</v>
      </c>
      <c r="L1020" s="46">
        <v>7</v>
      </c>
      <c r="M1020" s="47">
        <v>363</v>
      </c>
    </row>
    <row r="1021" spans="5:13" x14ac:dyDescent="0.25">
      <c r="E1021" s="33">
        <v>463</v>
      </c>
      <c r="F1021" s="48">
        <v>44939</v>
      </c>
      <c r="G1021" s="49">
        <v>2023</v>
      </c>
      <c r="H1021" s="45" t="s">
        <v>1</v>
      </c>
      <c r="I1021" s="50" t="s">
        <v>20</v>
      </c>
      <c r="J1021" s="50">
        <v>38</v>
      </c>
      <c r="K1021" s="50" t="s">
        <v>24</v>
      </c>
      <c r="L1021" s="50">
        <v>2</v>
      </c>
      <c r="M1021" s="51">
        <v>300</v>
      </c>
    </row>
    <row r="1022" spans="5:13" x14ac:dyDescent="0.25">
      <c r="E1022" s="32">
        <v>1241</v>
      </c>
      <c r="F1022" s="43">
        <v>45635</v>
      </c>
      <c r="G1022" s="44">
        <v>2024</v>
      </c>
      <c r="H1022" s="52" t="s">
        <v>12</v>
      </c>
      <c r="I1022" s="46" t="s">
        <v>20</v>
      </c>
      <c r="J1022" s="46">
        <v>30</v>
      </c>
      <c r="K1022" s="46" t="s">
        <v>21</v>
      </c>
      <c r="L1022" s="46">
        <v>1</v>
      </c>
      <c r="M1022" s="47">
        <v>208</v>
      </c>
    </row>
    <row r="1023" spans="5:13" x14ac:dyDescent="0.25">
      <c r="E1023" s="33">
        <v>1865</v>
      </c>
      <c r="F1023" s="48">
        <v>45590</v>
      </c>
      <c r="G1023" s="49">
        <v>2024</v>
      </c>
      <c r="H1023" s="45" t="s">
        <v>10</v>
      </c>
      <c r="I1023" s="50" t="s">
        <v>20</v>
      </c>
      <c r="J1023" s="50">
        <v>42</v>
      </c>
      <c r="K1023" s="50" t="s">
        <v>21</v>
      </c>
      <c r="L1023" s="50">
        <v>6</v>
      </c>
      <c r="M1023" s="51">
        <v>221</v>
      </c>
    </row>
    <row r="1024" spans="5:13" x14ac:dyDescent="0.25">
      <c r="E1024" s="32">
        <v>1875</v>
      </c>
      <c r="F1024" s="43">
        <v>45652</v>
      </c>
      <c r="G1024" s="44">
        <v>2024</v>
      </c>
      <c r="H1024" s="52" t="s">
        <v>12</v>
      </c>
      <c r="I1024" s="46" t="s">
        <v>20</v>
      </c>
      <c r="J1024" s="46">
        <v>39</v>
      </c>
      <c r="K1024" s="46" t="s">
        <v>23</v>
      </c>
      <c r="L1024" s="46">
        <v>4</v>
      </c>
      <c r="M1024" s="47">
        <v>318</v>
      </c>
    </row>
    <row r="1025" spans="5:13" x14ac:dyDescent="0.25">
      <c r="E1025" s="33">
        <v>1082</v>
      </c>
      <c r="F1025" s="48">
        <v>45624</v>
      </c>
      <c r="G1025" s="49">
        <v>2024</v>
      </c>
      <c r="H1025" s="45" t="s">
        <v>11</v>
      </c>
      <c r="I1025" s="50" t="s">
        <v>22</v>
      </c>
      <c r="J1025" s="50">
        <v>22</v>
      </c>
      <c r="K1025" s="50" t="s">
        <v>24</v>
      </c>
      <c r="L1025" s="50">
        <v>3</v>
      </c>
      <c r="M1025" s="51">
        <v>462</v>
      </c>
    </row>
    <row r="1026" spans="5:13" x14ac:dyDescent="0.25">
      <c r="E1026" s="32">
        <v>25</v>
      </c>
      <c r="F1026" s="43">
        <v>45286</v>
      </c>
      <c r="G1026" s="44">
        <v>2023</v>
      </c>
      <c r="H1026" s="52" t="s">
        <v>12</v>
      </c>
      <c r="I1026" s="46" t="s">
        <v>22</v>
      </c>
      <c r="J1026" s="46">
        <v>64</v>
      </c>
      <c r="K1026" s="46" t="s">
        <v>21</v>
      </c>
      <c r="L1026" s="46">
        <v>1</v>
      </c>
      <c r="M1026" s="47">
        <v>50</v>
      </c>
    </row>
    <row r="1027" spans="5:13" x14ac:dyDescent="0.25">
      <c r="E1027" s="33">
        <v>115</v>
      </c>
      <c r="F1027" s="48">
        <v>45256</v>
      </c>
      <c r="G1027" s="49">
        <v>2023</v>
      </c>
      <c r="H1027" s="45" t="s">
        <v>11</v>
      </c>
      <c r="I1027" s="50" t="s">
        <v>20</v>
      </c>
      <c r="J1027" s="50">
        <v>51</v>
      </c>
      <c r="K1027" s="50" t="s">
        <v>23</v>
      </c>
      <c r="L1027" s="50">
        <v>3</v>
      </c>
      <c r="M1027" s="51">
        <v>500</v>
      </c>
    </row>
    <row r="1028" spans="5:13" x14ac:dyDescent="0.25">
      <c r="E1028" s="32">
        <v>1068</v>
      </c>
      <c r="F1028" s="43">
        <v>45343</v>
      </c>
      <c r="G1028" s="44">
        <v>2024</v>
      </c>
      <c r="H1028" s="52" t="s">
        <v>2</v>
      </c>
      <c r="I1028" s="46" t="s">
        <v>22</v>
      </c>
      <c r="J1028" s="46">
        <v>19</v>
      </c>
      <c r="K1028" s="46" t="s">
        <v>23</v>
      </c>
      <c r="L1028" s="46">
        <v>3</v>
      </c>
      <c r="M1028" s="47">
        <v>277</v>
      </c>
    </row>
    <row r="1029" spans="5:13" x14ac:dyDescent="0.25">
      <c r="E1029" s="33">
        <v>1956</v>
      </c>
      <c r="F1029" s="48">
        <v>45512</v>
      </c>
      <c r="G1029" s="49">
        <v>2024</v>
      </c>
      <c r="H1029" s="45" t="s">
        <v>8</v>
      </c>
      <c r="I1029" s="50" t="s">
        <v>20</v>
      </c>
      <c r="J1029" s="50">
        <v>26</v>
      </c>
      <c r="K1029" s="50" t="s">
        <v>23</v>
      </c>
      <c r="L1029" s="50">
        <v>7</v>
      </c>
      <c r="M1029" s="51">
        <v>151</v>
      </c>
    </row>
    <row r="1030" spans="5:13" x14ac:dyDescent="0.25">
      <c r="E1030" s="32">
        <v>295</v>
      </c>
      <c r="F1030" s="43">
        <v>45175</v>
      </c>
      <c r="G1030" s="44">
        <v>2023</v>
      </c>
      <c r="H1030" s="52" t="s">
        <v>9</v>
      </c>
      <c r="I1030" s="46" t="s">
        <v>22</v>
      </c>
      <c r="J1030" s="46">
        <v>22</v>
      </c>
      <c r="K1030" s="46" t="s">
        <v>23</v>
      </c>
      <c r="L1030" s="46">
        <v>4</v>
      </c>
      <c r="M1030" s="47">
        <v>300</v>
      </c>
    </row>
    <row r="1031" spans="5:13" x14ac:dyDescent="0.25">
      <c r="E1031" s="33">
        <v>237</v>
      </c>
      <c r="F1031" s="48">
        <v>44943</v>
      </c>
      <c r="G1031" s="49">
        <v>2023</v>
      </c>
      <c r="H1031" s="45" t="s">
        <v>1</v>
      </c>
      <c r="I1031" s="50" t="s">
        <v>22</v>
      </c>
      <c r="J1031" s="50">
        <v>39</v>
      </c>
      <c r="K1031" s="50" t="s">
        <v>21</v>
      </c>
      <c r="L1031" s="50">
        <v>1</v>
      </c>
      <c r="M1031" s="51">
        <v>500</v>
      </c>
    </row>
    <row r="1032" spans="5:13" x14ac:dyDescent="0.25">
      <c r="E1032" s="32">
        <v>487</v>
      </c>
      <c r="F1032" s="43">
        <v>45095</v>
      </c>
      <c r="G1032" s="44">
        <v>2023</v>
      </c>
      <c r="H1032" s="52" t="s">
        <v>6</v>
      </c>
      <c r="I1032" s="46" t="s">
        <v>22</v>
      </c>
      <c r="J1032" s="46">
        <v>51</v>
      </c>
      <c r="K1032" s="46" t="s">
        <v>24</v>
      </c>
      <c r="L1032" s="46">
        <v>3</v>
      </c>
      <c r="M1032" s="47">
        <v>300</v>
      </c>
    </row>
    <row r="1033" spans="5:13" x14ac:dyDescent="0.25">
      <c r="E1033" s="33">
        <v>1223</v>
      </c>
      <c r="F1033" s="48">
        <v>45594</v>
      </c>
      <c r="G1033" s="49">
        <v>2024</v>
      </c>
      <c r="H1033" s="45" t="s">
        <v>10</v>
      </c>
      <c r="I1033" s="50" t="s">
        <v>22</v>
      </c>
      <c r="J1033" s="50">
        <v>37</v>
      </c>
      <c r="K1033" s="50" t="s">
        <v>23</v>
      </c>
      <c r="L1033" s="50">
        <v>5</v>
      </c>
      <c r="M1033" s="51">
        <v>325</v>
      </c>
    </row>
    <row r="1034" spans="5:13" x14ac:dyDescent="0.25">
      <c r="E1034" s="32">
        <v>201</v>
      </c>
      <c r="F1034" s="43">
        <v>45208</v>
      </c>
      <c r="G1034" s="44">
        <v>2023</v>
      </c>
      <c r="H1034" s="52" t="s">
        <v>10</v>
      </c>
      <c r="I1034" s="46" t="s">
        <v>20</v>
      </c>
      <c r="J1034" s="46">
        <v>56</v>
      </c>
      <c r="K1034" s="46" t="s">
        <v>24</v>
      </c>
      <c r="L1034" s="46">
        <v>1</v>
      </c>
      <c r="M1034" s="47">
        <v>25</v>
      </c>
    </row>
    <row r="1035" spans="5:13" x14ac:dyDescent="0.25">
      <c r="E1035" s="33">
        <v>1387</v>
      </c>
      <c r="F1035" s="48">
        <v>45563</v>
      </c>
      <c r="G1035" s="49">
        <v>2024</v>
      </c>
      <c r="H1035" s="45" t="s">
        <v>9</v>
      </c>
      <c r="I1035" s="50" t="s">
        <v>20</v>
      </c>
      <c r="J1035" s="50">
        <v>27</v>
      </c>
      <c r="K1035" s="50" t="s">
        <v>24</v>
      </c>
      <c r="L1035" s="50">
        <v>1</v>
      </c>
      <c r="M1035" s="51">
        <v>440</v>
      </c>
    </row>
    <row r="1036" spans="5:13" x14ac:dyDescent="0.25">
      <c r="E1036" s="32">
        <v>710</v>
      </c>
      <c r="F1036" s="43">
        <v>45266</v>
      </c>
      <c r="G1036" s="44">
        <v>2023</v>
      </c>
      <c r="H1036" s="52" t="s">
        <v>12</v>
      </c>
      <c r="I1036" s="46" t="s">
        <v>22</v>
      </c>
      <c r="J1036" s="46">
        <v>57</v>
      </c>
      <c r="K1036" s="46" t="s">
        <v>21</v>
      </c>
      <c r="L1036" s="46">
        <v>2</v>
      </c>
      <c r="M1036" s="47">
        <v>25</v>
      </c>
    </row>
    <row r="1037" spans="5:13" x14ac:dyDescent="0.25">
      <c r="E1037" s="33">
        <v>1837</v>
      </c>
      <c r="F1037" s="48">
        <v>45598</v>
      </c>
      <c r="G1037" s="49">
        <v>2024</v>
      </c>
      <c r="H1037" s="45" t="s">
        <v>11</v>
      </c>
      <c r="I1037" s="50" t="s">
        <v>20</v>
      </c>
      <c r="J1037" s="50">
        <v>51</v>
      </c>
      <c r="K1037" s="50" t="s">
        <v>24</v>
      </c>
      <c r="L1037" s="50">
        <v>6</v>
      </c>
      <c r="M1037" s="51">
        <v>485</v>
      </c>
    </row>
    <row r="1038" spans="5:13" x14ac:dyDescent="0.25">
      <c r="E1038" s="32">
        <v>705</v>
      </c>
      <c r="F1038" s="43">
        <v>45200</v>
      </c>
      <c r="G1038" s="44">
        <v>2023</v>
      </c>
      <c r="H1038" s="52" t="s">
        <v>10</v>
      </c>
      <c r="I1038" s="46" t="s">
        <v>22</v>
      </c>
      <c r="J1038" s="46">
        <v>26</v>
      </c>
      <c r="K1038" s="46" t="s">
        <v>23</v>
      </c>
      <c r="L1038" s="46">
        <v>1</v>
      </c>
      <c r="M1038" s="47">
        <v>500</v>
      </c>
    </row>
    <row r="1039" spans="5:13" x14ac:dyDescent="0.25">
      <c r="E1039" s="33">
        <v>1293</v>
      </c>
      <c r="F1039" s="48">
        <v>45541</v>
      </c>
      <c r="G1039" s="49">
        <v>2024</v>
      </c>
      <c r="H1039" s="45" t="s">
        <v>9</v>
      </c>
      <c r="I1039" s="50" t="s">
        <v>22</v>
      </c>
      <c r="J1039" s="50">
        <v>40</v>
      </c>
      <c r="K1039" s="50" t="s">
        <v>23</v>
      </c>
      <c r="L1039" s="50">
        <v>3</v>
      </c>
      <c r="M1039" s="51">
        <v>468</v>
      </c>
    </row>
    <row r="1040" spans="5:13" x14ac:dyDescent="0.25">
      <c r="E1040" s="32">
        <v>1265</v>
      </c>
      <c r="F1040" s="43">
        <v>45342</v>
      </c>
      <c r="G1040" s="44">
        <v>2024</v>
      </c>
      <c r="H1040" s="52" t="s">
        <v>2</v>
      </c>
      <c r="I1040" s="46" t="s">
        <v>22</v>
      </c>
      <c r="J1040" s="46">
        <v>41</v>
      </c>
      <c r="K1040" s="46" t="s">
        <v>24</v>
      </c>
      <c r="L1040" s="46">
        <v>2</v>
      </c>
      <c r="M1040" s="47">
        <v>254</v>
      </c>
    </row>
    <row r="1041" spans="5:13" x14ac:dyDescent="0.25">
      <c r="E1041" s="33">
        <v>912</v>
      </c>
      <c r="F1041" s="48">
        <v>45210</v>
      </c>
      <c r="G1041" s="49">
        <v>2023</v>
      </c>
      <c r="H1041" s="45" t="s">
        <v>10</v>
      </c>
      <c r="I1041" s="50" t="s">
        <v>22</v>
      </c>
      <c r="J1041" s="50">
        <v>59</v>
      </c>
      <c r="K1041" s="50" t="s">
        <v>24</v>
      </c>
      <c r="L1041" s="50">
        <v>1</v>
      </c>
      <c r="M1041" s="51">
        <v>500</v>
      </c>
    </row>
    <row r="1042" spans="5:13" x14ac:dyDescent="0.25">
      <c r="E1042" s="32">
        <v>224</v>
      </c>
      <c r="F1042" s="43">
        <v>44937</v>
      </c>
      <c r="G1042" s="44">
        <v>2023</v>
      </c>
      <c r="H1042" s="52" t="s">
        <v>1</v>
      </c>
      <c r="I1042" s="46" t="s">
        <v>22</v>
      </c>
      <c r="J1042" s="46">
        <v>57</v>
      </c>
      <c r="K1042" s="46" t="s">
        <v>21</v>
      </c>
      <c r="L1042" s="46">
        <v>4</v>
      </c>
      <c r="M1042" s="47">
        <v>25</v>
      </c>
    </row>
    <row r="1043" spans="5:13" x14ac:dyDescent="0.25">
      <c r="E1043" s="33">
        <v>667</v>
      </c>
      <c r="F1043" s="48">
        <v>45096</v>
      </c>
      <c r="G1043" s="49">
        <v>2023</v>
      </c>
      <c r="H1043" s="45" t="s">
        <v>6</v>
      </c>
      <c r="I1043" s="50" t="s">
        <v>20</v>
      </c>
      <c r="J1043" s="50">
        <v>24</v>
      </c>
      <c r="K1043" s="50" t="s">
        <v>21</v>
      </c>
      <c r="L1043" s="50">
        <v>4</v>
      </c>
      <c r="M1043" s="51">
        <v>300</v>
      </c>
    </row>
    <row r="1044" spans="5:13" x14ac:dyDescent="0.25">
      <c r="E1044" s="32">
        <v>1651</v>
      </c>
      <c r="F1044" s="43">
        <v>45456</v>
      </c>
      <c r="G1044" s="44">
        <v>2024</v>
      </c>
      <c r="H1044" s="52" t="s">
        <v>6</v>
      </c>
      <c r="I1044" s="46" t="s">
        <v>22</v>
      </c>
      <c r="J1044" s="46">
        <v>40</v>
      </c>
      <c r="K1044" s="46" t="s">
        <v>23</v>
      </c>
      <c r="L1044" s="46">
        <v>3</v>
      </c>
      <c r="M1044" s="47">
        <v>29</v>
      </c>
    </row>
    <row r="1045" spans="5:13" x14ac:dyDescent="0.25">
      <c r="E1045" s="33">
        <v>729</v>
      </c>
      <c r="F1045" s="48">
        <v>45056</v>
      </c>
      <c r="G1045" s="49">
        <v>2023</v>
      </c>
      <c r="H1045" s="45" t="s">
        <v>5</v>
      </c>
      <c r="I1045" s="50" t="s">
        <v>20</v>
      </c>
      <c r="J1045" s="50">
        <v>54</v>
      </c>
      <c r="K1045" s="50" t="s">
        <v>23</v>
      </c>
      <c r="L1045" s="50">
        <v>4</v>
      </c>
      <c r="M1045" s="51">
        <v>500</v>
      </c>
    </row>
    <row r="1046" spans="5:13" x14ac:dyDescent="0.25">
      <c r="E1046" s="32">
        <v>1025</v>
      </c>
      <c r="F1046" s="43">
        <v>45507</v>
      </c>
      <c r="G1046" s="44">
        <v>2024</v>
      </c>
      <c r="H1046" s="52" t="s">
        <v>8</v>
      </c>
      <c r="I1046" s="46" t="s">
        <v>22</v>
      </c>
      <c r="J1046" s="46">
        <v>53</v>
      </c>
      <c r="K1046" s="46" t="s">
        <v>21</v>
      </c>
      <c r="L1046" s="46">
        <v>5</v>
      </c>
      <c r="M1046" s="47">
        <v>209</v>
      </c>
    </row>
    <row r="1047" spans="5:13" x14ac:dyDescent="0.25">
      <c r="E1047" s="33">
        <v>1361</v>
      </c>
      <c r="F1047" s="48">
        <v>45527</v>
      </c>
      <c r="G1047" s="49">
        <v>2024</v>
      </c>
      <c r="H1047" s="45" t="s">
        <v>8</v>
      </c>
      <c r="I1047" s="50" t="s">
        <v>22</v>
      </c>
      <c r="J1047" s="50">
        <v>24</v>
      </c>
      <c r="K1047" s="50" t="s">
        <v>21</v>
      </c>
      <c r="L1047" s="50">
        <v>3</v>
      </c>
      <c r="M1047" s="51">
        <v>203</v>
      </c>
    </row>
    <row r="1048" spans="5:13" x14ac:dyDescent="0.25">
      <c r="E1048" s="32">
        <v>118</v>
      </c>
      <c r="F1048" s="43">
        <v>45062</v>
      </c>
      <c r="G1048" s="44">
        <v>2023</v>
      </c>
      <c r="H1048" s="52" t="s">
        <v>5</v>
      </c>
      <c r="I1048" s="46" t="s">
        <v>22</v>
      </c>
      <c r="J1048" s="46">
        <v>30</v>
      </c>
      <c r="K1048" s="46" t="s">
        <v>24</v>
      </c>
      <c r="L1048" s="46">
        <v>4</v>
      </c>
      <c r="M1048" s="47">
        <v>500</v>
      </c>
    </row>
    <row r="1049" spans="5:13" x14ac:dyDescent="0.25">
      <c r="E1049" s="33">
        <v>277</v>
      </c>
      <c r="F1049" s="48">
        <v>44998</v>
      </c>
      <c r="G1049" s="49">
        <v>2023</v>
      </c>
      <c r="H1049" s="45" t="s">
        <v>3</v>
      </c>
      <c r="I1049" s="50" t="s">
        <v>22</v>
      </c>
      <c r="J1049" s="50">
        <v>37</v>
      </c>
      <c r="K1049" s="50" t="s">
        <v>23</v>
      </c>
      <c r="L1049" s="50">
        <v>4</v>
      </c>
      <c r="M1049" s="51">
        <v>25</v>
      </c>
    </row>
    <row r="1050" spans="5:13" x14ac:dyDescent="0.25">
      <c r="E1050" s="32">
        <v>963</v>
      </c>
      <c r="F1050" s="43">
        <v>45239</v>
      </c>
      <c r="G1050" s="44">
        <v>2023</v>
      </c>
      <c r="H1050" s="52" t="s">
        <v>11</v>
      </c>
      <c r="I1050" s="46" t="s">
        <v>20</v>
      </c>
      <c r="J1050" s="46">
        <v>22</v>
      </c>
      <c r="K1050" s="46" t="s">
        <v>23</v>
      </c>
      <c r="L1050" s="46">
        <v>4</v>
      </c>
      <c r="M1050" s="47">
        <v>50</v>
      </c>
    </row>
    <row r="1051" spans="5:13" x14ac:dyDescent="0.25">
      <c r="E1051" s="33">
        <v>299</v>
      </c>
      <c r="F1051" s="48">
        <v>44957</v>
      </c>
      <c r="G1051" s="49">
        <v>2023</v>
      </c>
      <c r="H1051" s="45" t="s">
        <v>1</v>
      </c>
      <c r="I1051" s="50" t="s">
        <v>22</v>
      </c>
      <c r="J1051" s="50">
        <v>19</v>
      </c>
      <c r="K1051" s="50" t="s">
        <v>24</v>
      </c>
      <c r="L1051" s="50">
        <v>4</v>
      </c>
      <c r="M1051" s="51">
        <v>50</v>
      </c>
    </row>
    <row r="1052" spans="5:13" x14ac:dyDescent="0.25">
      <c r="E1052" s="32">
        <v>440</v>
      </c>
      <c r="F1052" s="43">
        <v>45209</v>
      </c>
      <c r="G1052" s="44">
        <v>2023</v>
      </c>
      <c r="H1052" s="52" t="s">
        <v>10</v>
      </c>
      <c r="I1052" s="46" t="s">
        <v>20</v>
      </c>
      <c r="J1052" s="46">
        <v>57</v>
      </c>
      <c r="K1052" s="46" t="s">
        <v>21</v>
      </c>
      <c r="L1052" s="46">
        <v>4</v>
      </c>
      <c r="M1052" s="47">
        <v>300</v>
      </c>
    </row>
    <row r="1053" spans="5:13" x14ac:dyDescent="0.25">
      <c r="E1053" s="33">
        <v>384</v>
      </c>
      <c r="F1053" s="48">
        <v>45205</v>
      </c>
      <c r="G1053" s="49">
        <v>2023</v>
      </c>
      <c r="H1053" s="45" t="s">
        <v>10</v>
      </c>
      <c r="I1053" s="50" t="s">
        <v>20</v>
      </c>
      <c r="J1053" s="50">
        <v>50</v>
      </c>
      <c r="K1053" s="50" t="s">
        <v>24</v>
      </c>
      <c r="L1053" s="50">
        <v>3</v>
      </c>
      <c r="M1053" s="51">
        <v>500</v>
      </c>
    </row>
    <row r="1054" spans="5:13" x14ac:dyDescent="0.25">
      <c r="E1054" s="32">
        <v>500</v>
      </c>
      <c r="F1054" s="43">
        <v>45060</v>
      </c>
      <c r="G1054" s="44">
        <v>2023</v>
      </c>
      <c r="H1054" s="52" t="s">
        <v>5</v>
      </c>
      <c r="I1054" s="46" t="s">
        <v>20</v>
      </c>
      <c r="J1054" s="46">
        <v>39</v>
      </c>
      <c r="K1054" s="46" t="s">
        <v>24</v>
      </c>
      <c r="L1054" s="46">
        <v>2</v>
      </c>
      <c r="M1054" s="47">
        <v>30</v>
      </c>
    </row>
    <row r="1055" spans="5:13" x14ac:dyDescent="0.25">
      <c r="E1055" s="33">
        <v>419</v>
      </c>
      <c r="F1055" s="48">
        <v>44949</v>
      </c>
      <c r="G1055" s="49">
        <v>2023</v>
      </c>
      <c r="H1055" s="45" t="s">
        <v>1</v>
      </c>
      <c r="I1055" s="50" t="s">
        <v>22</v>
      </c>
      <c r="J1055" s="50">
        <v>22</v>
      </c>
      <c r="K1055" s="50" t="s">
        <v>23</v>
      </c>
      <c r="L1055" s="50">
        <v>4</v>
      </c>
      <c r="M1055" s="51">
        <v>500</v>
      </c>
    </row>
    <row r="1056" spans="5:13" x14ac:dyDescent="0.25">
      <c r="E1056" s="32">
        <v>49</v>
      </c>
      <c r="F1056" s="43">
        <v>44949</v>
      </c>
      <c r="G1056" s="44">
        <v>2023</v>
      </c>
      <c r="H1056" s="52" t="s">
        <v>1</v>
      </c>
      <c r="I1056" s="46" t="s">
        <v>22</v>
      </c>
      <c r="J1056" s="46">
        <v>54</v>
      </c>
      <c r="K1056" s="46" t="s">
        <v>24</v>
      </c>
      <c r="L1056" s="46">
        <v>2</v>
      </c>
      <c r="M1056" s="47">
        <v>500</v>
      </c>
    </row>
    <row r="1057" spans="5:13" x14ac:dyDescent="0.25">
      <c r="E1057" s="33">
        <v>1081</v>
      </c>
      <c r="F1057" s="48">
        <v>45642</v>
      </c>
      <c r="G1057" s="49">
        <v>2024</v>
      </c>
      <c r="H1057" s="45" t="s">
        <v>12</v>
      </c>
      <c r="I1057" s="50" t="s">
        <v>20</v>
      </c>
      <c r="J1057" s="50">
        <v>64</v>
      </c>
      <c r="K1057" s="50" t="s">
        <v>24</v>
      </c>
      <c r="L1057" s="50">
        <v>4</v>
      </c>
      <c r="M1057" s="51">
        <v>43</v>
      </c>
    </row>
    <row r="1058" spans="5:13" x14ac:dyDescent="0.25">
      <c r="E1058" s="32">
        <v>975</v>
      </c>
      <c r="F1058" s="43">
        <v>44965</v>
      </c>
      <c r="G1058" s="44">
        <v>2023</v>
      </c>
      <c r="H1058" s="52" t="s">
        <v>2</v>
      </c>
      <c r="I1058" s="46" t="s">
        <v>22</v>
      </c>
      <c r="J1058" s="46">
        <v>35</v>
      </c>
      <c r="K1058" s="46" t="s">
        <v>24</v>
      </c>
      <c r="L1058" s="46">
        <v>3</v>
      </c>
      <c r="M1058" s="47">
        <v>25</v>
      </c>
    </row>
    <row r="1059" spans="5:13" x14ac:dyDescent="0.25">
      <c r="E1059" s="33">
        <v>532</v>
      </c>
      <c r="F1059" s="48">
        <v>45246</v>
      </c>
      <c r="G1059" s="49">
        <v>2023</v>
      </c>
      <c r="H1059" s="45" t="s">
        <v>11</v>
      </c>
      <c r="I1059" s="50" t="s">
        <v>20</v>
      </c>
      <c r="J1059" s="50">
        <v>19</v>
      </c>
      <c r="K1059" s="50" t="s">
        <v>24</v>
      </c>
      <c r="L1059" s="50">
        <v>3</v>
      </c>
      <c r="M1059" s="51">
        <v>500</v>
      </c>
    </row>
    <row r="1060" spans="5:13" x14ac:dyDescent="0.25">
      <c r="E1060" s="32">
        <v>539</v>
      </c>
      <c r="F1060" s="43">
        <v>45268</v>
      </c>
      <c r="G1060" s="44">
        <v>2023</v>
      </c>
      <c r="H1060" s="52" t="s">
        <v>12</v>
      </c>
      <c r="I1060" s="46" t="s">
        <v>22</v>
      </c>
      <c r="J1060" s="46">
        <v>46</v>
      </c>
      <c r="K1060" s="46" t="s">
        <v>24</v>
      </c>
      <c r="L1060" s="46">
        <v>3</v>
      </c>
      <c r="M1060" s="47">
        <v>300</v>
      </c>
    </row>
    <row r="1061" spans="5:13" x14ac:dyDescent="0.25">
      <c r="E1061" s="33">
        <v>342</v>
      </c>
      <c r="F1061" s="48">
        <v>45231</v>
      </c>
      <c r="G1061" s="49">
        <v>2023</v>
      </c>
      <c r="H1061" s="45" t="s">
        <v>11</v>
      </c>
      <c r="I1061" s="50" t="s">
        <v>20</v>
      </c>
      <c r="J1061" s="50">
        <v>21</v>
      </c>
      <c r="K1061" s="50" t="s">
        <v>24</v>
      </c>
      <c r="L1061" s="50">
        <v>2</v>
      </c>
      <c r="M1061" s="51">
        <v>25</v>
      </c>
    </row>
    <row r="1062" spans="5:13" x14ac:dyDescent="0.25">
      <c r="E1062" s="32">
        <v>846</v>
      </c>
      <c r="F1062" s="43">
        <v>44970</v>
      </c>
      <c r="G1062" s="44">
        <v>2023</v>
      </c>
      <c r="H1062" s="52" t="s">
        <v>2</v>
      </c>
      <c r="I1062" s="46" t="s">
        <v>22</v>
      </c>
      <c r="J1062" s="46">
        <v>63</v>
      </c>
      <c r="K1062" s="46" t="s">
        <v>23</v>
      </c>
      <c r="L1062" s="46">
        <v>3</v>
      </c>
      <c r="M1062" s="47">
        <v>25</v>
      </c>
    </row>
    <row r="1063" spans="5:13" x14ac:dyDescent="0.25">
      <c r="E1063" s="33">
        <v>181</v>
      </c>
      <c r="F1063" s="48">
        <v>45233</v>
      </c>
      <c r="G1063" s="49">
        <v>2023</v>
      </c>
      <c r="H1063" s="45" t="s">
        <v>11</v>
      </c>
      <c r="I1063" s="50" t="s">
        <v>20</v>
      </c>
      <c r="J1063" s="50">
        <v>19</v>
      </c>
      <c r="K1063" s="50" t="s">
        <v>24</v>
      </c>
      <c r="L1063" s="50">
        <v>4</v>
      </c>
      <c r="M1063" s="51">
        <v>300</v>
      </c>
    </row>
    <row r="1064" spans="5:13" x14ac:dyDescent="0.25">
      <c r="E1064" s="32">
        <v>210</v>
      </c>
      <c r="F1064" s="43">
        <v>45029</v>
      </c>
      <c r="G1064" s="44">
        <v>2023</v>
      </c>
      <c r="H1064" s="52" t="s">
        <v>4</v>
      </c>
      <c r="I1064" s="46" t="s">
        <v>20</v>
      </c>
      <c r="J1064" s="46">
        <v>37</v>
      </c>
      <c r="K1064" s="46" t="s">
        <v>24</v>
      </c>
      <c r="L1064" s="46">
        <v>4</v>
      </c>
      <c r="M1064" s="47">
        <v>50</v>
      </c>
    </row>
    <row r="1065" spans="5:13" x14ac:dyDescent="0.25">
      <c r="E1065" s="33">
        <v>565</v>
      </c>
      <c r="F1065" s="48">
        <v>45262</v>
      </c>
      <c r="G1065" s="49">
        <v>2023</v>
      </c>
      <c r="H1065" s="45" t="s">
        <v>12</v>
      </c>
      <c r="I1065" s="50" t="s">
        <v>22</v>
      </c>
      <c r="J1065" s="50">
        <v>64</v>
      </c>
      <c r="K1065" s="50" t="s">
        <v>23</v>
      </c>
      <c r="L1065" s="50">
        <v>1</v>
      </c>
      <c r="M1065" s="51">
        <v>30</v>
      </c>
    </row>
    <row r="1066" spans="5:13" x14ac:dyDescent="0.25">
      <c r="E1066" s="32">
        <v>124</v>
      </c>
      <c r="F1066" s="43">
        <v>45226</v>
      </c>
      <c r="G1066" s="44">
        <v>2023</v>
      </c>
      <c r="H1066" s="52" t="s">
        <v>10</v>
      </c>
      <c r="I1066" s="46" t="s">
        <v>20</v>
      </c>
      <c r="J1066" s="46">
        <v>33</v>
      </c>
      <c r="K1066" s="46" t="s">
        <v>23</v>
      </c>
      <c r="L1066" s="46">
        <v>4</v>
      </c>
      <c r="M1066" s="47">
        <v>500</v>
      </c>
    </row>
    <row r="1067" spans="5:13" x14ac:dyDescent="0.25">
      <c r="E1067" s="33">
        <v>76</v>
      </c>
      <c r="F1067" s="48">
        <v>45010</v>
      </c>
      <c r="G1067" s="49">
        <v>2023</v>
      </c>
      <c r="H1067" s="45" t="s">
        <v>3</v>
      </c>
      <c r="I1067" s="50" t="s">
        <v>22</v>
      </c>
      <c r="J1067" s="50">
        <v>22</v>
      </c>
      <c r="K1067" s="50" t="s">
        <v>24</v>
      </c>
      <c r="L1067" s="50">
        <v>2</v>
      </c>
      <c r="M1067" s="51">
        <v>50</v>
      </c>
    </row>
    <row r="1068" spans="5:13" x14ac:dyDescent="0.25">
      <c r="E1068" s="32">
        <v>84</v>
      </c>
      <c r="F1068" s="43">
        <v>45258</v>
      </c>
      <c r="G1068" s="44">
        <v>2023</v>
      </c>
      <c r="H1068" s="52" t="s">
        <v>11</v>
      </c>
      <c r="I1068" s="46" t="s">
        <v>22</v>
      </c>
      <c r="J1068" s="46">
        <v>38</v>
      </c>
      <c r="K1068" s="46" t="s">
        <v>24</v>
      </c>
      <c r="L1068" s="46">
        <v>3</v>
      </c>
      <c r="M1068" s="47">
        <v>30</v>
      </c>
    </row>
    <row r="1069" spans="5:13" x14ac:dyDescent="0.25">
      <c r="E1069" s="33">
        <v>1768</v>
      </c>
      <c r="F1069" s="48">
        <v>45485</v>
      </c>
      <c r="G1069" s="49">
        <v>2024</v>
      </c>
      <c r="H1069" s="45" t="s">
        <v>7</v>
      </c>
      <c r="I1069" s="50" t="s">
        <v>20</v>
      </c>
      <c r="J1069" s="50">
        <v>29</v>
      </c>
      <c r="K1069" s="50" t="s">
        <v>24</v>
      </c>
      <c r="L1069" s="50">
        <v>5</v>
      </c>
      <c r="M1069" s="51">
        <v>425</v>
      </c>
    </row>
    <row r="1070" spans="5:13" x14ac:dyDescent="0.25">
      <c r="E1070" s="32">
        <v>1332</v>
      </c>
      <c r="F1070" s="43">
        <v>45326</v>
      </c>
      <c r="G1070" s="44">
        <v>2024</v>
      </c>
      <c r="H1070" s="52" t="s">
        <v>2</v>
      </c>
      <c r="I1070" s="46" t="s">
        <v>22</v>
      </c>
      <c r="J1070" s="46">
        <v>57</v>
      </c>
      <c r="K1070" s="46" t="s">
        <v>21</v>
      </c>
      <c r="L1070" s="46">
        <v>2</v>
      </c>
      <c r="M1070" s="47">
        <v>479</v>
      </c>
    </row>
    <row r="1071" spans="5:13" x14ac:dyDescent="0.25">
      <c r="E1071" s="33">
        <v>1396</v>
      </c>
      <c r="F1071" s="48">
        <v>45352</v>
      </c>
      <c r="G1071" s="49">
        <v>2024</v>
      </c>
      <c r="H1071" s="45" t="s">
        <v>3</v>
      </c>
      <c r="I1071" s="50" t="s">
        <v>22</v>
      </c>
      <c r="J1071" s="50">
        <v>19</v>
      </c>
      <c r="K1071" s="50" t="s">
        <v>21</v>
      </c>
      <c r="L1071" s="50">
        <v>1</v>
      </c>
      <c r="M1071" s="51">
        <v>387</v>
      </c>
    </row>
    <row r="1072" spans="5:13" x14ac:dyDescent="0.25">
      <c r="E1072" s="32">
        <v>955</v>
      </c>
      <c r="F1072" s="43">
        <v>45153</v>
      </c>
      <c r="G1072" s="44">
        <v>2023</v>
      </c>
      <c r="H1072" s="52" t="s">
        <v>8</v>
      </c>
      <c r="I1072" s="46" t="s">
        <v>22</v>
      </c>
      <c r="J1072" s="46">
        <v>60</v>
      </c>
      <c r="K1072" s="46" t="s">
        <v>24</v>
      </c>
      <c r="L1072" s="46">
        <v>4</v>
      </c>
      <c r="M1072" s="47">
        <v>30</v>
      </c>
    </row>
    <row r="1073" spans="5:13" x14ac:dyDescent="0.25">
      <c r="E1073" s="33">
        <v>1266</v>
      </c>
      <c r="F1073" s="48">
        <v>45323</v>
      </c>
      <c r="G1073" s="49">
        <v>2024</v>
      </c>
      <c r="H1073" s="45" t="s">
        <v>2</v>
      </c>
      <c r="I1073" s="50" t="s">
        <v>20</v>
      </c>
      <c r="J1073" s="50">
        <v>59</v>
      </c>
      <c r="K1073" s="50" t="s">
        <v>23</v>
      </c>
      <c r="L1073" s="50">
        <v>3</v>
      </c>
      <c r="M1073" s="51">
        <v>423</v>
      </c>
    </row>
    <row r="1074" spans="5:13" x14ac:dyDescent="0.25">
      <c r="E1074" s="32">
        <v>1329</v>
      </c>
      <c r="F1074" s="43">
        <v>45388</v>
      </c>
      <c r="G1074" s="44">
        <v>2024</v>
      </c>
      <c r="H1074" s="52" t="s">
        <v>4</v>
      </c>
      <c r="I1074" s="46" t="s">
        <v>20</v>
      </c>
      <c r="J1074" s="46">
        <v>65</v>
      </c>
      <c r="K1074" s="46" t="s">
        <v>24</v>
      </c>
      <c r="L1074" s="46">
        <v>6</v>
      </c>
      <c r="M1074" s="47">
        <v>425</v>
      </c>
    </row>
    <row r="1075" spans="5:13" x14ac:dyDescent="0.25">
      <c r="E1075" s="33">
        <v>788</v>
      </c>
      <c r="F1075" s="48">
        <v>45146</v>
      </c>
      <c r="G1075" s="49">
        <v>2023</v>
      </c>
      <c r="H1075" s="45" t="s">
        <v>8</v>
      </c>
      <c r="I1075" s="50" t="s">
        <v>20</v>
      </c>
      <c r="J1075" s="50">
        <v>62</v>
      </c>
      <c r="K1075" s="50" t="s">
        <v>23</v>
      </c>
      <c r="L1075" s="50">
        <v>1</v>
      </c>
      <c r="M1075" s="51">
        <v>25</v>
      </c>
    </row>
    <row r="1076" spans="5:13" x14ac:dyDescent="0.25">
      <c r="E1076" s="32">
        <v>1042</v>
      </c>
      <c r="F1076" s="43">
        <v>45341</v>
      </c>
      <c r="G1076" s="44">
        <v>2024</v>
      </c>
      <c r="H1076" s="52" t="s">
        <v>2</v>
      </c>
      <c r="I1076" s="46" t="s">
        <v>22</v>
      </c>
      <c r="J1076" s="46">
        <v>32</v>
      </c>
      <c r="K1076" s="46" t="s">
        <v>23</v>
      </c>
      <c r="L1076" s="46">
        <v>1</v>
      </c>
      <c r="M1076" s="47">
        <v>178</v>
      </c>
    </row>
    <row r="1077" spans="5:13" x14ac:dyDescent="0.25">
      <c r="E1077" s="33">
        <v>1212</v>
      </c>
      <c r="F1077" s="48">
        <v>45625</v>
      </c>
      <c r="G1077" s="49">
        <v>2024</v>
      </c>
      <c r="H1077" s="45" t="s">
        <v>11</v>
      </c>
      <c r="I1077" s="50" t="s">
        <v>20</v>
      </c>
      <c r="J1077" s="50">
        <v>37</v>
      </c>
      <c r="K1077" s="50" t="s">
        <v>23</v>
      </c>
      <c r="L1077" s="50">
        <v>6</v>
      </c>
      <c r="M1077" s="51">
        <v>305</v>
      </c>
    </row>
    <row r="1078" spans="5:13" x14ac:dyDescent="0.25">
      <c r="E1078" s="32">
        <v>36</v>
      </c>
      <c r="F1078" s="43">
        <v>45101</v>
      </c>
      <c r="G1078" s="44">
        <v>2023</v>
      </c>
      <c r="H1078" s="52" t="s">
        <v>6</v>
      </c>
      <c r="I1078" s="46" t="s">
        <v>20</v>
      </c>
      <c r="J1078" s="46">
        <v>52</v>
      </c>
      <c r="K1078" s="46" t="s">
        <v>21</v>
      </c>
      <c r="L1078" s="46">
        <v>3</v>
      </c>
      <c r="M1078" s="47">
        <v>300</v>
      </c>
    </row>
    <row r="1079" spans="5:13" x14ac:dyDescent="0.25">
      <c r="E1079" s="33">
        <v>670</v>
      </c>
      <c r="F1079" s="48">
        <v>45139</v>
      </c>
      <c r="G1079" s="49">
        <v>2023</v>
      </c>
      <c r="H1079" s="45" t="s">
        <v>8</v>
      </c>
      <c r="I1079" s="50" t="s">
        <v>22</v>
      </c>
      <c r="J1079" s="50">
        <v>34</v>
      </c>
      <c r="K1079" s="50" t="s">
        <v>21</v>
      </c>
      <c r="L1079" s="50">
        <v>2</v>
      </c>
      <c r="M1079" s="51">
        <v>50</v>
      </c>
    </row>
    <row r="1080" spans="5:13" x14ac:dyDescent="0.25">
      <c r="E1080" s="32">
        <v>1614</v>
      </c>
      <c r="F1080" s="43">
        <v>45530</v>
      </c>
      <c r="G1080" s="44">
        <v>2024</v>
      </c>
      <c r="H1080" s="52" t="s">
        <v>8</v>
      </c>
      <c r="I1080" s="46" t="s">
        <v>20</v>
      </c>
      <c r="J1080" s="46">
        <v>64</v>
      </c>
      <c r="K1080" s="46" t="s">
        <v>24</v>
      </c>
      <c r="L1080" s="46">
        <v>5</v>
      </c>
      <c r="M1080" s="47">
        <v>368</v>
      </c>
    </row>
    <row r="1081" spans="5:13" x14ac:dyDescent="0.25">
      <c r="E1081" s="33">
        <v>330</v>
      </c>
      <c r="F1081" s="48">
        <v>44968</v>
      </c>
      <c r="G1081" s="49">
        <v>2023</v>
      </c>
      <c r="H1081" s="45" t="s">
        <v>2</v>
      </c>
      <c r="I1081" s="50" t="s">
        <v>20</v>
      </c>
      <c r="J1081" s="50">
        <v>28</v>
      </c>
      <c r="K1081" s="50" t="s">
        <v>24</v>
      </c>
      <c r="L1081" s="50">
        <v>3</v>
      </c>
      <c r="M1081" s="51">
        <v>30</v>
      </c>
    </row>
    <row r="1082" spans="5:13" x14ac:dyDescent="0.25">
      <c r="E1082" s="32">
        <v>1814</v>
      </c>
      <c r="F1082" s="43">
        <v>45430</v>
      </c>
      <c r="G1082" s="44">
        <v>2024</v>
      </c>
      <c r="H1082" s="52" t="s">
        <v>5</v>
      </c>
      <c r="I1082" s="46" t="s">
        <v>20</v>
      </c>
      <c r="J1082" s="46">
        <v>47</v>
      </c>
      <c r="K1082" s="46" t="s">
        <v>24</v>
      </c>
      <c r="L1082" s="46">
        <v>6</v>
      </c>
      <c r="M1082" s="47">
        <v>417</v>
      </c>
    </row>
    <row r="1083" spans="5:13" x14ac:dyDescent="0.25">
      <c r="E1083" s="33">
        <v>840</v>
      </c>
      <c r="F1083" s="48">
        <v>45286</v>
      </c>
      <c r="G1083" s="49">
        <v>2023</v>
      </c>
      <c r="H1083" s="45" t="s">
        <v>12</v>
      </c>
      <c r="I1083" s="50" t="s">
        <v>22</v>
      </c>
      <c r="J1083" s="50">
        <v>47</v>
      </c>
      <c r="K1083" s="50" t="s">
        <v>23</v>
      </c>
      <c r="L1083" s="50">
        <v>2</v>
      </c>
      <c r="M1083" s="51">
        <v>300</v>
      </c>
    </row>
    <row r="1084" spans="5:13" x14ac:dyDescent="0.25">
      <c r="E1084" s="32">
        <v>1838</v>
      </c>
      <c r="F1084" s="43">
        <v>45652</v>
      </c>
      <c r="G1084" s="44">
        <v>2024</v>
      </c>
      <c r="H1084" s="52" t="s">
        <v>12</v>
      </c>
      <c r="I1084" s="46" t="s">
        <v>22</v>
      </c>
      <c r="J1084" s="46">
        <v>62</v>
      </c>
      <c r="K1084" s="46" t="s">
        <v>23</v>
      </c>
      <c r="L1084" s="46">
        <v>5</v>
      </c>
      <c r="M1084" s="47">
        <v>283</v>
      </c>
    </row>
    <row r="1085" spans="5:13" x14ac:dyDescent="0.25">
      <c r="E1085" s="33">
        <v>1069</v>
      </c>
      <c r="F1085" s="48">
        <v>45487</v>
      </c>
      <c r="G1085" s="49">
        <v>2024</v>
      </c>
      <c r="H1085" s="45" t="s">
        <v>7</v>
      </c>
      <c r="I1085" s="50" t="s">
        <v>22</v>
      </c>
      <c r="J1085" s="50">
        <v>46</v>
      </c>
      <c r="K1085" s="50" t="s">
        <v>21</v>
      </c>
      <c r="L1085" s="50">
        <v>5</v>
      </c>
      <c r="M1085" s="51">
        <v>47</v>
      </c>
    </row>
    <row r="1086" spans="5:13" x14ac:dyDescent="0.25">
      <c r="E1086" s="32">
        <v>1665</v>
      </c>
      <c r="F1086" s="43">
        <v>45462</v>
      </c>
      <c r="G1086" s="44">
        <v>2024</v>
      </c>
      <c r="H1086" s="52" t="s">
        <v>6</v>
      </c>
      <c r="I1086" s="46" t="s">
        <v>20</v>
      </c>
      <c r="J1086" s="46">
        <v>46</v>
      </c>
      <c r="K1086" s="46" t="s">
        <v>21</v>
      </c>
      <c r="L1086" s="46">
        <v>7</v>
      </c>
      <c r="M1086" s="47">
        <v>230</v>
      </c>
    </row>
    <row r="1087" spans="5:13" x14ac:dyDescent="0.25">
      <c r="E1087" s="33">
        <v>1231</v>
      </c>
      <c r="F1087" s="48">
        <v>45616</v>
      </c>
      <c r="G1087" s="49">
        <v>2024</v>
      </c>
      <c r="H1087" s="45" t="s">
        <v>11</v>
      </c>
      <c r="I1087" s="50" t="s">
        <v>22</v>
      </c>
      <c r="J1087" s="50">
        <v>24</v>
      </c>
      <c r="K1087" s="50" t="s">
        <v>24</v>
      </c>
      <c r="L1087" s="50">
        <v>6</v>
      </c>
      <c r="M1087" s="51">
        <v>207</v>
      </c>
    </row>
    <row r="1088" spans="5:13" x14ac:dyDescent="0.25">
      <c r="E1088" s="32">
        <v>266</v>
      </c>
      <c r="F1088" s="43">
        <v>45257</v>
      </c>
      <c r="G1088" s="44">
        <v>2023</v>
      </c>
      <c r="H1088" s="52" t="s">
        <v>11</v>
      </c>
      <c r="I1088" s="46" t="s">
        <v>22</v>
      </c>
      <c r="J1088" s="46">
        <v>32</v>
      </c>
      <c r="K1088" s="46" t="s">
        <v>21</v>
      </c>
      <c r="L1088" s="46">
        <v>3</v>
      </c>
      <c r="M1088" s="47">
        <v>30</v>
      </c>
    </row>
    <row r="1089" spans="5:13" x14ac:dyDescent="0.25">
      <c r="E1089" s="33">
        <v>68</v>
      </c>
      <c r="F1089" s="48">
        <v>44967</v>
      </c>
      <c r="G1089" s="49">
        <v>2023</v>
      </c>
      <c r="H1089" s="45" t="s">
        <v>2</v>
      </c>
      <c r="I1089" s="50" t="s">
        <v>20</v>
      </c>
      <c r="J1089" s="50">
        <v>25</v>
      </c>
      <c r="K1089" s="50" t="s">
        <v>24</v>
      </c>
      <c r="L1089" s="50">
        <v>1</v>
      </c>
      <c r="M1089" s="51">
        <v>300</v>
      </c>
    </row>
    <row r="1090" spans="5:13" x14ac:dyDescent="0.25">
      <c r="E1090" s="32">
        <v>205</v>
      </c>
      <c r="F1090" s="43">
        <v>45237</v>
      </c>
      <c r="G1090" s="44">
        <v>2023</v>
      </c>
      <c r="H1090" s="52" t="s">
        <v>11</v>
      </c>
      <c r="I1090" s="46" t="s">
        <v>22</v>
      </c>
      <c r="J1090" s="46">
        <v>43</v>
      </c>
      <c r="K1090" s="46" t="s">
        <v>23</v>
      </c>
      <c r="L1090" s="46">
        <v>1</v>
      </c>
      <c r="M1090" s="47">
        <v>25</v>
      </c>
    </row>
    <row r="1091" spans="5:13" x14ac:dyDescent="0.25">
      <c r="E1091" s="33">
        <v>1656</v>
      </c>
      <c r="F1091" s="48">
        <v>45411</v>
      </c>
      <c r="G1091" s="49">
        <v>2024</v>
      </c>
      <c r="H1091" s="45" t="s">
        <v>4</v>
      </c>
      <c r="I1091" s="50" t="s">
        <v>22</v>
      </c>
      <c r="J1091" s="50">
        <v>55</v>
      </c>
      <c r="K1091" s="50" t="s">
        <v>21</v>
      </c>
      <c r="L1091" s="50">
        <v>7</v>
      </c>
      <c r="M1091" s="51">
        <v>355</v>
      </c>
    </row>
    <row r="1092" spans="5:13" x14ac:dyDescent="0.25">
      <c r="E1092" s="32">
        <v>1079</v>
      </c>
      <c r="F1092" s="43">
        <v>45429</v>
      </c>
      <c r="G1092" s="44">
        <v>2024</v>
      </c>
      <c r="H1092" s="52" t="s">
        <v>5</v>
      </c>
      <c r="I1092" s="46" t="s">
        <v>20</v>
      </c>
      <c r="J1092" s="46">
        <v>65</v>
      </c>
      <c r="K1092" s="46" t="s">
        <v>24</v>
      </c>
      <c r="L1092" s="46">
        <v>3</v>
      </c>
      <c r="M1092" s="47">
        <v>224</v>
      </c>
    </row>
    <row r="1093" spans="5:13" x14ac:dyDescent="0.25">
      <c r="E1093" s="33">
        <v>1698</v>
      </c>
      <c r="F1093" s="48">
        <v>45500</v>
      </c>
      <c r="G1093" s="49">
        <v>2024</v>
      </c>
      <c r="H1093" s="45" t="s">
        <v>7</v>
      </c>
      <c r="I1093" s="50" t="s">
        <v>22</v>
      </c>
      <c r="J1093" s="50">
        <v>46</v>
      </c>
      <c r="K1093" s="50" t="s">
        <v>23</v>
      </c>
      <c r="L1093" s="50">
        <v>3</v>
      </c>
      <c r="M1093" s="51">
        <v>160</v>
      </c>
    </row>
    <row r="1094" spans="5:13" x14ac:dyDescent="0.25">
      <c r="E1094" s="32">
        <v>54</v>
      </c>
      <c r="F1094" s="43">
        <v>44967</v>
      </c>
      <c r="G1094" s="44">
        <v>2023</v>
      </c>
      <c r="H1094" s="52" t="s">
        <v>2</v>
      </c>
      <c r="I1094" s="46" t="s">
        <v>22</v>
      </c>
      <c r="J1094" s="46">
        <v>38</v>
      </c>
      <c r="K1094" s="46" t="s">
        <v>24</v>
      </c>
      <c r="L1094" s="46">
        <v>3</v>
      </c>
      <c r="M1094" s="47">
        <v>500</v>
      </c>
    </row>
    <row r="1095" spans="5:13" x14ac:dyDescent="0.25">
      <c r="E1095" s="33">
        <v>485</v>
      </c>
      <c r="F1095" s="48">
        <v>45025</v>
      </c>
      <c r="G1095" s="49">
        <v>2023</v>
      </c>
      <c r="H1095" s="45" t="s">
        <v>4</v>
      </c>
      <c r="I1095" s="50" t="s">
        <v>22</v>
      </c>
      <c r="J1095" s="50">
        <v>35</v>
      </c>
      <c r="K1095" s="50" t="s">
        <v>24</v>
      </c>
      <c r="L1095" s="50">
        <v>1</v>
      </c>
      <c r="M1095" s="51">
        <v>25</v>
      </c>
    </row>
    <row r="1096" spans="5:13" x14ac:dyDescent="0.25">
      <c r="E1096" s="32">
        <v>102</v>
      </c>
      <c r="F1096" s="43">
        <v>45044</v>
      </c>
      <c r="G1096" s="44">
        <v>2023</v>
      </c>
      <c r="H1096" s="52" t="s">
        <v>4</v>
      </c>
      <c r="I1096" s="46" t="s">
        <v>22</v>
      </c>
      <c r="J1096" s="46">
        <v>47</v>
      </c>
      <c r="K1096" s="46" t="s">
        <v>21</v>
      </c>
      <c r="L1096" s="46">
        <v>2</v>
      </c>
      <c r="M1096" s="47">
        <v>25</v>
      </c>
    </row>
    <row r="1097" spans="5:13" x14ac:dyDescent="0.25">
      <c r="E1097" s="33">
        <v>1413</v>
      </c>
      <c r="F1097" s="48">
        <v>45339</v>
      </c>
      <c r="G1097" s="49">
        <v>2024</v>
      </c>
      <c r="H1097" s="45" t="s">
        <v>2</v>
      </c>
      <c r="I1097" s="50" t="s">
        <v>20</v>
      </c>
      <c r="J1097" s="50">
        <v>40</v>
      </c>
      <c r="K1097" s="50" t="s">
        <v>24</v>
      </c>
      <c r="L1097" s="50">
        <v>2</v>
      </c>
      <c r="M1097" s="51">
        <v>131</v>
      </c>
    </row>
    <row r="1098" spans="5:13" x14ac:dyDescent="0.25">
      <c r="E1098" s="32">
        <v>968</v>
      </c>
      <c r="F1098" s="43">
        <v>45062</v>
      </c>
      <c r="G1098" s="44">
        <v>2023</v>
      </c>
      <c r="H1098" s="52" t="s">
        <v>5</v>
      </c>
      <c r="I1098" s="46" t="s">
        <v>20</v>
      </c>
      <c r="J1098" s="46">
        <v>59</v>
      </c>
      <c r="K1098" s="46" t="s">
        <v>24</v>
      </c>
      <c r="L1098" s="46">
        <v>4</v>
      </c>
      <c r="M1098" s="47">
        <v>500</v>
      </c>
    </row>
    <row r="1099" spans="5:13" x14ac:dyDescent="0.25">
      <c r="E1099" s="33">
        <v>1494</v>
      </c>
      <c r="F1099" s="48">
        <v>45567</v>
      </c>
      <c r="G1099" s="49">
        <v>2024</v>
      </c>
      <c r="H1099" s="45" t="s">
        <v>10</v>
      </c>
      <c r="I1099" s="50" t="s">
        <v>20</v>
      </c>
      <c r="J1099" s="50">
        <v>36</v>
      </c>
      <c r="K1099" s="50" t="s">
        <v>23</v>
      </c>
      <c r="L1099" s="50">
        <v>5</v>
      </c>
      <c r="M1099" s="51">
        <v>37</v>
      </c>
    </row>
    <row r="1100" spans="5:13" x14ac:dyDescent="0.25">
      <c r="E1100" s="32">
        <v>354</v>
      </c>
      <c r="F1100" s="43">
        <v>45269</v>
      </c>
      <c r="G1100" s="44">
        <v>2023</v>
      </c>
      <c r="H1100" s="52" t="s">
        <v>12</v>
      </c>
      <c r="I1100" s="46" t="s">
        <v>22</v>
      </c>
      <c r="J1100" s="46">
        <v>55</v>
      </c>
      <c r="K1100" s="46" t="s">
        <v>24</v>
      </c>
      <c r="L1100" s="46">
        <v>1</v>
      </c>
      <c r="M1100" s="47">
        <v>500</v>
      </c>
    </row>
    <row r="1101" spans="5:13" x14ac:dyDescent="0.25">
      <c r="E1101" s="33">
        <v>331</v>
      </c>
      <c r="F1101" s="48">
        <v>45022</v>
      </c>
      <c r="G1101" s="49">
        <v>2023</v>
      </c>
      <c r="H1101" s="45" t="s">
        <v>4</v>
      </c>
      <c r="I1101" s="50" t="s">
        <v>20</v>
      </c>
      <c r="J1101" s="50">
        <v>58</v>
      </c>
      <c r="K1101" s="50" t="s">
        <v>24</v>
      </c>
      <c r="L1101" s="50">
        <v>4</v>
      </c>
      <c r="M1101" s="51">
        <v>300</v>
      </c>
    </row>
    <row r="1102" spans="5:13" x14ac:dyDescent="0.25">
      <c r="E1102" s="32">
        <v>1544</v>
      </c>
      <c r="F1102" s="43">
        <v>45358</v>
      </c>
      <c r="G1102" s="44">
        <v>2024</v>
      </c>
      <c r="H1102" s="52" t="s">
        <v>3</v>
      </c>
      <c r="I1102" s="46" t="s">
        <v>20</v>
      </c>
      <c r="J1102" s="46">
        <v>26</v>
      </c>
      <c r="K1102" s="46" t="s">
        <v>23</v>
      </c>
      <c r="L1102" s="46">
        <v>7</v>
      </c>
      <c r="M1102" s="47">
        <v>372</v>
      </c>
    </row>
    <row r="1103" spans="5:13" x14ac:dyDescent="0.25">
      <c r="E1103" s="33">
        <v>1530</v>
      </c>
      <c r="F1103" s="48">
        <v>45612</v>
      </c>
      <c r="G1103" s="49">
        <v>2024</v>
      </c>
      <c r="H1103" s="45" t="s">
        <v>11</v>
      </c>
      <c r="I1103" s="50" t="s">
        <v>20</v>
      </c>
      <c r="J1103" s="50">
        <v>24</v>
      </c>
      <c r="K1103" s="50" t="s">
        <v>24</v>
      </c>
      <c r="L1103" s="50">
        <v>4</v>
      </c>
      <c r="M1103" s="51">
        <v>457</v>
      </c>
    </row>
    <row r="1104" spans="5:13" x14ac:dyDescent="0.25">
      <c r="E1104" s="32">
        <v>1678</v>
      </c>
      <c r="F1104" s="43">
        <v>45537</v>
      </c>
      <c r="G1104" s="44">
        <v>2024</v>
      </c>
      <c r="H1104" s="52" t="s">
        <v>9</v>
      </c>
      <c r="I1104" s="46" t="s">
        <v>20</v>
      </c>
      <c r="J1104" s="46">
        <v>28</v>
      </c>
      <c r="K1104" s="46" t="s">
        <v>21</v>
      </c>
      <c r="L1104" s="46">
        <v>7</v>
      </c>
      <c r="M1104" s="47">
        <v>204</v>
      </c>
    </row>
    <row r="1105" spans="5:13" x14ac:dyDescent="0.25">
      <c r="E1105" s="33">
        <v>1767</v>
      </c>
      <c r="F1105" s="48">
        <v>45639</v>
      </c>
      <c r="G1105" s="49">
        <v>2024</v>
      </c>
      <c r="H1105" s="45" t="s">
        <v>12</v>
      </c>
      <c r="I1105" s="50" t="s">
        <v>20</v>
      </c>
      <c r="J1105" s="50">
        <v>48</v>
      </c>
      <c r="K1105" s="50" t="s">
        <v>24</v>
      </c>
      <c r="L1105" s="50">
        <v>5</v>
      </c>
      <c r="M1105" s="51">
        <v>410</v>
      </c>
    </row>
    <row r="1106" spans="5:13" x14ac:dyDescent="0.25">
      <c r="E1106" s="32">
        <v>462</v>
      </c>
      <c r="F1106" s="43">
        <v>45138</v>
      </c>
      <c r="G1106" s="44">
        <v>2023</v>
      </c>
      <c r="H1106" s="52" t="s">
        <v>7</v>
      </c>
      <c r="I1106" s="46" t="s">
        <v>22</v>
      </c>
      <c r="J1106" s="46">
        <v>54</v>
      </c>
      <c r="K1106" s="46" t="s">
        <v>21</v>
      </c>
      <c r="L1106" s="46">
        <v>3</v>
      </c>
      <c r="M1106" s="47">
        <v>500</v>
      </c>
    </row>
    <row r="1107" spans="5:13" x14ac:dyDescent="0.25">
      <c r="E1107" s="33">
        <v>154</v>
      </c>
      <c r="F1107" s="48">
        <v>45201</v>
      </c>
      <c r="G1107" s="49">
        <v>2023</v>
      </c>
      <c r="H1107" s="45" t="s">
        <v>10</v>
      </c>
      <c r="I1107" s="50" t="s">
        <v>20</v>
      </c>
      <c r="J1107" s="50">
        <v>51</v>
      </c>
      <c r="K1107" s="50" t="s">
        <v>24</v>
      </c>
      <c r="L1107" s="50">
        <v>3</v>
      </c>
      <c r="M1107" s="51">
        <v>300</v>
      </c>
    </row>
    <row r="1108" spans="5:13" x14ac:dyDescent="0.25">
      <c r="E1108" s="32">
        <v>317</v>
      </c>
      <c r="F1108" s="43">
        <v>45223</v>
      </c>
      <c r="G1108" s="44">
        <v>2023</v>
      </c>
      <c r="H1108" s="52" t="s">
        <v>10</v>
      </c>
      <c r="I1108" s="46" t="s">
        <v>20</v>
      </c>
      <c r="J1108" s="46">
        <v>61</v>
      </c>
      <c r="K1108" s="46" t="s">
        <v>23</v>
      </c>
      <c r="L1108" s="46">
        <v>1</v>
      </c>
      <c r="M1108" s="47">
        <v>25</v>
      </c>
    </row>
    <row r="1109" spans="5:13" x14ac:dyDescent="0.25">
      <c r="E1109" s="33">
        <v>834</v>
      </c>
      <c r="F1109" s="48">
        <v>45035</v>
      </c>
      <c r="G1109" s="49">
        <v>2023</v>
      </c>
      <c r="H1109" s="45" t="s">
        <v>4</v>
      </c>
      <c r="I1109" s="50" t="s">
        <v>22</v>
      </c>
      <c r="J1109" s="50">
        <v>22</v>
      </c>
      <c r="K1109" s="50" t="s">
        <v>23</v>
      </c>
      <c r="L1109" s="50">
        <v>1</v>
      </c>
      <c r="M1109" s="51">
        <v>50</v>
      </c>
    </row>
    <row r="1110" spans="5:13" x14ac:dyDescent="0.25">
      <c r="E1110" s="32">
        <v>1461</v>
      </c>
      <c r="F1110" s="43">
        <v>45304</v>
      </c>
      <c r="G1110" s="44">
        <v>2024</v>
      </c>
      <c r="H1110" s="52" t="s">
        <v>1</v>
      </c>
      <c r="I1110" s="46" t="s">
        <v>20</v>
      </c>
      <c r="J1110" s="46">
        <v>45</v>
      </c>
      <c r="K1110" s="46" t="s">
        <v>24</v>
      </c>
      <c r="L1110" s="46">
        <v>2</v>
      </c>
      <c r="M1110" s="47">
        <v>333</v>
      </c>
    </row>
    <row r="1111" spans="5:13" x14ac:dyDescent="0.25">
      <c r="E1111" s="33">
        <v>895</v>
      </c>
      <c r="F1111" s="48">
        <v>45195</v>
      </c>
      <c r="G1111" s="49">
        <v>2023</v>
      </c>
      <c r="H1111" s="45" t="s">
        <v>9</v>
      </c>
      <c r="I1111" s="50" t="s">
        <v>22</v>
      </c>
      <c r="J1111" s="50">
        <v>64</v>
      </c>
      <c r="K1111" s="50" t="s">
        <v>24</v>
      </c>
      <c r="L1111" s="50">
        <v>2</v>
      </c>
      <c r="M1111" s="51">
        <v>50</v>
      </c>
    </row>
    <row r="1112" spans="5:13" x14ac:dyDescent="0.25">
      <c r="E1112" s="32">
        <v>1619</v>
      </c>
      <c r="F1112" s="43">
        <v>45526</v>
      </c>
      <c r="G1112" s="44">
        <v>2024</v>
      </c>
      <c r="H1112" s="52" t="s">
        <v>8</v>
      </c>
      <c r="I1112" s="46" t="s">
        <v>22</v>
      </c>
      <c r="J1112" s="46">
        <v>25</v>
      </c>
      <c r="K1112" s="46" t="s">
        <v>21</v>
      </c>
      <c r="L1112" s="46">
        <v>6</v>
      </c>
      <c r="M1112" s="47">
        <v>412</v>
      </c>
    </row>
    <row r="1113" spans="5:13" x14ac:dyDescent="0.25">
      <c r="E1113" s="33">
        <v>1886</v>
      </c>
      <c r="F1113" s="48">
        <v>45646</v>
      </c>
      <c r="G1113" s="49">
        <v>2024</v>
      </c>
      <c r="H1113" s="45" t="s">
        <v>12</v>
      </c>
      <c r="I1113" s="50" t="s">
        <v>20</v>
      </c>
      <c r="J1113" s="50">
        <v>50</v>
      </c>
      <c r="K1113" s="50" t="s">
        <v>24</v>
      </c>
      <c r="L1113" s="50">
        <v>1</v>
      </c>
      <c r="M1113" s="51">
        <v>355</v>
      </c>
    </row>
    <row r="1114" spans="5:13" x14ac:dyDescent="0.25">
      <c r="E1114" s="32">
        <v>590</v>
      </c>
      <c r="F1114" s="43">
        <v>44939</v>
      </c>
      <c r="G1114" s="44">
        <v>2023</v>
      </c>
      <c r="H1114" s="52" t="s">
        <v>1</v>
      </c>
      <c r="I1114" s="46" t="s">
        <v>20</v>
      </c>
      <c r="J1114" s="46">
        <v>53</v>
      </c>
      <c r="K1114" s="46" t="s">
        <v>24</v>
      </c>
      <c r="L1114" s="46">
        <v>4</v>
      </c>
      <c r="M1114" s="47">
        <v>25</v>
      </c>
    </row>
    <row r="1115" spans="5:13" x14ac:dyDescent="0.25">
      <c r="E1115" s="33">
        <v>1379</v>
      </c>
      <c r="F1115" s="48">
        <v>45438</v>
      </c>
      <c r="G1115" s="49">
        <v>2024</v>
      </c>
      <c r="H1115" s="45" t="s">
        <v>5</v>
      </c>
      <c r="I1115" s="50" t="s">
        <v>22</v>
      </c>
      <c r="J1115" s="50">
        <v>59</v>
      </c>
      <c r="K1115" s="50" t="s">
        <v>23</v>
      </c>
      <c r="L1115" s="50">
        <v>6</v>
      </c>
      <c r="M1115" s="51">
        <v>121</v>
      </c>
    </row>
    <row r="1116" spans="5:13" x14ac:dyDescent="0.25">
      <c r="E1116" s="32">
        <v>566</v>
      </c>
      <c r="F1116" s="43">
        <v>45091</v>
      </c>
      <c r="G1116" s="44">
        <v>2023</v>
      </c>
      <c r="H1116" s="52" t="s">
        <v>6</v>
      </c>
      <c r="I1116" s="46" t="s">
        <v>22</v>
      </c>
      <c r="J1116" s="46">
        <v>25</v>
      </c>
      <c r="K1116" s="46" t="s">
        <v>23</v>
      </c>
      <c r="L1116" s="46">
        <v>3</v>
      </c>
      <c r="M1116" s="47">
        <v>300</v>
      </c>
    </row>
    <row r="1117" spans="5:13" x14ac:dyDescent="0.25">
      <c r="E1117" s="33">
        <v>246</v>
      </c>
      <c r="F1117" s="48">
        <v>45203</v>
      </c>
      <c r="G1117" s="49">
        <v>2023</v>
      </c>
      <c r="H1117" s="45" t="s">
        <v>10</v>
      </c>
      <c r="I1117" s="50" t="s">
        <v>20</v>
      </c>
      <c r="J1117" s="50">
        <v>41</v>
      </c>
      <c r="K1117" s="50" t="s">
        <v>24</v>
      </c>
      <c r="L1117" s="50">
        <v>2</v>
      </c>
      <c r="M1117" s="51">
        <v>30</v>
      </c>
    </row>
    <row r="1118" spans="5:13" x14ac:dyDescent="0.25">
      <c r="E1118" s="32">
        <v>1668</v>
      </c>
      <c r="F1118" s="43">
        <v>45505</v>
      </c>
      <c r="G1118" s="44">
        <v>2024</v>
      </c>
      <c r="H1118" s="52" t="s">
        <v>8</v>
      </c>
      <c r="I1118" s="46" t="s">
        <v>22</v>
      </c>
      <c r="J1118" s="46">
        <v>28</v>
      </c>
      <c r="K1118" s="46" t="s">
        <v>21</v>
      </c>
      <c r="L1118" s="46">
        <v>3</v>
      </c>
      <c r="M1118" s="47">
        <v>435</v>
      </c>
    </row>
    <row r="1119" spans="5:13" x14ac:dyDescent="0.25">
      <c r="E1119" s="33">
        <v>1905</v>
      </c>
      <c r="F1119" s="48">
        <v>45566</v>
      </c>
      <c r="G1119" s="49">
        <v>2024</v>
      </c>
      <c r="H1119" s="45" t="s">
        <v>10</v>
      </c>
      <c r="I1119" s="50" t="s">
        <v>20</v>
      </c>
      <c r="J1119" s="50">
        <v>35</v>
      </c>
      <c r="K1119" s="50" t="s">
        <v>24</v>
      </c>
      <c r="L1119" s="50">
        <v>2</v>
      </c>
      <c r="M1119" s="51">
        <v>434</v>
      </c>
    </row>
    <row r="1120" spans="5:13" x14ac:dyDescent="0.25">
      <c r="E1120" s="32">
        <v>1991</v>
      </c>
      <c r="F1120" s="43">
        <v>45412</v>
      </c>
      <c r="G1120" s="44">
        <v>2024</v>
      </c>
      <c r="H1120" s="52" t="s">
        <v>4</v>
      </c>
      <c r="I1120" s="46" t="s">
        <v>22</v>
      </c>
      <c r="J1120" s="46">
        <v>26</v>
      </c>
      <c r="K1120" s="46" t="s">
        <v>23</v>
      </c>
      <c r="L1120" s="46">
        <v>6</v>
      </c>
      <c r="M1120" s="47">
        <v>294</v>
      </c>
    </row>
    <row r="1121" spans="5:13" x14ac:dyDescent="0.25">
      <c r="E1121" s="33">
        <v>674</v>
      </c>
      <c r="F1121" s="48">
        <v>45126</v>
      </c>
      <c r="G1121" s="49">
        <v>2023</v>
      </c>
      <c r="H1121" s="45" t="s">
        <v>7</v>
      </c>
      <c r="I1121" s="50" t="s">
        <v>20</v>
      </c>
      <c r="J1121" s="50">
        <v>63</v>
      </c>
      <c r="K1121" s="50" t="s">
        <v>24</v>
      </c>
      <c r="L1121" s="50">
        <v>3</v>
      </c>
      <c r="M1121" s="51">
        <v>500</v>
      </c>
    </row>
    <row r="1122" spans="5:13" x14ac:dyDescent="0.25">
      <c r="E1122" s="32">
        <v>1163</v>
      </c>
      <c r="F1122" s="43">
        <v>45549</v>
      </c>
      <c r="G1122" s="44">
        <v>2024</v>
      </c>
      <c r="H1122" s="52" t="s">
        <v>9</v>
      </c>
      <c r="I1122" s="46" t="s">
        <v>22</v>
      </c>
      <c r="J1122" s="46">
        <v>18</v>
      </c>
      <c r="K1122" s="46" t="s">
        <v>23</v>
      </c>
      <c r="L1122" s="46">
        <v>1</v>
      </c>
      <c r="M1122" s="47">
        <v>239</v>
      </c>
    </row>
    <row r="1123" spans="5:13" x14ac:dyDescent="0.25">
      <c r="E1123" s="33">
        <v>811</v>
      </c>
      <c r="F1123" s="48">
        <v>45202</v>
      </c>
      <c r="G1123" s="49">
        <v>2023</v>
      </c>
      <c r="H1123" s="45" t="s">
        <v>10</v>
      </c>
      <c r="I1123" s="50" t="s">
        <v>20</v>
      </c>
      <c r="J1123" s="50">
        <v>52</v>
      </c>
      <c r="K1123" s="50" t="s">
        <v>24</v>
      </c>
      <c r="L1123" s="50">
        <v>3</v>
      </c>
      <c r="M1123" s="51">
        <v>50</v>
      </c>
    </row>
    <row r="1124" spans="5:13" x14ac:dyDescent="0.25">
      <c r="E1124" s="32">
        <v>1618</v>
      </c>
      <c r="F1124" s="43">
        <v>45355</v>
      </c>
      <c r="G1124" s="44">
        <v>2024</v>
      </c>
      <c r="H1124" s="52" t="s">
        <v>3</v>
      </c>
      <c r="I1124" s="46" t="s">
        <v>22</v>
      </c>
      <c r="J1124" s="46">
        <v>45</v>
      </c>
      <c r="K1124" s="46" t="s">
        <v>21</v>
      </c>
      <c r="L1124" s="46">
        <v>2</v>
      </c>
      <c r="M1124" s="47">
        <v>208</v>
      </c>
    </row>
    <row r="1125" spans="5:13" x14ac:dyDescent="0.25">
      <c r="E1125" s="33">
        <v>1669</v>
      </c>
      <c r="F1125" s="48">
        <v>45323</v>
      </c>
      <c r="G1125" s="49">
        <v>2024</v>
      </c>
      <c r="H1125" s="45" t="s">
        <v>2</v>
      </c>
      <c r="I1125" s="50" t="s">
        <v>22</v>
      </c>
      <c r="J1125" s="50">
        <v>34</v>
      </c>
      <c r="K1125" s="50" t="s">
        <v>23</v>
      </c>
      <c r="L1125" s="50">
        <v>1</v>
      </c>
      <c r="M1125" s="51">
        <v>43</v>
      </c>
    </row>
    <row r="1126" spans="5:13" x14ac:dyDescent="0.25">
      <c r="E1126" s="32">
        <v>888</v>
      </c>
      <c r="F1126" s="43">
        <v>45280</v>
      </c>
      <c r="G1126" s="44">
        <v>2023</v>
      </c>
      <c r="H1126" s="52" t="s">
        <v>12</v>
      </c>
      <c r="I1126" s="46" t="s">
        <v>20</v>
      </c>
      <c r="J1126" s="46">
        <v>34</v>
      </c>
      <c r="K1126" s="46" t="s">
        <v>24</v>
      </c>
      <c r="L1126" s="46">
        <v>2</v>
      </c>
      <c r="M1126" s="47">
        <v>25</v>
      </c>
    </row>
    <row r="1127" spans="5:13" x14ac:dyDescent="0.25">
      <c r="E1127" s="33">
        <v>1256</v>
      </c>
      <c r="F1127" s="48">
        <v>45513</v>
      </c>
      <c r="G1127" s="49">
        <v>2024</v>
      </c>
      <c r="H1127" s="45" t="s">
        <v>8</v>
      </c>
      <c r="I1127" s="50" t="s">
        <v>22</v>
      </c>
      <c r="J1127" s="50">
        <v>18</v>
      </c>
      <c r="K1127" s="50" t="s">
        <v>23</v>
      </c>
      <c r="L1127" s="50">
        <v>6</v>
      </c>
      <c r="M1127" s="51">
        <v>73</v>
      </c>
    </row>
    <row r="1128" spans="5:13" x14ac:dyDescent="0.25">
      <c r="E1128" s="32">
        <v>546</v>
      </c>
      <c r="F1128" s="43">
        <v>44992</v>
      </c>
      <c r="G1128" s="44">
        <v>2023</v>
      </c>
      <c r="H1128" s="52" t="s">
        <v>3</v>
      </c>
      <c r="I1128" s="46" t="s">
        <v>20</v>
      </c>
      <c r="J1128" s="46">
        <v>63</v>
      </c>
      <c r="K1128" s="46" t="s">
        <v>23</v>
      </c>
      <c r="L1128" s="46">
        <v>4</v>
      </c>
      <c r="M1128" s="47">
        <v>500</v>
      </c>
    </row>
    <row r="1129" spans="5:13" x14ac:dyDescent="0.25">
      <c r="E1129" s="33">
        <v>770</v>
      </c>
      <c r="F1129" s="48">
        <v>45119</v>
      </c>
      <c r="G1129" s="49">
        <v>2023</v>
      </c>
      <c r="H1129" s="45" t="s">
        <v>7</v>
      </c>
      <c r="I1129" s="50" t="s">
        <v>20</v>
      </c>
      <c r="J1129" s="50">
        <v>26</v>
      </c>
      <c r="K1129" s="50" t="s">
        <v>24</v>
      </c>
      <c r="L1129" s="50">
        <v>1</v>
      </c>
      <c r="M1129" s="51">
        <v>30</v>
      </c>
    </row>
    <row r="1130" spans="5:13" x14ac:dyDescent="0.25">
      <c r="E1130" s="32">
        <v>1747</v>
      </c>
      <c r="F1130" s="43">
        <v>45535</v>
      </c>
      <c r="G1130" s="44">
        <v>2024</v>
      </c>
      <c r="H1130" s="52" t="s">
        <v>8</v>
      </c>
      <c r="I1130" s="46" t="s">
        <v>22</v>
      </c>
      <c r="J1130" s="46">
        <v>29</v>
      </c>
      <c r="K1130" s="46" t="s">
        <v>23</v>
      </c>
      <c r="L1130" s="46">
        <v>5</v>
      </c>
      <c r="M1130" s="47">
        <v>243</v>
      </c>
    </row>
    <row r="1131" spans="5:13" x14ac:dyDescent="0.25">
      <c r="E1131" s="33">
        <v>1373</v>
      </c>
      <c r="F1131" s="48">
        <v>45428</v>
      </c>
      <c r="G1131" s="49">
        <v>2024</v>
      </c>
      <c r="H1131" s="45" t="s">
        <v>5</v>
      </c>
      <c r="I1131" s="50" t="s">
        <v>22</v>
      </c>
      <c r="J1131" s="50">
        <v>53</v>
      </c>
      <c r="K1131" s="50" t="s">
        <v>21</v>
      </c>
      <c r="L1131" s="50">
        <v>6</v>
      </c>
      <c r="M1131" s="51">
        <v>124</v>
      </c>
    </row>
    <row r="1132" spans="5:13" x14ac:dyDescent="0.25">
      <c r="E1132" s="32">
        <v>450</v>
      </c>
      <c r="F1132" s="43">
        <v>45276</v>
      </c>
      <c r="G1132" s="44">
        <v>2023</v>
      </c>
      <c r="H1132" s="52" t="s">
        <v>12</v>
      </c>
      <c r="I1132" s="46" t="s">
        <v>22</v>
      </c>
      <c r="J1132" s="46">
        <v>45</v>
      </c>
      <c r="K1132" s="46" t="s">
        <v>24</v>
      </c>
      <c r="L1132" s="46">
        <v>1</v>
      </c>
      <c r="M1132" s="47">
        <v>30</v>
      </c>
    </row>
    <row r="1133" spans="5:13" x14ac:dyDescent="0.25">
      <c r="E1133" s="33">
        <v>1392</v>
      </c>
      <c r="F1133" s="48">
        <v>45632</v>
      </c>
      <c r="G1133" s="49">
        <v>2024</v>
      </c>
      <c r="H1133" s="45" t="s">
        <v>12</v>
      </c>
      <c r="I1133" s="50" t="s">
        <v>20</v>
      </c>
      <c r="J1133" s="50">
        <v>44</v>
      </c>
      <c r="K1133" s="50" t="s">
        <v>24</v>
      </c>
      <c r="L1133" s="50">
        <v>2</v>
      </c>
      <c r="M1133" s="51">
        <v>25</v>
      </c>
    </row>
    <row r="1134" spans="5:13" x14ac:dyDescent="0.25">
      <c r="E1134" s="32">
        <v>567</v>
      </c>
      <c r="F1134" s="43">
        <v>45165</v>
      </c>
      <c r="G1134" s="44">
        <v>2023</v>
      </c>
      <c r="H1134" s="52" t="s">
        <v>8</v>
      </c>
      <c r="I1134" s="46" t="s">
        <v>22</v>
      </c>
      <c r="J1134" s="46">
        <v>51</v>
      </c>
      <c r="K1134" s="46" t="s">
        <v>24</v>
      </c>
      <c r="L1134" s="46">
        <v>1</v>
      </c>
      <c r="M1134" s="47">
        <v>300</v>
      </c>
    </row>
    <row r="1135" spans="5:13" x14ac:dyDescent="0.25">
      <c r="E1135" s="33">
        <v>1697</v>
      </c>
      <c r="F1135" s="48">
        <v>45640</v>
      </c>
      <c r="G1135" s="49">
        <v>2024</v>
      </c>
      <c r="H1135" s="45" t="s">
        <v>12</v>
      </c>
      <c r="I1135" s="50" t="s">
        <v>22</v>
      </c>
      <c r="J1135" s="50">
        <v>31</v>
      </c>
      <c r="K1135" s="50" t="s">
        <v>21</v>
      </c>
      <c r="L1135" s="50">
        <v>5</v>
      </c>
      <c r="M1135" s="51">
        <v>90</v>
      </c>
    </row>
    <row r="1136" spans="5:13" x14ac:dyDescent="0.25">
      <c r="E1136" s="32">
        <v>649</v>
      </c>
      <c r="F1136" s="43">
        <v>45073</v>
      </c>
      <c r="G1136" s="44">
        <v>2023</v>
      </c>
      <c r="H1136" s="52" t="s">
        <v>5</v>
      </c>
      <c r="I1136" s="46" t="s">
        <v>20</v>
      </c>
      <c r="J1136" s="46">
        <v>51</v>
      </c>
      <c r="K1136" s="46" t="s">
        <v>23</v>
      </c>
      <c r="L1136" s="46">
        <v>3</v>
      </c>
      <c r="M1136" s="47">
        <v>50</v>
      </c>
    </row>
    <row r="1137" spans="5:13" x14ac:dyDescent="0.25">
      <c r="E1137" s="33">
        <v>806</v>
      </c>
      <c r="F1137" s="48">
        <v>45017</v>
      </c>
      <c r="G1137" s="49">
        <v>2023</v>
      </c>
      <c r="H1137" s="45" t="s">
        <v>4</v>
      </c>
      <c r="I1137" s="50" t="s">
        <v>20</v>
      </c>
      <c r="J1137" s="50">
        <v>33</v>
      </c>
      <c r="K1137" s="50" t="s">
        <v>21</v>
      </c>
      <c r="L1137" s="50">
        <v>4</v>
      </c>
      <c r="M1137" s="51">
        <v>500</v>
      </c>
    </row>
    <row r="1138" spans="5:13" x14ac:dyDescent="0.25">
      <c r="E1138" s="32">
        <v>1299</v>
      </c>
      <c r="F1138" s="43">
        <v>45487</v>
      </c>
      <c r="G1138" s="44">
        <v>2024</v>
      </c>
      <c r="H1138" s="52" t="s">
        <v>7</v>
      </c>
      <c r="I1138" s="46" t="s">
        <v>20</v>
      </c>
      <c r="J1138" s="46">
        <v>35</v>
      </c>
      <c r="K1138" s="46" t="s">
        <v>21</v>
      </c>
      <c r="L1138" s="46">
        <v>7</v>
      </c>
      <c r="M1138" s="47">
        <v>232</v>
      </c>
    </row>
    <row r="1139" spans="5:13" x14ac:dyDescent="0.25">
      <c r="E1139" s="33">
        <v>394</v>
      </c>
      <c r="F1139" s="48">
        <v>45266</v>
      </c>
      <c r="G1139" s="49">
        <v>2023</v>
      </c>
      <c r="H1139" s="45" t="s">
        <v>12</v>
      </c>
      <c r="I1139" s="50" t="s">
        <v>20</v>
      </c>
      <c r="J1139" s="50">
        <v>50</v>
      </c>
      <c r="K1139" s="50" t="s">
        <v>24</v>
      </c>
      <c r="L1139" s="50">
        <v>2</v>
      </c>
      <c r="M1139" s="51">
        <v>500</v>
      </c>
    </row>
    <row r="1140" spans="5:13" x14ac:dyDescent="0.25">
      <c r="E1140" s="32">
        <v>1048</v>
      </c>
      <c r="F1140" s="43">
        <v>45528</v>
      </c>
      <c r="G1140" s="44">
        <v>2024</v>
      </c>
      <c r="H1140" s="52" t="s">
        <v>8</v>
      </c>
      <c r="I1140" s="46" t="s">
        <v>22</v>
      </c>
      <c r="J1140" s="46">
        <v>55</v>
      </c>
      <c r="K1140" s="46" t="s">
        <v>21</v>
      </c>
      <c r="L1140" s="46">
        <v>5</v>
      </c>
      <c r="M1140" s="47">
        <v>420</v>
      </c>
    </row>
    <row r="1141" spans="5:13" x14ac:dyDescent="0.25">
      <c r="E1141" s="33">
        <v>459</v>
      </c>
      <c r="F1141" s="48">
        <v>45048</v>
      </c>
      <c r="G1141" s="49">
        <v>2023</v>
      </c>
      <c r="H1141" s="45" t="s">
        <v>5</v>
      </c>
      <c r="I1141" s="50" t="s">
        <v>20</v>
      </c>
      <c r="J1141" s="50">
        <v>40</v>
      </c>
      <c r="K1141" s="50" t="s">
        <v>21</v>
      </c>
      <c r="L1141" s="50">
        <v>1</v>
      </c>
      <c r="M1141" s="51">
        <v>50</v>
      </c>
    </row>
    <row r="1142" spans="5:13" x14ac:dyDescent="0.25">
      <c r="E1142" s="32">
        <v>1926</v>
      </c>
      <c r="F1142" s="43">
        <v>45422</v>
      </c>
      <c r="G1142" s="44">
        <v>2024</v>
      </c>
      <c r="H1142" s="52" t="s">
        <v>5</v>
      </c>
      <c r="I1142" s="46" t="s">
        <v>20</v>
      </c>
      <c r="J1142" s="46">
        <v>20</v>
      </c>
      <c r="K1142" s="46" t="s">
        <v>23</v>
      </c>
      <c r="L1142" s="46">
        <v>7</v>
      </c>
      <c r="M1142" s="47">
        <v>271</v>
      </c>
    </row>
    <row r="1143" spans="5:13" x14ac:dyDescent="0.25">
      <c r="E1143" s="33">
        <v>348</v>
      </c>
      <c r="F1143" s="48">
        <v>45225</v>
      </c>
      <c r="G1143" s="49">
        <v>2023</v>
      </c>
      <c r="H1143" s="45" t="s">
        <v>10</v>
      </c>
      <c r="I1143" s="50" t="s">
        <v>22</v>
      </c>
      <c r="J1143" s="50">
        <v>57</v>
      </c>
      <c r="K1143" s="50" t="s">
        <v>21</v>
      </c>
      <c r="L1143" s="50">
        <v>1</v>
      </c>
      <c r="M1143" s="51">
        <v>50</v>
      </c>
    </row>
    <row r="1144" spans="5:13" x14ac:dyDescent="0.25">
      <c r="E1144" s="32">
        <v>1427</v>
      </c>
      <c r="F1144" s="43">
        <v>45511</v>
      </c>
      <c r="G1144" s="44">
        <v>2024</v>
      </c>
      <c r="H1144" s="52" t="s">
        <v>8</v>
      </c>
      <c r="I1144" s="46" t="s">
        <v>22</v>
      </c>
      <c r="J1144" s="46">
        <v>65</v>
      </c>
      <c r="K1144" s="46" t="s">
        <v>24</v>
      </c>
      <c r="L1144" s="46">
        <v>7</v>
      </c>
      <c r="M1144" s="47">
        <v>300</v>
      </c>
    </row>
    <row r="1145" spans="5:13" x14ac:dyDescent="0.25">
      <c r="E1145" s="33">
        <v>754</v>
      </c>
      <c r="F1145" s="48">
        <v>45165</v>
      </c>
      <c r="G1145" s="49">
        <v>2023</v>
      </c>
      <c r="H1145" s="45" t="s">
        <v>8</v>
      </c>
      <c r="I1145" s="50" t="s">
        <v>22</v>
      </c>
      <c r="J1145" s="50">
        <v>62</v>
      </c>
      <c r="K1145" s="50" t="s">
        <v>24</v>
      </c>
      <c r="L1145" s="50">
        <v>4</v>
      </c>
      <c r="M1145" s="51">
        <v>300</v>
      </c>
    </row>
    <row r="1146" spans="5:13" x14ac:dyDescent="0.25">
      <c r="E1146" s="32">
        <v>284</v>
      </c>
      <c r="F1146" s="43">
        <v>45153</v>
      </c>
      <c r="G1146" s="44">
        <v>2023</v>
      </c>
      <c r="H1146" s="52" t="s">
        <v>8</v>
      </c>
      <c r="I1146" s="46" t="s">
        <v>22</v>
      </c>
      <c r="J1146" s="46">
        <v>31</v>
      </c>
      <c r="K1146" s="46" t="s">
        <v>24</v>
      </c>
      <c r="L1146" s="46">
        <v>1</v>
      </c>
      <c r="M1146" s="47">
        <v>25</v>
      </c>
    </row>
    <row r="1147" spans="5:13" x14ac:dyDescent="0.25">
      <c r="E1147" s="33">
        <v>220</v>
      </c>
      <c r="F1147" s="48">
        <v>45053</v>
      </c>
      <c r="G1147" s="49">
        <v>2023</v>
      </c>
      <c r="H1147" s="45" t="s">
        <v>5</v>
      </c>
      <c r="I1147" s="50" t="s">
        <v>20</v>
      </c>
      <c r="J1147" s="50">
        <v>39</v>
      </c>
      <c r="K1147" s="50" t="s">
        <v>21</v>
      </c>
      <c r="L1147" s="50">
        <v>2</v>
      </c>
      <c r="M1147" s="51">
        <v>300</v>
      </c>
    </row>
    <row r="1148" spans="5:13" x14ac:dyDescent="0.25">
      <c r="E1148" s="32">
        <v>282</v>
      </c>
      <c r="F1148" s="43">
        <v>45054</v>
      </c>
      <c r="G1148" s="44">
        <v>2023</v>
      </c>
      <c r="H1148" s="52" t="s">
        <v>5</v>
      </c>
      <c r="I1148" s="46" t="s">
        <v>22</v>
      </c>
      <c r="J1148" s="46">
        <v>18</v>
      </c>
      <c r="K1148" s="46" t="s">
        <v>24</v>
      </c>
      <c r="L1148" s="46">
        <v>1</v>
      </c>
      <c r="M1148" s="47">
        <v>500</v>
      </c>
    </row>
    <row r="1149" spans="5:13" x14ac:dyDescent="0.25">
      <c r="E1149" s="33">
        <v>524</v>
      </c>
      <c r="F1149" s="48">
        <v>45278</v>
      </c>
      <c r="G1149" s="49">
        <v>2023</v>
      </c>
      <c r="H1149" s="45" t="s">
        <v>12</v>
      </c>
      <c r="I1149" s="50" t="s">
        <v>22</v>
      </c>
      <c r="J1149" s="50">
        <v>47</v>
      </c>
      <c r="K1149" s="50" t="s">
        <v>21</v>
      </c>
      <c r="L1149" s="50">
        <v>2</v>
      </c>
      <c r="M1149" s="51">
        <v>25</v>
      </c>
    </row>
    <row r="1150" spans="5:13" x14ac:dyDescent="0.25">
      <c r="E1150" s="32">
        <v>1374</v>
      </c>
      <c r="F1150" s="43">
        <v>45360</v>
      </c>
      <c r="G1150" s="44">
        <v>2024</v>
      </c>
      <c r="H1150" s="52" t="s">
        <v>3</v>
      </c>
      <c r="I1150" s="46" t="s">
        <v>22</v>
      </c>
      <c r="J1150" s="46">
        <v>65</v>
      </c>
      <c r="K1150" s="46" t="s">
        <v>23</v>
      </c>
      <c r="L1150" s="46">
        <v>2</v>
      </c>
      <c r="M1150" s="47">
        <v>386</v>
      </c>
    </row>
    <row r="1151" spans="5:13" x14ac:dyDescent="0.25">
      <c r="E1151" s="33">
        <v>1158</v>
      </c>
      <c r="F1151" s="48">
        <v>45515</v>
      </c>
      <c r="G1151" s="49">
        <v>2024</v>
      </c>
      <c r="H1151" s="45" t="s">
        <v>8</v>
      </c>
      <c r="I1151" s="50" t="s">
        <v>22</v>
      </c>
      <c r="J1151" s="50">
        <v>37</v>
      </c>
      <c r="K1151" s="50" t="s">
        <v>23</v>
      </c>
      <c r="L1151" s="50">
        <v>1</v>
      </c>
      <c r="M1151" s="51">
        <v>192</v>
      </c>
    </row>
    <row r="1152" spans="5:13" x14ac:dyDescent="0.25">
      <c r="E1152" s="32">
        <v>1339</v>
      </c>
      <c r="F1152" s="43">
        <v>45589</v>
      </c>
      <c r="G1152" s="44">
        <v>2024</v>
      </c>
      <c r="H1152" s="52" t="s">
        <v>10</v>
      </c>
      <c r="I1152" s="46" t="s">
        <v>22</v>
      </c>
      <c r="J1152" s="46">
        <v>53</v>
      </c>
      <c r="K1152" s="46" t="s">
        <v>23</v>
      </c>
      <c r="L1152" s="46">
        <v>1</v>
      </c>
      <c r="M1152" s="47">
        <v>414</v>
      </c>
    </row>
    <row r="1153" spans="5:13" x14ac:dyDescent="0.25">
      <c r="E1153" s="33">
        <v>117</v>
      </c>
      <c r="F1153" s="48">
        <v>45000</v>
      </c>
      <c r="G1153" s="49">
        <v>2023</v>
      </c>
      <c r="H1153" s="45" t="s">
        <v>3</v>
      </c>
      <c r="I1153" s="50" t="s">
        <v>20</v>
      </c>
      <c r="J1153" s="50">
        <v>19</v>
      </c>
      <c r="K1153" s="50" t="s">
        <v>24</v>
      </c>
      <c r="L1153" s="50">
        <v>2</v>
      </c>
      <c r="M1153" s="51">
        <v>500</v>
      </c>
    </row>
    <row r="1154" spans="5:13" x14ac:dyDescent="0.25">
      <c r="E1154" s="32">
        <v>441</v>
      </c>
      <c r="F1154" s="43">
        <v>45002</v>
      </c>
      <c r="G1154" s="44">
        <v>2023</v>
      </c>
      <c r="H1154" s="52" t="s">
        <v>3</v>
      </c>
      <c r="I1154" s="46" t="s">
        <v>22</v>
      </c>
      <c r="J1154" s="46">
        <v>60</v>
      </c>
      <c r="K1154" s="46" t="s">
        <v>23</v>
      </c>
      <c r="L1154" s="46">
        <v>4</v>
      </c>
      <c r="M1154" s="47">
        <v>25</v>
      </c>
    </row>
    <row r="1155" spans="5:13" x14ac:dyDescent="0.25">
      <c r="E1155" s="33">
        <v>1012</v>
      </c>
      <c r="F1155" s="48">
        <v>45308</v>
      </c>
      <c r="G1155" s="49">
        <v>2024</v>
      </c>
      <c r="H1155" s="45" t="s">
        <v>1</v>
      </c>
      <c r="I1155" s="50" t="s">
        <v>20</v>
      </c>
      <c r="J1155" s="50">
        <v>54</v>
      </c>
      <c r="K1155" s="50" t="s">
        <v>23</v>
      </c>
      <c r="L1155" s="50">
        <v>6</v>
      </c>
      <c r="M1155" s="51">
        <v>149</v>
      </c>
    </row>
    <row r="1156" spans="5:13" x14ac:dyDescent="0.25">
      <c r="E1156" s="32">
        <v>976</v>
      </c>
      <c r="F1156" s="43">
        <v>45007</v>
      </c>
      <c r="G1156" s="44">
        <v>2023</v>
      </c>
      <c r="H1156" s="52" t="s">
        <v>3</v>
      </c>
      <c r="I1156" s="46" t="s">
        <v>22</v>
      </c>
      <c r="J1156" s="46">
        <v>53</v>
      </c>
      <c r="K1156" s="46" t="s">
        <v>23</v>
      </c>
      <c r="L1156" s="46">
        <v>3</v>
      </c>
      <c r="M1156" s="47">
        <v>50</v>
      </c>
    </row>
    <row r="1157" spans="5:13" x14ac:dyDescent="0.25">
      <c r="E1157" s="33">
        <v>1511</v>
      </c>
      <c r="F1157" s="48">
        <v>45352</v>
      </c>
      <c r="G1157" s="49">
        <v>2024</v>
      </c>
      <c r="H1157" s="45" t="s">
        <v>3</v>
      </c>
      <c r="I1157" s="50" t="s">
        <v>22</v>
      </c>
      <c r="J1157" s="50">
        <v>36</v>
      </c>
      <c r="K1157" s="50" t="s">
        <v>24</v>
      </c>
      <c r="L1157" s="50">
        <v>6</v>
      </c>
      <c r="M1157" s="51">
        <v>479</v>
      </c>
    </row>
    <row r="1158" spans="5:13" x14ac:dyDescent="0.25">
      <c r="E1158" s="32">
        <v>1128</v>
      </c>
      <c r="F1158" s="43">
        <v>45363</v>
      </c>
      <c r="G1158" s="44">
        <v>2024</v>
      </c>
      <c r="H1158" s="52" t="s">
        <v>3</v>
      </c>
      <c r="I1158" s="46" t="s">
        <v>22</v>
      </c>
      <c r="J1158" s="46">
        <v>40</v>
      </c>
      <c r="K1158" s="46" t="s">
        <v>23</v>
      </c>
      <c r="L1158" s="46">
        <v>3</v>
      </c>
      <c r="M1158" s="47">
        <v>20</v>
      </c>
    </row>
    <row r="1159" spans="5:13" x14ac:dyDescent="0.25">
      <c r="E1159" s="33">
        <v>849</v>
      </c>
      <c r="F1159" s="48">
        <v>45177</v>
      </c>
      <c r="G1159" s="49">
        <v>2023</v>
      </c>
      <c r="H1159" s="45" t="s">
        <v>9</v>
      </c>
      <c r="I1159" s="50" t="s">
        <v>20</v>
      </c>
      <c r="J1159" s="50">
        <v>32</v>
      </c>
      <c r="K1159" s="50" t="s">
        <v>24</v>
      </c>
      <c r="L1159" s="50">
        <v>2</v>
      </c>
      <c r="M1159" s="51">
        <v>25</v>
      </c>
    </row>
    <row r="1160" spans="5:13" x14ac:dyDescent="0.25">
      <c r="E1160" s="32">
        <v>1027</v>
      </c>
      <c r="F1160" s="43">
        <v>45522</v>
      </c>
      <c r="G1160" s="44">
        <v>2024</v>
      </c>
      <c r="H1160" s="52" t="s">
        <v>8</v>
      </c>
      <c r="I1160" s="46" t="s">
        <v>22</v>
      </c>
      <c r="J1160" s="46">
        <v>19</v>
      </c>
      <c r="K1160" s="46" t="s">
        <v>24</v>
      </c>
      <c r="L1160" s="46">
        <v>5</v>
      </c>
      <c r="M1160" s="47">
        <v>90</v>
      </c>
    </row>
    <row r="1161" spans="5:13" x14ac:dyDescent="0.25">
      <c r="E1161" s="33">
        <v>239</v>
      </c>
      <c r="F1161" s="48">
        <v>44963</v>
      </c>
      <c r="G1161" s="49">
        <v>2023</v>
      </c>
      <c r="H1161" s="45" t="s">
        <v>2</v>
      </c>
      <c r="I1161" s="50" t="s">
        <v>22</v>
      </c>
      <c r="J1161" s="50">
        <v>23</v>
      </c>
      <c r="K1161" s="50" t="s">
        <v>21</v>
      </c>
      <c r="L1161" s="50">
        <v>1</v>
      </c>
      <c r="M1161" s="51">
        <v>300</v>
      </c>
    </row>
    <row r="1162" spans="5:13" x14ac:dyDescent="0.25">
      <c r="E1162" s="32">
        <v>1891</v>
      </c>
      <c r="F1162" s="43">
        <v>45434</v>
      </c>
      <c r="G1162" s="44">
        <v>2024</v>
      </c>
      <c r="H1162" s="52" t="s">
        <v>5</v>
      </c>
      <c r="I1162" s="46" t="s">
        <v>22</v>
      </c>
      <c r="J1162" s="46">
        <v>56</v>
      </c>
      <c r="K1162" s="46" t="s">
        <v>23</v>
      </c>
      <c r="L1162" s="46">
        <v>2</v>
      </c>
      <c r="M1162" s="47">
        <v>286</v>
      </c>
    </row>
    <row r="1163" spans="5:13" x14ac:dyDescent="0.25">
      <c r="E1163" s="33">
        <v>1100</v>
      </c>
      <c r="F1163" s="48">
        <v>45410</v>
      </c>
      <c r="G1163" s="49">
        <v>2024</v>
      </c>
      <c r="H1163" s="45" t="s">
        <v>4</v>
      </c>
      <c r="I1163" s="50" t="s">
        <v>22</v>
      </c>
      <c r="J1163" s="50">
        <v>65</v>
      </c>
      <c r="K1163" s="50" t="s">
        <v>21</v>
      </c>
      <c r="L1163" s="50">
        <v>5</v>
      </c>
      <c r="M1163" s="51">
        <v>46</v>
      </c>
    </row>
    <row r="1164" spans="5:13" x14ac:dyDescent="0.25">
      <c r="E1164" s="32">
        <v>1548</v>
      </c>
      <c r="F1164" s="43">
        <v>45487</v>
      </c>
      <c r="G1164" s="44">
        <v>2024</v>
      </c>
      <c r="H1164" s="52" t="s">
        <v>7</v>
      </c>
      <c r="I1164" s="46" t="s">
        <v>20</v>
      </c>
      <c r="J1164" s="46">
        <v>30</v>
      </c>
      <c r="K1164" s="46" t="s">
        <v>24</v>
      </c>
      <c r="L1164" s="46">
        <v>3</v>
      </c>
      <c r="M1164" s="47">
        <v>283</v>
      </c>
    </row>
    <row r="1165" spans="5:13" x14ac:dyDescent="0.25">
      <c r="E1165" s="33">
        <v>771</v>
      </c>
      <c r="F1165" s="48">
        <v>45130</v>
      </c>
      <c r="G1165" s="49">
        <v>2023</v>
      </c>
      <c r="H1165" s="45" t="s">
        <v>7</v>
      </c>
      <c r="I1165" s="50" t="s">
        <v>20</v>
      </c>
      <c r="J1165" s="50">
        <v>25</v>
      </c>
      <c r="K1165" s="50" t="s">
        <v>24</v>
      </c>
      <c r="L1165" s="50">
        <v>4</v>
      </c>
      <c r="M1165" s="51">
        <v>500</v>
      </c>
    </row>
    <row r="1166" spans="5:13" x14ac:dyDescent="0.25">
      <c r="E1166" s="32">
        <v>828</v>
      </c>
      <c r="F1166" s="43">
        <v>45099</v>
      </c>
      <c r="G1166" s="44">
        <v>2023</v>
      </c>
      <c r="H1166" s="52" t="s">
        <v>6</v>
      </c>
      <c r="I1166" s="46" t="s">
        <v>22</v>
      </c>
      <c r="J1166" s="46">
        <v>64</v>
      </c>
      <c r="K1166" s="46" t="s">
        <v>23</v>
      </c>
      <c r="L1166" s="46">
        <v>3</v>
      </c>
      <c r="M1166" s="47">
        <v>50</v>
      </c>
    </row>
    <row r="1167" spans="5:13" x14ac:dyDescent="0.25">
      <c r="E1167" s="33">
        <v>451</v>
      </c>
      <c r="F1167" s="48">
        <v>45054</v>
      </c>
      <c r="G1167" s="49">
        <v>2023</v>
      </c>
      <c r="H1167" s="45" t="s">
        <v>5</v>
      </c>
      <c r="I1167" s="50" t="s">
        <v>22</v>
      </c>
      <c r="J1167" s="50">
        <v>48</v>
      </c>
      <c r="K1167" s="50" t="s">
        <v>23</v>
      </c>
      <c r="L1167" s="50">
        <v>3</v>
      </c>
      <c r="M1167" s="51">
        <v>500</v>
      </c>
    </row>
    <row r="1168" spans="5:13" x14ac:dyDescent="0.25">
      <c r="E1168" s="32">
        <v>745</v>
      </c>
      <c r="F1168" s="43">
        <v>45245</v>
      </c>
      <c r="G1168" s="44">
        <v>2023</v>
      </c>
      <c r="H1168" s="52" t="s">
        <v>11</v>
      </c>
      <c r="I1168" s="46" t="s">
        <v>20</v>
      </c>
      <c r="J1168" s="46">
        <v>23</v>
      </c>
      <c r="K1168" s="46" t="s">
        <v>21</v>
      </c>
      <c r="L1168" s="46">
        <v>1</v>
      </c>
      <c r="M1168" s="47">
        <v>30</v>
      </c>
    </row>
    <row r="1169" spans="5:13" x14ac:dyDescent="0.25">
      <c r="E1169" s="33">
        <v>1114</v>
      </c>
      <c r="F1169" s="48">
        <v>45527</v>
      </c>
      <c r="G1169" s="49">
        <v>2024</v>
      </c>
      <c r="H1169" s="45" t="s">
        <v>8</v>
      </c>
      <c r="I1169" s="50" t="s">
        <v>22</v>
      </c>
      <c r="J1169" s="50">
        <v>18</v>
      </c>
      <c r="K1169" s="50" t="s">
        <v>23</v>
      </c>
      <c r="L1169" s="50">
        <v>4</v>
      </c>
      <c r="M1169" s="51">
        <v>267</v>
      </c>
    </row>
    <row r="1170" spans="5:13" x14ac:dyDescent="0.25">
      <c r="E1170" s="32">
        <v>15</v>
      </c>
      <c r="F1170" s="43">
        <v>44942</v>
      </c>
      <c r="G1170" s="44">
        <v>2023</v>
      </c>
      <c r="H1170" s="52" t="s">
        <v>1</v>
      </c>
      <c r="I1170" s="46" t="s">
        <v>22</v>
      </c>
      <c r="J1170" s="46">
        <v>42</v>
      </c>
      <c r="K1170" s="46" t="s">
        <v>24</v>
      </c>
      <c r="L1170" s="46">
        <v>4</v>
      </c>
      <c r="M1170" s="47">
        <v>500</v>
      </c>
    </row>
    <row r="1171" spans="5:13" x14ac:dyDescent="0.25">
      <c r="E1171" s="33">
        <v>1935</v>
      </c>
      <c r="F1171" s="48">
        <v>45644</v>
      </c>
      <c r="G1171" s="49">
        <v>2024</v>
      </c>
      <c r="H1171" s="45" t="s">
        <v>12</v>
      </c>
      <c r="I1171" s="50" t="s">
        <v>22</v>
      </c>
      <c r="J1171" s="50">
        <v>38</v>
      </c>
      <c r="K1171" s="50" t="s">
        <v>24</v>
      </c>
      <c r="L1171" s="50">
        <v>1</v>
      </c>
      <c r="M1171" s="51">
        <v>189</v>
      </c>
    </row>
    <row r="1172" spans="5:13" x14ac:dyDescent="0.25">
      <c r="E1172" s="32">
        <v>1620</v>
      </c>
      <c r="F1172" s="43">
        <v>45361</v>
      </c>
      <c r="G1172" s="44">
        <v>2024</v>
      </c>
      <c r="H1172" s="52" t="s">
        <v>3</v>
      </c>
      <c r="I1172" s="46" t="s">
        <v>20</v>
      </c>
      <c r="J1172" s="46">
        <v>51</v>
      </c>
      <c r="K1172" s="46" t="s">
        <v>23</v>
      </c>
      <c r="L1172" s="46">
        <v>2</v>
      </c>
      <c r="M1172" s="47">
        <v>116</v>
      </c>
    </row>
    <row r="1173" spans="5:13" x14ac:dyDescent="0.25">
      <c r="E1173" s="33">
        <v>1608</v>
      </c>
      <c r="F1173" s="48">
        <v>45346</v>
      </c>
      <c r="G1173" s="49">
        <v>2024</v>
      </c>
      <c r="H1173" s="45" t="s">
        <v>2</v>
      </c>
      <c r="I1173" s="50" t="s">
        <v>20</v>
      </c>
      <c r="J1173" s="50">
        <v>64</v>
      </c>
      <c r="K1173" s="50" t="s">
        <v>21</v>
      </c>
      <c r="L1173" s="50">
        <v>4</v>
      </c>
      <c r="M1173" s="51">
        <v>134</v>
      </c>
    </row>
    <row r="1174" spans="5:13" x14ac:dyDescent="0.25">
      <c r="E1174" s="32">
        <v>730</v>
      </c>
      <c r="F1174" s="43">
        <v>44968</v>
      </c>
      <c r="G1174" s="44">
        <v>2023</v>
      </c>
      <c r="H1174" s="52" t="s">
        <v>2</v>
      </c>
      <c r="I1174" s="46" t="s">
        <v>20</v>
      </c>
      <c r="J1174" s="46">
        <v>61</v>
      </c>
      <c r="K1174" s="46" t="s">
        <v>24</v>
      </c>
      <c r="L1174" s="46">
        <v>2</v>
      </c>
      <c r="M1174" s="47">
        <v>500</v>
      </c>
    </row>
    <row r="1175" spans="5:13" x14ac:dyDescent="0.25">
      <c r="E1175" s="33">
        <v>781</v>
      </c>
      <c r="F1175" s="48">
        <v>45277</v>
      </c>
      <c r="G1175" s="49">
        <v>2023</v>
      </c>
      <c r="H1175" s="45" t="s">
        <v>12</v>
      </c>
      <c r="I1175" s="50" t="s">
        <v>22</v>
      </c>
      <c r="J1175" s="50">
        <v>56</v>
      </c>
      <c r="K1175" s="50" t="s">
        <v>23</v>
      </c>
      <c r="L1175" s="50">
        <v>1</v>
      </c>
      <c r="M1175" s="51">
        <v>300</v>
      </c>
    </row>
    <row r="1176" spans="5:13" x14ac:dyDescent="0.25">
      <c r="E1176" s="32">
        <v>52</v>
      </c>
      <c r="F1176" s="43">
        <v>44990</v>
      </c>
      <c r="G1176" s="44">
        <v>2023</v>
      </c>
      <c r="H1176" s="52" t="s">
        <v>3</v>
      </c>
      <c r="I1176" s="46" t="s">
        <v>22</v>
      </c>
      <c r="J1176" s="46">
        <v>36</v>
      </c>
      <c r="K1176" s="46" t="s">
        <v>21</v>
      </c>
      <c r="L1176" s="46">
        <v>1</v>
      </c>
      <c r="M1176" s="47">
        <v>300</v>
      </c>
    </row>
    <row r="1177" spans="5:13" x14ac:dyDescent="0.25">
      <c r="E1177" s="33">
        <v>1000</v>
      </c>
      <c r="F1177" s="48">
        <v>45349</v>
      </c>
      <c r="G1177" s="49">
        <v>2024</v>
      </c>
      <c r="H1177" s="45" t="s">
        <v>2</v>
      </c>
      <c r="I1177" s="50" t="s">
        <v>22</v>
      </c>
      <c r="J1177" s="50">
        <v>61</v>
      </c>
      <c r="K1177" s="50" t="s">
        <v>23</v>
      </c>
      <c r="L1177" s="50">
        <v>1</v>
      </c>
      <c r="M1177" s="51">
        <v>328</v>
      </c>
    </row>
    <row r="1178" spans="5:13" x14ac:dyDescent="0.25">
      <c r="E1178" s="32">
        <v>886</v>
      </c>
      <c r="F1178" s="43">
        <v>44988</v>
      </c>
      <c r="G1178" s="44">
        <v>2023</v>
      </c>
      <c r="H1178" s="52" t="s">
        <v>3</v>
      </c>
      <c r="I1178" s="46" t="s">
        <v>22</v>
      </c>
      <c r="J1178" s="46">
        <v>52</v>
      </c>
      <c r="K1178" s="46" t="s">
        <v>24</v>
      </c>
      <c r="L1178" s="46">
        <v>4</v>
      </c>
      <c r="M1178" s="47">
        <v>25</v>
      </c>
    </row>
    <row r="1179" spans="5:13" x14ac:dyDescent="0.25">
      <c r="E1179" s="33">
        <v>1129</v>
      </c>
      <c r="F1179" s="48">
        <v>45553</v>
      </c>
      <c r="G1179" s="49">
        <v>2024</v>
      </c>
      <c r="H1179" s="45" t="s">
        <v>9</v>
      </c>
      <c r="I1179" s="50" t="s">
        <v>22</v>
      </c>
      <c r="J1179" s="50">
        <v>54</v>
      </c>
      <c r="K1179" s="50" t="s">
        <v>21</v>
      </c>
      <c r="L1179" s="50">
        <v>6</v>
      </c>
      <c r="M1179" s="51">
        <v>468</v>
      </c>
    </row>
    <row r="1180" spans="5:13" x14ac:dyDescent="0.25">
      <c r="E1180" s="32">
        <v>1863</v>
      </c>
      <c r="F1180" s="43">
        <v>45449</v>
      </c>
      <c r="G1180" s="44">
        <v>2024</v>
      </c>
      <c r="H1180" s="52" t="s">
        <v>6</v>
      </c>
      <c r="I1180" s="46" t="s">
        <v>20</v>
      </c>
      <c r="J1180" s="46">
        <v>62</v>
      </c>
      <c r="K1180" s="46" t="s">
        <v>24</v>
      </c>
      <c r="L1180" s="46">
        <v>2</v>
      </c>
      <c r="M1180" s="47">
        <v>306</v>
      </c>
    </row>
    <row r="1181" spans="5:13" x14ac:dyDescent="0.25">
      <c r="E1181" s="33">
        <v>410</v>
      </c>
      <c r="F1181" s="48">
        <v>45062</v>
      </c>
      <c r="G1181" s="49">
        <v>2023</v>
      </c>
      <c r="H1181" s="45" t="s">
        <v>5</v>
      </c>
      <c r="I1181" s="50" t="s">
        <v>20</v>
      </c>
      <c r="J1181" s="50">
        <v>62</v>
      </c>
      <c r="K1181" s="50" t="s">
        <v>24</v>
      </c>
      <c r="L1181" s="50">
        <v>4</v>
      </c>
      <c r="M1181" s="51">
        <v>50</v>
      </c>
    </row>
    <row r="1182" spans="5:13" x14ac:dyDescent="0.25">
      <c r="E1182" s="32">
        <v>1008</v>
      </c>
      <c r="F1182" s="43">
        <v>45572</v>
      </c>
      <c r="G1182" s="44">
        <v>2024</v>
      </c>
      <c r="H1182" s="52" t="s">
        <v>10</v>
      </c>
      <c r="I1182" s="46" t="s">
        <v>22</v>
      </c>
      <c r="J1182" s="46">
        <v>48</v>
      </c>
      <c r="K1182" s="46" t="s">
        <v>23</v>
      </c>
      <c r="L1182" s="46">
        <v>6</v>
      </c>
      <c r="M1182" s="47">
        <v>417</v>
      </c>
    </row>
    <row r="1183" spans="5:13" x14ac:dyDescent="0.25">
      <c r="E1183" s="33">
        <v>312</v>
      </c>
      <c r="F1183" s="48">
        <v>45006</v>
      </c>
      <c r="G1183" s="49">
        <v>2023</v>
      </c>
      <c r="H1183" s="45" t="s">
        <v>3</v>
      </c>
      <c r="I1183" s="50" t="s">
        <v>22</v>
      </c>
      <c r="J1183" s="50">
        <v>55</v>
      </c>
      <c r="K1183" s="50" t="s">
        <v>21</v>
      </c>
      <c r="L1183" s="50">
        <v>3</v>
      </c>
      <c r="M1183" s="51">
        <v>500</v>
      </c>
    </row>
    <row r="1184" spans="5:13" x14ac:dyDescent="0.25">
      <c r="E1184" s="32">
        <v>816</v>
      </c>
      <c r="F1184" s="43">
        <v>45064</v>
      </c>
      <c r="G1184" s="44">
        <v>2023</v>
      </c>
      <c r="H1184" s="52" t="s">
        <v>5</v>
      </c>
      <c r="I1184" s="46" t="s">
        <v>20</v>
      </c>
      <c r="J1184" s="46">
        <v>30</v>
      </c>
      <c r="K1184" s="46" t="s">
        <v>24</v>
      </c>
      <c r="L1184" s="46">
        <v>1</v>
      </c>
      <c r="M1184" s="47">
        <v>500</v>
      </c>
    </row>
    <row r="1185" spans="5:13" x14ac:dyDescent="0.25">
      <c r="E1185" s="33">
        <v>647</v>
      </c>
      <c r="F1185" s="48">
        <v>45152</v>
      </c>
      <c r="G1185" s="49">
        <v>2023</v>
      </c>
      <c r="H1185" s="45" t="s">
        <v>8</v>
      </c>
      <c r="I1185" s="50" t="s">
        <v>20</v>
      </c>
      <c r="J1185" s="50">
        <v>53</v>
      </c>
      <c r="K1185" s="50" t="s">
        <v>21</v>
      </c>
      <c r="L1185" s="50">
        <v>4</v>
      </c>
      <c r="M1185" s="51">
        <v>300</v>
      </c>
    </row>
    <row r="1186" spans="5:13" x14ac:dyDescent="0.25">
      <c r="E1186" s="32">
        <v>1655</v>
      </c>
      <c r="F1186" s="43">
        <v>45370</v>
      </c>
      <c r="G1186" s="44">
        <v>2024</v>
      </c>
      <c r="H1186" s="52" t="s">
        <v>3</v>
      </c>
      <c r="I1186" s="46" t="s">
        <v>22</v>
      </c>
      <c r="J1186" s="46">
        <v>40</v>
      </c>
      <c r="K1186" s="46" t="s">
        <v>24</v>
      </c>
      <c r="L1186" s="46">
        <v>6</v>
      </c>
      <c r="M1186" s="47">
        <v>278</v>
      </c>
    </row>
    <row r="1187" spans="5:13" x14ac:dyDescent="0.25">
      <c r="E1187" s="33">
        <v>528</v>
      </c>
      <c r="F1187" s="48">
        <v>45147</v>
      </c>
      <c r="G1187" s="49">
        <v>2023</v>
      </c>
      <c r="H1187" s="45" t="s">
        <v>8</v>
      </c>
      <c r="I1187" s="50" t="s">
        <v>22</v>
      </c>
      <c r="J1187" s="50">
        <v>35</v>
      </c>
      <c r="K1187" s="50" t="s">
        <v>23</v>
      </c>
      <c r="L1187" s="50">
        <v>3</v>
      </c>
      <c r="M1187" s="51">
        <v>50</v>
      </c>
    </row>
    <row r="1188" spans="5:13" x14ac:dyDescent="0.25">
      <c r="E1188" s="32">
        <v>973</v>
      </c>
      <c r="F1188" s="43">
        <v>45015</v>
      </c>
      <c r="G1188" s="44">
        <v>2023</v>
      </c>
      <c r="H1188" s="52" t="s">
        <v>3</v>
      </c>
      <c r="I1188" s="46" t="s">
        <v>22</v>
      </c>
      <c r="J1188" s="46">
        <v>56</v>
      </c>
      <c r="K1188" s="46" t="s">
        <v>23</v>
      </c>
      <c r="L1188" s="46">
        <v>4</v>
      </c>
      <c r="M1188" s="47">
        <v>50</v>
      </c>
    </row>
    <row r="1189" spans="5:13" x14ac:dyDescent="0.25">
      <c r="E1189" s="33">
        <v>875</v>
      </c>
      <c r="F1189" s="48">
        <v>45096</v>
      </c>
      <c r="G1189" s="49">
        <v>2023</v>
      </c>
      <c r="H1189" s="45" t="s">
        <v>6</v>
      </c>
      <c r="I1189" s="50" t="s">
        <v>22</v>
      </c>
      <c r="J1189" s="50">
        <v>58</v>
      </c>
      <c r="K1189" s="50" t="s">
        <v>23</v>
      </c>
      <c r="L1189" s="50">
        <v>1</v>
      </c>
      <c r="M1189" s="51">
        <v>25</v>
      </c>
    </row>
    <row r="1190" spans="5:13" x14ac:dyDescent="0.25">
      <c r="E1190" s="32">
        <v>945</v>
      </c>
      <c r="F1190" s="43">
        <v>44987</v>
      </c>
      <c r="G1190" s="44">
        <v>2023</v>
      </c>
      <c r="H1190" s="52" t="s">
        <v>3</v>
      </c>
      <c r="I1190" s="46" t="s">
        <v>20</v>
      </c>
      <c r="J1190" s="46">
        <v>50</v>
      </c>
      <c r="K1190" s="46" t="s">
        <v>21</v>
      </c>
      <c r="L1190" s="46">
        <v>1</v>
      </c>
      <c r="M1190" s="47">
        <v>300</v>
      </c>
    </row>
    <row r="1191" spans="5:13" x14ac:dyDescent="0.25">
      <c r="E1191" s="33">
        <v>405</v>
      </c>
      <c r="F1191" s="48">
        <v>45034</v>
      </c>
      <c r="G1191" s="49">
        <v>2023</v>
      </c>
      <c r="H1191" s="45" t="s">
        <v>4</v>
      </c>
      <c r="I1191" s="50" t="s">
        <v>22</v>
      </c>
      <c r="J1191" s="50">
        <v>22</v>
      </c>
      <c r="K1191" s="50" t="s">
        <v>21</v>
      </c>
      <c r="L1191" s="50">
        <v>4</v>
      </c>
      <c r="M1191" s="51">
        <v>25</v>
      </c>
    </row>
    <row r="1192" spans="5:13" x14ac:dyDescent="0.25">
      <c r="E1192" s="32">
        <v>116</v>
      </c>
      <c r="F1192" s="43">
        <v>45161</v>
      </c>
      <c r="G1192" s="44">
        <v>2023</v>
      </c>
      <c r="H1192" s="52" t="s">
        <v>8</v>
      </c>
      <c r="I1192" s="46" t="s">
        <v>22</v>
      </c>
      <c r="J1192" s="46">
        <v>23</v>
      </c>
      <c r="K1192" s="46" t="s">
        <v>23</v>
      </c>
      <c r="L1192" s="46">
        <v>1</v>
      </c>
      <c r="M1192" s="47">
        <v>30</v>
      </c>
    </row>
    <row r="1193" spans="5:13" x14ac:dyDescent="0.25">
      <c r="E1193" s="33">
        <v>1699</v>
      </c>
      <c r="F1193" s="48">
        <v>45377</v>
      </c>
      <c r="G1193" s="49">
        <v>2024</v>
      </c>
      <c r="H1193" s="45" t="s">
        <v>3</v>
      </c>
      <c r="I1193" s="50" t="s">
        <v>20</v>
      </c>
      <c r="J1193" s="50">
        <v>22</v>
      </c>
      <c r="K1193" s="50" t="s">
        <v>24</v>
      </c>
      <c r="L1193" s="50">
        <v>6</v>
      </c>
      <c r="M1193" s="51">
        <v>70</v>
      </c>
    </row>
    <row r="1194" spans="5:13" x14ac:dyDescent="0.25">
      <c r="E1194" s="32">
        <v>1503</v>
      </c>
      <c r="F1194" s="43">
        <v>45347</v>
      </c>
      <c r="G1194" s="44">
        <v>2024</v>
      </c>
      <c r="H1194" s="52" t="s">
        <v>2</v>
      </c>
      <c r="I1194" s="46" t="s">
        <v>20</v>
      </c>
      <c r="J1194" s="46">
        <v>33</v>
      </c>
      <c r="K1194" s="46" t="s">
        <v>21</v>
      </c>
      <c r="L1194" s="46">
        <v>4</v>
      </c>
      <c r="M1194" s="47">
        <v>312</v>
      </c>
    </row>
    <row r="1195" spans="5:13" x14ac:dyDescent="0.25">
      <c r="E1195" s="33">
        <v>1306</v>
      </c>
      <c r="F1195" s="48">
        <v>45649</v>
      </c>
      <c r="G1195" s="49">
        <v>2024</v>
      </c>
      <c r="H1195" s="45" t="s">
        <v>12</v>
      </c>
      <c r="I1195" s="50" t="s">
        <v>22</v>
      </c>
      <c r="J1195" s="50">
        <v>33</v>
      </c>
      <c r="K1195" s="50" t="s">
        <v>21</v>
      </c>
      <c r="L1195" s="50">
        <v>2</v>
      </c>
      <c r="M1195" s="51">
        <v>331</v>
      </c>
    </row>
    <row r="1196" spans="5:13" x14ac:dyDescent="0.25">
      <c r="E1196" s="32">
        <v>1912</v>
      </c>
      <c r="F1196" s="43">
        <v>45650</v>
      </c>
      <c r="G1196" s="44">
        <v>2024</v>
      </c>
      <c r="H1196" s="52" t="s">
        <v>12</v>
      </c>
      <c r="I1196" s="46" t="s">
        <v>22</v>
      </c>
      <c r="J1196" s="46">
        <v>53</v>
      </c>
      <c r="K1196" s="46" t="s">
        <v>24</v>
      </c>
      <c r="L1196" s="46">
        <v>4</v>
      </c>
      <c r="M1196" s="47">
        <v>341</v>
      </c>
    </row>
    <row r="1197" spans="5:13" x14ac:dyDescent="0.25">
      <c r="E1197" s="33">
        <v>502</v>
      </c>
      <c r="F1197" s="48">
        <v>45224</v>
      </c>
      <c r="G1197" s="49">
        <v>2023</v>
      </c>
      <c r="H1197" s="45" t="s">
        <v>10</v>
      </c>
      <c r="I1197" s="50" t="s">
        <v>20</v>
      </c>
      <c r="J1197" s="50">
        <v>45</v>
      </c>
      <c r="K1197" s="50" t="s">
        <v>21</v>
      </c>
      <c r="L1197" s="50">
        <v>4</v>
      </c>
      <c r="M1197" s="51">
        <v>500</v>
      </c>
    </row>
    <row r="1198" spans="5:13" x14ac:dyDescent="0.25">
      <c r="E1198" s="32">
        <v>1029</v>
      </c>
      <c r="F1198" s="43">
        <v>45435</v>
      </c>
      <c r="G1198" s="44">
        <v>2024</v>
      </c>
      <c r="H1198" s="52" t="s">
        <v>5</v>
      </c>
      <c r="I1198" s="46" t="s">
        <v>20</v>
      </c>
      <c r="J1198" s="46">
        <v>63</v>
      </c>
      <c r="K1198" s="46" t="s">
        <v>24</v>
      </c>
      <c r="L1198" s="46">
        <v>4</v>
      </c>
      <c r="M1198" s="47">
        <v>159</v>
      </c>
    </row>
    <row r="1199" spans="5:13" x14ac:dyDescent="0.25">
      <c r="E1199" s="33">
        <v>1739</v>
      </c>
      <c r="F1199" s="48">
        <v>45307</v>
      </c>
      <c r="G1199" s="49">
        <v>2024</v>
      </c>
      <c r="H1199" s="45" t="s">
        <v>1</v>
      </c>
      <c r="I1199" s="50" t="s">
        <v>22</v>
      </c>
      <c r="J1199" s="50">
        <v>57</v>
      </c>
      <c r="K1199" s="50" t="s">
        <v>21</v>
      </c>
      <c r="L1199" s="50">
        <v>2</v>
      </c>
      <c r="M1199" s="51">
        <v>489</v>
      </c>
    </row>
    <row r="1200" spans="5:13" x14ac:dyDescent="0.25">
      <c r="E1200" s="32">
        <v>107</v>
      </c>
      <c r="F1200" s="43">
        <v>44960</v>
      </c>
      <c r="G1200" s="44">
        <v>2023</v>
      </c>
      <c r="H1200" s="52" t="s">
        <v>2</v>
      </c>
      <c r="I1200" s="46" t="s">
        <v>22</v>
      </c>
      <c r="J1200" s="46">
        <v>21</v>
      </c>
      <c r="K1200" s="46" t="s">
        <v>23</v>
      </c>
      <c r="L1200" s="46">
        <v>4</v>
      </c>
      <c r="M1200" s="47">
        <v>300</v>
      </c>
    </row>
    <row r="1201" spans="5:13" x14ac:dyDescent="0.25">
      <c r="E1201" s="33">
        <v>28</v>
      </c>
      <c r="F1201" s="48">
        <v>45039</v>
      </c>
      <c r="G1201" s="49">
        <v>2023</v>
      </c>
      <c r="H1201" s="45" t="s">
        <v>4</v>
      </c>
      <c r="I1201" s="50" t="s">
        <v>22</v>
      </c>
      <c r="J1201" s="50">
        <v>43</v>
      </c>
      <c r="K1201" s="50" t="s">
        <v>21</v>
      </c>
      <c r="L1201" s="50">
        <v>1</v>
      </c>
      <c r="M1201" s="51">
        <v>500</v>
      </c>
    </row>
    <row r="1202" spans="5:13" x14ac:dyDescent="0.25">
      <c r="E1202" s="32">
        <v>1571</v>
      </c>
      <c r="F1202" s="43">
        <v>45535</v>
      </c>
      <c r="G1202" s="44">
        <v>2024</v>
      </c>
      <c r="H1202" s="52" t="s">
        <v>8</v>
      </c>
      <c r="I1202" s="46" t="s">
        <v>22</v>
      </c>
      <c r="J1202" s="46">
        <v>21</v>
      </c>
      <c r="K1202" s="46" t="s">
        <v>24</v>
      </c>
      <c r="L1202" s="46">
        <v>5</v>
      </c>
      <c r="M1202" s="47">
        <v>148</v>
      </c>
    </row>
    <row r="1203" spans="5:13" x14ac:dyDescent="0.25">
      <c r="E1203" s="33">
        <v>1638</v>
      </c>
      <c r="F1203" s="48">
        <v>45619</v>
      </c>
      <c r="G1203" s="49">
        <v>2024</v>
      </c>
      <c r="H1203" s="45" t="s">
        <v>11</v>
      </c>
      <c r="I1203" s="50" t="s">
        <v>22</v>
      </c>
      <c r="J1203" s="50">
        <v>29</v>
      </c>
      <c r="K1203" s="50" t="s">
        <v>24</v>
      </c>
      <c r="L1203" s="50">
        <v>3</v>
      </c>
      <c r="M1203" s="51">
        <v>177</v>
      </c>
    </row>
    <row r="1204" spans="5:13" x14ac:dyDescent="0.25">
      <c r="E1204" s="32">
        <v>1574</v>
      </c>
      <c r="F1204" s="43">
        <v>45335</v>
      </c>
      <c r="G1204" s="44">
        <v>2024</v>
      </c>
      <c r="H1204" s="52" t="s">
        <v>2</v>
      </c>
      <c r="I1204" s="46" t="s">
        <v>20</v>
      </c>
      <c r="J1204" s="46">
        <v>65</v>
      </c>
      <c r="K1204" s="46" t="s">
        <v>21</v>
      </c>
      <c r="L1204" s="46">
        <v>3</v>
      </c>
      <c r="M1204" s="47">
        <v>348</v>
      </c>
    </row>
    <row r="1205" spans="5:13" x14ac:dyDescent="0.25">
      <c r="E1205" s="33">
        <v>947</v>
      </c>
      <c r="F1205" s="48">
        <v>45140</v>
      </c>
      <c r="G1205" s="49">
        <v>2023</v>
      </c>
      <c r="H1205" s="45" t="s">
        <v>8</v>
      </c>
      <c r="I1205" s="50" t="s">
        <v>22</v>
      </c>
      <c r="J1205" s="50">
        <v>41</v>
      </c>
      <c r="K1205" s="50" t="s">
        <v>24</v>
      </c>
      <c r="L1205" s="50">
        <v>2</v>
      </c>
      <c r="M1205" s="51">
        <v>25</v>
      </c>
    </row>
    <row r="1206" spans="5:13" x14ac:dyDescent="0.25">
      <c r="E1206" s="32">
        <v>1182</v>
      </c>
      <c r="F1206" s="43">
        <v>45301</v>
      </c>
      <c r="G1206" s="44">
        <v>2024</v>
      </c>
      <c r="H1206" s="52" t="s">
        <v>1</v>
      </c>
      <c r="I1206" s="46" t="s">
        <v>20</v>
      </c>
      <c r="J1206" s="46">
        <v>59</v>
      </c>
      <c r="K1206" s="46" t="s">
        <v>24</v>
      </c>
      <c r="L1206" s="46">
        <v>2</v>
      </c>
      <c r="M1206" s="47">
        <v>328</v>
      </c>
    </row>
    <row r="1207" spans="5:13" x14ac:dyDescent="0.25">
      <c r="E1207" s="33">
        <v>926</v>
      </c>
      <c r="F1207" s="48">
        <v>45021</v>
      </c>
      <c r="G1207" s="49">
        <v>2023</v>
      </c>
      <c r="H1207" s="45" t="s">
        <v>4</v>
      </c>
      <c r="I1207" s="50" t="s">
        <v>22</v>
      </c>
      <c r="J1207" s="50">
        <v>35</v>
      </c>
      <c r="K1207" s="50" t="s">
        <v>23</v>
      </c>
      <c r="L1207" s="50">
        <v>4</v>
      </c>
      <c r="M1207" s="51">
        <v>300</v>
      </c>
    </row>
    <row r="1208" spans="5:13" x14ac:dyDescent="0.25">
      <c r="E1208" s="32">
        <v>987</v>
      </c>
      <c r="F1208" s="43">
        <v>45288</v>
      </c>
      <c r="G1208" s="44">
        <v>2023</v>
      </c>
      <c r="H1208" s="52" t="s">
        <v>12</v>
      </c>
      <c r="I1208" s="46" t="s">
        <v>22</v>
      </c>
      <c r="J1208" s="46">
        <v>44</v>
      </c>
      <c r="K1208" s="46" t="s">
        <v>24</v>
      </c>
      <c r="L1208" s="46">
        <v>1</v>
      </c>
      <c r="M1208" s="47">
        <v>25</v>
      </c>
    </row>
    <row r="1209" spans="5:13" x14ac:dyDescent="0.25">
      <c r="E1209" s="33">
        <v>80</v>
      </c>
      <c r="F1209" s="48">
        <v>45270</v>
      </c>
      <c r="G1209" s="49">
        <v>2023</v>
      </c>
      <c r="H1209" s="45" t="s">
        <v>12</v>
      </c>
      <c r="I1209" s="50" t="s">
        <v>22</v>
      </c>
      <c r="J1209" s="50">
        <v>64</v>
      </c>
      <c r="K1209" s="50" t="s">
        <v>23</v>
      </c>
      <c r="L1209" s="50">
        <v>2</v>
      </c>
      <c r="M1209" s="51">
        <v>30</v>
      </c>
    </row>
    <row r="1210" spans="5:13" x14ac:dyDescent="0.25">
      <c r="E1210" s="32">
        <v>497</v>
      </c>
      <c r="F1210" s="43">
        <v>45096</v>
      </c>
      <c r="G1210" s="44">
        <v>2023</v>
      </c>
      <c r="H1210" s="52" t="s">
        <v>6</v>
      </c>
      <c r="I1210" s="46" t="s">
        <v>22</v>
      </c>
      <c r="J1210" s="46">
        <v>50</v>
      </c>
      <c r="K1210" s="46" t="s">
        <v>23</v>
      </c>
      <c r="L1210" s="46">
        <v>4</v>
      </c>
      <c r="M1210" s="47">
        <v>25</v>
      </c>
    </row>
    <row r="1211" spans="5:13" x14ac:dyDescent="0.25">
      <c r="E1211" s="33">
        <v>919</v>
      </c>
      <c r="F1211" s="48">
        <v>44933</v>
      </c>
      <c r="G1211" s="49">
        <v>2023</v>
      </c>
      <c r="H1211" s="45" t="s">
        <v>1</v>
      </c>
      <c r="I1211" s="50" t="s">
        <v>20</v>
      </c>
      <c r="J1211" s="50">
        <v>51</v>
      </c>
      <c r="K1211" s="50" t="s">
        <v>24</v>
      </c>
      <c r="L1211" s="50">
        <v>3</v>
      </c>
      <c r="M1211" s="51">
        <v>25</v>
      </c>
    </row>
    <row r="1212" spans="5:13" x14ac:dyDescent="0.25">
      <c r="E1212" s="32">
        <v>1505</v>
      </c>
      <c r="F1212" s="43">
        <v>45515</v>
      </c>
      <c r="G1212" s="44">
        <v>2024</v>
      </c>
      <c r="H1212" s="52" t="s">
        <v>8</v>
      </c>
      <c r="I1212" s="46" t="s">
        <v>20</v>
      </c>
      <c r="J1212" s="46">
        <v>24</v>
      </c>
      <c r="K1212" s="46" t="s">
        <v>21</v>
      </c>
      <c r="L1212" s="46">
        <v>4</v>
      </c>
      <c r="M1212" s="47">
        <v>371</v>
      </c>
    </row>
    <row r="1213" spans="5:13" x14ac:dyDescent="0.25">
      <c r="E1213" s="33">
        <v>985</v>
      </c>
      <c r="F1213" s="48">
        <v>45045</v>
      </c>
      <c r="G1213" s="49">
        <v>2023</v>
      </c>
      <c r="H1213" s="45" t="s">
        <v>4</v>
      </c>
      <c r="I1213" s="50" t="s">
        <v>22</v>
      </c>
      <c r="J1213" s="50">
        <v>30</v>
      </c>
      <c r="K1213" s="50" t="s">
        <v>23</v>
      </c>
      <c r="L1213" s="50">
        <v>3</v>
      </c>
      <c r="M1213" s="51">
        <v>300</v>
      </c>
    </row>
    <row r="1214" spans="5:13" x14ac:dyDescent="0.25">
      <c r="E1214" s="32">
        <v>1074</v>
      </c>
      <c r="F1214" s="43">
        <v>45376</v>
      </c>
      <c r="G1214" s="44">
        <v>2024</v>
      </c>
      <c r="H1214" s="52" t="s">
        <v>3</v>
      </c>
      <c r="I1214" s="46" t="s">
        <v>22</v>
      </c>
      <c r="J1214" s="46">
        <v>34</v>
      </c>
      <c r="K1214" s="46" t="s">
        <v>24</v>
      </c>
      <c r="L1214" s="46">
        <v>4</v>
      </c>
      <c r="M1214" s="47">
        <v>392</v>
      </c>
    </row>
    <row r="1215" spans="5:13" x14ac:dyDescent="0.25">
      <c r="E1215" s="33">
        <v>1324</v>
      </c>
      <c r="F1215" s="48">
        <v>45564</v>
      </c>
      <c r="G1215" s="49">
        <v>2024</v>
      </c>
      <c r="H1215" s="45" t="s">
        <v>9</v>
      </c>
      <c r="I1215" s="50" t="s">
        <v>20</v>
      </c>
      <c r="J1215" s="50">
        <v>52</v>
      </c>
      <c r="K1215" s="50" t="s">
        <v>24</v>
      </c>
      <c r="L1215" s="50">
        <v>3</v>
      </c>
      <c r="M1215" s="51">
        <v>247</v>
      </c>
    </row>
    <row r="1216" spans="5:13" x14ac:dyDescent="0.25">
      <c r="E1216" s="32">
        <v>13</v>
      </c>
      <c r="F1216" s="43">
        <v>45143</v>
      </c>
      <c r="G1216" s="44">
        <v>2023</v>
      </c>
      <c r="H1216" s="52" t="s">
        <v>8</v>
      </c>
      <c r="I1216" s="46" t="s">
        <v>20</v>
      </c>
      <c r="J1216" s="46">
        <v>22</v>
      </c>
      <c r="K1216" s="46" t="s">
        <v>24</v>
      </c>
      <c r="L1216" s="46">
        <v>3</v>
      </c>
      <c r="M1216" s="47">
        <v>500</v>
      </c>
    </row>
    <row r="1217" spans="5:13" x14ac:dyDescent="0.25">
      <c r="E1217" s="33">
        <v>1232</v>
      </c>
      <c r="F1217" s="48">
        <v>45322</v>
      </c>
      <c r="G1217" s="49">
        <v>2024</v>
      </c>
      <c r="H1217" s="45" t="s">
        <v>1</v>
      </c>
      <c r="I1217" s="50" t="s">
        <v>22</v>
      </c>
      <c r="J1217" s="50">
        <v>21</v>
      </c>
      <c r="K1217" s="50" t="s">
        <v>24</v>
      </c>
      <c r="L1217" s="50">
        <v>3</v>
      </c>
      <c r="M1217" s="51">
        <v>497</v>
      </c>
    </row>
    <row r="1218" spans="5:13" x14ac:dyDescent="0.25">
      <c r="E1218" s="32">
        <v>644</v>
      </c>
      <c r="F1218" s="43">
        <v>45247</v>
      </c>
      <c r="G1218" s="44">
        <v>2023</v>
      </c>
      <c r="H1218" s="52" t="s">
        <v>11</v>
      </c>
      <c r="I1218" s="46" t="s">
        <v>22</v>
      </c>
      <c r="J1218" s="46">
        <v>35</v>
      </c>
      <c r="K1218" s="46" t="s">
        <v>24</v>
      </c>
      <c r="L1218" s="46">
        <v>4</v>
      </c>
      <c r="M1218" s="47">
        <v>30</v>
      </c>
    </row>
    <row r="1219" spans="5:13" x14ac:dyDescent="0.25">
      <c r="E1219" s="33">
        <v>1184</v>
      </c>
      <c r="F1219" s="48">
        <v>45478</v>
      </c>
      <c r="G1219" s="49">
        <v>2024</v>
      </c>
      <c r="H1219" s="45" t="s">
        <v>7</v>
      </c>
      <c r="I1219" s="50" t="s">
        <v>20</v>
      </c>
      <c r="J1219" s="50">
        <v>49</v>
      </c>
      <c r="K1219" s="50" t="s">
        <v>23</v>
      </c>
      <c r="L1219" s="50">
        <v>2</v>
      </c>
      <c r="M1219" s="51">
        <v>493</v>
      </c>
    </row>
    <row r="1220" spans="5:13" x14ac:dyDescent="0.25">
      <c r="E1220" s="32">
        <v>1055</v>
      </c>
      <c r="F1220" s="43">
        <v>45614</v>
      </c>
      <c r="G1220" s="44">
        <v>2024</v>
      </c>
      <c r="H1220" s="52" t="s">
        <v>11</v>
      </c>
      <c r="I1220" s="46" t="s">
        <v>22</v>
      </c>
      <c r="J1220" s="46">
        <v>51</v>
      </c>
      <c r="K1220" s="46" t="s">
        <v>21</v>
      </c>
      <c r="L1220" s="46">
        <v>1</v>
      </c>
      <c r="M1220" s="47">
        <v>100</v>
      </c>
    </row>
    <row r="1221" spans="5:13" x14ac:dyDescent="0.25">
      <c r="E1221" s="33">
        <v>699</v>
      </c>
      <c r="F1221" s="48">
        <v>45274</v>
      </c>
      <c r="G1221" s="49">
        <v>2023</v>
      </c>
      <c r="H1221" s="45" t="s">
        <v>12</v>
      </c>
      <c r="I1221" s="50" t="s">
        <v>22</v>
      </c>
      <c r="J1221" s="50">
        <v>52</v>
      </c>
      <c r="K1221" s="50" t="s">
        <v>21</v>
      </c>
      <c r="L1221" s="50">
        <v>2</v>
      </c>
      <c r="M1221" s="51">
        <v>30</v>
      </c>
    </row>
    <row r="1222" spans="5:13" x14ac:dyDescent="0.25">
      <c r="E1222" s="32">
        <v>857</v>
      </c>
      <c r="F1222" s="43">
        <v>45156</v>
      </c>
      <c r="G1222" s="44">
        <v>2023</v>
      </c>
      <c r="H1222" s="52" t="s">
        <v>8</v>
      </c>
      <c r="I1222" s="46" t="s">
        <v>22</v>
      </c>
      <c r="J1222" s="46">
        <v>56</v>
      </c>
      <c r="K1222" s="46" t="s">
        <v>24</v>
      </c>
      <c r="L1222" s="46">
        <v>3</v>
      </c>
      <c r="M1222" s="47">
        <v>500</v>
      </c>
    </row>
    <row r="1223" spans="5:13" x14ac:dyDescent="0.25">
      <c r="E1223" s="33">
        <v>114</v>
      </c>
      <c r="F1223" s="48">
        <v>45129</v>
      </c>
      <c r="G1223" s="49">
        <v>2023</v>
      </c>
      <c r="H1223" s="45" t="s">
        <v>7</v>
      </c>
      <c r="I1223" s="50" t="s">
        <v>22</v>
      </c>
      <c r="J1223" s="50">
        <v>22</v>
      </c>
      <c r="K1223" s="50" t="s">
        <v>21</v>
      </c>
      <c r="L1223" s="50">
        <v>4</v>
      </c>
      <c r="M1223" s="51">
        <v>25</v>
      </c>
    </row>
    <row r="1224" spans="5:13" x14ac:dyDescent="0.25">
      <c r="E1224" s="32">
        <v>820</v>
      </c>
      <c r="F1224" s="43">
        <v>45069</v>
      </c>
      <c r="G1224" s="44">
        <v>2023</v>
      </c>
      <c r="H1224" s="52" t="s">
        <v>5</v>
      </c>
      <c r="I1224" s="46" t="s">
        <v>22</v>
      </c>
      <c r="J1224" s="46">
        <v>52</v>
      </c>
      <c r="K1224" s="46" t="s">
        <v>21</v>
      </c>
      <c r="L1224" s="46">
        <v>3</v>
      </c>
      <c r="M1224" s="47">
        <v>50</v>
      </c>
    </row>
    <row r="1225" spans="5:13" x14ac:dyDescent="0.25">
      <c r="E1225" s="33">
        <v>1904</v>
      </c>
      <c r="F1225" s="48">
        <v>45655</v>
      </c>
      <c r="G1225" s="49">
        <v>2024</v>
      </c>
      <c r="H1225" s="45" t="s">
        <v>12</v>
      </c>
      <c r="I1225" s="50" t="s">
        <v>20</v>
      </c>
      <c r="J1225" s="50">
        <v>49</v>
      </c>
      <c r="K1225" s="50" t="s">
        <v>21</v>
      </c>
      <c r="L1225" s="50">
        <v>3</v>
      </c>
      <c r="M1225" s="51">
        <v>415</v>
      </c>
    </row>
    <row r="1226" spans="5:13" x14ac:dyDescent="0.25">
      <c r="E1226" s="32">
        <v>1233</v>
      </c>
      <c r="F1226" s="43">
        <v>45410</v>
      </c>
      <c r="G1226" s="44">
        <v>2024</v>
      </c>
      <c r="H1226" s="52" t="s">
        <v>4</v>
      </c>
      <c r="I1226" s="46" t="s">
        <v>22</v>
      </c>
      <c r="J1226" s="46">
        <v>35</v>
      </c>
      <c r="K1226" s="46" t="s">
        <v>23</v>
      </c>
      <c r="L1226" s="46">
        <v>7</v>
      </c>
      <c r="M1226" s="47">
        <v>193</v>
      </c>
    </row>
    <row r="1227" spans="5:13" x14ac:dyDescent="0.25">
      <c r="E1227" s="33">
        <v>1976</v>
      </c>
      <c r="F1227" s="48">
        <v>45502</v>
      </c>
      <c r="G1227" s="49">
        <v>2024</v>
      </c>
      <c r="H1227" s="45" t="s">
        <v>7</v>
      </c>
      <c r="I1227" s="50" t="s">
        <v>22</v>
      </c>
      <c r="J1227" s="50">
        <v>49</v>
      </c>
      <c r="K1227" s="50" t="s">
        <v>24</v>
      </c>
      <c r="L1227" s="50">
        <v>2</v>
      </c>
      <c r="M1227" s="51">
        <v>214</v>
      </c>
    </row>
    <row r="1228" spans="5:13" x14ac:dyDescent="0.25">
      <c r="E1228" s="32">
        <v>1004</v>
      </c>
      <c r="F1228" s="43">
        <v>45407</v>
      </c>
      <c r="G1228" s="44">
        <v>2024</v>
      </c>
      <c r="H1228" s="52" t="s">
        <v>4</v>
      </c>
      <c r="I1228" s="46" t="s">
        <v>22</v>
      </c>
      <c r="J1228" s="46">
        <v>48</v>
      </c>
      <c r="K1228" s="46" t="s">
        <v>21</v>
      </c>
      <c r="L1228" s="46">
        <v>1</v>
      </c>
      <c r="M1228" s="47">
        <v>72</v>
      </c>
    </row>
    <row r="1229" spans="5:13" x14ac:dyDescent="0.25">
      <c r="E1229" s="33">
        <v>1704</v>
      </c>
      <c r="F1229" s="48">
        <v>45305</v>
      </c>
      <c r="G1229" s="49">
        <v>2024</v>
      </c>
      <c r="H1229" s="45" t="s">
        <v>1</v>
      </c>
      <c r="I1229" s="50" t="s">
        <v>22</v>
      </c>
      <c r="J1229" s="50">
        <v>46</v>
      </c>
      <c r="K1229" s="50" t="s">
        <v>21</v>
      </c>
      <c r="L1229" s="50">
        <v>6</v>
      </c>
      <c r="M1229" s="51">
        <v>63</v>
      </c>
    </row>
    <row r="1230" spans="5:13" x14ac:dyDescent="0.25">
      <c r="E1230" s="32">
        <v>271</v>
      </c>
      <c r="F1230" s="43">
        <v>44982</v>
      </c>
      <c r="G1230" s="44">
        <v>2023</v>
      </c>
      <c r="H1230" s="52" t="s">
        <v>2</v>
      </c>
      <c r="I1230" s="46" t="s">
        <v>22</v>
      </c>
      <c r="J1230" s="46">
        <v>61</v>
      </c>
      <c r="K1230" s="46" t="s">
        <v>24</v>
      </c>
      <c r="L1230" s="46">
        <v>2</v>
      </c>
      <c r="M1230" s="47">
        <v>50</v>
      </c>
    </row>
    <row r="1231" spans="5:13" x14ac:dyDescent="0.25">
      <c r="E1231" s="33">
        <v>584</v>
      </c>
      <c r="F1231" s="48">
        <v>45047</v>
      </c>
      <c r="G1231" s="49">
        <v>2023</v>
      </c>
      <c r="H1231" s="45" t="s">
        <v>5</v>
      </c>
      <c r="I1231" s="50" t="s">
        <v>22</v>
      </c>
      <c r="J1231" s="50">
        <v>24</v>
      </c>
      <c r="K1231" s="50" t="s">
        <v>23</v>
      </c>
      <c r="L1231" s="50">
        <v>1</v>
      </c>
      <c r="M1231" s="51">
        <v>25</v>
      </c>
    </row>
    <row r="1232" spans="5:13" x14ac:dyDescent="0.25">
      <c r="E1232" s="32">
        <v>427</v>
      </c>
      <c r="F1232" s="43">
        <v>45209</v>
      </c>
      <c r="G1232" s="44">
        <v>2023</v>
      </c>
      <c r="H1232" s="52" t="s">
        <v>10</v>
      </c>
      <c r="I1232" s="46" t="s">
        <v>22</v>
      </c>
      <c r="J1232" s="46">
        <v>40</v>
      </c>
      <c r="K1232" s="46" t="s">
        <v>24</v>
      </c>
      <c r="L1232" s="46">
        <v>4</v>
      </c>
      <c r="M1232" s="47">
        <v>50</v>
      </c>
    </row>
    <row r="1233" spans="5:13" x14ac:dyDescent="0.25">
      <c r="E1233" s="33">
        <v>1070</v>
      </c>
      <c r="F1233" s="48">
        <v>45435</v>
      </c>
      <c r="G1233" s="49">
        <v>2024</v>
      </c>
      <c r="H1233" s="45" t="s">
        <v>5</v>
      </c>
      <c r="I1233" s="50" t="s">
        <v>22</v>
      </c>
      <c r="J1233" s="50">
        <v>27</v>
      </c>
      <c r="K1233" s="50" t="s">
        <v>24</v>
      </c>
      <c r="L1233" s="50">
        <v>1</v>
      </c>
      <c r="M1233" s="51">
        <v>124</v>
      </c>
    </row>
    <row r="1234" spans="5:13" x14ac:dyDescent="0.25">
      <c r="E1234" s="32">
        <v>294</v>
      </c>
      <c r="F1234" s="43">
        <v>45135</v>
      </c>
      <c r="G1234" s="44">
        <v>2023</v>
      </c>
      <c r="H1234" s="52" t="s">
        <v>7</v>
      </c>
      <c r="I1234" s="46" t="s">
        <v>22</v>
      </c>
      <c r="J1234" s="46">
        <v>27</v>
      </c>
      <c r="K1234" s="46" t="s">
        <v>21</v>
      </c>
      <c r="L1234" s="46">
        <v>3</v>
      </c>
      <c r="M1234" s="47">
        <v>300</v>
      </c>
    </row>
    <row r="1235" spans="5:13" x14ac:dyDescent="0.25">
      <c r="E1235" s="33">
        <v>866</v>
      </c>
      <c r="F1235" s="48">
        <v>45266</v>
      </c>
      <c r="G1235" s="49">
        <v>2023</v>
      </c>
      <c r="H1235" s="45" t="s">
        <v>12</v>
      </c>
      <c r="I1235" s="50" t="s">
        <v>22</v>
      </c>
      <c r="J1235" s="50">
        <v>25</v>
      </c>
      <c r="K1235" s="50" t="s">
        <v>24</v>
      </c>
      <c r="L1235" s="50">
        <v>1</v>
      </c>
      <c r="M1235" s="51">
        <v>300</v>
      </c>
    </row>
    <row r="1236" spans="5:13" x14ac:dyDescent="0.25">
      <c r="E1236" s="32">
        <v>367</v>
      </c>
      <c r="F1236" s="43">
        <v>45161</v>
      </c>
      <c r="G1236" s="44">
        <v>2023</v>
      </c>
      <c r="H1236" s="52" t="s">
        <v>8</v>
      </c>
      <c r="I1236" s="46" t="s">
        <v>22</v>
      </c>
      <c r="J1236" s="46">
        <v>56</v>
      </c>
      <c r="K1236" s="46" t="s">
        <v>23</v>
      </c>
      <c r="L1236" s="46">
        <v>4</v>
      </c>
      <c r="M1236" s="47">
        <v>300</v>
      </c>
    </row>
    <row r="1237" spans="5:13" x14ac:dyDescent="0.25">
      <c r="E1237" s="33">
        <v>1089</v>
      </c>
      <c r="F1237" s="48">
        <v>45376</v>
      </c>
      <c r="G1237" s="49">
        <v>2024</v>
      </c>
      <c r="H1237" s="45" t="s">
        <v>3</v>
      </c>
      <c r="I1237" s="50" t="s">
        <v>22</v>
      </c>
      <c r="J1237" s="50">
        <v>51</v>
      </c>
      <c r="K1237" s="50" t="s">
        <v>24</v>
      </c>
      <c r="L1237" s="50">
        <v>3</v>
      </c>
      <c r="M1237" s="51">
        <v>162</v>
      </c>
    </row>
    <row r="1238" spans="5:13" x14ac:dyDescent="0.25">
      <c r="E1238" s="32">
        <v>374</v>
      </c>
      <c r="F1238" s="43">
        <v>45186</v>
      </c>
      <c r="G1238" s="44">
        <v>2023</v>
      </c>
      <c r="H1238" s="52" t="s">
        <v>9</v>
      </c>
      <c r="I1238" s="46" t="s">
        <v>20</v>
      </c>
      <c r="J1238" s="46">
        <v>32</v>
      </c>
      <c r="K1238" s="46" t="s">
        <v>23</v>
      </c>
      <c r="L1238" s="46">
        <v>1</v>
      </c>
      <c r="M1238" s="47">
        <v>50</v>
      </c>
    </row>
    <row r="1239" spans="5:13" x14ac:dyDescent="0.25">
      <c r="E1239" s="33">
        <v>453</v>
      </c>
      <c r="F1239" s="48">
        <v>44979</v>
      </c>
      <c r="G1239" s="49">
        <v>2023</v>
      </c>
      <c r="H1239" s="45" t="s">
        <v>2</v>
      </c>
      <c r="I1239" s="50" t="s">
        <v>22</v>
      </c>
      <c r="J1239" s="50">
        <v>46</v>
      </c>
      <c r="K1239" s="50" t="s">
        <v>21</v>
      </c>
      <c r="L1239" s="50">
        <v>1</v>
      </c>
      <c r="M1239" s="51">
        <v>25</v>
      </c>
    </row>
    <row r="1240" spans="5:13" x14ac:dyDescent="0.25">
      <c r="E1240" s="32">
        <v>873</v>
      </c>
      <c r="F1240" s="43">
        <v>45144</v>
      </c>
      <c r="G1240" s="44">
        <v>2023</v>
      </c>
      <c r="H1240" s="52" t="s">
        <v>8</v>
      </c>
      <c r="I1240" s="46" t="s">
        <v>22</v>
      </c>
      <c r="J1240" s="46">
        <v>51</v>
      </c>
      <c r="K1240" s="46" t="s">
        <v>24</v>
      </c>
      <c r="L1240" s="46">
        <v>4</v>
      </c>
      <c r="M1240" s="47">
        <v>500</v>
      </c>
    </row>
    <row r="1241" spans="5:13" x14ac:dyDescent="0.25">
      <c r="E1241" s="33">
        <v>1018</v>
      </c>
      <c r="F1241" s="48">
        <v>45601</v>
      </c>
      <c r="G1241" s="49">
        <v>2024</v>
      </c>
      <c r="H1241" s="45" t="s">
        <v>11</v>
      </c>
      <c r="I1241" s="50" t="s">
        <v>20</v>
      </c>
      <c r="J1241" s="50">
        <v>19</v>
      </c>
      <c r="K1241" s="50" t="s">
        <v>23</v>
      </c>
      <c r="L1241" s="50">
        <v>7</v>
      </c>
      <c r="M1241" s="51">
        <v>114</v>
      </c>
    </row>
    <row r="1242" spans="5:13" x14ac:dyDescent="0.25">
      <c r="E1242" s="32">
        <v>359</v>
      </c>
      <c r="F1242" s="43">
        <v>44994</v>
      </c>
      <c r="G1242" s="44">
        <v>2023</v>
      </c>
      <c r="H1242" s="52" t="s">
        <v>3</v>
      </c>
      <c r="I1242" s="46" t="s">
        <v>20</v>
      </c>
      <c r="J1242" s="46">
        <v>42</v>
      </c>
      <c r="K1242" s="46" t="s">
        <v>23</v>
      </c>
      <c r="L1242" s="46">
        <v>4</v>
      </c>
      <c r="M1242" s="47">
        <v>25</v>
      </c>
    </row>
    <row r="1243" spans="5:13" x14ac:dyDescent="0.25">
      <c r="E1243" s="33">
        <v>1395</v>
      </c>
      <c r="F1243" s="48">
        <v>45428</v>
      </c>
      <c r="G1243" s="49">
        <v>2024</v>
      </c>
      <c r="H1243" s="45" t="s">
        <v>5</v>
      </c>
      <c r="I1243" s="50" t="s">
        <v>22</v>
      </c>
      <c r="J1243" s="50">
        <v>59</v>
      </c>
      <c r="K1243" s="50" t="s">
        <v>23</v>
      </c>
      <c r="L1243" s="50">
        <v>5</v>
      </c>
      <c r="M1243" s="51">
        <v>371</v>
      </c>
    </row>
    <row r="1244" spans="5:13" x14ac:dyDescent="0.25">
      <c r="E1244" s="32">
        <v>1971</v>
      </c>
      <c r="F1244" s="43">
        <v>45381</v>
      </c>
      <c r="G1244" s="44">
        <v>2024</v>
      </c>
      <c r="H1244" s="52" t="s">
        <v>3</v>
      </c>
      <c r="I1244" s="46" t="s">
        <v>22</v>
      </c>
      <c r="J1244" s="46">
        <v>62</v>
      </c>
      <c r="K1244" s="46" t="s">
        <v>23</v>
      </c>
      <c r="L1244" s="46">
        <v>7</v>
      </c>
      <c r="M1244" s="47">
        <v>353</v>
      </c>
    </row>
    <row r="1245" spans="5:13" x14ac:dyDescent="0.25">
      <c r="E1245" s="33">
        <v>1307</v>
      </c>
      <c r="F1245" s="48">
        <v>45577</v>
      </c>
      <c r="G1245" s="49">
        <v>2024</v>
      </c>
      <c r="H1245" s="45" t="s">
        <v>10</v>
      </c>
      <c r="I1245" s="50" t="s">
        <v>22</v>
      </c>
      <c r="J1245" s="50">
        <v>46</v>
      </c>
      <c r="K1245" s="50" t="s">
        <v>21</v>
      </c>
      <c r="L1245" s="50">
        <v>3</v>
      </c>
      <c r="M1245" s="51">
        <v>334</v>
      </c>
    </row>
    <row r="1246" spans="5:13" x14ac:dyDescent="0.25">
      <c r="E1246" s="32">
        <v>212</v>
      </c>
      <c r="F1246" s="43">
        <v>45131</v>
      </c>
      <c r="G1246" s="44">
        <v>2023</v>
      </c>
      <c r="H1246" s="52" t="s">
        <v>7</v>
      </c>
      <c r="I1246" s="46" t="s">
        <v>20</v>
      </c>
      <c r="J1246" s="46">
        <v>27</v>
      </c>
      <c r="K1246" s="46" t="s">
        <v>21</v>
      </c>
      <c r="L1246" s="46">
        <v>3</v>
      </c>
      <c r="M1246" s="47">
        <v>500</v>
      </c>
    </row>
    <row r="1247" spans="5:13" x14ac:dyDescent="0.25">
      <c r="E1247" s="33">
        <v>1065</v>
      </c>
      <c r="F1247" s="48">
        <v>45441</v>
      </c>
      <c r="G1247" s="49">
        <v>2024</v>
      </c>
      <c r="H1247" s="45" t="s">
        <v>5</v>
      </c>
      <c r="I1247" s="50" t="s">
        <v>22</v>
      </c>
      <c r="J1247" s="50">
        <v>48</v>
      </c>
      <c r="K1247" s="50" t="s">
        <v>21</v>
      </c>
      <c r="L1247" s="50">
        <v>5</v>
      </c>
      <c r="M1247" s="51">
        <v>119</v>
      </c>
    </row>
    <row r="1248" spans="5:13" x14ac:dyDescent="0.25">
      <c r="E1248" s="32">
        <v>130</v>
      </c>
      <c r="F1248" s="43">
        <v>44997</v>
      </c>
      <c r="G1248" s="44">
        <v>2023</v>
      </c>
      <c r="H1248" s="52" t="s">
        <v>3</v>
      </c>
      <c r="I1248" s="46" t="s">
        <v>22</v>
      </c>
      <c r="J1248" s="46">
        <v>57</v>
      </c>
      <c r="K1248" s="46" t="s">
        <v>23</v>
      </c>
      <c r="L1248" s="46">
        <v>1</v>
      </c>
      <c r="M1248" s="47">
        <v>500</v>
      </c>
    </row>
    <row r="1249" spans="5:13" x14ac:dyDescent="0.25">
      <c r="E1249" s="33">
        <v>1933</v>
      </c>
      <c r="F1249" s="48">
        <v>45588</v>
      </c>
      <c r="G1249" s="49">
        <v>2024</v>
      </c>
      <c r="H1249" s="45" t="s">
        <v>10</v>
      </c>
      <c r="I1249" s="50" t="s">
        <v>22</v>
      </c>
      <c r="J1249" s="50">
        <v>35</v>
      </c>
      <c r="K1249" s="50" t="s">
        <v>21</v>
      </c>
      <c r="L1249" s="50">
        <v>6</v>
      </c>
      <c r="M1249" s="51">
        <v>242</v>
      </c>
    </row>
    <row r="1250" spans="5:13" x14ac:dyDescent="0.25">
      <c r="E1250" s="32">
        <v>903</v>
      </c>
      <c r="F1250" s="43">
        <v>45018</v>
      </c>
      <c r="G1250" s="44">
        <v>2023</v>
      </c>
      <c r="H1250" s="52" t="s">
        <v>4</v>
      </c>
      <c r="I1250" s="46" t="s">
        <v>20</v>
      </c>
      <c r="J1250" s="46">
        <v>58</v>
      </c>
      <c r="K1250" s="46" t="s">
        <v>21</v>
      </c>
      <c r="L1250" s="46">
        <v>1</v>
      </c>
      <c r="M1250" s="47">
        <v>300</v>
      </c>
    </row>
    <row r="1251" spans="5:13" x14ac:dyDescent="0.25">
      <c r="E1251" s="33">
        <v>768</v>
      </c>
      <c r="F1251" s="48">
        <v>45221</v>
      </c>
      <c r="G1251" s="49">
        <v>2023</v>
      </c>
      <c r="H1251" s="45" t="s">
        <v>10</v>
      </c>
      <c r="I1251" s="50" t="s">
        <v>20</v>
      </c>
      <c r="J1251" s="50">
        <v>32</v>
      </c>
      <c r="K1251" s="50" t="s">
        <v>23</v>
      </c>
      <c r="L1251" s="50">
        <v>1</v>
      </c>
      <c r="M1251" s="51">
        <v>50</v>
      </c>
    </row>
    <row r="1252" spans="5:13" x14ac:dyDescent="0.25">
      <c r="E1252" s="32">
        <v>1254</v>
      </c>
      <c r="F1252" s="43">
        <v>45341</v>
      </c>
      <c r="G1252" s="44">
        <v>2024</v>
      </c>
      <c r="H1252" s="52" t="s">
        <v>2</v>
      </c>
      <c r="I1252" s="46" t="s">
        <v>20</v>
      </c>
      <c r="J1252" s="46">
        <v>62</v>
      </c>
      <c r="K1252" s="46" t="s">
        <v>21</v>
      </c>
      <c r="L1252" s="46">
        <v>2</v>
      </c>
      <c r="M1252" s="47">
        <v>161</v>
      </c>
    </row>
    <row r="1253" spans="5:13" x14ac:dyDescent="0.25">
      <c r="E1253" s="33">
        <v>231</v>
      </c>
      <c r="F1253" s="48">
        <v>44963</v>
      </c>
      <c r="G1253" s="49">
        <v>2023</v>
      </c>
      <c r="H1253" s="45" t="s">
        <v>2</v>
      </c>
      <c r="I1253" s="50" t="s">
        <v>22</v>
      </c>
      <c r="J1253" s="50">
        <v>43</v>
      </c>
      <c r="K1253" s="50" t="s">
        <v>21</v>
      </c>
      <c r="L1253" s="50">
        <v>1</v>
      </c>
      <c r="M1253" s="51">
        <v>25</v>
      </c>
    </row>
    <row r="1254" spans="5:13" x14ac:dyDescent="0.25">
      <c r="E1254" s="32">
        <v>228</v>
      </c>
      <c r="F1254" s="43">
        <v>45228</v>
      </c>
      <c r="G1254" s="44">
        <v>2023</v>
      </c>
      <c r="H1254" s="52" t="s">
        <v>10</v>
      </c>
      <c r="I1254" s="46" t="s">
        <v>20</v>
      </c>
      <c r="J1254" s="46">
        <v>58</v>
      </c>
      <c r="K1254" s="46" t="s">
        <v>21</v>
      </c>
      <c r="L1254" s="46">
        <v>3</v>
      </c>
      <c r="M1254" s="47">
        <v>30</v>
      </c>
    </row>
    <row r="1255" spans="5:13" x14ac:dyDescent="0.25">
      <c r="E1255" s="33">
        <v>69</v>
      </c>
      <c r="F1255" s="48">
        <v>45046</v>
      </c>
      <c r="G1255" s="49">
        <v>2023</v>
      </c>
      <c r="H1255" s="45" t="s">
        <v>4</v>
      </c>
      <c r="I1255" s="50" t="s">
        <v>22</v>
      </c>
      <c r="J1255" s="50">
        <v>56</v>
      </c>
      <c r="K1255" s="50" t="s">
        <v>21</v>
      </c>
      <c r="L1255" s="50">
        <v>3</v>
      </c>
      <c r="M1255" s="51">
        <v>25</v>
      </c>
    </row>
    <row r="1256" spans="5:13" x14ac:dyDescent="0.25">
      <c r="E1256" s="32">
        <v>747</v>
      </c>
      <c r="F1256" s="43">
        <v>45049</v>
      </c>
      <c r="G1256" s="44">
        <v>2023</v>
      </c>
      <c r="H1256" s="52" t="s">
        <v>5</v>
      </c>
      <c r="I1256" s="46" t="s">
        <v>20</v>
      </c>
      <c r="J1256" s="46">
        <v>42</v>
      </c>
      <c r="K1256" s="46" t="s">
        <v>21</v>
      </c>
      <c r="L1256" s="46">
        <v>1</v>
      </c>
      <c r="M1256" s="47">
        <v>30</v>
      </c>
    </row>
    <row r="1257" spans="5:13" x14ac:dyDescent="0.25">
      <c r="E1257" s="33">
        <v>990</v>
      </c>
      <c r="F1257" s="48">
        <v>45159</v>
      </c>
      <c r="G1257" s="49">
        <v>2023</v>
      </c>
      <c r="H1257" s="45" t="s">
        <v>8</v>
      </c>
      <c r="I1257" s="50" t="s">
        <v>22</v>
      </c>
      <c r="J1257" s="50">
        <v>57</v>
      </c>
      <c r="K1257" s="50" t="s">
        <v>24</v>
      </c>
      <c r="L1257" s="50">
        <v>2</v>
      </c>
      <c r="M1257" s="51">
        <v>30</v>
      </c>
    </row>
    <row r="1258" spans="5:13" x14ac:dyDescent="0.25">
      <c r="E1258" s="32">
        <v>1211</v>
      </c>
      <c r="F1258" s="43">
        <v>45636</v>
      </c>
      <c r="G1258" s="44">
        <v>2024</v>
      </c>
      <c r="H1258" s="52" t="s">
        <v>12</v>
      </c>
      <c r="I1258" s="46" t="s">
        <v>20</v>
      </c>
      <c r="J1258" s="46">
        <v>27</v>
      </c>
      <c r="K1258" s="46" t="s">
        <v>21</v>
      </c>
      <c r="L1258" s="46">
        <v>5</v>
      </c>
      <c r="M1258" s="47">
        <v>203</v>
      </c>
    </row>
    <row r="1259" spans="5:13" x14ac:dyDescent="0.25">
      <c r="E1259" s="33">
        <v>517</v>
      </c>
      <c r="F1259" s="48">
        <v>45057</v>
      </c>
      <c r="G1259" s="49">
        <v>2023</v>
      </c>
      <c r="H1259" s="45" t="s">
        <v>5</v>
      </c>
      <c r="I1259" s="50" t="s">
        <v>22</v>
      </c>
      <c r="J1259" s="50">
        <v>40</v>
      </c>
      <c r="K1259" s="50" t="s">
        <v>23</v>
      </c>
      <c r="L1259" s="50">
        <v>1</v>
      </c>
      <c r="M1259" s="51">
        <v>30</v>
      </c>
    </row>
    <row r="1260" spans="5:13" x14ac:dyDescent="0.25">
      <c r="E1260" s="32">
        <v>63</v>
      </c>
      <c r="F1260" s="43">
        <v>44962</v>
      </c>
      <c r="G1260" s="44">
        <v>2023</v>
      </c>
      <c r="H1260" s="52" t="s">
        <v>2</v>
      </c>
      <c r="I1260" s="46" t="s">
        <v>20</v>
      </c>
      <c r="J1260" s="46">
        <v>57</v>
      </c>
      <c r="K1260" s="46" t="s">
        <v>24</v>
      </c>
      <c r="L1260" s="46">
        <v>2</v>
      </c>
      <c r="M1260" s="47">
        <v>25</v>
      </c>
    </row>
    <row r="1261" spans="5:13" x14ac:dyDescent="0.25">
      <c r="E1261" s="33">
        <v>1587</v>
      </c>
      <c r="F1261" s="48">
        <v>45368</v>
      </c>
      <c r="G1261" s="49">
        <v>2024</v>
      </c>
      <c r="H1261" s="45" t="s">
        <v>3</v>
      </c>
      <c r="I1261" s="50" t="s">
        <v>20</v>
      </c>
      <c r="J1261" s="50">
        <v>59</v>
      </c>
      <c r="K1261" s="50" t="s">
        <v>23</v>
      </c>
      <c r="L1261" s="50">
        <v>2</v>
      </c>
      <c r="M1261" s="51">
        <v>89</v>
      </c>
    </row>
    <row r="1262" spans="5:13" x14ac:dyDescent="0.25">
      <c r="E1262" s="32">
        <v>1166</v>
      </c>
      <c r="F1262" s="43">
        <v>45346</v>
      </c>
      <c r="G1262" s="44">
        <v>2024</v>
      </c>
      <c r="H1262" s="52" t="s">
        <v>2</v>
      </c>
      <c r="I1262" s="46" t="s">
        <v>20</v>
      </c>
      <c r="J1262" s="46">
        <v>65</v>
      </c>
      <c r="K1262" s="46" t="s">
        <v>23</v>
      </c>
      <c r="L1262" s="46">
        <v>3</v>
      </c>
      <c r="M1262" s="47">
        <v>75</v>
      </c>
    </row>
    <row r="1263" spans="5:13" x14ac:dyDescent="0.25">
      <c r="E1263" s="33">
        <v>752</v>
      </c>
      <c r="F1263" s="48">
        <v>45215</v>
      </c>
      <c r="G1263" s="49">
        <v>2023</v>
      </c>
      <c r="H1263" s="45" t="s">
        <v>10</v>
      </c>
      <c r="I1263" s="50" t="s">
        <v>22</v>
      </c>
      <c r="J1263" s="50">
        <v>43</v>
      </c>
      <c r="K1263" s="50" t="s">
        <v>24</v>
      </c>
      <c r="L1263" s="50">
        <v>4</v>
      </c>
      <c r="M1263" s="51">
        <v>25</v>
      </c>
    </row>
    <row r="1264" spans="5:13" x14ac:dyDescent="0.25">
      <c r="E1264" s="32">
        <v>1531</v>
      </c>
      <c r="F1264" s="43">
        <v>45453</v>
      </c>
      <c r="G1264" s="44">
        <v>2024</v>
      </c>
      <c r="H1264" s="52" t="s">
        <v>6</v>
      </c>
      <c r="I1264" s="46" t="s">
        <v>20</v>
      </c>
      <c r="J1264" s="46">
        <v>22</v>
      </c>
      <c r="K1264" s="46" t="s">
        <v>23</v>
      </c>
      <c r="L1264" s="46">
        <v>7</v>
      </c>
      <c r="M1264" s="47">
        <v>314</v>
      </c>
    </row>
    <row r="1265" spans="5:13" x14ac:dyDescent="0.25">
      <c r="E1265" s="33">
        <v>1561</v>
      </c>
      <c r="F1265" s="48">
        <v>45589</v>
      </c>
      <c r="G1265" s="49">
        <v>2024</v>
      </c>
      <c r="H1265" s="45" t="s">
        <v>10</v>
      </c>
      <c r="I1265" s="50" t="s">
        <v>20</v>
      </c>
      <c r="J1265" s="50">
        <v>19</v>
      </c>
      <c r="K1265" s="50" t="s">
        <v>24</v>
      </c>
      <c r="L1265" s="50">
        <v>3</v>
      </c>
      <c r="M1265" s="51">
        <v>269</v>
      </c>
    </row>
    <row r="1266" spans="5:13" x14ac:dyDescent="0.25">
      <c r="E1266" s="32">
        <v>1840</v>
      </c>
      <c r="F1266" s="43">
        <v>45577</v>
      </c>
      <c r="G1266" s="44">
        <v>2024</v>
      </c>
      <c r="H1266" s="52" t="s">
        <v>10</v>
      </c>
      <c r="I1266" s="46" t="s">
        <v>20</v>
      </c>
      <c r="J1266" s="46">
        <v>45</v>
      </c>
      <c r="K1266" s="46" t="s">
        <v>23</v>
      </c>
      <c r="L1266" s="46">
        <v>7</v>
      </c>
      <c r="M1266" s="47">
        <v>29</v>
      </c>
    </row>
    <row r="1267" spans="5:13" x14ac:dyDescent="0.25">
      <c r="E1267" s="33">
        <v>1370</v>
      </c>
      <c r="F1267" s="48">
        <v>45568</v>
      </c>
      <c r="G1267" s="49">
        <v>2024</v>
      </c>
      <c r="H1267" s="45" t="s">
        <v>10</v>
      </c>
      <c r="I1267" s="50" t="s">
        <v>22</v>
      </c>
      <c r="J1267" s="50">
        <v>42</v>
      </c>
      <c r="K1267" s="50" t="s">
        <v>21</v>
      </c>
      <c r="L1267" s="50">
        <v>4</v>
      </c>
      <c r="M1267" s="51">
        <v>250</v>
      </c>
    </row>
    <row r="1268" spans="5:13" x14ac:dyDescent="0.25">
      <c r="E1268" s="32">
        <v>719</v>
      </c>
      <c r="F1268" s="43">
        <v>45060</v>
      </c>
      <c r="G1268" s="44">
        <v>2023</v>
      </c>
      <c r="H1268" s="52" t="s">
        <v>5</v>
      </c>
      <c r="I1268" s="46" t="s">
        <v>22</v>
      </c>
      <c r="J1268" s="46">
        <v>52</v>
      </c>
      <c r="K1268" s="46" t="s">
        <v>23</v>
      </c>
      <c r="L1268" s="46">
        <v>1</v>
      </c>
      <c r="M1268" s="47">
        <v>500</v>
      </c>
    </row>
    <row r="1269" spans="5:13" x14ac:dyDescent="0.25">
      <c r="E1269" s="33">
        <v>986</v>
      </c>
      <c r="F1269" s="48">
        <v>45074</v>
      </c>
      <c r="G1269" s="49">
        <v>2023</v>
      </c>
      <c r="H1269" s="45" t="s">
        <v>5</v>
      </c>
      <c r="I1269" s="50" t="s">
        <v>22</v>
      </c>
      <c r="J1269" s="50">
        <v>63</v>
      </c>
      <c r="K1269" s="50" t="s">
        <v>23</v>
      </c>
      <c r="L1269" s="50">
        <v>3</v>
      </c>
      <c r="M1269" s="51">
        <v>25</v>
      </c>
    </row>
    <row r="1270" spans="5:13" x14ac:dyDescent="0.25">
      <c r="E1270" s="32">
        <v>1365</v>
      </c>
      <c r="F1270" s="43">
        <v>45527</v>
      </c>
      <c r="G1270" s="44">
        <v>2024</v>
      </c>
      <c r="H1270" s="52" t="s">
        <v>8</v>
      </c>
      <c r="I1270" s="46" t="s">
        <v>22</v>
      </c>
      <c r="J1270" s="46">
        <v>58</v>
      </c>
      <c r="K1270" s="46" t="s">
        <v>23</v>
      </c>
      <c r="L1270" s="46">
        <v>1</v>
      </c>
      <c r="M1270" s="47">
        <v>499</v>
      </c>
    </row>
    <row r="1271" spans="5:13" x14ac:dyDescent="0.25">
      <c r="E1271" s="33">
        <v>138</v>
      </c>
      <c r="F1271" s="48">
        <v>45008</v>
      </c>
      <c r="G1271" s="49">
        <v>2023</v>
      </c>
      <c r="H1271" s="45" t="s">
        <v>3</v>
      </c>
      <c r="I1271" s="50" t="s">
        <v>20</v>
      </c>
      <c r="J1271" s="50">
        <v>49</v>
      </c>
      <c r="K1271" s="50" t="s">
        <v>23</v>
      </c>
      <c r="L1271" s="50">
        <v>4</v>
      </c>
      <c r="M1271" s="51">
        <v>50</v>
      </c>
    </row>
    <row r="1272" spans="5:13" x14ac:dyDescent="0.25">
      <c r="E1272" s="32">
        <v>1364</v>
      </c>
      <c r="F1272" s="43">
        <v>45296</v>
      </c>
      <c r="G1272" s="44">
        <v>2024</v>
      </c>
      <c r="H1272" s="52" t="s">
        <v>1</v>
      </c>
      <c r="I1272" s="46" t="s">
        <v>22</v>
      </c>
      <c r="J1272" s="46">
        <v>24</v>
      </c>
      <c r="K1272" s="46" t="s">
        <v>24</v>
      </c>
      <c r="L1272" s="46">
        <v>3</v>
      </c>
      <c r="M1272" s="47">
        <v>96</v>
      </c>
    </row>
    <row r="1273" spans="5:13" x14ac:dyDescent="0.25">
      <c r="E1273" s="33">
        <v>98</v>
      </c>
      <c r="F1273" s="48">
        <v>45039</v>
      </c>
      <c r="G1273" s="49">
        <v>2023</v>
      </c>
      <c r="H1273" s="45" t="s">
        <v>4</v>
      </c>
      <c r="I1273" s="50" t="s">
        <v>22</v>
      </c>
      <c r="J1273" s="50">
        <v>55</v>
      </c>
      <c r="K1273" s="50" t="s">
        <v>21</v>
      </c>
      <c r="L1273" s="50">
        <v>2</v>
      </c>
      <c r="M1273" s="51">
        <v>50</v>
      </c>
    </row>
    <row r="1274" spans="5:13" x14ac:dyDescent="0.25">
      <c r="E1274" s="32">
        <v>235</v>
      </c>
      <c r="F1274" s="43">
        <v>45044</v>
      </c>
      <c r="G1274" s="44">
        <v>2023</v>
      </c>
      <c r="H1274" s="52" t="s">
        <v>4</v>
      </c>
      <c r="I1274" s="46" t="s">
        <v>22</v>
      </c>
      <c r="J1274" s="46">
        <v>54</v>
      </c>
      <c r="K1274" s="46" t="s">
        <v>23</v>
      </c>
      <c r="L1274" s="46">
        <v>1</v>
      </c>
      <c r="M1274" s="47">
        <v>25</v>
      </c>
    </row>
    <row r="1275" spans="5:13" x14ac:dyDescent="0.25">
      <c r="E1275" s="33">
        <v>1913</v>
      </c>
      <c r="F1275" s="48">
        <v>45357</v>
      </c>
      <c r="G1275" s="49">
        <v>2024</v>
      </c>
      <c r="H1275" s="45" t="s">
        <v>3</v>
      </c>
      <c r="I1275" s="50" t="s">
        <v>22</v>
      </c>
      <c r="J1275" s="50">
        <v>18</v>
      </c>
      <c r="K1275" s="50" t="s">
        <v>24</v>
      </c>
      <c r="L1275" s="50">
        <v>2</v>
      </c>
      <c r="M1275" s="51">
        <v>415</v>
      </c>
    </row>
    <row r="1276" spans="5:13" x14ac:dyDescent="0.25">
      <c r="E1276" s="32">
        <v>655</v>
      </c>
      <c r="F1276" s="43">
        <v>44968</v>
      </c>
      <c r="G1276" s="44">
        <v>2023</v>
      </c>
      <c r="H1276" s="52" t="s">
        <v>2</v>
      </c>
      <c r="I1276" s="46" t="s">
        <v>20</v>
      </c>
      <c r="J1276" s="46">
        <v>40</v>
      </c>
      <c r="K1276" s="46" t="s">
        <v>23</v>
      </c>
      <c r="L1276" s="46">
        <v>1</v>
      </c>
      <c r="M1276" s="47">
        <v>25</v>
      </c>
    </row>
    <row r="1277" spans="5:13" x14ac:dyDescent="0.25">
      <c r="E1277" s="33">
        <v>1084</v>
      </c>
      <c r="F1277" s="48">
        <v>45604</v>
      </c>
      <c r="G1277" s="49">
        <v>2024</v>
      </c>
      <c r="H1277" s="45" t="s">
        <v>11</v>
      </c>
      <c r="I1277" s="50" t="s">
        <v>20</v>
      </c>
      <c r="J1277" s="50">
        <v>32</v>
      </c>
      <c r="K1277" s="50" t="s">
        <v>21</v>
      </c>
      <c r="L1277" s="50">
        <v>6</v>
      </c>
      <c r="M1277" s="51">
        <v>400</v>
      </c>
    </row>
    <row r="1278" spans="5:13" x14ac:dyDescent="0.25">
      <c r="E1278" s="32">
        <v>1649</v>
      </c>
      <c r="F1278" s="43">
        <v>45432</v>
      </c>
      <c r="G1278" s="44">
        <v>2024</v>
      </c>
      <c r="H1278" s="52" t="s">
        <v>5</v>
      </c>
      <c r="I1278" s="46" t="s">
        <v>20</v>
      </c>
      <c r="J1278" s="46">
        <v>53</v>
      </c>
      <c r="K1278" s="46" t="s">
        <v>23</v>
      </c>
      <c r="L1278" s="46">
        <v>1</v>
      </c>
      <c r="M1278" s="47">
        <v>47</v>
      </c>
    </row>
    <row r="1279" spans="5:13" x14ac:dyDescent="0.25">
      <c r="E1279" s="33">
        <v>1808</v>
      </c>
      <c r="F1279" s="48">
        <v>45608</v>
      </c>
      <c r="G1279" s="49">
        <v>2024</v>
      </c>
      <c r="H1279" s="45" t="s">
        <v>11</v>
      </c>
      <c r="I1279" s="50" t="s">
        <v>20</v>
      </c>
      <c r="J1279" s="50">
        <v>24</v>
      </c>
      <c r="K1279" s="50" t="s">
        <v>24</v>
      </c>
      <c r="L1279" s="50">
        <v>4</v>
      </c>
      <c r="M1279" s="51">
        <v>447</v>
      </c>
    </row>
    <row r="1280" spans="5:13" x14ac:dyDescent="0.25">
      <c r="E1280" s="32">
        <v>950</v>
      </c>
      <c r="F1280" s="43">
        <v>45243</v>
      </c>
      <c r="G1280" s="44">
        <v>2023</v>
      </c>
      <c r="H1280" s="52" t="s">
        <v>11</v>
      </c>
      <c r="I1280" s="46" t="s">
        <v>22</v>
      </c>
      <c r="J1280" s="46">
        <v>57</v>
      </c>
      <c r="K1280" s="46" t="s">
        <v>23</v>
      </c>
      <c r="L1280" s="46">
        <v>1</v>
      </c>
      <c r="M1280" s="47">
        <v>25</v>
      </c>
    </row>
    <row r="1281" spans="5:13" x14ac:dyDescent="0.25">
      <c r="E1281" s="33">
        <v>1101</v>
      </c>
      <c r="F1281" s="48">
        <v>45308</v>
      </c>
      <c r="G1281" s="49">
        <v>2024</v>
      </c>
      <c r="H1281" s="45" t="s">
        <v>1</v>
      </c>
      <c r="I1281" s="50" t="s">
        <v>22</v>
      </c>
      <c r="J1281" s="50">
        <v>55</v>
      </c>
      <c r="K1281" s="50" t="s">
        <v>23</v>
      </c>
      <c r="L1281" s="50">
        <v>2</v>
      </c>
      <c r="M1281" s="51">
        <v>261</v>
      </c>
    </row>
    <row r="1282" spans="5:13" x14ac:dyDescent="0.25">
      <c r="E1282" s="32">
        <v>589</v>
      </c>
      <c r="F1282" s="43">
        <v>45002</v>
      </c>
      <c r="G1282" s="44">
        <v>2023</v>
      </c>
      <c r="H1282" s="52" t="s">
        <v>3</v>
      </c>
      <c r="I1282" s="46" t="s">
        <v>20</v>
      </c>
      <c r="J1282" s="46">
        <v>36</v>
      </c>
      <c r="K1282" s="46" t="s">
        <v>23</v>
      </c>
      <c r="L1282" s="46">
        <v>3</v>
      </c>
      <c r="M1282" s="47">
        <v>300</v>
      </c>
    </row>
    <row r="1283" spans="5:13" x14ac:dyDescent="0.25">
      <c r="E1283" s="33">
        <v>1282</v>
      </c>
      <c r="F1283" s="48">
        <v>45519</v>
      </c>
      <c r="G1283" s="49">
        <v>2024</v>
      </c>
      <c r="H1283" s="45" t="s">
        <v>8</v>
      </c>
      <c r="I1283" s="50" t="s">
        <v>22</v>
      </c>
      <c r="J1283" s="50">
        <v>60</v>
      </c>
      <c r="K1283" s="50" t="s">
        <v>24</v>
      </c>
      <c r="L1283" s="50">
        <v>6</v>
      </c>
      <c r="M1283" s="51">
        <v>252</v>
      </c>
    </row>
    <row r="1284" spans="5:13" x14ac:dyDescent="0.25">
      <c r="E1284" s="32">
        <v>466</v>
      </c>
      <c r="F1284" s="43">
        <v>45137</v>
      </c>
      <c r="G1284" s="44">
        <v>2023</v>
      </c>
      <c r="H1284" s="52" t="s">
        <v>7</v>
      </c>
      <c r="I1284" s="46" t="s">
        <v>22</v>
      </c>
      <c r="J1284" s="46">
        <v>53</v>
      </c>
      <c r="K1284" s="46" t="s">
        <v>24</v>
      </c>
      <c r="L1284" s="46">
        <v>3</v>
      </c>
      <c r="M1284" s="47">
        <v>50</v>
      </c>
    </row>
    <row r="1285" spans="5:13" x14ac:dyDescent="0.25">
      <c r="E1285" s="33">
        <v>1269</v>
      </c>
      <c r="F1285" s="48">
        <v>45347</v>
      </c>
      <c r="G1285" s="49">
        <v>2024</v>
      </c>
      <c r="H1285" s="45" t="s">
        <v>2</v>
      </c>
      <c r="I1285" s="50" t="s">
        <v>22</v>
      </c>
      <c r="J1285" s="50">
        <v>41</v>
      </c>
      <c r="K1285" s="50" t="s">
        <v>24</v>
      </c>
      <c r="L1285" s="50">
        <v>5</v>
      </c>
      <c r="M1285" s="51">
        <v>128</v>
      </c>
    </row>
    <row r="1286" spans="5:13" x14ac:dyDescent="0.25">
      <c r="E1286" s="32">
        <v>1569</v>
      </c>
      <c r="F1286" s="43">
        <v>45402</v>
      </c>
      <c r="G1286" s="44">
        <v>2024</v>
      </c>
      <c r="H1286" s="52" t="s">
        <v>4</v>
      </c>
      <c r="I1286" s="46" t="s">
        <v>20</v>
      </c>
      <c r="J1286" s="46">
        <v>41</v>
      </c>
      <c r="K1286" s="46" t="s">
        <v>23</v>
      </c>
      <c r="L1286" s="46">
        <v>3</v>
      </c>
      <c r="M1286" s="47">
        <v>323</v>
      </c>
    </row>
    <row r="1287" spans="5:13" x14ac:dyDescent="0.25">
      <c r="E1287" s="33">
        <v>139</v>
      </c>
      <c r="F1287" s="48">
        <v>45275</v>
      </c>
      <c r="G1287" s="49">
        <v>2023</v>
      </c>
      <c r="H1287" s="45" t="s">
        <v>12</v>
      </c>
      <c r="I1287" s="50" t="s">
        <v>20</v>
      </c>
      <c r="J1287" s="50">
        <v>36</v>
      </c>
      <c r="K1287" s="50" t="s">
        <v>21</v>
      </c>
      <c r="L1287" s="50">
        <v>4</v>
      </c>
      <c r="M1287" s="51">
        <v>500</v>
      </c>
    </row>
    <row r="1288" spans="5:13" x14ac:dyDescent="0.25">
      <c r="E1288" s="32">
        <v>843</v>
      </c>
      <c r="F1288" s="43">
        <v>44932</v>
      </c>
      <c r="G1288" s="44">
        <v>2023</v>
      </c>
      <c r="H1288" s="52" t="s">
        <v>1</v>
      </c>
      <c r="I1288" s="46" t="s">
        <v>20</v>
      </c>
      <c r="J1288" s="46">
        <v>54</v>
      </c>
      <c r="K1288" s="46" t="s">
        <v>23</v>
      </c>
      <c r="L1288" s="46">
        <v>1</v>
      </c>
      <c r="M1288" s="47">
        <v>500</v>
      </c>
    </row>
    <row r="1289" spans="5:13" x14ac:dyDescent="0.25">
      <c r="E1289" s="33">
        <v>1950</v>
      </c>
      <c r="F1289" s="48">
        <v>45560</v>
      </c>
      <c r="G1289" s="49">
        <v>2024</v>
      </c>
      <c r="H1289" s="45" t="s">
        <v>9</v>
      </c>
      <c r="I1289" s="50" t="s">
        <v>22</v>
      </c>
      <c r="J1289" s="50">
        <v>57</v>
      </c>
      <c r="K1289" s="50" t="s">
        <v>24</v>
      </c>
      <c r="L1289" s="50">
        <v>7</v>
      </c>
      <c r="M1289" s="51">
        <v>210</v>
      </c>
    </row>
    <row r="1290" spans="5:13" x14ac:dyDescent="0.25">
      <c r="E1290" s="32">
        <v>764</v>
      </c>
      <c r="F1290" s="43">
        <v>44982</v>
      </c>
      <c r="G1290" s="44">
        <v>2023</v>
      </c>
      <c r="H1290" s="52" t="s">
        <v>2</v>
      </c>
      <c r="I1290" s="46" t="s">
        <v>20</v>
      </c>
      <c r="J1290" s="46">
        <v>38</v>
      </c>
      <c r="K1290" s="46" t="s">
        <v>24</v>
      </c>
      <c r="L1290" s="46">
        <v>3</v>
      </c>
      <c r="M1290" s="47">
        <v>300</v>
      </c>
    </row>
    <row r="1291" spans="5:13" x14ac:dyDescent="0.25">
      <c r="E1291" s="33">
        <v>871</v>
      </c>
      <c r="F1291" s="48">
        <v>45198</v>
      </c>
      <c r="G1291" s="49">
        <v>2023</v>
      </c>
      <c r="H1291" s="45" t="s">
        <v>9</v>
      </c>
      <c r="I1291" s="50" t="s">
        <v>22</v>
      </c>
      <c r="J1291" s="50">
        <v>27</v>
      </c>
      <c r="K1291" s="50" t="s">
        <v>24</v>
      </c>
      <c r="L1291" s="50">
        <v>4</v>
      </c>
      <c r="M1291" s="51">
        <v>25</v>
      </c>
    </row>
    <row r="1292" spans="5:13" x14ac:dyDescent="0.25">
      <c r="E1292" s="32">
        <v>740</v>
      </c>
      <c r="F1292" s="43">
        <v>44947</v>
      </c>
      <c r="G1292" s="44">
        <v>2023</v>
      </c>
      <c r="H1292" s="52" t="s">
        <v>1</v>
      </c>
      <c r="I1292" s="46" t="s">
        <v>22</v>
      </c>
      <c r="J1292" s="46">
        <v>38</v>
      </c>
      <c r="K1292" s="46" t="s">
        <v>24</v>
      </c>
      <c r="L1292" s="46">
        <v>4</v>
      </c>
      <c r="M1292" s="47">
        <v>500</v>
      </c>
    </row>
    <row r="1293" spans="5:13" x14ac:dyDescent="0.25">
      <c r="E1293" s="33">
        <v>1021</v>
      </c>
      <c r="F1293" s="48">
        <v>45394</v>
      </c>
      <c r="G1293" s="49">
        <v>2024</v>
      </c>
      <c r="H1293" s="45" t="s">
        <v>4</v>
      </c>
      <c r="I1293" s="50" t="s">
        <v>22</v>
      </c>
      <c r="J1293" s="50">
        <v>18</v>
      </c>
      <c r="K1293" s="50" t="s">
        <v>23</v>
      </c>
      <c r="L1293" s="50">
        <v>1</v>
      </c>
      <c r="M1293" s="51">
        <v>195</v>
      </c>
    </row>
    <row r="1294" spans="5:13" x14ac:dyDescent="0.25">
      <c r="E1294" s="32">
        <v>1803</v>
      </c>
      <c r="F1294" s="43">
        <v>45515</v>
      </c>
      <c r="G1294" s="44">
        <v>2024</v>
      </c>
      <c r="H1294" s="52" t="s">
        <v>8</v>
      </c>
      <c r="I1294" s="46" t="s">
        <v>22</v>
      </c>
      <c r="J1294" s="46">
        <v>59</v>
      </c>
      <c r="K1294" s="46" t="s">
        <v>24</v>
      </c>
      <c r="L1294" s="46">
        <v>1</v>
      </c>
      <c r="M1294" s="47">
        <v>483</v>
      </c>
    </row>
    <row r="1295" spans="5:13" x14ac:dyDescent="0.25">
      <c r="E1295" s="33">
        <v>1369</v>
      </c>
      <c r="F1295" s="48">
        <v>45329</v>
      </c>
      <c r="G1295" s="49">
        <v>2024</v>
      </c>
      <c r="H1295" s="45" t="s">
        <v>2</v>
      </c>
      <c r="I1295" s="50" t="s">
        <v>22</v>
      </c>
      <c r="J1295" s="50">
        <v>63</v>
      </c>
      <c r="K1295" s="50" t="s">
        <v>21</v>
      </c>
      <c r="L1295" s="50">
        <v>4</v>
      </c>
      <c r="M1295" s="51">
        <v>335</v>
      </c>
    </row>
    <row r="1296" spans="5:13" x14ac:dyDescent="0.25">
      <c r="E1296" s="32">
        <v>780</v>
      </c>
      <c r="F1296" s="43">
        <v>45081</v>
      </c>
      <c r="G1296" s="44">
        <v>2023</v>
      </c>
      <c r="H1296" s="52" t="s">
        <v>6</v>
      </c>
      <c r="I1296" s="46" t="s">
        <v>20</v>
      </c>
      <c r="J1296" s="46">
        <v>59</v>
      </c>
      <c r="K1296" s="46" t="s">
        <v>23</v>
      </c>
      <c r="L1296" s="46">
        <v>3</v>
      </c>
      <c r="M1296" s="47">
        <v>300</v>
      </c>
    </row>
    <row r="1297" spans="5:13" x14ac:dyDescent="0.25">
      <c r="E1297" s="33">
        <v>665</v>
      </c>
      <c r="F1297" s="48">
        <v>45139</v>
      </c>
      <c r="G1297" s="49">
        <v>2023</v>
      </c>
      <c r="H1297" s="45" t="s">
        <v>8</v>
      </c>
      <c r="I1297" s="50" t="s">
        <v>22</v>
      </c>
      <c r="J1297" s="50">
        <v>29</v>
      </c>
      <c r="K1297" s="50" t="s">
        <v>24</v>
      </c>
      <c r="L1297" s="50">
        <v>1</v>
      </c>
      <c r="M1297" s="51">
        <v>500</v>
      </c>
    </row>
    <row r="1298" spans="5:13" x14ac:dyDescent="0.25">
      <c r="E1298" s="32">
        <v>399</v>
      </c>
      <c r="F1298" s="43">
        <v>44981</v>
      </c>
      <c r="G1298" s="44">
        <v>2023</v>
      </c>
      <c r="H1298" s="52" t="s">
        <v>2</v>
      </c>
      <c r="I1298" s="46" t="s">
        <v>20</v>
      </c>
      <c r="J1298" s="46">
        <v>53</v>
      </c>
      <c r="K1298" s="46" t="s">
        <v>23</v>
      </c>
      <c r="L1298" s="46">
        <v>4</v>
      </c>
      <c r="M1298" s="47">
        <v>50</v>
      </c>
    </row>
    <row r="1299" spans="5:13" x14ac:dyDescent="0.25">
      <c r="E1299" s="33">
        <v>1650</v>
      </c>
      <c r="F1299" s="48">
        <v>45464</v>
      </c>
      <c r="G1299" s="49">
        <v>2024</v>
      </c>
      <c r="H1299" s="45" t="s">
        <v>6</v>
      </c>
      <c r="I1299" s="50" t="s">
        <v>20</v>
      </c>
      <c r="J1299" s="50">
        <v>28</v>
      </c>
      <c r="K1299" s="50" t="s">
        <v>23</v>
      </c>
      <c r="L1299" s="50">
        <v>2</v>
      </c>
      <c r="M1299" s="51">
        <v>203</v>
      </c>
    </row>
    <row r="1300" spans="5:13" x14ac:dyDescent="0.25">
      <c r="E1300" s="32">
        <v>688</v>
      </c>
      <c r="F1300" s="43">
        <v>45235</v>
      </c>
      <c r="G1300" s="44">
        <v>2023</v>
      </c>
      <c r="H1300" s="52" t="s">
        <v>11</v>
      </c>
      <c r="I1300" s="46" t="s">
        <v>22</v>
      </c>
      <c r="J1300" s="46">
        <v>52</v>
      </c>
      <c r="K1300" s="46" t="s">
        <v>23</v>
      </c>
      <c r="L1300" s="46">
        <v>3</v>
      </c>
      <c r="M1300" s="47">
        <v>300</v>
      </c>
    </row>
    <row r="1301" spans="5:13" x14ac:dyDescent="0.25">
      <c r="E1301" s="33">
        <v>646</v>
      </c>
      <c r="F1301" s="48">
        <v>45067</v>
      </c>
      <c r="G1301" s="49">
        <v>2023</v>
      </c>
      <c r="H1301" s="45" t="s">
        <v>5</v>
      </c>
      <c r="I1301" s="50" t="s">
        <v>20</v>
      </c>
      <c r="J1301" s="50">
        <v>59</v>
      </c>
      <c r="K1301" s="50" t="s">
        <v>23</v>
      </c>
      <c r="L1301" s="50">
        <v>3</v>
      </c>
      <c r="M1301" s="51">
        <v>500</v>
      </c>
    </row>
    <row r="1302" spans="5:13" x14ac:dyDescent="0.25">
      <c r="E1302" s="32">
        <v>1884</v>
      </c>
      <c r="F1302" s="43">
        <v>45354</v>
      </c>
      <c r="G1302" s="44">
        <v>2024</v>
      </c>
      <c r="H1302" s="52" t="s">
        <v>3</v>
      </c>
      <c r="I1302" s="46" t="s">
        <v>22</v>
      </c>
      <c r="J1302" s="46">
        <v>56</v>
      </c>
      <c r="K1302" s="46" t="s">
        <v>24</v>
      </c>
      <c r="L1302" s="46">
        <v>2</v>
      </c>
      <c r="M1302" s="47">
        <v>371</v>
      </c>
    </row>
    <row r="1303" spans="5:13" x14ac:dyDescent="0.25">
      <c r="E1303" s="33">
        <v>610</v>
      </c>
      <c r="F1303" s="48">
        <v>44981</v>
      </c>
      <c r="G1303" s="49">
        <v>2023</v>
      </c>
      <c r="H1303" s="45" t="s">
        <v>2</v>
      </c>
      <c r="I1303" s="50" t="s">
        <v>20</v>
      </c>
      <c r="J1303" s="50">
        <v>51</v>
      </c>
      <c r="K1303" s="50" t="s">
        <v>21</v>
      </c>
      <c r="L1303" s="50">
        <v>3</v>
      </c>
      <c r="M1303" s="51">
        <v>500</v>
      </c>
    </row>
    <row r="1304" spans="5:13" x14ac:dyDescent="0.25">
      <c r="E1304" s="32">
        <v>1190</v>
      </c>
      <c r="F1304" s="43">
        <v>45332</v>
      </c>
      <c r="G1304" s="44">
        <v>2024</v>
      </c>
      <c r="H1304" s="52" t="s">
        <v>2</v>
      </c>
      <c r="I1304" s="46" t="s">
        <v>20</v>
      </c>
      <c r="J1304" s="46">
        <v>29</v>
      </c>
      <c r="K1304" s="46" t="s">
        <v>21</v>
      </c>
      <c r="L1304" s="46">
        <v>3</v>
      </c>
      <c r="M1304" s="47">
        <v>91</v>
      </c>
    </row>
    <row r="1305" spans="5:13" x14ac:dyDescent="0.25">
      <c r="E1305" s="33">
        <v>469</v>
      </c>
      <c r="F1305" s="48">
        <v>45063</v>
      </c>
      <c r="G1305" s="49">
        <v>2023</v>
      </c>
      <c r="H1305" s="45" t="s">
        <v>5</v>
      </c>
      <c r="I1305" s="50" t="s">
        <v>22</v>
      </c>
      <c r="J1305" s="50">
        <v>57</v>
      </c>
      <c r="K1305" s="50" t="s">
        <v>23</v>
      </c>
      <c r="L1305" s="50">
        <v>2</v>
      </c>
      <c r="M1305" s="51">
        <v>500</v>
      </c>
    </row>
    <row r="1306" spans="5:13" x14ac:dyDescent="0.25">
      <c r="E1306" s="32">
        <v>983</v>
      </c>
      <c r="F1306" s="43">
        <v>45076</v>
      </c>
      <c r="G1306" s="44">
        <v>2023</v>
      </c>
      <c r="H1306" s="52" t="s">
        <v>5</v>
      </c>
      <c r="I1306" s="46" t="s">
        <v>22</v>
      </c>
      <c r="J1306" s="46">
        <v>19</v>
      </c>
      <c r="K1306" s="46" t="s">
        <v>24</v>
      </c>
      <c r="L1306" s="46">
        <v>2</v>
      </c>
      <c r="M1306" s="47">
        <v>25</v>
      </c>
    </row>
    <row r="1307" spans="5:13" x14ac:dyDescent="0.25">
      <c r="E1307" s="33">
        <v>826</v>
      </c>
      <c r="F1307" s="48">
        <v>45269</v>
      </c>
      <c r="G1307" s="49">
        <v>2023</v>
      </c>
      <c r="H1307" s="45" t="s">
        <v>12</v>
      </c>
      <c r="I1307" s="50" t="s">
        <v>22</v>
      </c>
      <c r="J1307" s="50">
        <v>33</v>
      </c>
      <c r="K1307" s="50" t="s">
        <v>24</v>
      </c>
      <c r="L1307" s="50">
        <v>4</v>
      </c>
      <c r="M1307" s="51">
        <v>300</v>
      </c>
    </row>
    <row r="1308" spans="5:13" x14ac:dyDescent="0.25">
      <c r="E1308" s="32">
        <v>977</v>
      </c>
      <c r="F1308" s="43">
        <v>44928</v>
      </c>
      <c r="G1308" s="44">
        <v>2023</v>
      </c>
      <c r="H1308" s="52" t="s">
        <v>1</v>
      </c>
      <c r="I1308" s="46" t="s">
        <v>22</v>
      </c>
      <c r="J1308" s="46">
        <v>19</v>
      </c>
      <c r="K1308" s="46" t="s">
        <v>21</v>
      </c>
      <c r="L1308" s="46">
        <v>1</v>
      </c>
      <c r="M1308" s="47">
        <v>25</v>
      </c>
    </row>
    <row r="1309" spans="5:13" x14ac:dyDescent="0.25">
      <c r="E1309" s="33">
        <v>1816</v>
      </c>
      <c r="F1309" s="48">
        <v>45418</v>
      </c>
      <c r="G1309" s="49">
        <v>2024</v>
      </c>
      <c r="H1309" s="45" t="s">
        <v>5</v>
      </c>
      <c r="I1309" s="50" t="s">
        <v>20</v>
      </c>
      <c r="J1309" s="50">
        <v>49</v>
      </c>
      <c r="K1309" s="50" t="s">
        <v>24</v>
      </c>
      <c r="L1309" s="50">
        <v>1</v>
      </c>
      <c r="M1309" s="51">
        <v>492</v>
      </c>
    </row>
    <row r="1310" spans="5:13" x14ac:dyDescent="0.25">
      <c r="E1310" s="32">
        <v>807</v>
      </c>
      <c r="F1310" s="43">
        <v>45194</v>
      </c>
      <c r="G1310" s="44">
        <v>2023</v>
      </c>
      <c r="H1310" s="52" t="s">
        <v>9</v>
      </c>
      <c r="I1310" s="46" t="s">
        <v>22</v>
      </c>
      <c r="J1310" s="46">
        <v>62</v>
      </c>
      <c r="K1310" s="46" t="s">
        <v>21</v>
      </c>
      <c r="L1310" s="46">
        <v>2</v>
      </c>
      <c r="M1310" s="47">
        <v>50</v>
      </c>
    </row>
    <row r="1311" spans="5:13" x14ac:dyDescent="0.25">
      <c r="E1311" s="33">
        <v>1147</v>
      </c>
      <c r="F1311" s="48">
        <v>45576</v>
      </c>
      <c r="G1311" s="49">
        <v>2024</v>
      </c>
      <c r="H1311" s="45" t="s">
        <v>10</v>
      </c>
      <c r="I1311" s="50" t="s">
        <v>20</v>
      </c>
      <c r="J1311" s="50">
        <v>42</v>
      </c>
      <c r="K1311" s="50" t="s">
        <v>23</v>
      </c>
      <c r="L1311" s="50">
        <v>1</v>
      </c>
      <c r="M1311" s="51">
        <v>354</v>
      </c>
    </row>
    <row r="1312" spans="5:13" x14ac:dyDescent="0.25">
      <c r="E1312" s="32">
        <v>772</v>
      </c>
      <c r="F1312" s="43">
        <v>45028</v>
      </c>
      <c r="G1312" s="44">
        <v>2023</v>
      </c>
      <c r="H1312" s="52" t="s">
        <v>4</v>
      </c>
      <c r="I1312" s="46" t="s">
        <v>22</v>
      </c>
      <c r="J1312" s="46">
        <v>40</v>
      </c>
      <c r="K1312" s="46" t="s">
        <v>23</v>
      </c>
      <c r="L1312" s="46">
        <v>2</v>
      </c>
      <c r="M1312" s="47">
        <v>25</v>
      </c>
    </row>
    <row r="1313" spans="5:13" x14ac:dyDescent="0.25">
      <c r="E1313" s="33">
        <v>309</v>
      </c>
      <c r="F1313" s="48">
        <v>45211</v>
      </c>
      <c r="G1313" s="49">
        <v>2023</v>
      </c>
      <c r="H1313" s="45" t="s">
        <v>10</v>
      </c>
      <c r="I1313" s="50" t="s">
        <v>22</v>
      </c>
      <c r="J1313" s="50">
        <v>28</v>
      </c>
      <c r="K1313" s="50" t="s">
        <v>21</v>
      </c>
      <c r="L1313" s="50">
        <v>1</v>
      </c>
      <c r="M1313" s="51">
        <v>25</v>
      </c>
    </row>
    <row r="1314" spans="5:13" x14ac:dyDescent="0.25">
      <c r="E1314" s="32">
        <v>1381</v>
      </c>
      <c r="F1314" s="43">
        <v>45517</v>
      </c>
      <c r="G1314" s="44">
        <v>2024</v>
      </c>
      <c r="H1314" s="52" t="s">
        <v>8</v>
      </c>
      <c r="I1314" s="46" t="s">
        <v>20</v>
      </c>
      <c r="J1314" s="46">
        <v>60</v>
      </c>
      <c r="K1314" s="46" t="s">
        <v>23</v>
      </c>
      <c r="L1314" s="46">
        <v>7</v>
      </c>
      <c r="M1314" s="47">
        <v>92</v>
      </c>
    </row>
    <row r="1315" spans="5:13" x14ac:dyDescent="0.25">
      <c r="E1315" s="33">
        <v>946</v>
      </c>
      <c r="F1315" s="48">
        <v>45212</v>
      </c>
      <c r="G1315" s="49">
        <v>2023</v>
      </c>
      <c r="H1315" s="45" t="s">
        <v>10</v>
      </c>
      <c r="I1315" s="50" t="s">
        <v>22</v>
      </c>
      <c r="J1315" s="50">
        <v>23</v>
      </c>
      <c r="K1315" s="50" t="s">
        <v>24</v>
      </c>
      <c r="L1315" s="50">
        <v>3</v>
      </c>
      <c r="M1315" s="51">
        <v>25</v>
      </c>
    </row>
    <row r="1316" spans="5:13" x14ac:dyDescent="0.25">
      <c r="E1316" s="32">
        <v>1390</v>
      </c>
      <c r="F1316" s="43">
        <v>45576</v>
      </c>
      <c r="G1316" s="44">
        <v>2024</v>
      </c>
      <c r="H1316" s="52" t="s">
        <v>10</v>
      </c>
      <c r="I1316" s="46" t="s">
        <v>22</v>
      </c>
      <c r="J1316" s="46">
        <v>46</v>
      </c>
      <c r="K1316" s="46" t="s">
        <v>21</v>
      </c>
      <c r="L1316" s="46">
        <v>7</v>
      </c>
      <c r="M1316" s="47">
        <v>232</v>
      </c>
    </row>
    <row r="1317" spans="5:13" x14ac:dyDescent="0.25">
      <c r="E1317" s="33">
        <v>1143</v>
      </c>
      <c r="F1317" s="48">
        <v>45598</v>
      </c>
      <c r="G1317" s="49">
        <v>2024</v>
      </c>
      <c r="H1317" s="45" t="s">
        <v>11</v>
      </c>
      <c r="I1317" s="50" t="s">
        <v>22</v>
      </c>
      <c r="J1317" s="50">
        <v>56</v>
      </c>
      <c r="K1317" s="50" t="s">
        <v>23</v>
      </c>
      <c r="L1317" s="50">
        <v>6</v>
      </c>
      <c r="M1317" s="51">
        <v>130</v>
      </c>
    </row>
    <row r="1318" spans="5:13" x14ac:dyDescent="0.25">
      <c r="E1318" s="32">
        <v>186</v>
      </c>
      <c r="F1318" s="43">
        <v>45112</v>
      </c>
      <c r="G1318" s="44">
        <v>2023</v>
      </c>
      <c r="H1318" s="52" t="s">
        <v>7</v>
      </c>
      <c r="I1318" s="46" t="s">
        <v>20</v>
      </c>
      <c r="J1318" s="46">
        <v>20</v>
      </c>
      <c r="K1318" s="46" t="s">
        <v>23</v>
      </c>
      <c r="L1318" s="46">
        <v>4</v>
      </c>
      <c r="M1318" s="47">
        <v>50</v>
      </c>
    </row>
    <row r="1319" spans="5:13" x14ac:dyDescent="0.25">
      <c r="E1319" s="33">
        <v>1296</v>
      </c>
      <c r="F1319" s="48">
        <v>45498</v>
      </c>
      <c r="G1319" s="49">
        <v>2024</v>
      </c>
      <c r="H1319" s="45" t="s">
        <v>7</v>
      </c>
      <c r="I1319" s="50" t="s">
        <v>20</v>
      </c>
      <c r="J1319" s="50">
        <v>42</v>
      </c>
      <c r="K1319" s="50" t="s">
        <v>24</v>
      </c>
      <c r="L1319" s="50">
        <v>2</v>
      </c>
      <c r="M1319" s="51">
        <v>37</v>
      </c>
    </row>
    <row r="1320" spans="5:13" x14ac:dyDescent="0.25">
      <c r="E1320" s="32">
        <v>695</v>
      </c>
      <c r="F1320" s="43">
        <v>44941</v>
      </c>
      <c r="G1320" s="44">
        <v>2023</v>
      </c>
      <c r="H1320" s="52" t="s">
        <v>1</v>
      </c>
      <c r="I1320" s="46" t="s">
        <v>20</v>
      </c>
      <c r="J1320" s="46">
        <v>53</v>
      </c>
      <c r="K1320" s="46" t="s">
        <v>23</v>
      </c>
      <c r="L1320" s="46">
        <v>1</v>
      </c>
      <c r="M1320" s="47">
        <v>500</v>
      </c>
    </row>
    <row r="1321" spans="5:13" x14ac:dyDescent="0.25">
      <c r="E1321" s="33">
        <v>614</v>
      </c>
      <c r="F1321" s="48">
        <v>45283</v>
      </c>
      <c r="G1321" s="49">
        <v>2023</v>
      </c>
      <c r="H1321" s="45" t="s">
        <v>12</v>
      </c>
      <c r="I1321" s="50" t="s">
        <v>22</v>
      </c>
      <c r="J1321" s="50">
        <v>61</v>
      </c>
      <c r="K1321" s="50" t="s">
        <v>23</v>
      </c>
      <c r="L1321" s="50">
        <v>4</v>
      </c>
      <c r="M1321" s="51">
        <v>25</v>
      </c>
    </row>
    <row r="1322" spans="5:13" x14ac:dyDescent="0.25">
      <c r="E1322" s="32">
        <v>341</v>
      </c>
      <c r="F1322" s="43">
        <v>45223</v>
      </c>
      <c r="G1322" s="44">
        <v>2023</v>
      </c>
      <c r="H1322" s="52" t="s">
        <v>10</v>
      </c>
      <c r="I1322" s="46" t="s">
        <v>22</v>
      </c>
      <c r="J1322" s="46">
        <v>43</v>
      </c>
      <c r="K1322" s="46" t="s">
        <v>23</v>
      </c>
      <c r="L1322" s="46">
        <v>4</v>
      </c>
      <c r="M1322" s="47">
        <v>500</v>
      </c>
    </row>
    <row r="1323" spans="5:13" x14ac:dyDescent="0.25">
      <c r="E1323" s="33">
        <v>685</v>
      </c>
      <c r="F1323" s="48">
        <v>45141</v>
      </c>
      <c r="G1323" s="49">
        <v>2023</v>
      </c>
      <c r="H1323" s="45" t="s">
        <v>8</v>
      </c>
      <c r="I1323" s="50" t="s">
        <v>22</v>
      </c>
      <c r="J1323" s="50">
        <v>53</v>
      </c>
      <c r="K1323" s="50" t="s">
        <v>24</v>
      </c>
      <c r="L1323" s="50">
        <v>1</v>
      </c>
      <c r="M1323" s="51">
        <v>300</v>
      </c>
    </row>
    <row r="1324" spans="5:13" x14ac:dyDescent="0.25">
      <c r="E1324" s="32">
        <v>471</v>
      </c>
      <c r="F1324" s="43">
        <v>45286</v>
      </c>
      <c r="G1324" s="44">
        <v>2023</v>
      </c>
      <c r="H1324" s="52" t="s">
        <v>12</v>
      </c>
      <c r="I1324" s="46" t="s">
        <v>22</v>
      </c>
      <c r="J1324" s="46">
        <v>38</v>
      </c>
      <c r="K1324" s="46" t="s">
        <v>21</v>
      </c>
      <c r="L1324" s="46">
        <v>3</v>
      </c>
      <c r="M1324" s="47">
        <v>300</v>
      </c>
    </row>
    <row r="1325" spans="5:13" x14ac:dyDescent="0.25">
      <c r="E1325" s="33">
        <v>1045</v>
      </c>
      <c r="F1325" s="48">
        <v>45602</v>
      </c>
      <c r="G1325" s="49">
        <v>2024</v>
      </c>
      <c r="H1325" s="45" t="s">
        <v>11</v>
      </c>
      <c r="I1325" s="50" t="s">
        <v>22</v>
      </c>
      <c r="J1325" s="50">
        <v>43</v>
      </c>
      <c r="K1325" s="50" t="s">
        <v>21</v>
      </c>
      <c r="L1325" s="50">
        <v>5</v>
      </c>
      <c r="M1325" s="51">
        <v>449</v>
      </c>
    </row>
    <row r="1326" spans="5:13" x14ac:dyDescent="0.25">
      <c r="E1326" s="32">
        <v>1216</v>
      </c>
      <c r="F1326" s="43">
        <v>45524</v>
      </c>
      <c r="G1326" s="44">
        <v>2024</v>
      </c>
      <c r="H1326" s="52" t="s">
        <v>8</v>
      </c>
      <c r="I1326" s="46" t="s">
        <v>22</v>
      </c>
      <c r="J1326" s="46">
        <v>58</v>
      </c>
      <c r="K1326" s="46" t="s">
        <v>24</v>
      </c>
      <c r="L1326" s="46">
        <v>1</v>
      </c>
      <c r="M1326" s="47">
        <v>142</v>
      </c>
    </row>
    <row r="1327" spans="5:13" x14ac:dyDescent="0.25">
      <c r="E1327" s="33">
        <v>810</v>
      </c>
      <c r="F1327" s="48">
        <v>45242</v>
      </c>
      <c r="G1327" s="49">
        <v>2023</v>
      </c>
      <c r="H1327" s="45" t="s">
        <v>11</v>
      </c>
      <c r="I1327" s="50" t="s">
        <v>20</v>
      </c>
      <c r="J1327" s="50">
        <v>19</v>
      </c>
      <c r="K1327" s="50" t="s">
        <v>24</v>
      </c>
      <c r="L1327" s="50">
        <v>3</v>
      </c>
      <c r="M1327" s="51">
        <v>25</v>
      </c>
    </row>
    <row r="1328" spans="5:13" x14ac:dyDescent="0.25">
      <c r="E1328" s="32">
        <v>1817</v>
      </c>
      <c r="F1328" s="43">
        <v>45336</v>
      </c>
      <c r="G1328" s="44">
        <v>2024</v>
      </c>
      <c r="H1328" s="52" t="s">
        <v>2</v>
      </c>
      <c r="I1328" s="46" t="s">
        <v>20</v>
      </c>
      <c r="J1328" s="46">
        <v>30</v>
      </c>
      <c r="K1328" s="46" t="s">
        <v>24</v>
      </c>
      <c r="L1328" s="46">
        <v>4</v>
      </c>
      <c r="M1328" s="47">
        <v>259</v>
      </c>
    </row>
    <row r="1329" spans="5:13" x14ac:dyDescent="0.25">
      <c r="E1329" s="33">
        <v>727</v>
      </c>
      <c r="F1329" s="48">
        <v>45069</v>
      </c>
      <c r="G1329" s="49">
        <v>2023</v>
      </c>
      <c r="H1329" s="45" t="s">
        <v>5</v>
      </c>
      <c r="I1329" s="50" t="s">
        <v>20</v>
      </c>
      <c r="J1329" s="50">
        <v>29</v>
      </c>
      <c r="K1329" s="50" t="s">
        <v>23</v>
      </c>
      <c r="L1329" s="50">
        <v>4</v>
      </c>
      <c r="M1329" s="51">
        <v>300</v>
      </c>
    </row>
    <row r="1330" spans="5:13" x14ac:dyDescent="0.25">
      <c r="E1330" s="32">
        <v>1308</v>
      </c>
      <c r="F1330" s="43">
        <v>45631</v>
      </c>
      <c r="G1330" s="44">
        <v>2024</v>
      </c>
      <c r="H1330" s="52" t="s">
        <v>12</v>
      </c>
      <c r="I1330" s="46" t="s">
        <v>22</v>
      </c>
      <c r="J1330" s="46">
        <v>28</v>
      </c>
      <c r="K1330" s="46" t="s">
        <v>21</v>
      </c>
      <c r="L1330" s="46">
        <v>5</v>
      </c>
      <c r="M1330" s="47">
        <v>53</v>
      </c>
    </row>
    <row r="1331" spans="5:13" x14ac:dyDescent="0.25">
      <c r="E1331" s="33">
        <v>530</v>
      </c>
      <c r="F1331" s="48">
        <v>45267</v>
      </c>
      <c r="G1331" s="49">
        <v>2023</v>
      </c>
      <c r="H1331" s="45" t="s">
        <v>12</v>
      </c>
      <c r="I1331" s="50" t="s">
        <v>20</v>
      </c>
      <c r="J1331" s="50">
        <v>31</v>
      </c>
      <c r="K1331" s="50" t="s">
        <v>24</v>
      </c>
      <c r="L1331" s="50">
        <v>1</v>
      </c>
      <c r="M1331" s="51">
        <v>500</v>
      </c>
    </row>
    <row r="1332" spans="5:13" x14ac:dyDescent="0.25">
      <c r="E1332" s="32">
        <v>429</v>
      </c>
      <c r="F1332" s="43">
        <v>45145</v>
      </c>
      <c r="G1332" s="44">
        <v>2023</v>
      </c>
      <c r="H1332" s="52" t="s">
        <v>8</v>
      </c>
      <c r="I1332" s="46" t="s">
        <v>22</v>
      </c>
      <c r="J1332" s="46">
        <v>43</v>
      </c>
      <c r="K1332" s="46" t="s">
        <v>24</v>
      </c>
      <c r="L1332" s="46">
        <v>3</v>
      </c>
      <c r="M1332" s="47">
        <v>300</v>
      </c>
    </row>
    <row r="1333" spans="5:13" x14ac:dyDescent="0.25">
      <c r="E1333" s="33">
        <v>597</v>
      </c>
      <c r="F1333" s="48">
        <v>45139</v>
      </c>
      <c r="G1333" s="49">
        <v>2023</v>
      </c>
      <c r="H1333" s="45" t="s">
        <v>8</v>
      </c>
      <c r="I1333" s="50" t="s">
        <v>20</v>
      </c>
      <c r="J1333" s="50">
        <v>37</v>
      </c>
      <c r="K1333" s="50" t="s">
        <v>21</v>
      </c>
      <c r="L1333" s="50">
        <v>4</v>
      </c>
      <c r="M1333" s="51">
        <v>30</v>
      </c>
    </row>
    <row r="1334" spans="5:13" x14ac:dyDescent="0.25">
      <c r="E1334" s="32">
        <v>698</v>
      </c>
      <c r="F1334" s="43">
        <v>45269</v>
      </c>
      <c r="G1334" s="44">
        <v>2023</v>
      </c>
      <c r="H1334" s="52" t="s">
        <v>12</v>
      </c>
      <c r="I1334" s="46" t="s">
        <v>20</v>
      </c>
      <c r="J1334" s="46">
        <v>36</v>
      </c>
      <c r="K1334" s="46" t="s">
        <v>24</v>
      </c>
      <c r="L1334" s="46">
        <v>4</v>
      </c>
      <c r="M1334" s="47">
        <v>500</v>
      </c>
    </row>
    <row r="1335" spans="5:13" x14ac:dyDescent="0.25">
      <c r="E1335" s="33">
        <v>1162</v>
      </c>
      <c r="F1335" s="48">
        <v>45427</v>
      </c>
      <c r="G1335" s="49">
        <v>2024</v>
      </c>
      <c r="H1335" s="45" t="s">
        <v>5</v>
      </c>
      <c r="I1335" s="50" t="s">
        <v>22</v>
      </c>
      <c r="J1335" s="50">
        <v>60</v>
      </c>
      <c r="K1335" s="50" t="s">
        <v>21</v>
      </c>
      <c r="L1335" s="50">
        <v>5</v>
      </c>
      <c r="M1335" s="51">
        <v>377</v>
      </c>
    </row>
    <row r="1336" spans="5:13" x14ac:dyDescent="0.25">
      <c r="E1336" s="32">
        <v>141</v>
      </c>
      <c r="F1336" s="43">
        <v>45232</v>
      </c>
      <c r="G1336" s="44">
        <v>2023</v>
      </c>
      <c r="H1336" s="52" t="s">
        <v>11</v>
      </c>
      <c r="I1336" s="46" t="s">
        <v>22</v>
      </c>
      <c r="J1336" s="46">
        <v>22</v>
      </c>
      <c r="K1336" s="46" t="s">
        <v>24</v>
      </c>
      <c r="L1336" s="46">
        <v>1</v>
      </c>
      <c r="M1336" s="47">
        <v>50</v>
      </c>
    </row>
    <row r="1337" spans="5:13" x14ac:dyDescent="0.25">
      <c r="E1337" s="33">
        <v>320</v>
      </c>
      <c r="F1337" s="48">
        <v>45087</v>
      </c>
      <c r="G1337" s="49">
        <v>2023</v>
      </c>
      <c r="H1337" s="45" t="s">
        <v>6</v>
      </c>
      <c r="I1337" s="50" t="s">
        <v>22</v>
      </c>
      <c r="J1337" s="50">
        <v>26</v>
      </c>
      <c r="K1337" s="50" t="s">
        <v>24</v>
      </c>
      <c r="L1337" s="50">
        <v>2</v>
      </c>
      <c r="M1337" s="51">
        <v>25</v>
      </c>
    </row>
    <row r="1338" spans="5:13" x14ac:dyDescent="0.25">
      <c r="E1338" s="32">
        <v>1119</v>
      </c>
      <c r="F1338" s="43">
        <v>45580</v>
      </c>
      <c r="G1338" s="44">
        <v>2024</v>
      </c>
      <c r="H1338" s="52" t="s">
        <v>10</v>
      </c>
      <c r="I1338" s="46" t="s">
        <v>22</v>
      </c>
      <c r="J1338" s="46">
        <v>54</v>
      </c>
      <c r="K1338" s="46" t="s">
        <v>24</v>
      </c>
      <c r="L1338" s="46">
        <v>4</v>
      </c>
      <c r="M1338" s="47">
        <v>185</v>
      </c>
    </row>
    <row r="1339" spans="5:13" x14ac:dyDescent="0.25">
      <c r="E1339" s="33">
        <v>254</v>
      </c>
      <c r="F1339" s="48">
        <v>45024</v>
      </c>
      <c r="G1339" s="49">
        <v>2023</v>
      </c>
      <c r="H1339" s="45" t="s">
        <v>4</v>
      </c>
      <c r="I1339" s="50" t="s">
        <v>20</v>
      </c>
      <c r="J1339" s="50">
        <v>48</v>
      </c>
      <c r="K1339" s="50" t="s">
        <v>23</v>
      </c>
      <c r="L1339" s="50">
        <v>1</v>
      </c>
      <c r="M1339" s="51">
        <v>30</v>
      </c>
    </row>
    <row r="1340" spans="5:13" x14ac:dyDescent="0.25">
      <c r="E1340" s="32">
        <v>1516</v>
      </c>
      <c r="F1340" s="43">
        <v>45314</v>
      </c>
      <c r="G1340" s="44">
        <v>2024</v>
      </c>
      <c r="H1340" s="52" t="s">
        <v>1</v>
      </c>
      <c r="I1340" s="46" t="s">
        <v>22</v>
      </c>
      <c r="J1340" s="46">
        <v>34</v>
      </c>
      <c r="K1340" s="46" t="s">
        <v>24</v>
      </c>
      <c r="L1340" s="46">
        <v>5</v>
      </c>
      <c r="M1340" s="47">
        <v>45</v>
      </c>
    </row>
    <row r="1341" spans="5:13" x14ac:dyDescent="0.25">
      <c r="E1341" s="33">
        <v>64</v>
      </c>
      <c r="F1341" s="48">
        <v>44950</v>
      </c>
      <c r="G1341" s="49">
        <v>2023</v>
      </c>
      <c r="H1341" s="45" t="s">
        <v>1</v>
      </c>
      <c r="I1341" s="50" t="s">
        <v>20</v>
      </c>
      <c r="J1341" s="50">
        <v>49</v>
      </c>
      <c r="K1341" s="50" t="s">
        <v>23</v>
      </c>
      <c r="L1341" s="50">
        <v>4</v>
      </c>
      <c r="M1341" s="51">
        <v>25</v>
      </c>
    </row>
    <row r="1342" spans="5:13" x14ac:dyDescent="0.25">
      <c r="E1342" s="32">
        <v>10</v>
      </c>
      <c r="F1342" s="43">
        <v>45206</v>
      </c>
      <c r="G1342" s="44">
        <v>2023</v>
      </c>
      <c r="H1342" s="52" t="s">
        <v>10</v>
      </c>
      <c r="I1342" s="46" t="s">
        <v>22</v>
      </c>
      <c r="J1342" s="46">
        <v>52</v>
      </c>
      <c r="K1342" s="46" t="s">
        <v>23</v>
      </c>
      <c r="L1342" s="46">
        <v>4</v>
      </c>
      <c r="M1342" s="47">
        <v>50</v>
      </c>
    </row>
    <row r="1343" spans="5:13" x14ac:dyDescent="0.25">
      <c r="E1343" s="33">
        <v>967</v>
      </c>
      <c r="F1343" s="48">
        <v>45035</v>
      </c>
      <c r="G1343" s="49">
        <v>2023</v>
      </c>
      <c r="H1343" s="45" t="s">
        <v>4</v>
      </c>
      <c r="I1343" s="50" t="s">
        <v>22</v>
      </c>
      <c r="J1343" s="50">
        <v>40</v>
      </c>
      <c r="K1343" s="50" t="s">
        <v>23</v>
      </c>
      <c r="L1343" s="50">
        <v>3</v>
      </c>
      <c r="M1343" s="51">
        <v>300</v>
      </c>
    </row>
    <row r="1344" spans="5:13" x14ac:dyDescent="0.25">
      <c r="E1344" s="32">
        <v>196</v>
      </c>
      <c r="F1344" s="43">
        <v>45199</v>
      </c>
      <c r="G1344" s="44">
        <v>2023</v>
      </c>
      <c r="H1344" s="52" t="s">
        <v>9</v>
      </c>
      <c r="I1344" s="46" t="s">
        <v>22</v>
      </c>
      <c r="J1344" s="46">
        <v>32</v>
      </c>
      <c r="K1344" s="46" t="s">
        <v>23</v>
      </c>
      <c r="L1344" s="46">
        <v>3</v>
      </c>
      <c r="M1344" s="47">
        <v>300</v>
      </c>
    </row>
    <row r="1345" spans="5:13" x14ac:dyDescent="0.25">
      <c r="E1345" s="33">
        <v>1537</v>
      </c>
      <c r="F1345" s="48">
        <v>45634</v>
      </c>
      <c r="G1345" s="49">
        <v>2024</v>
      </c>
      <c r="H1345" s="45" t="s">
        <v>12</v>
      </c>
      <c r="I1345" s="50" t="s">
        <v>22</v>
      </c>
      <c r="J1345" s="50">
        <v>22</v>
      </c>
      <c r="K1345" s="50" t="s">
        <v>24</v>
      </c>
      <c r="L1345" s="50">
        <v>2</v>
      </c>
      <c r="M1345" s="51">
        <v>379</v>
      </c>
    </row>
    <row r="1346" spans="5:13" x14ac:dyDescent="0.25">
      <c r="E1346" s="32">
        <v>1482</v>
      </c>
      <c r="F1346" s="43">
        <v>45630</v>
      </c>
      <c r="G1346" s="44">
        <v>2024</v>
      </c>
      <c r="H1346" s="52" t="s">
        <v>12</v>
      </c>
      <c r="I1346" s="46" t="s">
        <v>20</v>
      </c>
      <c r="J1346" s="46">
        <v>59</v>
      </c>
      <c r="K1346" s="46" t="s">
        <v>24</v>
      </c>
      <c r="L1346" s="46">
        <v>4</v>
      </c>
      <c r="M1346" s="47">
        <v>246</v>
      </c>
    </row>
    <row r="1347" spans="5:13" x14ac:dyDescent="0.25">
      <c r="E1347" s="33">
        <v>9</v>
      </c>
      <c r="F1347" s="48">
        <v>45273</v>
      </c>
      <c r="G1347" s="49">
        <v>2023</v>
      </c>
      <c r="H1347" s="45" t="s">
        <v>12</v>
      </c>
      <c r="I1347" s="50" t="s">
        <v>20</v>
      </c>
      <c r="J1347" s="50">
        <v>63</v>
      </c>
      <c r="K1347" s="50" t="s">
        <v>24</v>
      </c>
      <c r="L1347" s="50">
        <v>2</v>
      </c>
      <c r="M1347" s="51">
        <v>300</v>
      </c>
    </row>
    <row r="1348" spans="5:13" x14ac:dyDescent="0.25">
      <c r="E1348" s="32">
        <v>1508</v>
      </c>
      <c r="F1348" s="43">
        <v>45516</v>
      </c>
      <c r="G1348" s="44">
        <v>2024</v>
      </c>
      <c r="H1348" s="52" t="s">
        <v>8</v>
      </c>
      <c r="I1348" s="46" t="s">
        <v>20</v>
      </c>
      <c r="J1348" s="46">
        <v>62</v>
      </c>
      <c r="K1348" s="46" t="s">
        <v>21</v>
      </c>
      <c r="L1348" s="46">
        <v>1</v>
      </c>
      <c r="M1348" s="47">
        <v>157</v>
      </c>
    </row>
    <row r="1349" spans="5:13" x14ac:dyDescent="0.25">
      <c r="E1349" s="33">
        <v>287</v>
      </c>
      <c r="F1349" s="48">
        <v>44952</v>
      </c>
      <c r="G1349" s="49">
        <v>2023</v>
      </c>
      <c r="H1349" s="45" t="s">
        <v>1</v>
      </c>
      <c r="I1349" s="50" t="s">
        <v>20</v>
      </c>
      <c r="J1349" s="50">
        <v>28</v>
      </c>
      <c r="K1349" s="50" t="s">
        <v>23</v>
      </c>
      <c r="L1349" s="50">
        <v>4</v>
      </c>
      <c r="M1349" s="51">
        <v>30</v>
      </c>
    </row>
    <row r="1350" spans="5:13" x14ac:dyDescent="0.25">
      <c r="E1350" s="32">
        <v>111</v>
      </c>
      <c r="F1350" s="43">
        <v>45035</v>
      </c>
      <c r="G1350" s="44">
        <v>2023</v>
      </c>
      <c r="H1350" s="52" t="s">
        <v>4</v>
      </c>
      <c r="I1350" s="46" t="s">
        <v>22</v>
      </c>
      <c r="J1350" s="46">
        <v>34</v>
      </c>
      <c r="K1350" s="46" t="s">
        <v>24</v>
      </c>
      <c r="L1350" s="46">
        <v>3</v>
      </c>
      <c r="M1350" s="47">
        <v>500</v>
      </c>
    </row>
    <row r="1351" spans="5:13" x14ac:dyDescent="0.25">
      <c r="E1351" s="33">
        <v>1346</v>
      </c>
      <c r="F1351" s="48">
        <v>45591</v>
      </c>
      <c r="G1351" s="49">
        <v>2024</v>
      </c>
      <c r="H1351" s="45" t="s">
        <v>10</v>
      </c>
      <c r="I1351" s="50" t="s">
        <v>22</v>
      </c>
      <c r="J1351" s="50">
        <v>53</v>
      </c>
      <c r="K1351" s="50" t="s">
        <v>21</v>
      </c>
      <c r="L1351" s="50">
        <v>3</v>
      </c>
      <c r="M1351" s="51">
        <v>218</v>
      </c>
    </row>
    <row r="1352" spans="5:13" x14ac:dyDescent="0.25">
      <c r="E1352" s="32">
        <v>1112</v>
      </c>
      <c r="F1352" s="43">
        <v>45495</v>
      </c>
      <c r="G1352" s="44">
        <v>2024</v>
      </c>
      <c r="H1352" s="52" t="s">
        <v>7</v>
      </c>
      <c r="I1352" s="46" t="s">
        <v>22</v>
      </c>
      <c r="J1352" s="46">
        <v>35</v>
      </c>
      <c r="K1352" s="46" t="s">
        <v>21</v>
      </c>
      <c r="L1352" s="46">
        <v>3</v>
      </c>
      <c r="M1352" s="47">
        <v>215</v>
      </c>
    </row>
    <row r="1353" spans="5:13" x14ac:dyDescent="0.25">
      <c r="E1353" s="33">
        <v>457</v>
      </c>
      <c r="F1353" s="48">
        <v>45244</v>
      </c>
      <c r="G1353" s="49">
        <v>2023</v>
      </c>
      <c r="H1353" s="45" t="s">
        <v>11</v>
      </c>
      <c r="I1353" s="50" t="s">
        <v>22</v>
      </c>
      <c r="J1353" s="50">
        <v>39</v>
      </c>
      <c r="K1353" s="50" t="s">
        <v>24</v>
      </c>
      <c r="L1353" s="50">
        <v>4</v>
      </c>
      <c r="M1353" s="51">
        <v>25</v>
      </c>
    </row>
    <row r="1354" spans="5:13" x14ac:dyDescent="0.25">
      <c r="E1354" s="32">
        <v>850</v>
      </c>
      <c r="F1354" s="43">
        <v>45211</v>
      </c>
      <c r="G1354" s="44">
        <v>2023</v>
      </c>
      <c r="H1354" s="52" t="s">
        <v>10</v>
      </c>
      <c r="I1354" s="46" t="s">
        <v>22</v>
      </c>
      <c r="J1354" s="46">
        <v>41</v>
      </c>
      <c r="K1354" s="46" t="s">
        <v>23</v>
      </c>
      <c r="L1354" s="46">
        <v>1</v>
      </c>
      <c r="M1354" s="47">
        <v>300</v>
      </c>
    </row>
    <row r="1355" spans="5:13" x14ac:dyDescent="0.25">
      <c r="E1355" s="33">
        <v>1493</v>
      </c>
      <c r="F1355" s="48">
        <v>45640</v>
      </c>
      <c r="G1355" s="49">
        <v>2024</v>
      </c>
      <c r="H1355" s="45" t="s">
        <v>12</v>
      </c>
      <c r="I1355" s="50" t="s">
        <v>20</v>
      </c>
      <c r="J1355" s="50">
        <v>48</v>
      </c>
      <c r="K1355" s="50" t="s">
        <v>23</v>
      </c>
      <c r="L1355" s="50">
        <v>4</v>
      </c>
      <c r="M1355" s="51">
        <v>438</v>
      </c>
    </row>
    <row r="1356" spans="5:13" x14ac:dyDescent="0.25">
      <c r="E1356" s="32">
        <v>409</v>
      </c>
      <c r="F1356" s="43">
        <v>45251</v>
      </c>
      <c r="G1356" s="44">
        <v>2023</v>
      </c>
      <c r="H1356" s="52" t="s">
        <v>11</v>
      </c>
      <c r="I1356" s="46" t="s">
        <v>22</v>
      </c>
      <c r="J1356" s="46">
        <v>29</v>
      </c>
      <c r="K1356" s="46" t="s">
        <v>23</v>
      </c>
      <c r="L1356" s="46">
        <v>2</v>
      </c>
      <c r="M1356" s="47">
        <v>50</v>
      </c>
    </row>
    <row r="1357" spans="5:13" x14ac:dyDescent="0.25">
      <c r="E1357" s="33">
        <v>1091</v>
      </c>
      <c r="F1357" s="48">
        <v>45487</v>
      </c>
      <c r="G1357" s="49">
        <v>2024</v>
      </c>
      <c r="H1357" s="45" t="s">
        <v>7</v>
      </c>
      <c r="I1357" s="50" t="s">
        <v>22</v>
      </c>
      <c r="J1357" s="50">
        <v>22</v>
      </c>
      <c r="K1357" s="50" t="s">
        <v>21</v>
      </c>
      <c r="L1357" s="50">
        <v>3</v>
      </c>
      <c r="M1357" s="51">
        <v>54</v>
      </c>
    </row>
    <row r="1358" spans="5:13" x14ac:dyDescent="0.25">
      <c r="E1358" s="32">
        <v>845</v>
      </c>
      <c r="F1358" s="43">
        <v>45024</v>
      </c>
      <c r="G1358" s="44">
        <v>2023</v>
      </c>
      <c r="H1358" s="52" t="s">
        <v>4</v>
      </c>
      <c r="I1358" s="46" t="s">
        <v>22</v>
      </c>
      <c r="J1358" s="46">
        <v>18</v>
      </c>
      <c r="K1358" s="46" t="s">
        <v>24</v>
      </c>
      <c r="L1358" s="46">
        <v>4</v>
      </c>
      <c r="M1358" s="47">
        <v>300</v>
      </c>
    </row>
    <row r="1359" spans="5:13" x14ac:dyDescent="0.25">
      <c r="E1359" s="33">
        <v>119</v>
      </c>
      <c r="F1359" s="48">
        <v>44998</v>
      </c>
      <c r="G1359" s="49">
        <v>2023</v>
      </c>
      <c r="H1359" s="45" t="s">
        <v>3</v>
      </c>
      <c r="I1359" s="50" t="s">
        <v>22</v>
      </c>
      <c r="J1359" s="50">
        <v>60</v>
      </c>
      <c r="K1359" s="50" t="s">
        <v>23</v>
      </c>
      <c r="L1359" s="50">
        <v>3</v>
      </c>
      <c r="M1359" s="51">
        <v>50</v>
      </c>
    </row>
    <row r="1360" spans="5:13" x14ac:dyDescent="0.25">
      <c r="E1360" s="32">
        <v>796</v>
      </c>
      <c r="F1360" s="43">
        <v>45142</v>
      </c>
      <c r="G1360" s="44">
        <v>2023</v>
      </c>
      <c r="H1360" s="52" t="s">
        <v>8</v>
      </c>
      <c r="I1360" s="46" t="s">
        <v>20</v>
      </c>
      <c r="J1360" s="46">
        <v>61</v>
      </c>
      <c r="K1360" s="46" t="s">
        <v>23</v>
      </c>
      <c r="L1360" s="46">
        <v>1</v>
      </c>
      <c r="M1360" s="47">
        <v>50</v>
      </c>
    </row>
    <row r="1361" spans="5:13" x14ac:dyDescent="0.25">
      <c r="E1361" s="33">
        <v>1066</v>
      </c>
      <c r="F1361" s="48">
        <v>45332</v>
      </c>
      <c r="G1361" s="49">
        <v>2024</v>
      </c>
      <c r="H1361" s="45" t="s">
        <v>2</v>
      </c>
      <c r="I1361" s="50" t="s">
        <v>20</v>
      </c>
      <c r="J1361" s="50">
        <v>26</v>
      </c>
      <c r="K1361" s="50" t="s">
        <v>24</v>
      </c>
      <c r="L1361" s="50">
        <v>4</v>
      </c>
      <c r="M1361" s="51">
        <v>240</v>
      </c>
    </row>
    <row r="1362" spans="5:13" x14ac:dyDescent="0.25">
      <c r="E1362" s="32">
        <v>120</v>
      </c>
      <c r="F1362" s="43">
        <v>45053</v>
      </c>
      <c r="G1362" s="44">
        <v>2023</v>
      </c>
      <c r="H1362" s="52" t="s">
        <v>5</v>
      </c>
      <c r="I1362" s="46" t="s">
        <v>20</v>
      </c>
      <c r="J1362" s="46">
        <v>60</v>
      </c>
      <c r="K1362" s="46" t="s">
        <v>21</v>
      </c>
      <c r="L1362" s="46">
        <v>1</v>
      </c>
      <c r="M1362" s="47">
        <v>50</v>
      </c>
    </row>
    <row r="1363" spans="5:13" x14ac:dyDescent="0.25">
      <c r="E1363" s="33">
        <v>738</v>
      </c>
      <c r="F1363" s="48">
        <v>44962</v>
      </c>
      <c r="G1363" s="49">
        <v>2023</v>
      </c>
      <c r="H1363" s="45" t="s">
        <v>2</v>
      </c>
      <c r="I1363" s="50" t="s">
        <v>22</v>
      </c>
      <c r="J1363" s="50">
        <v>25</v>
      </c>
      <c r="K1363" s="50" t="s">
        <v>21</v>
      </c>
      <c r="L1363" s="50">
        <v>4</v>
      </c>
      <c r="M1363" s="51">
        <v>50</v>
      </c>
    </row>
    <row r="1364" spans="5:13" x14ac:dyDescent="0.25">
      <c r="E1364" s="32">
        <v>1251</v>
      </c>
      <c r="F1364" s="43">
        <v>45501</v>
      </c>
      <c r="G1364" s="44">
        <v>2024</v>
      </c>
      <c r="H1364" s="52" t="s">
        <v>7</v>
      </c>
      <c r="I1364" s="46" t="s">
        <v>20</v>
      </c>
      <c r="J1364" s="46">
        <v>57</v>
      </c>
      <c r="K1364" s="46" t="s">
        <v>24</v>
      </c>
      <c r="L1364" s="46">
        <v>3</v>
      </c>
      <c r="M1364" s="47">
        <v>292</v>
      </c>
    </row>
    <row r="1365" spans="5:13" x14ac:dyDescent="0.25">
      <c r="E1365" s="33">
        <v>904</v>
      </c>
      <c r="F1365" s="48">
        <v>45081</v>
      </c>
      <c r="G1365" s="49">
        <v>2023</v>
      </c>
      <c r="H1365" s="45" t="s">
        <v>6</v>
      </c>
      <c r="I1365" s="50" t="s">
        <v>22</v>
      </c>
      <c r="J1365" s="50">
        <v>20</v>
      </c>
      <c r="K1365" s="50" t="s">
        <v>23</v>
      </c>
      <c r="L1365" s="50">
        <v>1</v>
      </c>
      <c r="M1365" s="51">
        <v>50</v>
      </c>
    </row>
    <row r="1366" spans="5:13" x14ac:dyDescent="0.25">
      <c r="E1366" s="32">
        <v>608</v>
      </c>
      <c r="F1366" s="43">
        <v>45279</v>
      </c>
      <c r="G1366" s="44">
        <v>2023</v>
      </c>
      <c r="H1366" s="52" t="s">
        <v>12</v>
      </c>
      <c r="I1366" s="46" t="s">
        <v>22</v>
      </c>
      <c r="J1366" s="46">
        <v>47</v>
      </c>
      <c r="K1366" s="46" t="s">
        <v>23</v>
      </c>
      <c r="L1366" s="46">
        <v>2</v>
      </c>
      <c r="M1366" s="47">
        <v>50</v>
      </c>
    </row>
    <row r="1367" spans="5:13" x14ac:dyDescent="0.25">
      <c r="E1367" s="33">
        <v>1600</v>
      </c>
      <c r="F1367" s="48">
        <v>45489</v>
      </c>
      <c r="G1367" s="49">
        <v>2024</v>
      </c>
      <c r="H1367" s="45" t="s">
        <v>7</v>
      </c>
      <c r="I1367" s="50" t="s">
        <v>22</v>
      </c>
      <c r="J1367" s="50">
        <v>30</v>
      </c>
      <c r="K1367" s="50" t="s">
        <v>23</v>
      </c>
      <c r="L1367" s="50">
        <v>1</v>
      </c>
      <c r="M1367" s="51">
        <v>387</v>
      </c>
    </row>
    <row r="1368" spans="5:13" x14ac:dyDescent="0.25">
      <c r="E1368" s="32">
        <v>1736</v>
      </c>
      <c r="F1368" s="43">
        <v>45327</v>
      </c>
      <c r="G1368" s="44">
        <v>2024</v>
      </c>
      <c r="H1368" s="52" t="s">
        <v>2</v>
      </c>
      <c r="I1368" s="46" t="s">
        <v>22</v>
      </c>
      <c r="J1368" s="46">
        <v>38</v>
      </c>
      <c r="K1368" s="46" t="s">
        <v>21</v>
      </c>
      <c r="L1368" s="46">
        <v>6</v>
      </c>
      <c r="M1368" s="47">
        <v>298</v>
      </c>
    </row>
    <row r="1369" spans="5:13" x14ac:dyDescent="0.25">
      <c r="E1369" s="33">
        <v>1553</v>
      </c>
      <c r="F1369" s="48">
        <v>45447</v>
      </c>
      <c r="G1369" s="49">
        <v>2024</v>
      </c>
      <c r="H1369" s="45" t="s">
        <v>6</v>
      </c>
      <c r="I1369" s="50" t="s">
        <v>22</v>
      </c>
      <c r="J1369" s="50">
        <v>19</v>
      </c>
      <c r="K1369" s="50" t="s">
        <v>24</v>
      </c>
      <c r="L1369" s="50">
        <v>6</v>
      </c>
      <c r="M1369" s="51">
        <v>426</v>
      </c>
    </row>
    <row r="1370" spans="5:13" x14ac:dyDescent="0.25">
      <c r="E1370" s="32">
        <v>1643</v>
      </c>
      <c r="F1370" s="43">
        <v>45415</v>
      </c>
      <c r="G1370" s="44">
        <v>2024</v>
      </c>
      <c r="H1370" s="52" t="s">
        <v>5</v>
      </c>
      <c r="I1370" s="46" t="s">
        <v>20</v>
      </c>
      <c r="J1370" s="46">
        <v>21</v>
      </c>
      <c r="K1370" s="46" t="s">
        <v>23</v>
      </c>
      <c r="L1370" s="46">
        <v>1</v>
      </c>
      <c r="M1370" s="47">
        <v>403</v>
      </c>
    </row>
    <row r="1371" spans="5:13" x14ac:dyDescent="0.25">
      <c r="E1371" s="33">
        <v>1500</v>
      </c>
      <c r="F1371" s="48">
        <v>45590</v>
      </c>
      <c r="G1371" s="49">
        <v>2024</v>
      </c>
      <c r="H1371" s="45" t="s">
        <v>10</v>
      </c>
      <c r="I1371" s="50" t="s">
        <v>20</v>
      </c>
      <c r="J1371" s="50">
        <v>47</v>
      </c>
      <c r="K1371" s="50" t="s">
        <v>21</v>
      </c>
      <c r="L1371" s="50">
        <v>2</v>
      </c>
      <c r="M1371" s="51">
        <v>166</v>
      </c>
    </row>
    <row r="1372" spans="5:13" x14ac:dyDescent="0.25">
      <c r="E1372" s="32">
        <v>1804</v>
      </c>
      <c r="F1372" s="43">
        <v>45383</v>
      </c>
      <c r="G1372" s="44">
        <v>2024</v>
      </c>
      <c r="H1372" s="52" t="s">
        <v>4</v>
      </c>
      <c r="I1372" s="46" t="s">
        <v>20</v>
      </c>
      <c r="J1372" s="46">
        <v>22</v>
      </c>
      <c r="K1372" s="46" t="s">
        <v>21</v>
      </c>
      <c r="L1372" s="46">
        <v>1</v>
      </c>
      <c r="M1372" s="47">
        <v>300</v>
      </c>
    </row>
    <row r="1373" spans="5:13" x14ac:dyDescent="0.25">
      <c r="E1373" s="33">
        <v>1478</v>
      </c>
      <c r="F1373" s="48">
        <v>45449</v>
      </c>
      <c r="G1373" s="49">
        <v>2024</v>
      </c>
      <c r="H1373" s="45" t="s">
        <v>6</v>
      </c>
      <c r="I1373" s="50" t="s">
        <v>22</v>
      </c>
      <c r="J1373" s="50">
        <v>64</v>
      </c>
      <c r="K1373" s="50" t="s">
        <v>24</v>
      </c>
      <c r="L1373" s="50">
        <v>3</v>
      </c>
      <c r="M1373" s="51">
        <v>333</v>
      </c>
    </row>
    <row r="1374" spans="5:13" x14ac:dyDescent="0.25">
      <c r="E1374" s="32">
        <v>1383</v>
      </c>
      <c r="F1374" s="43">
        <v>45653</v>
      </c>
      <c r="G1374" s="44">
        <v>2024</v>
      </c>
      <c r="H1374" s="52" t="s">
        <v>12</v>
      </c>
      <c r="I1374" s="46" t="s">
        <v>22</v>
      </c>
      <c r="J1374" s="46">
        <v>55</v>
      </c>
      <c r="K1374" s="46" t="s">
        <v>24</v>
      </c>
      <c r="L1374" s="46">
        <v>6</v>
      </c>
      <c r="M1374" s="47">
        <v>491</v>
      </c>
    </row>
    <row r="1375" spans="5:13" x14ac:dyDescent="0.25">
      <c r="E1375" s="33">
        <v>476</v>
      </c>
      <c r="F1375" s="48">
        <v>45040</v>
      </c>
      <c r="G1375" s="49">
        <v>2023</v>
      </c>
      <c r="H1375" s="45" t="s">
        <v>4</v>
      </c>
      <c r="I1375" s="50" t="s">
        <v>20</v>
      </c>
      <c r="J1375" s="50">
        <v>43</v>
      </c>
      <c r="K1375" s="50" t="s">
        <v>23</v>
      </c>
      <c r="L1375" s="50">
        <v>4</v>
      </c>
      <c r="M1375" s="51">
        <v>30</v>
      </c>
    </row>
    <row r="1376" spans="5:13" x14ac:dyDescent="0.25">
      <c r="E1376" s="32">
        <v>1799</v>
      </c>
      <c r="F1376" s="43">
        <v>45618</v>
      </c>
      <c r="G1376" s="44">
        <v>2024</v>
      </c>
      <c r="H1376" s="52" t="s">
        <v>11</v>
      </c>
      <c r="I1376" s="46" t="s">
        <v>20</v>
      </c>
      <c r="J1376" s="46">
        <v>60</v>
      </c>
      <c r="K1376" s="46" t="s">
        <v>23</v>
      </c>
      <c r="L1376" s="46">
        <v>3</v>
      </c>
      <c r="M1376" s="47">
        <v>187</v>
      </c>
    </row>
    <row r="1377" spans="5:13" x14ac:dyDescent="0.25">
      <c r="E1377" s="33">
        <v>1992</v>
      </c>
      <c r="F1377" s="48">
        <v>45428</v>
      </c>
      <c r="G1377" s="49">
        <v>2024</v>
      </c>
      <c r="H1377" s="45" t="s">
        <v>5</v>
      </c>
      <c r="I1377" s="50" t="s">
        <v>20</v>
      </c>
      <c r="J1377" s="50">
        <v>25</v>
      </c>
      <c r="K1377" s="50" t="s">
        <v>23</v>
      </c>
      <c r="L1377" s="50">
        <v>5</v>
      </c>
      <c r="M1377" s="51">
        <v>90</v>
      </c>
    </row>
    <row r="1378" spans="5:13" x14ac:dyDescent="0.25">
      <c r="E1378" s="32">
        <v>1777</v>
      </c>
      <c r="F1378" s="43">
        <v>45649</v>
      </c>
      <c r="G1378" s="44">
        <v>2024</v>
      </c>
      <c r="H1378" s="52" t="s">
        <v>12</v>
      </c>
      <c r="I1378" s="46" t="s">
        <v>20</v>
      </c>
      <c r="J1378" s="46">
        <v>31</v>
      </c>
      <c r="K1378" s="46" t="s">
        <v>21</v>
      </c>
      <c r="L1378" s="46">
        <v>7</v>
      </c>
      <c r="M1378" s="47">
        <v>206</v>
      </c>
    </row>
    <row r="1379" spans="5:13" x14ac:dyDescent="0.25">
      <c r="E1379" s="33">
        <v>1866</v>
      </c>
      <c r="F1379" s="48">
        <v>45481</v>
      </c>
      <c r="G1379" s="49">
        <v>2024</v>
      </c>
      <c r="H1379" s="45" t="s">
        <v>7</v>
      </c>
      <c r="I1379" s="50" t="s">
        <v>22</v>
      </c>
      <c r="J1379" s="50">
        <v>64</v>
      </c>
      <c r="K1379" s="50" t="s">
        <v>24</v>
      </c>
      <c r="L1379" s="50">
        <v>4</v>
      </c>
      <c r="M1379" s="51">
        <v>448</v>
      </c>
    </row>
    <row r="1380" spans="5:13" x14ac:dyDescent="0.25">
      <c r="E1380" s="32">
        <v>718</v>
      </c>
      <c r="F1380" s="43">
        <v>44952</v>
      </c>
      <c r="G1380" s="44">
        <v>2023</v>
      </c>
      <c r="H1380" s="52" t="s">
        <v>1</v>
      </c>
      <c r="I1380" s="46" t="s">
        <v>22</v>
      </c>
      <c r="J1380" s="46">
        <v>56</v>
      </c>
      <c r="K1380" s="46" t="s">
        <v>21</v>
      </c>
      <c r="L1380" s="46">
        <v>3</v>
      </c>
      <c r="M1380" s="47">
        <v>500</v>
      </c>
    </row>
    <row r="1381" spans="5:13" x14ac:dyDescent="0.25">
      <c r="E1381" s="33">
        <v>1484</v>
      </c>
      <c r="F1381" s="48">
        <v>45497</v>
      </c>
      <c r="G1381" s="49">
        <v>2024</v>
      </c>
      <c r="H1381" s="45" t="s">
        <v>7</v>
      </c>
      <c r="I1381" s="50" t="s">
        <v>20</v>
      </c>
      <c r="J1381" s="50">
        <v>44</v>
      </c>
      <c r="K1381" s="50" t="s">
        <v>23</v>
      </c>
      <c r="L1381" s="50">
        <v>2</v>
      </c>
      <c r="M1381" s="51">
        <v>397</v>
      </c>
    </row>
    <row r="1382" spans="5:13" x14ac:dyDescent="0.25">
      <c r="E1382" s="32">
        <v>535</v>
      </c>
      <c r="F1382" s="43">
        <v>44990</v>
      </c>
      <c r="G1382" s="44">
        <v>2023</v>
      </c>
      <c r="H1382" s="52" t="s">
        <v>3</v>
      </c>
      <c r="I1382" s="46" t="s">
        <v>22</v>
      </c>
      <c r="J1382" s="46">
        <v>55</v>
      </c>
      <c r="K1382" s="46" t="s">
        <v>21</v>
      </c>
      <c r="L1382" s="46">
        <v>4</v>
      </c>
      <c r="M1382" s="47">
        <v>30</v>
      </c>
    </row>
    <row r="1383" spans="5:13" x14ac:dyDescent="0.25">
      <c r="E1383" s="33">
        <v>761</v>
      </c>
      <c r="F1383" s="48">
        <v>44985</v>
      </c>
      <c r="G1383" s="49">
        <v>2023</v>
      </c>
      <c r="H1383" s="45" t="s">
        <v>2</v>
      </c>
      <c r="I1383" s="50" t="s">
        <v>20</v>
      </c>
      <c r="J1383" s="50">
        <v>34</v>
      </c>
      <c r="K1383" s="50" t="s">
        <v>23</v>
      </c>
      <c r="L1383" s="50">
        <v>2</v>
      </c>
      <c r="M1383" s="51">
        <v>25</v>
      </c>
    </row>
    <row r="1384" spans="5:13" x14ac:dyDescent="0.25">
      <c r="E1384" s="32">
        <v>291</v>
      </c>
      <c r="F1384" s="43">
        <v>44974</v>
      </c>
      <c r="G1384" s="44">
        <v>2023</v>
      </c>
      <c r="H1384" s="52" t="s">
        <v>2</v>
      </c>
      <c r="I1384" s="46" t="s">
        <v>20</v>
      </c>
      <c r="J1384" s="46">
        <v>20</v>
      </c>
      <c r="K1384" s="46" t="s">
        <v>21</v>
      </c>
      <c r="L1384" s="46">
        <v>4</v>
      </c>
      <c r="M1384" s="47">
        <v>300</v>
      </c>
    </row>
    <row r="1385" spans="5:13" x14ac:dyDescent="0.25">
      <c r="E1385" s="33">
        <v>870</v>
      </c>
      <c r="F1385" s="48">
        <v>45210</v>
      </c>
      <c r="G1385" s="49">
        <v>2023</v>
      </c>
      <c r="H1385" s="45" t="s">
        <v>10</v>
      </c>
      <c r="I1385" s="50" t="s">
        <v>22</v>
      </c>
      <c r="J1385" s="50">
        <v>63</v>
      </c>
      <c r="K1385" s="50" t="s">
        <v>21</v>
      </c>
      <c r="L1385" s="50">
        <v>3</v>
      </c>
      <c r="M1385" s="51">
        <v>25</v>
      </c>
    </row>
    <row r="1386" spans="5:13" x14ac:dyDescent="0.25">
      <c r="E1386" s="32">
        <v>1141</v>
      </c>
      <c r="F1386" s="43">
        <v>45490</v>
      </c>
      <c r="G1386" s="44">
        <v>2024</v>
      </c>
      <c r="H1386" s="52" t="s">
        <v>7</v>
      </c>
      <c r="I1386" s="46" t="s">
        <v>22</v>
      </c>
      <c r="J1386" s="46">
        <v>32</v>
      </c>
      <c r="K1386" s="46" t="s">
        <v>23</v>
      </c>
      <c r="L1386" s="46">
        <v>1</v>
      </c>
      <c r="M1386" s="47">
        <v>395</v>
      </c>
    </row>
    <row r="1387" spans="5:13" x14ac:dyDescent="0.25">
      <c r="E1387" s="33">
        <v>1734</v>
      </c>
      <c r="F1387" s="48">
        <v>45407</v>
      </c>
      <c r="G1387" s="49">
        <v>2024</v>
      </c>
      <c r="H1387" s="45" t="s">
        <v>4</v>
      </c>
      <c r="I1387" s="50" t="s">
        <v>20</v>
      </c>
      <c r="J1387" s="50">
        <v>29</v>
      </c>
      <c r="K1387" s="50" t="s">
        <v>23</v>
      </c>
      <c r="L1387" s="50">
        <v>6</v>
      </c>
      <c r="M1387" s="51">
        <v>258</v>
      </c>
    </row>
    <row r="1388" spans="5:13" x14ac:dyDescent="0.25">
      <c r="E1388" s="32">
        <v>1983</v>
      </c>
      <c r="F1388" s="43">
        <v>45411</v>
      </c>
      <c r="G1388" s="44">
        <v>2024</v>
      </c>
      <c r="H1388" s="52" t="s">
        <v>4</v>
      </c>
      <c r="I1388" s="46" t="s">
        <v>22</v>
      </c>
      <c r="J1388" s="46">
        <v>47</v>
      </c>
      <c r="K1388" s="46" t="s">
        <v>23</v>
      </c>
      <c r="L1388" s="46">
        <v>2</v>
      </c>
      <c r="M1388" s="47">
        <v>426</v>
      </c>
    </row>
    <row r="1389" spans="5:13" x14ac:dyDescent="0.25">
      <c r="E1389" s="33">
        <v>1612</v>
      </c>
      <c r="F1389" s="48">
        <v>45649</v>
      </c>
      <c r="G1389" s="49">
        <v>2024</v>
      </c>
      <c r="H1389" s="45" t="s">
        <v>12</v>
      </c>
      <c r="I1389" s="50" t="s">
        <v>22</v>
      </c>
      <c r="J1389" s="50">
        <v>27</v>
      </c>
      <c r="K1389" s="50" t="s">
        <v>23</v>
      </c>
      <c r="L1389" s="50">
        <v>5</v>
      </c>
      <c r="M1389" s="51">
        <v>438</v>
      </c>
    </row>
    <row r="1390" spans="5:13" x14ac:dyDescent="0.25">
      <c r="E1390" s="32">
        <v>954</v>
      </c>
      <c r="F1390" s="43">
        <v>45157</v>
      </c>
      <c r="G1390" s="44">
        <v>2023</v>
      </c>
      <c r="H1390" s="52" t="s">
        <v>8</v>
      </c>
      <c r="I1390" s="46" t="s">
        <v>20</v>
      </c>
      <c r="J1390" s="46">
        <v>30</v>
      </c>
      <c r="K1390" s="46" t="s">
        <v>23</v>
      </c>
      <c r="L1390" s="46">
        <v>3</v>
      </c>
      <c r="M1390" s="47">
        <v>500</v>
      </c>
    </row>
    <row r="1391" spans="5:13" x14ac:dyDescent="0.25">
      <c r="E1391" s="33">
        <v>1827</v>
      </c>
      <c r="F1391" s="48">
        <v>45306</v>
      </c>
      <c r="G1391" s="49">
        <v>2024</v>
      </c>
      <c r="H1391" s="45" t="s">
        <v>1</v>
      </c>
      <c r="I1391" s="50" t="s">
        <v>20</v>
      </c>
      <c r="J1391" s="50">
        <v>45</v>
      </c>
      <c r="K1391" s="50" t="s">
        <v>24</v>
      </c>
      <c r="L1391" s="50">
        <v>3</v>
      </c>
      <c r="M1391" s="51">
        <v>480</v>
      </c>
    </row>
    <row r="1392" spans="5:13" x14ac:dyDescent="0.25">
      <c r="E1392" s="32">
        <v>1454</v>
      </c>
      <c r="F1392" s="43">
        <v>45501</v>
      </c>
      <c r="G1392" s="44">
        <v>2024</v>
      </c>
      <c r="H1392" s="52" t="s">
        <v>7</v>
      </c>
      <c r="I1392" s="46" t="s">
        <v>22</v>
      </c>
      <c r="J1392" s="46">
        <v>64</v>
      </c>
      <c r="K1392" s="46" t="s">
        <v>21</v>
      </c>
      <c r="L1392" s="46">
        <v>5</v>
      </c>
      <c r="M1392" s="47">
        <v>41</v>
      </c>
    </row>
    <row r="1393" spans="5:13" x14ac:dyDescent="0.25">
      <c r="E1393" s="33">
        <v>105</v>
      </c>
      <c r="F1393" s="48">
        <v>45132</v>
      </c>
      <c r="G1393" s="49">
        <v>2023</v>
      </c>
      <c r="H1393" s="45" t="s">
        <v>7</v>
      </c>
      <c r="I1393" s="50" t="s">
        <v>22</v>
      </c>
      <c r="J1393" s="50">
        <v>22</v>
      </c>
      <c r="K1393" s="50" t="s">
        <v>24</v>
      </c>
      <c r="L1393" s="50">
        <v>1</v>
      </c>
      <c r="M1393" s="51">
        <v>500</v>
      </c>
    </row>
    <row r="1394" spans="5:13" x14ac:dyDescent="0.25">
      <c r="E1394" s="32">
        <v>472</v>
      </c>
      <c r="F1394" s="43">
        <v>44982</v>
      </c>
      <c r="G1394" s="44">
        <v>2023</v>
      </c>
      <c r="H1394" s="52" t="s">
        <v>2</v>
      </c>
      <c r="I1394" s="46" t="s">
        <v>20</v>
      </c>
      <c r="J1394" s="46">
        <v>64</v>
      </c>
      <c r="K1394" s="46" t="s">
        <v>21</v>
      </c>
      <c r="L1394" s="46">
        <v>1</v>
      </c>
      <c r="M1394" s="47">
        <v>50</v>
      </c>
    </row>
    <row r="1395" spans="5:13" x14ac:dyDescent="0.25">
      <c r="E1395" s="33">
        <v>1378</v>
      </c>
      <c r="F1395" s="48">
        <v>45482</v>
      </c>
      <c r="G1395" s="49">
        <v>2024</v>
      </c>
      <c r="H1395" s="45" t="s">
        <v>7</v>
      </c>
      <c r="I1395" s="50" t="s">
        <v>22</v>
      </c>
      <c r="J1395" s="50">
        <v>18</v>
      </c>
      <c r="K1395" s="50" t="s">
        <v>23</v>
      </c>
      <c r="L1395" s="50">
        <v>4</v>
      </c>
      <c r="M1395" s="51">
        <v>449</v>
      </c>
    </row>
    <row r="1396" spans="5:13" x14ac:dyDescent="0.25">
      <c r="E1396" s="32">
        <v>200</v>
      </c>
      <c r="F1396" s="43">
        <v>45170</v>
      </c>
      <c r="G1396" s="44">
        <v>2023</v>
      </c>
      <c r="H1396" s="52" t="s">
        <v>9</v>
      </c>
      <c r="I1396" s="46" t="s">
        <v>20</v>
      </c>
      <c r="J1396" s="46">
        <v>27</v>
      </c>
      <c r="K1396" s="46" t="s">
        <v>21</v>
      </c>
      <c r="L1396" s="46">
        <v>3</v>
      </c>
      <c r="M1396" s="47">
        <v>50</v>
      </c>
    </row>
    <row r="1397" spans="5:13" x14ac:dyDescent="0.25">
      <c r="E1397" s="33">
        <v>1974</v>
      </c>
      <c r="F1397" s="48">
        <v>45373</v>
      </c>
      <c r="G1397" s="49">
        <v>2024</v>
      </c>
      <c r="H1397" s="45" t="s">
        <v>3</v>
      </c>
      <c r="I1397" s="50" t="s">
        <v>22</v>
      </c>
      <c r="J1397" s="50">
        <v>59</v>
      </c>
      <c r="K1397" s="50" t="s">
        <v>23</v>
      </c>
      <c r="L1397" s="50">
        <v>7</v>
      </c>
      <c r="M1397" s="51">
        <v>360</v>
      </c>
    </row>
    <row r="1398" spans="5:13" x14ac:dyDescent="0.25">
      <c r="E1398" s="32">
        <v>175</v>
      </c>
      <c r="F1398" s="43">
        <v>45005</v>
      </c>
      <c r="G1398" s="44">
        <v>2023</v>
      </c>
      <c r="H1398" s="52" t="s">
        <v>3</v>
      </c>
      <c r="I1398" s="46" t="s">
        <v>22</v>
      </c>
      <c r="J1398" s="46">
        <v>31</v>
      </c>
      <c r="K1398" s="46" t="s">
        <v>24</v>
      </c>
      <c r="L1398" s="46">
        <v>4</v>
      </c>
      <c r="M1398" s="47">
        <v>25</v>
      </c>
    </row>
    <row r="1399" spans="5:13" x14ac:dyDescent="0.25">
      <c r="E1399" s="33">
        <v>1900</v>
      </c>
      <c r="F1399" s="48">
        <v>45477</v>
      </c>
      <c r="G1399" s="49">
        <v>2024</v>
      </c>
      <c r="H1399" s="45" t="s">
        <v>7</v>
      </c>
      <c r="I1399" s="50" t="s">
        <v>20</v>
      </c>
      <c r="J1399" s="50">
        <v>48</v>
      </c>
      <c r="K1399" s="50" t="s">
        <v>23</v>
      </c>
      <c r="L1399" s="50">
        <v>4</v>
      </c>
      <c r="M1399" s="51">
        <v>222</v>
      </c>
    </row>
    <row r="1400" spans="5:13" x14ac:dyDescent="0.25">
      <c r="E1400" s="32">
        <v>1037</v>
      </c>
      <c r="F1400" s="43">
        <v>45403</v>
      </c>
      <c r="G1400" s="44">
        <v>2024</v>
      </c>
      <c r="H1400" s="52" t="s">
        <v>4</v>
      </c>
      <c r="I1400" s="46" t="s">
        <v>20</v>
      </c>
      <c r="J1400" s="46">
        <v>36</v>
      </c>
      <c r="K1400" s="46" t="s">
        <v>23</v>
      </c>
      <c r="L1400" s="46">
        <v>3</v>
      </c>
      <c r="M1400" s="47">
        <v>88</v>
      </c>
    </row>
    <row r="1401" spans="5:13" x14ac:dyDescent="0.25">
      <c r="E1401" s="33">
        <v>1063</v>
      </c>
      <c r="F1401" s="48">
        <v>45631</v>
      </c>
      <c r="G1401" s="49">
        <v>2024</v>
      </c>
      <c r="H1401" s="45" t="s">
        <v>12</v>
      </c>
      <c r="I1401" s="50" t="s">
        <v>20</v>
      </c>
      <c r="J1401" s="50">
        <v>37</v>
      </c>
      <c r="K1401" s="50" t="s">
        <v>24</v>
      </c>
      <c r="L1401" s="50">
        <v>2</v>
      </c>
      <c r="M1401" s="51">
        <v>415</v>
      </c>
    </row>
    <row r="1402" spans="5:13" x14ac:dyDescent="0.25">
      <c r="E1402" s="32">
        <v>1740</v>
      </c>
      <c r="F1402" s="43">
        <v>45419</v>
      </c>
      <c r="G1402" s="44">
        <v>2024</v>
      </c>
      <c r="H1402" s="52" t="s">
        <v>5</v>
      </c>
      <c r="I1402" s="46" t="s">
        <v>20</v>
      </c>
      <c r="J1402" s="46">
        <v>34</v>
      </c>
      <c r="K1402" s="46" t="s">
        <v>24</v>
      </c>
      <c r="L1402" s="46">
        <v>3</v>
      </c>
      <c r="M1402" s="47">
        <v>54</v>
      </c>
    </row>
    <row r="1403" spans="5:13" x14ac:dyDescent="0.25">
      <c r="E1403" s="33">
        <v>168</v>
      </c>
      <c r="F1403" s="48">
        <v>44981</v>
      </c>
      <c r="G1403" s="49">
        <v>2023</v>
      </c>
      <c r="H1403" s="45" t="s">
        <v>2</v>
      </c>
      <c r="I1403" s="50" t="s">
        <v>20</v>
      </c>
      <c r="J1403" s="50">
        <v>53</v>
      </c>
      <c r="K1403" s="50" t="s">
        <v>23</v>
      </c>
      <c r="L1403" s="50">
        <v>1</v>
      </c>
      <c r="M1403" s="51">
        <v>300</v>
      </c>
    </row>
    <row r="1404" spans="5:13" x14ac:dyDescent="0.25">
      <c r="E1404" s="32">
        <v>259</v>
      </c>
      <c r="F1404" s="43">
        <v>45108</v>
      </c>
      <c r="G1404" s="44">
        <v>2023</v>
      </c>
      <c r="H1404" s="52" t="s">
        <v>7</v>
      </c>
      <c r="I1404" s="46" t="s">
        <v>20</v>
      </c>
      <c r="J1404" s="46">
        <v>28</v>
      </c>
      <c r="K1404" s="46" t="s">
        <v>21</v>
      </c>
      <c r="L1404" s="46">
        <v>2</v>
      </c>
      <c r="M1404" s="47">
        <v>30</v>
      </c>
    </row>
    <row r="1405" spans="5:13" x14ac:dyDescent="0.25">
      <c r="E1405" s="33">
        <v>194</v>
      </c>
      <c r="F1405" s="48">
        <v>45175</v>
      </c>
      <c r="G1405" s="49">
        <v>2023</v>
      </c>
      <c r="H1405" s="45" t="s">
        <v>9</v>
      </c>
      <c r="I1405" s="50" t="s">
        <v>20</v>
      </c>
      <c r="J1405" s="50">
        <v>55</v>
      </c>
      <c r="K1405" s="50" t="s">
        <v>23</v>
      </c>
      <c r="L1405" s="50">
        <v>4</v>
      </c>
      <c r="M1405" s="51">
        <v>50</v>
      </c>
    </row>
    <row r="1406" spans="5:13" x14ac:dyDescent="0.25">
      <c r="E1406" s="32">
        <v>760</v>
      </c>
      <c r="F1406" s="43">
        <v>45237</v>
      </c>
      <c r="G1406" s="44">
        <v>2023</v>
      </c>
      <c r="H1406" s="52" t="s">
        <v>11</v>
      </c>
      <c r="I1406" s="46" t="s">
        <v>22</v>
      </c>
      <c r="J1406" s="46">
        <v>24</v>
      </c>
      <c r="K1406" s="46" t="s">
        <v>24</v>
      </c>
      <c r="L1406" s="46">
        <v>2</v>
      </c>
      <c r="M1406" s="47">
        <v>25</v>
      </c>
    </row>
    <row r="1407" spans="5:13" x14ac:dyDescent="0.25">
      <c r="E1407" s="33">
        <v>858</v>
      </c>
      <c r="F1407" s="48">
        <v>44935</v>
      </c>
      <c r="G1407" s="49">
        <v>2023</v>
      </c>
      <c r="H1407" s="45" t="s">
        <v>1</v>
      </c>
      <c r="I1407" s="50" t="s">
        <v>20</v>
      </c>
      <c r="J1407" s="50">
        <v>63</v>
      </c>
      <c r="K1407" s="50" t="s">
        <v>23</v>
      </c>
      <c r="L1407" s="50">
        <v>4</v>
      </c>
      <c r="M1407" s="51">
        <v>50</v>
      </c>
    </row>
    <row r="1408" spans="5:13" x14ac:dyDescent="0.25">
      <c r="E1408" s="32">
        <v>1401</v>
      </c>
      <c r="F1408" s="43">
        <v>45437</v>
      </c>
      <c r="G1408" s="44">
        <v>2024</v>
      </c>
      <c r="H1408" s="52" t="s">
        <v>5</v>
      </c>
      <c r="I1408" s="46" t="s">
        <v>20</v>
      </c>
      <c r="J1408" s="46">
        <v>41</v>
      </c>
      <c r="K1408" s="46" t="s">
        <v>24</v>
      </c>
      <c r="L1408" s="46">
        <v>3</v>
      </c>
      <c r="M1408" s="47">
        <v>99</v>
      </c>
    </row>
    <row r="1409" spans="5:13" x14ac:dyDescent="0.25">
      <c r="E1409" s="33">
        <v>1758</v>
      </c>
      <c r="F1409" s="48">
        <v>45603</v>
      </c>
      <c r="G1409" s="49">
        <v>2024</v>
      </c>
      <c r="H1409" s="45" t="s">
        <v>11</v>
      </c>
      <c r="I1409" s="50" t="s">
        <v>22</v>
      </c>
      <c r="J1409" s="50">
        <v>31</v>
      </c>
      <c r="K1409" s="50" t="s">
        <v>24</v>
      </c>
      <c r="L1409" s="50">
        <v>3</v>
      </c>
      <c r="M1409" s="51">
        <v>191</v>
      </c>
    </row>
    <row r="1410" spans="5:13" x14ac:dyDescent="0.25">
      <c r="E1410" s="32">
        <v>1149</v>
      </c>
      <c r="F1410" s="43">
        <v>45641</v>
      </c>
      <c r="G1410" s="44">
        <v>2024</v>
      </c>
      <c r="H1410" s="52" t="s">
        <v>12</v>
      </c>
      <c r="I1410" s="46" t="s">
        <v>20</v>
      </c>
      <c r="J1410" s="46">
        <v>35</v>
      </c>
      <c r="K1410" s="46" t="s">
        <v>23</v>
      </c>
      <c r="L1410" s="46">
        <v>5</v>
      </c>
      <c r="M1410" s="47">
        <v>295</v>
      </c>
    </row>
    <row r="1411" spans="5:13" x14ac:dyDescent="0.25">
      <c r="E1411" s="33">
        <v>1173</v>
      </c>
      <c r="F1411" s="48">
        <v>45371</v>
      </c>
      <c r="G1411" s="49">
        <v>2024</v>
      </c>
      <c r="H1411" s="45" t="s">
        <v>3</v>
      </c>
      <c r="I1411" s="50" t="s">
        <v>22</v>
      </c>
      <c r="J1411" s="50">
        <v>56</v>
      </c>
      <c r="K1411" s="50" t="s">
        <v>24</v>
      </c>
      <c r="L1411" s="50">
        <v>4</v>
      </c>
      <c r="M1411" s="51">
        <v>12</v>
      </c>
    </row>
    <row r="1412" spans="5:13" x14ac:dyDescent="0.25">
      <c r="E1412" s="32">
        <v>731</v>
      </c>
      <c r="F1412" s="43">
        <v>45167</v>
      </c>
      <c r="G1412" s="44">
        <v>2023</v>
      </c>
      <c r="H1412" s="52" t="s">
        <v>8</v>
      </c>
      <c r="I1412" s="46" t="s">
        <v>20</v>
      </c>
      <c r="J1412" s="46">
        <v>34</v>
      </c>
      <c r="K1412" s="46" t="s">
        <v>21</v>
      </c>
      <c r="L1412" s="46">
        <v>1</v>
      </c>
      <c r="M1412" s="47">
        <v>30</v>
      </c>
    </row>
    <row r="1413" spans="5:13" x14ac:dyDescent="0.25">
      <c r="E1413" s="33">
        <v>1358</v>
      </c>
      <c r="F1413" s="48">
        <v>45636</v>
      </c>
      <c r="G1413" s="49">
        <v>2024</v>
      </c>
      <c r="H1413" s="45" t="s">
        <v>12</v>
      </c>
      <c r="I1413" s="50" t="s">
        <v>22</v>
      </c>
      <c r="J1413" s="50">
        <v>33</v>
      </c>
      <c r="K1413" s="50" t="s">
        <v>24</v>
      </c>
      <c r="L1413" s="50">
        <v>1</v>
      </c>
      <c r="M1413" s="51">
        <v>249</v>
      </c>
    </row>
    <row r="1414" spans="5:13" x14ac:dyDescent="0.25">
      <c r="E1414" s="32">
        <v>1127</v>
      </c>
      <c r="F1414" s="43">
        <v>45405</v>
      </c>
      <c r="G1414" s="44">
        <v>2024</v>
      </c>
      <c r="H1414" s="52" t="s">
        <v>4</v>
      </c>
      <c r="I1414" s="46" t="s">
        <v>22</v>
      </c>
      <c r="J1414" s="46">
        <v>39</v>
      </c>
      <c r="K1414" s="46" t="s">
        <v>21</v>
      </c>
      <c r="L1414" s="46">
        <v>4</v>
      </c>
      <c r="M1414" s="47">
        <v>485</v>
      </c>
    </row>
    <row r="1415" spans="5:13" x14ac:dyDescent="0.25">
      <c r="E1415" s="33">
        <v>1261</v>
      </c>
      <c r="F1415" s="48">
        <v>45319</v>
      </c>
      <c r="G1415" s="49">
        <v>2024</v>
      </c>
      <c r="H1415" s="45" t="s">
        <v>1</v>
      </c>
      <c r="I1415" s="50" t="s">
        <v>20</v>
      </c>
      <c r="J1415" s="50">
        <v>57</v>
      </c>
      <c r="K1415" s="50" t="s">
        <v>23</v>
      </c>
      <c r="L1415" s="50">
        <v>2</v>
      </c>
      <c r="M1415" s="51">
        <v>384</v>
      </c>
    </row>
    <row r="1416" spans="5:13" x14ac:dyDescent="0.25">
      <c r="E1416" s="32">
        <v>865</v>
      </c>
      <c r="F1416" s="43">
        <v>45083</v>
      </c>
      <c r="G1416" s="44">
        <v>2023</v>
      </c>
      <c r="H1416" s="52" t="s">
        <v>6</v>
      </c>
      <c r="I1416" s="46" t="s">
        <v>20</v>
      </c>
      <c r="J1416" s="46">
        <v>21</v>
      </c>
      <c r="K1416" s="46" t="s">
        <v>24</v>
      </c>
      <c r="L1416" s="46">
        <v>1</v>
      </c>
      <c r="M1416" s="47">
        <v>500</v>
      </c>
    </row>
    <row r="1417" spans="5:13" x14ac:dyDescent="0.25">
      <c r="E1417" s="33">
        <v>732</v>
      </c>
      <c r="F1417" s="48">
        <v>44936</v>
      </c>
      <c r="G1417" s="49">
        <v>2023</v>
      </c>
      <c r="H1417" s="45" t="s">
        <v>1</v>
      </c>
      <c r="I1417" s="50" t="s">
        <v>22</v>
      </c>
      <c r="J1417" s="50">
        <v>27</v>
      </c>
      <c r="K1417" s="50" t="s">
        <v>23</v>
      </c>
      <c r="L1417" s="50">
        <v>1</v>
      </c>
      <c r="M1417" s="51">
        <v>30</v>
      </c>
    </row>
    <row r="1418" spans="5:13" x14ac:dyDescent="0.25">
      <c r="E1418" s="32">
        <v>884</v>
      </c>
      <c r="F1418" s="43">
        <v>45025</v>
      </c>
      <c r="G1418" s="44">
        <v>2023</v>
      </c>
      <c r="H1418" s="52" t="s">
        <v>4</v>
      </c>
      <c r="I1418" s="46" t="s">
        <v>20</v>
      </c>
      <c r="J1418" s="46">
        <v>37</v>
      </c>
      <c r="K1418" s="46" t="s">
        <v>24</v>
      </c>
      <c r="L1418" s="46">
        <v>3</v>
      </c>
      <c r="M1418" s="47">
        <v>300</v>
      </c>
    </row>
    <row r="1419" spans="5:13" x14ac:dyDescent="0.25">
      <c r="E1419" s="33">
        <v>1871</v>
      </c>
      <c r="F1419" s="48">
        <v>45510</v>
      </c>
      <c r="G1419" s="49">
        <v>2024</v>
      </c>
      <c r="H1419" s="45" t="s">
        <v>8</v>
      </c>
      <c r="I1419" s="50" t="s">
        <v>22</v>
      </c>
      <c r="J1419" s="50">
        <v>63</v>
      </c>
      <c r="K1419" s="50" t="s">
        <v>24</v>
      </c>
      <c r="L1419" s="50">
        <v>5</v>
      </c>
      <c r="M1419" s="51">
        <v>388</v>
      </c>
    </row>
    <row r="1420" spans="5:13" x14ac:dyDescent="0.25">
      <c r="E1420" s="32">
        <v>1654</v>
      </c>
      <c r="F1420" s="43">
        <v>45363</v>
      </c>
      <c r="G1420" s="44">
        <v>2024</v>
      </c>
      <c r="H1420" s="52" t="s">
        <v>3</v>
      </c>
      <c r="I1420" s="46" t="s">
        <v>20</v>
      </c>
      <c r="J1420" s="46">
        <v>23</v>
      </c>
      <c r="K1420" s="46" t="s">
        <v>23</v>
      </c>
      <c r="L1420" s="46">
        <v>1</v>
      </c>
      <c r="M1420" s="47">
        <v>496</v>
      </c>
    </row>
    <row r="1421" spans="5:13" x14ac:dyDescent="0.25">
      <c r="E1421" s="33">
        <v>217</v>
      </c>
      <c r="F1421" s="48">
        <v>45191</v>
      </c>
      <c r="G1421" s="49">
        <v>2023</v>
      </c>
      <c r="H1421" s="45" t="s">
        <v>9</v>
      </c>
      <c r="I1421" s="50" t="s">
        <v>20</v>
      </c>
      <c r="J1421" s="50">
        <v>64</v>
      </c>
      <c r="K1421" s="50" t="s">
        <v>21</v>
      </c>
      <c r="L1421" s="50">
        <v>3</v>
      </c>
      <c r="M1421" s="51">
        <v>30</v>
      </c>
    </row>
    <row r="1422" spans="5:13" x14ac:dyDescent="0.25">
      <c r="E1422" s="32">
        <v>1227</v>
      </c>
      <c r="F1422" s="43">
        <v>45405</v>
      </c>
      <c r="G1422" s="44">
        <v>2024</v>
      </c>
      <c r="H1422" s="52" t="s">
        <v>4</v>
      </c>
      <c r="I1422" s="46" t="s">
        <v>20</v>
      </c>
      <c r="J1422" s="46">
        <v>47</v>
      </c>
      <c r="K1422" s="46" t="s">
        <v>21</v>
      </c>
      <c r="L1422" s="46">
        <v>7</v>
      </c>
      <c r="M1422" s="47">
        <v>242</v>
      </c>
    </row>
    <row r="1423" spans="5:13" x14ac:dyDescent="0.25">
      <c r="E1423" s="33">
        <v>20</v>
      </c>
      <c r="F1423" s="48">
        <v>45235</v>
      </c>
      <c r="G1423" s="49">
        <v>2023</v>
      </c>
      <c r="H1423" s="45" t="s">
        <v>11</v>
      </c>
      <c r="I1423" s="50" t="s">
        <v>20</v>
      </c>
      <c r="J1423" s="50">
        <v>22</v>
      </c>
      <c r="K1423" s="50" t="s">
        <v>23</v>
      </c>
      <c r="L1423" s="50">
        <v>3</v>
      </c>
      <c r="M1423" s="51">
        <v>300</v>
      </c>
    </row>
    <row r="1424" spans="5:13" x14ac:dyDescent="0.25">
      <c r="E1424" s="32">
        <v>529</v>
      </c>
      <c r="F1424" s="43">
        <v>44962</v>
      </c>
      <c r="G1424" s="44">
        <v>2023</v>
      </c>
      <c r="H1424" s="52" t="s">
        <v>2</v>
      </c>
      <c r="I1424" s="46" t="s">
        <v>22</v>
      </c>
      <c r="J1424" s="46">
        <v>18</v>
      </c>
      <c r="K1424" s="46" t="s">
        <v>24</v>
      </c>
      <c r="L1424" s="46">
        <v>4</v>
      </c>
      <c r="M1424" s="47">
        <v>30</v>
      </c>
    </row>
    <row r="1425" spans="5:13" x14ac:dyDescent="0.25">
      <c r="E1425" s="33">
        <v>970</v>
      </c>
      <c r="F1425" s="48">
        <v>44968</v>
      </c>
      <c r="G1425" s="49">
        <v>2023</v>
      </c>
      <c r="H1425" s="45" t="s">
        <v>2</v>
      </c>
      <c r="I1425" s="50" t="s">
        <v>20</v>
      </c>
      <c r="J1425" s="50">
        <v>49</v>
      </c>
      <c r="K1425" s="50" t="s">
        <v>21</v>
      </c>
      <c r="L1425" s="50">
        <v>4</v>
      </c>
      <c r="M1425" s="51">
        <v>25</v>
      </c>
    </row>
    <row r="1426" spans="5:13" x14ac:dyDescent="0.25">
      <c r="E1426" s="32">
        <v>1772</v>
      </c>
      <c r="F1426" s="43">
        <v>45596</v>
      </c>
      <c r="G1426" s="44">
        <v>2024</v>
      </c>
      <c r="H1426" s="52" t="s">
        <v>10</v>
      </c>
      <c r="I1426" s="46" t="s">
        <v>20</v>
      </c>
      <c r="J1426" s="46">
        <v>35</v>
      </c>
      <c r="K1426" s="46" t="s">
        <v>23</v>
      </c>
      <c r="L1426" s="46">
        <v>6</v>
      </c>
      <c r="M1426" s="47">
        <v>336</v>
      </c>
    </row>
    <row r="1427" spans="5:13" x14ac:dyDescent="0.25">
      <c r="E1427" s="33">
        <v>1072</v>
      </c>
      <c r="F1427" s="48">
        <v>45618</v>
      </c>
      <c r="G1427" s="49">
        <v>2024</v>
      </c>
      <c r="H1427" s="45" t="s">
        <v>11</v>
      </c>
      <c r="I1427" s="50" t="s">
        <v>22</v>
      </c>
      <c r="J1427" s="50">
        <v>43</v>
      </c>
      <c r="K1427" s="50" t="s">
        <v>21</v>
      </c>
      <c r="L1427" s="50">
        <v>3</v>
      </c>
      <c r="M1427" s="51">
        <v>210</v>
      </c>
    </row>
    <row r="1428" spans="5:13" x14ac:dyDescent="0.25">
      <c r="E1428" s="32">
        <v>601</v>
      </c>
      <c r="F1428" s="43">
        <v>45283</v>
      </c>
      <c r="G1428" s="44">
        <v>2023</v>
      </c>
      <c r="H1428" s="52" t="s">
        <v>12</v>
      </c>
      <c r="I1428" s="46" t="s">
        <v>22</v>
      </c>
      <c r="J1428" s="46">
        <v>20</v>
      </c>
      <c r="K1428" s="46" t="s">
        <v>24</v>
      </c>
      <c r="L1428" s="46">
        <v>1</v>
      </c>
      <c r="M1428" s="47">
        <v>300</v>
      </c>
    </row>
    <row r="1429" spans="5:13" x14ac:dyDescent="0.25">
      <c r="E1429" s="33">
        <v>932</v>
      </c>
      <c r="F1429" s="48">
        <v>45132</v>
      </c>
      <c r="G1429" s="49">
        <v>2023</v>
      </c>
      <c r="H1429" s="45" t="s">
        <v>7</v>
      </c>
      <c r="I1429" s="50" t="s">
        <v>20</v>
      </c>
      <c r="J1429" s="50">
        <v>30</v>
      </c>
      <c r="K1429" s="50" t="s">
        <v>21</v>
      </c>
      <c r="L1429" s="50">
        <v>1</v>
      </c>
      <c r="M1429" s="51">
        <v>500</v>
      </c>
    </row>
    <row r="1430" spans="5:13" x14ac:dyDescent="0.25">
      <c r="E1430" s="32">
        <v>261</v>
      </c>
      <c r="F1430" s="43">
        <v>45137</v>
      </c>
      <c r="G1430" s="44">
        <v>2023</v>
      </c>
      <c r="H1430" s="52" t="s">
        <v>7</v>
      </c>
      <c r="I1430" s="46" t="s">
        <v>22</v>
      </c>
      <c r="J1430" s="46">
        <v>32</v>
      </c>
      <c r="K1430" s="46" t="s">
        <v>21</v>
      </c>
      <c r="L1430" s="46">
        <v>4</v>
      </c>
      <c r="M1430" s="47">
        <v>30</v>
      </c>
    </row>
    <row r="1431" spans="5:13" x14ac:dyDescent="0.25">
      <c r="E1431" s="33">
        <v>197</v>
      </c>
      <c r="F1431" s="48">
        <v>44991</v>
      </c>
      <c r="G1431" s="49">
        <v>2023</v>
      </c>
      <c r="H1431" s="45" t="s">
        <v>3</v>
      </c>
      <c r="I1431" s="50" t="s">
        <v>22</v>
      </c>
      <c r="J1431" s="50">
        <v>42</v>
      </c>
      <c r="K1431" s="50" t="s">
        <v>23</v>
      </c>
      <c r="L1431" s="50">
        <v>4</v>
      </c>
      <c r="M1431" s="51">
        <v>50</v>
      </c>
    </row>
    <row r="1432" spans="5:13" x14ac:dyDescent="0.25">
      <c r="E1432" s="32">
        <v>1770</v>
      </c>
      <c r="F1432" s="43">
        <v>45394</v>
      </c>
      <c r="G1432" s="44">
        <v>2024</v>
      </c>
      <c r="H1432" s="52" t="s">
        <v>4</v>
      </c>
      <c r="I1432" s="46" t="s">
        <v>22</v>
      </c>
      <c r="J1432" s="46">
        <v>40</v>
      </c>
      <c r="K1432" s="46" t="s">
        <v>23</v>
      </c>
      <c r="L1432" s="46">
        <v>7</v>
      </c>
      <c r="M1432" s="47">
        <v>392</v>
      </c>
    </row>
    <row r="1433" spans="5:13" x14ac:dyDescent="0.25">
      <c r="E1433" s="33">
        <v>156</v>
      </c>
      <c r="F1433" s="48">
        <v>45255</v>
      </c>
      <c r="G1433" s="49">
        <v>2023</v>
      </c>
      <c r="H1433" s="45" t="s">
        <v>11</v>
      </c>
      <c r="I1433" s="50" t="s">
        <v>22</v>
      </c>
      <c r="J1433" s="50">
        <v>43</v>
      </c>
      <c r="K1433" s="50" t="s">
        <v>23</v>
      </c>
      <c r="L1433" s="50">
        <v>4</v>
      </c>
      <c r="M1433" s="51">
        <v>25</v>
      </c>
    </row>
    <row r="1434" spans="5:13" x14ac:dyDescent="0.25">
      <c r="E1434" s="32">
        <v>1170</v>
      </c>
      <c r="F1434" s="43">
        <v>45552</v>
      </c>
      <c r="G1434" s="44">
        <v>2024</v>
      </c>
      <c r="H1434" s="52" t="s">
        <v>9</v>
      </c>
      <c r="I1434" s="46" t="s">
        <v>20</v>
      </c>
      <c r="J1434" s="46">
        <v>51</v>
      </c>
      <c r="K1434" s="46" t="s">
        <v>21</v>
      </c>
      <c r="L1434" s="46">
        <v>5</v>
      </c>
      <c r="M1434" s="47">
        <v>112</v>
      </c>
    </row>
    <row r="1435" spans="5:13" x14ac:dyDescent="0.25">
      <c r="E1435" s="33">
        <v>132</v>
      </c>
      <c r="F1435" s="48">
        <v>45179</v>
      </c>
      <c r="G1435" s="49">
        <v>2023</v>
      </c>
      <c r="H1435" s="45" t="s">
        <v>9</v>
      </c>
      <c r="I1435" s="50" t="s">
        <v>20</v>
      </c>
      <c r="J1435" s="50">
        <v>42</v>
      </c>
      <c r="K1435" s="50" t="s">
        <v>24</v>
      </c>
      <c r="L1435" s="50">
        <v>4</v>
      </c>
      <c r="M1435" s="51">
        <v>50</v>
      </c>
    </row>
    <row r="1436" spans="5:13" x14ac:dyDescent="0.25">
      <c r="E1436" s="32">
        <v>638</v>
      </c>
      <c r="F1436" s="43">
        <v>45059</v>
      </c>
      <c r="G1436" s="44">
        <v>2023</v>
      </c>
      <c r="H1436" s="52" t="s">
        <v>5</v>
      </c>
      <c r="I1436" s="46" t="s">
        <v>22</v>
      </c>
      <c r="J1436" s="46">
        <v>62</v>
      </c>
      <c r="K1436" s="46" t="s">
        <v>21</v>
      </c>
      <c r="L1436" s="46">
        <v>4</v>
      </c>
      <c r="M1436" s="47">
        <v>50</v>
      </c>
    </row>
    <row r="1437" spans="5:13" x14ac:dyDescent="0.25">
      <c r="E1437" s="33">
        <v>1581</v>
      </c>
      <c r="F1437" s="48">
        <v>45339</v>
      </c>
      <c r="G1437" s="49">
        <v>2024</v>
      </c>
      <c r="H1437" s="45" t="s">
        <v>2</v>
      </c>
      <c r="I1437" s="50" t="s">
        <v>22</v>
      </c>
      <c r="J1437" s="50">
        <v>52</v>
      </c>
      <c r="K1437" s="50" t="s">
        <v>21</v>
      </c>
      <c r="L1437" s="50">
        <v>4</v>
      </c>
      <c r="M1437" s="51">
        <v>499</v>
      </c>
    </row>
    <row r="1438" spans="5:13" x14ac:dyDescent="0.25">
      <c r="E1438" s="32">
        <v>1330</v>
      </c>
      <c r="F1438" s="43">
        <v>45327</v>
      </c>
      <c r="G1438" s="44">
        <v>2024</v>
      </c>
      <c r="H1438" s="52" t="s">
        <v>2</v>
      </c>
      <c r="I1438" s="46" t="s">
        <v>22</v>
      </c>
      <c r="J1438" s="46">
        <v>18</v>
      </c>
      <c r="K1438" s="46" t="s">
        <v>24</v>
      </c>
      <c r="L1438" s="46">
        <v>5</v>
      </c>
      <c r="M1438" s="47">
        <v>442</v>
      </c>
    </row>
    <row r="1439" spans="5:13" x14ac:dyDescent="0.25">
      <c r="E1439" s="33">
        <v>603</v>
      </c>
      <c r="F1439" s="48">
        <v>45180</v>
      </c>
      <c r="G1439" s="49">
        <v>2023</v>
      </c>
      <c r="H1439" s="45" t="s">
        <v>9</v>
      </c>
      <c r="I1439" s="50" t="s">
        <v>22</v>
      </c>
      <c r="J1439" s="50">
        <v>29</v>
      </c>
      <c r="K1439" s="50" t="s">
        <v>24</v>
      </c>
      <c r="L1439" s="50">
        <v>4</v>
      </c>
      <c r="M1439" s="51">
        <v>50</v>
      </c>
    </row>
    <row r="1440" spans="5:13" x14ac:dyDescent="0.25">
      <c r="E1440" s="32">
        <v>1605</v>
      </c>
      <c r="F1440" s="43">
        <v>45628</v>
      </c>
      <c r="G1440" s="44">
        <v>2024</v>
      </c>
      <c r="H1440" s="52" t="s">
        <v>12</v>
      </c>
      <c r="I1440" s="46" t="s">
        <v>22</v>
      </c>
      <c r="J1440" s="46">
        <v>37</v>
      </c>
      <c r="K1440" s="46" t="s">
        <v>24</v>
      </c>
      <c r="L1440" s="46">
        <v>3</v>
      </c>
      <c r="M1440" s="47">
        <v>281</v>
      </c>
    </row>
    <row r="1441" spans="5:13" x14ac:dyDescent="0.25">
      <c r="E1441" s="33">
        <v>73</v>
      </c>
      <c r="F1441" s="48">
        <v>45159</v>
      </c>
      <c r="G1441" s="49">
        <v>2023</v>
      </c>
      <c r="H1441" s="45" t="s">
        <v>8</v>
      </c>
      <c r="I1441" s="50" t="s">
        <v>20</v>
      </c>
      <c r="J1441" s="50">
        <v>29</v>
      </c>
      <c r="K1441" s="50" t="s">
        <v>24</v>
      </c>
      <c r="L1441" s="50">
        <v>3</v>
      </c>
      <c r="M1441" s="51">
        <v>30</v>
      </c>
    </row>
    <row r="1442" spans="5:13" x14ac:dyDescent="0.25">
      <c r="E1442" s="32">
        <v>737</v>
      </c>
      <c r="F1442" s="43">
        <v>45259</v>
      </c>
      <c r="G1442" s="44">
        <v>2023</v>
      </c>
      <c r="H1442" s="52" t="s">
        <v>11</v>
      </c>
      <c r="I1442" s="46" t="s">
        <v>20</v>
      </c>
      <c r="J1442" s="46">
        <v>36</v>
      </c>
      <c r="K1442" s="46" t="s">
        <v>21</v>
      </c>
      <c r="L1442" s="46">
        <v>1</v>
      </c>
      <c r="M1442" s="47">
        <v>25</v>
      </c>
    </row>
    <row r="1443" spans="5:13" x14ac:dyDescent="0.25">
      <c r="E1443" s="33">
        <v>1191</v>
      </c>
      <c r="F1443" s="48">
        <v>45335</v>
      </c>
      <c r="G1443" s="49">
        <v>2024</v>
      </c>
      <c r="H1443" s="45" t="s">
        <v>2</v>
      </c>
      <c r="I1443" s="50" t="s">
        <v>20</v>
      </c>
      <c r="J1443" s="50">
        <v>49</v>
      </c>
      <c r="K1443" s="50" t="s">
        <v>21</v>
      </c>
      <c r="L1443" s="50">
        <v>3</v>
      </c>
      <c r="M1443" s="51">
        <v>461</v>
      </c>
    </row>
    <row r="1444" spans="5:13" x14ac:dyDescent="0.25">
      <c r="E1444" s="32">
        <v>793</v>
      </c>
      <c r="F1444" s="43">
        <v>45258</v>
      </c>
      <c r="G1444" s="44">
        <v>2023</v>
      </c>
      <c r="H1444" s="52" t="s">
        <v>11</v>
      </c>
      <c r="I1444" s="46" t="s">
        <v>20</v>
      </c>
      <c r="J1444" s="46">
        <v>57</v>
      </c>
      <c r="K1444" s="46" t="s">
        <v>24</v>
      </c>
      <c r="L1444" s="46">
        <v>1</v>
      </c>
      <c r="M1444" s="47">
        <v>300</v>
      </c>
    </row>
    <row r="1445" spans="5:13" x14ac:dyDescent="0.25">
      <c r="E1445" s="33">
        <v>253</v>
      </c>
      <c r="F1445" s="48">
        <v>45135</v>
      </c>
      <c r="G1445" s="49">
        <v>2023</v>
      </c>
      <c r="H1445" s="45" t="s">
        <v>7</v>
      </c>
      <c r="I1445" s="50" t="s">
        <v>20</v>
      </c>
      <c r="J1445" s="50">
        <v>41</v>
      </c>
      <c r="K1445" s="50" t="s">
        <v>24</v>
      </c>
      <c r="L1445" s="50">
        <v>1</v>
      </c>
      <c r="M1445" s="51">
        <v>500</v>
      </c>
    </row>
    <row r="1446" spans="5:13" x14ac:dyDescent="0.25">
      <c r="E1446" s="32">
        <v>1910</v>
      </c>
      <c r="F1446" s="43">
        <v>45576</v>
      </c>
      <c r="G1446" s="44">
        <v>2024</v>
      </c>
      <c r="H1446" s="52" t="s">
        <v>10</v>
      </c>
      <c r="I1446" s="46" t="s">
        <v>22</v>
      </c>
      <c r="J1446" s="46">
        <v>58</v>
      </c>
      <c r="K1446" s="46" t="s">
        <v>24</v>
      </c>
      <c r="L1446" s="46">
        <v>6</v>
      </c>
      <c r="M1446" s="47">
        <v>80</v>
      </c>
    </row>
    <row r="1447" spans="5:13" x14ac:dyDescent="0.25">
      <c r="E1447" s="33">
        <v>232</v>
      </c>
      <c r="F1447" s="48">
        <v>45289</v>
      </c>
      <c r="G1447" s="49">
        <v>2023</v>
      </c>
      <c r="H1447" s="45" t="s">
        <v>12</v>
      </c>
      <c r="I1447" s="50" t="s">
        <v>22</v>
      </c>
      <c r="J1447" s="50">
        <v>51</v>
      </c>
      <c r="K1447" s="50" t="s">
        <v>21</v>
      </c>
      <c r="L1447" s="50">
        <v>2</v>
      </c>
      <c r="M1447" s="51">
        <v>300</v>
      </c>
    </row>
    <row r="1448" spans="5:13" x14ac:dyDescent="0.25">
      <c r="E1448" s="32">
        <v>491</v>
      </c>
      <c r="F1448" s="43">
        <v>45106</v>
      </c>
      <c r="G1448" s="44">
        <v>2023</v>
      </c>
      <c r="H1448" s="52" t="s">
        <v>6</v>
      </c>
      <c r="I1448" s="46" t="s">
        <v>20</v>
      </c>
      <c r="J1448" s="46">
        <v>61</v>
      </c>
      <c r="K1448" s="46" t="s">
        <v>21</v>
      </c>
      <c r="L1448" s="46">
        <v>4</v>
      </c>
      <c r="M1448" s="47">
        <v>25</v>
      </c>
    </row>
    <row r="1449" spans="5:13" x14ac:dyDescent="0.25">
      <c r="E1449" s="33">
        <v>290</v>
      </c>
      <c r="F1449" s="48">
        <v>44934</v>
      </c>
      <c r="G1449" s="49">
        <v>2023</v>
      </c>
      <c r="H1449" s="45" t="s">
        <v>1</v>
      </c>
      <c r="I1449" s="50" t="s">
        <v>20</v>
      </c>
      <c r="J1449" s="50">
        <v>60</v>
      </c>
      <c r="K1449" s="50" t="s">
        <v>23</v>
      </c>
      <c r="L1449" s="50">
        <v>2</v>
      </c>
      <c r="M1449" s="51">
        <v>300</v>
      </c>
    </row>
    <row r="1450" spans="5:13" x14ac:dyDescent="0.25">
      <c r="E1450" s="32">
        <v>956</v>
      </c>
      <c r="F1450" s="43">
        <v>45079</v>
      </c>
      <c r="G1450" s="44">
        <v>2023</v>
      </c>
      <c r="H1450" s="52" t="s">
        <v>6</v>
      </c>
      <c r="I1450" s="46" t="s">
        <v>20</v>
      </c>
      <c r="J1450" s="46">
        <v>62</v>
      </c>
      <c r="K1450" s="46" t="s">
        <v>24</v>
      </c>
      <c r="L1450" s="46">
        <v>2</v>
      </c>
      <c r="M1450" s="47">
        <v>25</v>
      </c>
    </row>
    <row r="1451" spans="5:13" x14ac:dyDescent="0.25">
      <c r="E1451" s="33">
        <v>690</v>
      </c>
      <c r="F1451" s="48">
        <v>45176</v>
      </c>
      <c r="G1451" s="49">
        <v>2023</v>
      </c>
      <c r="H1451" s="45" t="s">
        <v>9</v>
      </c>
      <c r="I1451" s="50" t="s">
        <v>22</v>
      </c>
      <c r="J1451" s="50">
        <v>64</v>
      </c>
      <c r="K1451" s="50" t="s">
        <v>23</v>
      </c>
      <c r="L1451" s="50">
        <v>2</v>
      </c>
      <c r="M1451" s="51">
        <v>50</v>
      </c>
    </row>
    <row r="1452" spans="5:13" x14ac:dyDescent="0.25">
      <c r="E1452" s="32">
        <v>189</v>
      </c>
      <c r="F1452" s="43">
        <v>44956</v>
      </c>
      <c r="G1452" s="44">
        <v>2023</v>
      </c>
      <c r="H1452" s="52" t="s">
        <v>1</v>
      </c>
      <c r="I1452" s="46" t="s">
        <v>20</v>
      </c>
      <c r="J1452" s="46">
        <v>63</v>
      </c>
      <c r="K1452" s="46" t="s">
        <v>21</v>
      </c>
      <c r="L1452" s="46">
        <v>1</v>
      </c>
      <c r="M1452" s="47">
        <v>50</v>
      </c>
    </row>
    <row r="1453" spans="5:13" x14ac:dyDescent="0.25">
      <c r="E1453" s="33">
        <v>682</v>
      </c>
      <c r="F1453" s="48">
        <v>45107</v>
      </c>
      <c r="G1453" s="49">
        <v>2023</v>
      </c>
      <c r="H1453" s="45" t="s">
        <v>6</v>
      </c>
      <c r="I1453" s="50" t="s">
        <v>22</v>
      </c>
      <c r="J1453" s="50">
        <v>28</v>
      </c>
      <c r="K1453" s="50" t="s">
        <v>23</v>
      </c>
      <c r="L1453" s="50">
        <v>2</v>
      </c>
      <c r="M1453" s="51">
        <v>500</v>
      </c>
    </row>
    <row r="1454" spans="5:13" x14ac:dyDescent="0.25">
      <c r="E1454" s="32">
        <v>313</v>
      </c>
      <c r="F1454" s="43">
        <v>45024</v>
      </c>
      <c r="G1454" s="44">
        <v>2023</v>
      </c>
      <c r="H1454" s="52" t="s">
        <v>4</v>
      </c>
      <c r="I1454" s="46" t="s">
        <v>20</v>
      </c>
      <c r="J1454" s="46">
        <v>52</v>
      </c>
      <c r="K1454" s="46" t="s">
        <v>23</v>
      </c>
      <c r="L1454" s="46">
        <v>4</v>
      </c>
      <c r="M1454" s="47">
        <v>30</v>
      </c>
    </row>
    <row r="1455" spans="5:13" x14ac:dyDescent="0.25">
      <c r="E1455" s="33">
        <v>1109</v>
      </c>
      <c r="F1455" s="48">
        <v>45401</v>
      </c>
      <c r="G1455" s="49">
        <v>2024</v>
      </c>
      <c r="H1455" s="45" t="s">
        <v>4</v>
      </c>
      <c r="I1455" s="50" t="s">
        <v>22</v>
      </c>
      <c r="J1455" s="50">
        <v>38</v>
      </c>
      <c r="K1455" s="50" t="s">
        <v>24</v>
      </c>
      <c r="L1455" s="50">
        <v>1</v>
      </c>
      <c r="M1455" s="51">
        <v>114</v>
      </c>
    </row>
    <row r="1456" spans="5:13" x14ac:dyDescent="0.25">
      <c r="E1456" s="32">
        <v>723</v>
      </c>
      <c r="F1456" s="43">
        <v>45159</v>
      </c>
      <c r="G1456" s="44">
        <v>2023</v>
      </c>
      <c r="H1456" s="52" t="s">
        <v>8</v>
      </c>
      <c r="I1456" s="46" t="s">
        <v>20</v>
      </c>
      <c r="J1456" s="46">
        <v>61</v>
      </c>
      <c r="K1456" s="46" t="s">
        <v>24</v>
      </c>
      <c r="L1456" s="46">
        <v>1</v>
      </c>
      <c r="M1456" s="47">
        <v>300</v>
      </c>
    </row>
    <row r="1457" spans="5:13" x14ac:dyDescent="0.25">
      <c r="E1457" s="33">
        <v>482</v>
      </c>
      <c r="F1457" s="48">
        <v>45041</v>
      </c>
      <c r="G1457" s="49">
        <v>2023</v>
      </c>
      <c r="H1457" s="45" t="s">
        <v>4</v>
      </c>
      <c r="I1457" s="50" t="s">
        <v>20</v>
      </c>
      <c r="J1457" s="50">
        <v>55</v>
      </c>
      <c r="K1457" s="50" t="s">
        <v>23</v>
      </c>
      <c r="L1457" s="50">
        <v>1</v>
      </c>
      <c r="M1457" s="51">
        <v>30</v>
      </c>
    </row>
    <row r="1458" spans="5:13" x14ac:dyDescent="0.25">
      <c r="E1458" s="32">
        <v>1630</v>
      </c>
      <c r="F1458" s="43">
        <v>45511</v>
      </c>
      <c r="G1458" s="44">
        <v>2024</v>
      </c>
      <c r="H1458" s="52" t="s">
        <v>8</v>
      </c>
      <c r="I1458" s="46" t="s">
        <v>20</v>
      </c>
      <c r="J1458" s="46">
        <v>41</v>
      </c>
      <c r="K1458" s="46" t="s">
        <v>21</v>
      </c>
      <c r="L1458" s="46">
        <v>1</v>
      </c>
      <c r="M1458" s="47">
        <v>384</v>
      </c>
    </row>
    <row r="1459" spans="5:13" x14ac:dyDescent="0.25">
      <c r="E1459" s="33">
        <v>1761</v>
      </c>
      <c r="F1459" s="48">
        <v>45452</v>
      </c>
      <c r="G1459" s="49">
        <v>2024</v>
      </c>
      <c r="H1459" s="45" t="s">
        <v>6</v>
      </c>
      <c r="I1459" s="50" t="s">
        <v>20</v>
      </c>
      <c r="J1459" s="50">
        <v>19</v>
      </c>
      <c r="K1459" s="50" t="s">
        <v>23</v>
      </c>
      <c r="L1459" s="50">
        <v>6</v>
      </c>
      <c r="M1459" s="51">
        <v>406</v>
      </c>
    </row>
    <row r="1460" spans="5:13" x14ac:dyDescent="0.25">
      <c r="E1460" s="32">
        <v>136</v>
      </c>
      <c r="F1460" s="43">
        <v>45005</v>
      </c>
      <c r="G1460" s="44">
        <v>2023</v>
      </c>
      <c r="H1460" s="52" t="s">
        <v>3</v>
      </c>
      <c r="I1460" s="46" t="s">
        <v>20</v>
      </c>
      <c r="J1460" s="46">
        <v>44</v>
      </c>
      <c r="K1460" s="46" t="s">
        <v>24</v>
      </c>
      <c r="L1460" s="46">
        <v>2</v>
      </c>
      <c r="M1460" s="47">
        <v>300</v>
      </c>
    </row>
    <row r="1461" spans="5:13" x14ac:dyDescent="0.25">
      <c r="E1461" s="33">
        <v>1049</v>
      </c>
      <c r="F1461" s="48">
        <v>45567</v>
      </c>
      <c r="G1461" s="49">
        <v>2024</v>
      </c>
      <c r="H1461" s="45" t="s">
        <v>10</v>
      </c>
      <c r="I1461" s="50" t="s">
        <v>20</v>
      </c>
      <c r="J1461" s="50">
        <v>20</v>
      </c>
      <c r="K1461" s="50" t="s">
        <v>21</v>
      </c>
      <c r="L1461" s="50">
        <v>5</v>
      </c>
      <c r="M1461" s="51">
        <v>270</v>
      </c>
    </row>
    <row r="1462" spans="5:13" x14ac:dyDescent="0.25">
      <c r="E1462" s="32">
        <v>1902</v>
      </c>
      <c r="F1462" s="43">
        <v>45447</v>
      </c>
      <c r="G1462" s="44">
        <v>2024</v>
      </c>
      <c r="H1462" s="52" t="s">
        <v>6</v>
      </c>
      <c r="I1462" s="46" t="s">
        <v>22</v>
      </c>
      <c r="J1462" s="46">
        <v>25</v>
      </c>
      <c r="K1462" s="46" t="s">
        <v>23</v>
      </c>
      <c r="L1462" s="46">
        <v>5</v>
      </c>
      <c r="M1462" s="47">
        <v>209</v>
      </c>
    </row>
    <row r="1463" spans="5:13" x14ac:dyDescent="0.25">
      <c r="E1463" s="33">
        <v>1519</v>
      </c>
      <c r="F1463" s="48">
        <v>45292</v>
      </c>
      <c r="G1463" s="49">
        <v>2024</v>
      </c>
      <c r="H1463" s="45" t="s">
        <v>1</v>
      </c>
      <c r="I1463" s="50" t="s">
        <v>20</v>
      </c>
      <c r="J1463" s="50">
        <v>34</v>
      </c>
      <c r="K1463" s="50" t="s">
        <v>21</v>
      </c>
      <c r="L1463" s="50">
        <v>2</v>
      </c>
      <c r="M1463" s="51">
        <v>149</v>
      </c>
    </row>
    <row r="1464" spans="5:13" x14ac:dyDescent="0.25">
      <c r="E1464" s="32">
        <v>711</v>
      </c>
      <c r="F1464" s="43">
        <v>44940</v>
      </c>
      <c r="G1464" s="44">
        <v>2023</v>
      </c>
      <c r="H1464" s="52" t="s">
        <v>1</v>
      </c>
      <c r="I1464" s="46" t="s">
        <v>20</v>
      </c>
      <c r="J1464" s="46">
        <v>34</v>
      </c>
      <c r="K1464" s="46" t="s">
        <v>21</v>
      </c>
      <c r="L1464" s="46">
        <v>3</v>
      </c>
      <c r="M1464" s="47">
        <v>25</v>
      </c>
    </row>
    <row r="1465" spans="5:13" x14ac:dyDescent="0.25">
      <c r="E1465" s="33">
        <v>1122</v>
      </c>
      <c r="F1465" s="48">
        <v>45592</v>
      </c>
      <c r="G1465" s="49">
        <v>2024</v>
      </c>
      <c r="H1465" s="45" t="s">
        <v>10</v>
      </c>
      <c r="I1465" s="50" t="s">
        <v>20</v>
      </c>
      <c r="J1465" s="50">
        <v>64</v>
      </c>
      <c r="K1465" s="50" t="s">
        <v>23</v>
      </c>
      <c r="L1465" s="50">
        <v>1</v>
      </c>
      <c r="M1465" s="51">
        <v>197</v>
      </c>
    </row>
    <row r="1466" spans="5:13" x14ac:dyDescent="0.25">
      <c r="E1466" s="32">
        <v>1786</v>
      </c>
      <c r="F1466" s="43">
        <v>45512</v>
      </c>
      <c r="G1466" s="44">
        <v>2024</v>
      </c>
      <c r="H1466" s="52" t="s">
        <v>8</v>
      </c>
      <c r="I1466" s="46" t="s">
        <v>20</v>
      </c>
      <c r="J1466" s="46">
        <v>60</v>
      </c>
      <c r="K1466" s="46" t="s">
        <v>23</v>
      </c>
      <c r="L1466" s="46">
        <v>6</v>
      </c>
      <c r="M1466" s="47">
        <v>410</v>
      </c>
    </row>
    <row r="1467" spans="5:13" x14ac:dyDescent="0.25">
      <c r="E1467" s="33">
        <v>835</v>
      </c>
      <c r="F1467" s="48">
        <v>45108</v>
      </c>
      <c r="G1467" s="49">
        <v>2023</v>
      </c>
      <c r="H1467" s="45" t="s">
        <v>7</v>
      </c>
      <c r="I1467" s="50" t="s">
        <v>20</v>
      </c>
      <c r="J1467" s="50">
        <v>18</v>
      </c>
      <c r="K1467" s="50" t="s">
        <v>21</v>
      </c>
      <c r="L1467" s="50">
        <v>3</v>
      </c>
      <c r="M1467" s="51">
        <v>30</v>
      </c>
    </row>
    <row r="1468" spans="5:13" x14ac:dyDescent="0.25">
      <c r="E1468" s="32">
        <v>923</v>
      </c>
      <c r="F1468" s="43">
        <v>45172</v>
      </c>
      <c r="G1468" s="44">
        <v>2023</v>
      </c>
      <c r="H1468" s="52" t="s">
        <v>9</v>
      </c>
      <c r="I1468" s="46" t="s">
        <v>20</v>
      </c>
      <c r="J1468" s="46">
        <v>25</v>
      </c>
      <c r="K1468" s="46" t="s">
        <v>24</v>
      </c>
      <c r="L1468" s="46">
        <v>1</v>
      </c>
      <c r="M1468" s="47">
        <v>300</v>
      </c>
    </row>
    <row r="1469" spans="5:13" x14ac:dyDescent="0.25">
      <c r="E1469" s="33">
        <v>1394</v>
      </c>
      <c r="F1469" s="48">
        <v>45361</v>
      </c>
      <c r="G1469" s="49">
        <v>2024</v>
      </c>
      <c r="H1469" s="45" t="s">
        <v>3</v>
      </c>
      <c r="I1469" s="50" t="s">
        <v>22</v>
      </c>
      <c r="J1469" s="50">
        <v>25</v>
      </c>
      <c r="K1469" s="50" t="s">
        <v>21</v>
      </c>
      <c r="L1469" s="50">
        <v>4</v>
      </c>
      <c r="M1469" s="51">
        <v>36</v>
      </c>
    </row>
    <row r="1470" spans="5:13" x14ac:dyDescent="0.25">
      <c r="E1470" s="32">
        <v>637</v>
      </c>
      <c r="F1470" s="43">
        <v>45157</v>
      </c>
      <c r="G1470" s="44">
        <v>2023</v>
      </c>
      <c r="H1470" s="52" t="s">
        <v>8</v>
      </c>
      <c r="I1470" s="46" t="s">
        <v>20</v>
      </c>
      <c r="J1470" s="46">
        <v>46</v>
      </c>
      <c r="K1470" s="46" t="s">
        <v>24</v>
      </c>
      <c r="L1470" s="46">
        <v>1</v>
      </c>
      <c r="M1470" s="47">
        <v>500</v>
      </c>
    </row>
    <row r="1471" spans="5:13" x14ac:dyDescent="0.25">
      <c r="E1471" s="33">
        <v>1685</v>
      </c>
      <c r="F1471" s="48">
        <v>45572</v>
      </c>
      <c r="G1471" s="49">
        <v>2024</v>
      </c>
      <c r="H1471" s="45" t="s">
        <v>10</v>
      </c>
      <c r="I1471" s="50" t="s">
        <v>20</v>
      </c>
      <c r="J1471" s="50">
        <v>35</v>
      </c>
      <c r="K1471" s="50" t="s">
        <v>24</v>
      </c>
      <c r="L1471" s="50">
        <v>3</v>
      </c>
      <c r="M1471" s="51">
        <v>178</v>
      </c>
    </row>
    <row r="1472" spans="5:13" x14ac:dyDescent="0.25">
      <c r="E1472" s="32">
        <v>1006</v>
      </c>
      <c r="F1472" s="43">
        <v>45344</v>
      </c>
      <c r="G1472" s="44">
        <v>2024</v>
      </c>
      <c r="H1472" s="52" t="s">
        <v>2</v>
      </c>
      <c r="I1472" s="46" t="s">
        <v>20</v>
      </c>
      <c r="J1472" s="46">
        <v>25</v>
      </c>
      <c r="K1472" s="46" t="s">
        <v>24</v>
      </c>
      <c r="L1472" s="46">
        <v>3</v>
      </c>
      <c r="M1472" s="47">
        <v>485</v>
      </c>
    </row>
    <row r="1473" spans="5:13" x14ac:dyDescent="0.25">
      <c r="E1473" s="33">
        <v>474</v>
      </c>
      <c r="F1473" s="48">
        <v>44946</v>
      </c>
      <c r="G1473" s="49">
        <v>2023</v>
      </c>
      <c r="H1473" s="45" t="s">
        <v>1</v>
      </c>
      <c r="I1473" s="50" t="s">
        <v>20</v>
      </c>
      <c r="J1473" s="50">
        <v>26</v>
      </c>
      <c r="K1473" s="50" t="s">
        <v>23</v>
      </c>
      <c r="L1473" s="50">
        <v>3</v>
      </c>
      <c r="M1473" s="51">
        <v>25</v>
      </c>
    </row>
    <row r="1474" spans="5:13" x14ac:dyDescent="0.25">
      <c r="E1474" s="32">
        <v>1907</v>
      </c>
      <c r="F1474" s="43">
        <v>45433</v>
      </c>
      <c r="G1474" s="44">
        <v>2024</v>
      </c>
      <c r="H1474" s="52" t="s">
        <v>5</v>
      </c>
      <c r="I1474" s="46" t="s">
        <v>20</v>
      </c>
      <c r="J1474" s="46">
        <v>52</v>
      </c>
      <c r="K1474" s="46" t="s">
        <v>24</v>
      </c>
      <c r="L1474" s="46">
        <v>1</v>
      </c>
      <c r="M1474" s="47">
        <v>249</v>
      </c>
    </row>
    <row r="1475" spans="5:13" x14ac:dyDescent="0.25">
      <c r="E1475" s="33">
        <v>1207</v>
      </c>
      <c r="F1475" s="48">
        <v>45646</v>
      </c>
      <c r="G1475" s="49">
        <v>2024</v>
      </c>
      <c r="H1475" s="45" t="s">
        <v>12</v>
      </c>
      <c r="I1475" s="50" t="s">
        <v>22</v>
      </c>
      <c r="J1475" s="50">
        <v>36</v>
      </c>
      <c r="K1475" s="50" t="s">
        <v>24</v>
      </c>
      <c r="L1475" s="50">
        <v>5</v>
      </c>
      <c r="M1475" s="51">
        <v>368</v>
      </c>
    </row>
    <row r="1476" spans="5:13" x14ac:dyDescent="0.25">
      <c r="E1476" s="32">
        <v>355</v>
      </c>
      <c r="F1476" s="43">
        <v>45087</v>
      </c>
      <c r="G1476" s="44">
        <v>2023</v>
      </c>
      <c r="H1476" s="52" t="s">
        <v>6</v>
      </c>
      <c r="I1476" s="46" t="s">
        <v>20</v>
      </c>
      <c r="J1476" s="46">
        <v>50</v>
      </c>
      <c r="K1476" s="46" t="s">
        <v>24</v>
      </c>
      <c r="L1476" s="46">
        <v>3</v>
      </c>
      <c r="M1476" s="47">
        <v>500</v>
      </c>
    </row>
    <row r="1477" spans="5:13" x14ac:dyDescent="0.25">
      <c r="E1477" s="33">
        <v>21</v>
      </c>
      <c r="F1477" s="48">
        <v>44940</v>
      </c>
      <c r="G1477" s="49">
        <v>2023</v>
      </c>
      <c r="H1477" s="45" t="s">
        <v>1</v>
      </c>
      <c r="I1477" s="50" t="s">
        <v>22</v>
      </c>
      <c r="J1477" s="50">
        <v>50</v>
      </c>
      <c r="K1477" s="50" t="s">
        <v>21</v>
      </c>
      <c r="L1477" s="50">
        <v>1</v>
      </c>
      <c r="M1477" s="51">
        <v>500</v>
      </c>
    </row>
    <row r="1478" spans="5:13" x14ac:dyDescent="0.25">
      <c r="E1478" s="32">
        <v>1310</v>
      </c>
      <c r="F1478" s="43">
        <v>45372</v>
      </c>
      <c r="G1478" s="44">
        <v>2024</v>
      </c>
      <c r="H1478" s="52" t="s">
        <v>3</v>
      </c>
      <c r="I1478" s="46" t="s">
        <v>22</v>
      </c>
      <c r="J1478" s="46">
        <v>45</v>
      </c>
      <c r="K1478" s="46" t="s">
        <v>21</v>
      </c>
      <c r="L1478" s="46">
        <v>3</v>
      </c>
      <c r="M1478" s="47">
        <v>428</v>
      </c>
    </row>
    <row r="1479" spans="5:13" x14ac:dyDescent="0.25">
      <c r="E1479" s="33">
        <v>1848</v>
      </c>
      <c r="F1479" s="48">
        <v>45577</v>
      </c>
      <c r="G1479" s="49">
        <v>2024</v>
      </c>
      <c r="H1479" s="45" t="s">
        <v>10</v>
      </c>
      <c r="I1479" s="50" t="s">
        <v>22</v>
      </c>
      <c r="J1479" s="50">
        <v>20</v>
      </c>
      <c r="K1479" s="50" t="s">
        <v>23</v>
      </c>
      <c r="L1479" s="50">
        <v>1</v>
      </c>
      <c r="M1479" s="51">
        <v>135</v>
      </c>
    </row>
    <row r="1480" spans="5:13" x14ac:dyDescent="0.25">
      <c r="E1480" s="32">
        <v>1771</v>
      </c>
      <c r="F1480" s="43">
        <v>45330</v>
      </c>
      <c r="G1480" s="44">
        <v>2024</v>
      </c>
      <c r="H1480" s="52" t="s">
        <v>2</v>
      </c>
      <c r="I1480" s="46" t="s">
        <v>22</v>
      </c>
      <c r="J1480" s="46">
        <v>35</v>
      </c>
      <c r="K1480" s="46" t="s">
        <v>24</v>
      </c>
      <c r="L1480" s="46">
        <v>6</v>
      </c>
      <c r="M1480" s="47">
        <v>23</v>
      </c>
    </row>
    <row r="1481" spans="5:13" x14ac:dyDescent="0.25">
      <c r="E1481" s="33">
        <v>467</v>
      </c>
      <c r="F1481" s="48">
        <v>45269</v>
      </c>
      <c r="G1481" s="49">
        <v>2023</v>
      </c>
      <c r="H1481" s="45" t="s">
        <v>12</v>
      </c>
      <c r="I1481" s="50" t="s">
        <v>20</v>
      </c>
      <c r="J1481" s="50">
        <v>40</v>
      </c>
      <c r="K1481" s="50" t="s">
        <v>24</v>
      </c>
      <c r="L1481" s="50">
        <v>1</v>
      </c>
      <c r="M1481" s="51">
        <v>25</v>
      </c>
    </row>
    <row r="1482" spans="5:13" x14ac:dyDescent="0.25">
      <c r="E1482" s="32">
        <v>279</v>
      </c>
      <c r="F1482" s="43">
        <v>45020</v>
      </c>
      <c r="G1482" s="44">
        <v>2023</v>
      </c>
      <c r="H1482" s="52" t="s">
        <v>4</v>
      </c>
      <c r="I1482" s="46" t="s">
        <v>22</v>
      </c>
      <c r="J1482" s="46">
        <v>37</v>
      </c>
      <c r="K1482" s="46" t="s">
        <v>23</v>
      </c>
      <c r="L1482" s="46">
        <v>3</v>
      </c>
      <c r="M1482" s="47">
        <v>500</v>
      </c>
    </row>
    <row r="1483" spans="5:13" x14ac:dyDescent="0.25">
      <c r="E1483" s="33">
        <v>974</v>
      </c>
      <c r="F1483" s="48">
        <v>45209</v>
      </c>
      <c r="G1483" s="49">
        <v>2023</v>
      </c>
      <c r="H1483" s="45" t="s">
        <v>10</v>
      </c>
      <c r="I1483" s="50" t="s">
        <v>22</v>
      </c>
      <c r="J1483" s="50">
        <v>48</v>
      </c>
      <c r="K1483" s="50" t="s">
        <v>21</v>
      </c>
      <c r="L1483" s="50">
        <v>2</v>
      </c>
      <c r="M1483" s="51">
        <v>300</v>
      </c>
    </row>
    <row r="1484" spans="5:13" x14ac:dyDescent="0.25">
      <c r="E1484" s="32">
        <v>1276</v>
      </c>
      <c r="F1484" s="43">
        <v>45509</v>
      </c>
      <c r="G1484" s="44">
        <v>2024</v>
      </c>
      <c r="H1484" s="52" t="s">
        <v>8</v>
      </c>
      <c r="I1484" s="46" t="s">
        <v>20</v>
      </c>
      <c r="J1484" s="46">
        <v>58</v>
      </c>
      <c r="K1484" s="46" t="s">
        <v>23</v>
      </c>
      <c r="L1484" s="46">
        <v>4</v>
      </c>
      <c r="M1484" s="47">
        <v>165</v>
      </c>
    </row>
    <row r="1485" spans="5:13" x14ac:dyDescent="0.25">
      <c r="E1485" s="33">
        <v>479</v>
      </c>
      <c r="F1485" s="48">
        <v>45106</v>
      </c>
      <c r="G1485" s="49">
        <v>2023</v>
      </c>
      <c r="H1485" s="45" t="s">
        <v>6</v>
      </c>
      <c r="I1485" s="50" t="s">
        <v>22</v>
      </c>
      <c r="J1485" s="50">
        <v>42</v>
      </c>
      <c r="K1485" s="50" t="s">
        <v>21</v>
      </c>
      <c r="L1485" s="50">
        <v>4</v>
      </c>
      <c r="M1485" s="51">
        <v>500</v>
      </c>
    </row>
    <row r="1486" spans="5:13" x14ac:dyDescent="0.25">
      <c r="E1486" s="32">
        <v>81</v>
      </c>
      <c r="F1486" s="43">
        <v>45063</v>
      </c>
      <c r="G1486" s="44">
        <v>2023</v>
      </c>
      <c r="H1486" s="52" t="s">
        <v>5</v>
      </c>
      <c r="I1486" s="46" t="s">
        <v>20</v>
      </c>
      <c r="J1486" s="46">
        <v>40</v>
      </c>
      <c r="K1486" s="46" t="s">
        <v>24</v>
      </c>
      <c r="L1486" s="46">
        <v>1</v>
      </c>
      <c r="M1486" s="47">
        <v>50</v>
      </c>
    </row>
    <row r="1487" spans="5:13" x14ac:dyDescent="0.25">
      <c r="E1487" s="33">
        <v>95</v>
      </c>
      <c r="F1487" s="48">
        <v>45254</v>
      </c>
      <c r="G1487" s="49">
        <v>2023</v>
      </c>
      <c r="H1487" s="45" t="s">
        <v>11</v>
      </c>
      <c r="I1487" s="50" t="s">
        <v>22</v>
      </c>
      <c r="J1487" s="50">
        <v>32</v>
      </c>
      <c r="K1487" s="50" t="s">
        <v>23</v>
      </c>
      <c r="L1487" s="50">
        <v>2</v>
      </c>
      <c r="M1487" s="51">
        <v>30</v>
      </c>
    </row>
    <row r="1488" spans="5:13" x14ac:dyDescent="0.25">
      <c r="E1488" s="32">
        <v>1514</v>
      </c>
      <c r="F1488" s="43">
        <v>45390</v>
      </c>
      <c r="G1488" s="44">
        <v>2024</v>
      </c>
      <c r="H1488" s="52" t="s">
        <v>4</v>
      </c>
      <c r="I1488" s="46" t="s">
        <v>22</v>
      </c>
      <c r="J1488" s="46">
        <v>49</v>
      </c>
      <c r="K1488" s="46" t="s">
        <v>23</v>
      </c>
      <c r="L1488" s="46">
        <v>2</v>
      </c>
      <c r="M1488" s="47">
        <v>351</v>
      </c>
    </row>
    <row r="1489" spans="5:13" x14ac:dyDescent="0.25">
      <c r="E1489" s="33">
        <v>1199</v>
      </c>
      <c r="F1489" s="48">
        <v>45574</v>
      </c>
      <c r="G1489" s="49">
        <v>2024</v>
      </c>
      <c r="H1489" s="45" t="s">
        <v>10</v>
      </c>
      <c r="I1489" s="50" t="s">
        <v>20</v>
      </c>
      <c r="J1489" s="50">
        <v>30</v>
      </c>
      <c r="K1489" s="50" t="s">
        <v>24</v>
      </c>
      <c r="L1489" s="50">
        <v>3</v>
      </c>
      <c r="M1489" s="51">
        <v>189</v>
      </c>
    </row>
    <row r="1490" spans="5:13" x14ac:dyDescent="0.25">
      <c r="E1490" s="32">
        <v>351</v>
      </c>
      <c r="F1490" s="43">
        <v>45088</v>
      </c>
      <c r="G1490" s="44">
        <v>2023</v>
      </c>
      <c r="H1490" s="52" t="s">
        <v>6</v>
      </c>
      <c r="I1490" s="46" t="s">
        <v>20</v>
      </c>
      <c r="J1490" s="46">
        <v>57</v>
      </c>
      <c r="K1490" s="46" t="s">
        <v>24</v>
      </c>
      <c r="L1490" s="46">
        <v>2</v>
      </c>
      <c r="M1490" s="47">
        <v>500</v>
      </c>
    </row>
    <row r="1491" spans="5:13" x14ac:dyDescent="0.25">
      <c r="E1491" s="33">
        <v>1546</v>
      </c>
      <c r="F1491" s="48">
        <v>45508</v>
      </c>
      <c r="G1491" s="49">
        <v>2024</v>
      </c>
      <c r="H1491" s="45" t="s">
        <v>8</v>
      </c>
      <c r="I1491" s="50" t="s">
        <v>22</v>
      </c>
      <c r="J1491" s="50">
        <v>47</v>
      </c>
      <c r="K1491" s="50" t="s">
        <v>21</v>
      </c>
      <c r="L1491" s="50">
        <v>5</v>
      </c>
      <c r="M1491" s="51">
        <v>415</v>
      </c>
    </row>
    <row r="1492" spans="5:13" x14ac:dyDescent="0.25">
      <c r="E1492" s="32">
        <v>905</v>
      </c>
      <c r="F1492" s="43">
        <v>44934</v>
      </c>
      <c r="G1492" s="44">
        <v>2023</v>
      </c>
      <c r="H1492" s="52" t="s">
        <v>1</v>
      </c>
      <c r="I1492" s="46" t="s">
        <v>22</v>
      </c>
      <c r="J1492" s="46">
        <v>45</v>
      </c>
      <c r="K1492" s="46" t="s">
        <v>24</v>
      </c>
      <c r="L1492" s="46">
        <v>1</v>
      </c>
      <c r="M1492" s="47">
        <v>25</v>
      </c>
    </row>
    <row r="1493" spans="5:13" x14ac:dyDescent="0.25">
      <c r="E1493" s="33">
        <v>365</v>
      </c>
      <c r="F1493" s="48">
        <v>44964</v>
      </c>
      <c r="G1493" s="49">
        <v>2023</v>
      </c>
      <c r="H1493" s="45" t="s">
        <v>2</v>
      </c>
      <c r="I1493" s="50" t="s">
        <v>20</v>
      </c>
      <c r="J1493" s="50">
        <v>57</v>
      </c>
      <c r="K1493" s="50" t="s">
        <v>23</v>
      </c>
      <c r="L1493" s="50">
        <v>2</v>
      </c>
      <c r="M1493" s="51">
        <v>50</v>
      </c>
    </row>
    <row r="1494" spans="5:13" x14ac:dyDescent="0.25">
      <c r="E1494" s="32">
        <v>1140</v>
      </c>
      <c r="F1494" s="43">
        <v>45324</v>
      </c>
      <c r="G1494" s="44">
        <v>2024</v>
      </c>
      <c r="H1494" s="52" t="s">
        <v>2</v>
      </c>
      <c r="I1494" s="46" t="s">
        <v>20</v>
      </c>
      <c r="J1494" s="46">
        <v>43</v>
      </c>
      <c r="K1494" s="46" t="s">
        <v>24</v>
      </c>
      <c r="L1494" s="46">
        <v>1</v>
      </c>
      <c r="M1494" s="47">
        <v>310</v>
      </c>
    </row>
    <row r="1495" spans="5:13" x14ac:dyDescent="0.25">
      <c r="E1495" s="33">
        <v>1126</v>
      </c>
      <c r="F1495" s="48">
        <v>45478</v>
      </c>
      <c r="G1495" s="49">
        <v>2024</v>
      </c>
      <c r="H1495" s="45" t="s">
        <v>7</v>
      </c>
      <c r="I1495" s="50" t="s">
        <v>20</v>
      </c>
      <c r="J1495" s="50">
        <v>24</v>
      </c>
      <c r="K1495" s="50" t="s">
        <v>21</v>
      </c>
      <c r="L1495" s="50">
        <v>2</v>
      </c>
      <c r="M1495" s="51">
        <v>231</v>
      </c>
    </row>
    <row r="1496" spans="5:13" x14ac:dyDescent="0.25">
      <c r="E1496" s="32">
        <v>585</v>
      </c>
      <c r="F1496" s="43">
        <v>45271</v>
      </c>
      <c r="G1496" s="44">
        <v>2023</v>
      </c>
      <c r="H1496" s="52" t="s">
        <v>12</v>
      </c>
      <c r="I1496" s="46" t="s">
        <v>20</v>
      </c>
      <c r="J1496" s="46">
        <v>50</v>
      </c>
      <c r="K1496" s="46" t="s">
        <v>24</v>
      </c>
      <c r="L1496" s="46">
        <v>1</v>
      </c>
      <c r="M1496" s="47">
        <v>50</v>
      </c>
    </row>
    <row r="1497" spans="5:13" x14ac:dyDescent="0.25">
      <c r="E1497" s="33">
        <v>877</v>
      </c>
      <c r="F1497" s="48">
        <v>45286</v>
      </c>
      <c r="G1497" s="49">
        <v>2023</v>
      </c>
      <c r="H1497" s="45" t="s">
        <v>12</v>
      </c>
      <c r="I1497" s="50" t="s">
        <v>20</v>
      </c>
      <c r="J1497" s="50">
        <v>23</v>
      </c>
      <c r="K1497" s="50" t="s">
        <v>23</v>
      </c>
      <c r="L1497" s="50">
        <v>1</v>
      </c>
      <c r="M1497" s="51">
        <v>30</v>
      </c>
    </row>
    <row r="1498" spans="5:13" x14ac:dyDescent="0.25">
      <c r="E1498" s="32">
        <v>1318</v>
      </c>
      <c r="F1498" s="43">
        <v>45453</v>
      </c>
      <c r="G1498" s="44">
        <v>2024</v>
      </c>
      <c r="H1498" s="52" t="s">
        <v>6</v>
      </c>
      <c r="I1498" s="46" t="s">
        <v>22</v>
      </c>
      <c r="J1498" s="46">
        <v>34</v>
      </c>
      <c r="K1498" s="46" t="s">
        <v>24</v>
      </c>
      <c r="L1498" s="46">
        <v>6</v>
      </c>
      <c r="M1498" s="47">
        <v>396</v>
      </c>
    </row>
    <row r="1499" spans="5:13" x14ac:dyDescent="0.25">
      <c r="E1499" s="33">
        <v>325</v>
      </c>
      <c r="F1499" s="48">
        <v>45184</v>
      </c>
      <c r="G1499" s="49">
        <v>2023</v>
      </c>
      <c r="H1499" s="45" t="s">
        <v>9</v>
      </c>
      <c r="I1499" s="50" t="s">
        <v>22</v>
      </c>
      <c r="J1499" s="50">
        <v>18</v>
      </c>
      <c r="K1499" s="50" t="s">
        <v>23</v>
      </c>
      <c r="L1499" s="50">
        <v>3</v>
      </c>
      <c r="M1499" s="51">
        <v>25</v>
      </c>
    </row>
    <row r="1500" spans="5:13" x14ac:dyDescent="0.25">
      <c r="E1500" s="32">
        <v>721</v>
      </c>
      <c r="F1500" s="43">
        <v>45094</v>
      </c>
      <c r="G1500" s="44">
        <v>2023</v>
      </c>
      <c r="H1500" s="52" t="s">
        <v>6</v>
      </c>
      <c r="I1500" s="46" t="s">
        <v>22</v>
      </c>
      <c r="J1500" s="46">
        <v>54</v>
      </c>
      <c r="K1500" s="46" t="s">
        <v>21</v>
      </c>
      <c r="L1500" s="46">
        <v>4</v>
      </c>
      <c r="M1500" s="47">
        <v>50</v>
      </c>
    </row>
    <row r="1501" spans="5:13" x14ac:dyDescent="0.25">
      <c r="E1501" s="33">
        <v>1272</v>
      </c>
      <c r="F1501" s="48">
        <v>45390</v>
      </c>
      <c r="G1501" s="49">
        <v>2024</v>
      </c>
      <c r="H1501" s="45" t="s">
        <v>4</v>
      </c>
      <c r="I1501" s="50" t="s">
        <v>20</v>
      </c>
      <c r="J1501" s="50">
        <v>47</v>
      </c>
      <c r="K1501" s="50" t="s">
        <v>23</v>
      </c>
      <c r="L1501" s="50">
        <v>4</v>
      </c>
      <c r="M1501" s="51">
        <v>405</v>
      </c>
    </row>
    <row r="1502" spans="5:13" x14ac:dyDescent="0.25">
      <c r="E1502" s="32">
        <v>285</v>
      </c>
      <c r="F1502" s="43">
        <v>45208</v>
      </c>
      <c r="G1502" s="44">
        <v>2023</v>
      </c>
      <c r="H1502" s="52" t="s">
        <v>10</v>
      </c>
      <c r="I1502" s="46" t="s">
        <v>20</v>
      </c>
      <c r="J1502" s="46">
        <v>55</v>
      </c>
      <c r="K1502" s="46" t="s">
        <v>24</v>
      </c>
      <c r="L1502" s="46">
        <v>2</v>
      </c>
      <c r="M1502" s="47">
        <v>25</v>
      </c>
    </row>
    <row r="1503" spans="5:13" x14ac:dyDescent="0.25">
      <c r="E1503" s="33">
        <v>1988</v>
      </c>
      <c r="F1503" s="48">
        <v>45525</v>
      </c>
      <c r="G1503" s="49">
        <v>2024</v>
      </c>
      <c r="H1503" s="45" t="s">
        <v>8</v>
      </c>
      <c r="I1503" s="50" t="s">
        <v>22</v>
      </c>
      <c r="J1503" s="50">
        <v>18</v>
      </c>
      <c r="K1503" s="50" t="s">
        <v>24</v>
      </c>
      <c r="L1503" s="50">
        <v>7</v>
      </c>
      <c r="M1503" s="51">
        <v>344</v>
      </c>
    </row>
    <row r="1504" spans="5:13" x14ac:dyDescent="0.25">
      <c r="E1504" s="32">
        <v>1825</v>
      </c>
      <c r="F1504" s="43">
        <v>45487</v>
      </c>
      <c r="G1504" s="44">
        <v>2024</v>
      </c>
      <c r="H1504" s="52" t="s">
        <v>7</v>
      </c>
      <c r="I1504" s="46" t="s">
        <v>20</v>
      </c>
      <c r="J1504" s="46">
        <v>28</v>
      </c>
      <c r="K1504" s="46" t="s">
        <v>21</v>
      </c>
      <c r="L1504" s="46">
        <v>1</v>
      </c>
      <c r="M1504" s="47">
        <v>399</v>
      </c>
    </row>
    <row r="1505" spans="5:13" x14ac:dyDescent="0.25">
      <c r="E1505" s="33">
        <v>1165</v>
      </c>
      <c r="F1505" s="48">
        <v>45552</v>
      </c>
      <c r="G1505" s="49">
        <v>2024</v>
      </c>
      <c r="H1505" s="45" t="s">
        <v>9</v>
      </c>
      <c r="I1505" s="50" t="s">
        <v>22</v>
      </c>
      <c r="J1505" s="50">
        <v>35</v>
      </c>
      <c r="K1505" s="50" t="s">
        <v>23</v>
      </c>
      <c r="L1505" s="50">
        <v>6</v>
      </c>
      <c r="M1505" s="51">
        <v>430</v>
      </c>
    </row>
    <row r="1506" spans="5:13" x14ac:dyDescent="0.25">
      <c r="E1506" s="32">
        <v>984</v>
      </c>
      <c r="F1506" s="43">
        <v>44943</v>
      </c>
      <c r="G1506" s="44">
        <v>2023</v>
      </c>
      <c r="H1506" s="52" t="s">
        <v>1</v>
      </c>
      <c r="I1506" s="46" t="s">
        <v>22</v>
      </c>
      <c r="J1506" s="46">
        <v>49</v>
      </c>
      <c r="K1506" s="46" t="s">
        <v>23</v>
      </c>
      <c r="L1506" s="46">
        <v>2</v>
      </c>
      <c r="M1506" s="47">
        <v>500</v>
      </c>
    </row>
    <row r="1507" spans="5:13" x14ac:dyDescent="0.25">
      <c r="E1507" s="33">
        <v>393</v>
      </c>
      <c r="F1507" s="48">
        <v>45080</v>
      </c>
      <c r="G1507" s="49">
        <v>2023</v>
      </c>
      <c r="H1507" s="45" t="s">
        <v>6</v>
      </c>
      <c r="I1507" s="50" t="s">
        <v>22</v>
      </c>
      <c r="J1507" s="50">
        <v>27</v>
      </c>
      <c r="K1507" s="50" t="s">
        <v>23</v>
      </c>
      <c r="L1507" s="50">
        <v>1</v>
      </c>
      <c r="M1507" s="51">
        <v>500</v>
      </c>
    </row>
    <row r="1508" spans="5:13" x14ac:dyDescent="0.25">
      <c r="E1508" s="32">
        <v>1314</v>
      </c>
      <c r="F1508" s="43">
        <v>45321</v>
      </c>
      <c r="G1508" s="44">
        <v>2024</v>
      </c>
      <c r="H1508" s="52" t="s">
        <v>1</v>
      </c>
      <c r="I1508" s="46" t="s">
        <v>20</v>
      </c>
      <c r="J1508" s="46">
        <v>39</v>
      </c>
      <c r="K1508" s="46" t="s">
        <v>24</v>
      </c>
      <c r="L1508" s="46">
        <v>2</v>
      </c>
      <c r="M1508" s="47">
        <v>132</v>
      </c>
    </row>
    <row r="1509" spans="5:13" x14ac:dyDescent="0.25">
      <c r="E1509" s="33">
        <v>498</v>
      </c>
      <c r="F1509" s="48">
        <v>44941</v>
      </c>
      <c r="G1509" s="49">
        <v>2023</v>
      </c>
      <c r="H1509" s="45" t="s">
        <v>1</v>
      </c>
      <c r="I1509" s="50" t="s">
        <v>20</v>
      </c>
      <c r="J1509" s="50">
        <v>46</v>
      </c>
      <c r="K1509" s="50" t="s">
        <v>21</v>
      </c>
      <c r="L1509" s="50">
        <v>2</v>
      </c>
      <c r="M1509" s="51">
        <v>30</v>
      </c>
    </row>
    <row r="1510" spans="5:13" x14ac:dyDescent="0.25">
      <c r="E1510" s="32">
        <v>48</v>
      </c>
      <c r="F1510" s="43">
        <v>45062</v>
      </c>
      <c r="G1510" s="44">
        <v>2023</v>
      </c>
      <c r="H1510" s="52" t="s">
        <v>5</v>
      </c>
      <c r="I1510" s="46" t="s">
        <v>20</v>
      </c>
      <c r="J1510" s="46">
        <v>54</v>
      </c>
      <c r="K1510" s="46" t="s">
        <v>24</v>
      </c>
      <c r="L1510" s="46">
        <v>3</v>
      </c>
      <c r="M1510" s="47">
        <v>300</v>
      </c>
    </row>
    <row r="1511" spans="5:13" x14ac:dyDescent="0.25">
      <c r="E1511" s="33">
        <v>966</v>
      </c>
      <c r="F1511" s="48">
        <v>45247</v>
      </c>
      <c r="G1511" s="49">
        <v>2023</v>
      </c>
      <c r="H1511" s="45" t="s">
        <v>11</v>
      </c>
      <c r="I1511" s="50" t="s">
        <v>22</v>
      </c>
      <c r="J1511" s="50">
        <v>48</v>
      </c>
      <c r="K1511" s="50" t="s">
        <v>23</v>
      </c>
      <c r="L1511" s="50">
        <v>3</v>
      </c>
      <c r="M1511" s="51">
        <v>300</v>
      </c>
    </row>
    <row r="1512" spans="5:13" x14ac:dyDescent="0.25">
      <c r="E1512" s="32">
        <v>800</v>
      </c>
      <c r="F1512" s="43">
        <v>45112</v>
      </c>
      <c r="G1512" s="44">
        <v>2023</v>
      </c>
      <c r="H1512" s="52" t="s">
        <v>7</v>
      </c>
      <c r="I1512" s="46" t="s">
        <v>22</v>
      </c>
      <c r="J1512" s="46">
        <v>46</v>
      </c>
      <c r="K1512" s="46" t="s">
        <v>21</v>
      </c>
      <c r="L1512" s="46">
        <v>1</v>
      </c>
      <c r="M1512" s="47">
        <v>30</v>
      </c>
    </row>
    <row r="1513" spans="5:13" x14ac:dyDescent="0.25">
      <c r="E1513" s="33">
        <v>1033</v>
      </c>
      <c r="F1513" s="48">
        <v>45509</v>
      </c>
      <c r="G1513" s="49">
        <v>2024</v>
      </c>
      <c r="H1513" s="45" t="s">
        <v>8</v>
      </c>
      <c r="I1513" s="50" t="s">
        <v>22</v>
      </c>
      <c r="J1513" s="50">
        <v>48</v>
      </c>
      <c r="K1513" s="50" t="s">
        <v>21</v>
      </c>
      <c r="L1513" s="50">
        <v>3</v>
      </c>
      <c r="M1513" s="51">
        <v>436</v>
      </c>
    </row>
    <row r="1514" spans="5:13" x14ac:dyDescent="0.25">
      <c r="E1514" s="32">
        <v>1751</v>
      </c>
      <c r="F1514" s="43">
        <v>45404</v>
      </c>
      <c r="G1514" s="44">
        <v>2024</v>
      </c>
      <c r="H1514" s="52" t="s">
        <v>4</v>
      </c>
      <c r="I1514" s="46" t="s">
        <v>22</v>
      </c>
      <c r="J1514" s="46">
        <v>62</v>
      </c>
      <c r="K1514" s="46" t="s">
        <v>23</v>
      </c>
      <c r="L1514" s="46">
        <v>3</v>
      </c>
      <c r="M1514" s="47">
        <v>227</v>
      </c>
    </row>
    <row r="1515" spans="5:13" x14ac:dyDescent="0.25">
      <c r="E1515" s="33">
        <v>1077</v>
      </c>
      <c r="F1515" s="48">
        <v>45400</v>
      </c>
      <c r="G1515" s="49">
        <v>2024</v>
      </c>
      <c r="H1515" s="45" t="s">
        <v>4</v>
      </c>
      <c r="I1515" s="50" t="s">
        <v>20</v>
      </c>
      <c r="J1515" s="50">
        <v>60</v>
      </c>
      <c r="K1515" s="50" t="s">
        <v>21</v>
      </c>
      <c r="L1515" s="50">
        <v>4</v>
      </c>
      <c r="M1515" s="51">
        <v>121</v>
      </c>
    </row>
    <row r="1516" spans="5:13" x14ac:dyDescent="0.25">
      <c r="E1516" s="32">
        <v>1</v>
      </c>
      <c r="F1516" s="43">
        <v>45254</v>
      </c>
      <c r="G1516" s="44">
        <v>2023</v>
      </c>
      <c r="H1516" s="52" t="s">
        <v>11</v>
      </c>
      <c r="I1516" s="46" t="s">
        <v>20</v>
      </c>
      <c r="J1516" s="46">
        <v>34</v>
      </c>
      <c r="K1516" s="46" t="s">
        <v>21</v>
      </c>
      <c r="L1516" s="46">
        <v>3</v>
      </c>
      <c r="M1516" s="47">
        <v>50</v>
      </c>
    </row>
    <row r="1517" spans="5:13" x14ac:dyDescent="0.25">
      <c r="E1517" s="33">
        <v>1455</v>
      </c>
      <c r="F1517" s="48">
        <v>45610</v>
      </c>
      <c r="G1517" s="49">
        <v>2024</v>
      </c>
      <c r="H1517" s="45" t="s">
        <v>11</v>
      </c>
      <c r="I1517" s="50" t="s">
        <v>22</v>
      </c>
      <c r="J1517" s="50">
        <v>28</v>
      </c>
      <c r="K1517" s="50" t="s">
        <v>24</v>
      </c>
      <c r="L1517" s="50">
        <v>4</v>
      </c>
      <c r="M1517" s="51">
        <v>163</v>
      </c>
    </row>
    <row r="1518" spans="5:13" x14ac:dyDescent="0.25">
      <c r="E1518" s="32">
        <v>925</v>
      </c>
      <c r="F1518" s="43">
        <v>45101</v>
      </c>
      <c r="G1518" s="44">
        <v>2023</v>
      </c>
      <c r="H1518" s="52" t="s">
        <v>6</v>
      </c>
      <c r="I1518" s="46" t="s">
        <v>20</v>
      </c>
      <c r="J1518" s="46">
        <v>43</v>
      </c>
      <c r="K1518" s="46" t="s">
        <v>24</v>
      </c>
      <c r="L1518" s="46">
        <v>4</v>
      </c>
      <c r="M1518" s="47">
        <v>500</v>
      </c>
    </row>
    <row r="1519" spans="5:13" x14ac:dyDescent="0.25">
      <c r="E1519" s="33">
        <v>24</v>
      </c>
      <c r="F1519" s="48">
        <v>45259</v>
      </c>
      <c r="G1519" s="49">
        <v>2023</v>
      </c>
      <c r="H1519" s="45" t="s">
        <v>11</v>
      </c>
      <c r="I1519" s="50" t="s">
        <v>22</v>
      </c>
      <c r="J1519" s="50">
        <v>49</v>
      </c>
      <c r="K1519" s="50" t="s">
        <v>23</v>
      </c>
      <c r="L1519" s="50">
        <v>1</v>
      </c>
      <c r="M1519" s="51">
        <v>300</v>
      </c>
    </row>
    <row r="1520" spans="5:13" x14ac:dyDescent="0.25">
      <c r="E1520" s="32">
        <v>1366</v>
      </c>
      <c r="F1520" s="43">
        <v>45611</v>
      </c>
      <c r="G1520" s="44">
        <v>2024</v>
      </c>
      <c r="H1520" s="52" t="s">
        <v>11</v>
      </c>
      <c r="I1520" s="46" t="s">
        <v>20</v>
      </c>
      <c r="J1520" s="46">
        <v>18</v>
      </c>
      <c r="K1520" s="46" t="s">
        <v>24</v>
      </c>
      <c r="L1520" s="46">
        <v>7</v>
      </c>
      <c r="M1520" s="47">
        <v>31</v>
      </c>
    </row>
    <row r="1521" spans="5:13" x14ac:dyDescent="0.25">
      <c r="E1521" s="33">
        <v>1922</v>
      </c>
      <c r="F1521" s="48">
        <v>45518</v>
      </c>
      <c r="G1521" s="49">
        <v>2024</v>
      </c>
      <c r="H1521" s="45" t="s">
        <v>8</v>
      </c>
      <c r="I1521" s="50" t="s">
        <v>20</v>
      </c>
      <c r="J1521" s="50">
        <v>64</v>
      </c>
      <c r="K1521" s="50" t="s">
        <v>24</v>
      </c>
      <c r="L1521" s="50">
        <v>1</v>
      </c>
      <c r="M1521" s="51">
        <v>270</v>
      </c>
    </row>
    <row r="1522" spans="5:13" x14ac:dyDescent="0.25">
      <c r="E1522" s="32">
        <v>1750</v>
      </c>
      <c r="F1522" s="43">
        <v>45581</v>
      </c>
      <c r="G1522" s="44">
        <v>2024</v>
      </c>
      <c r="H1522" s="52" t="s">
        <v>10</v>
      </c>
      <c r="I1522" s="46" t="s">
        <v>22</v>
      </c>
      <c r="J1522" s="46">
        <v>25</v>
      </c>
      <c r="K1522" s="46" t="s">
        <v>24</v>
      </c>
      <c r="L1522" s="46">
        <v>4</v>
      </c>
      <c r="M1522" s="47">
        <v>161</v>
      </c>
    </row>
    <row r="1523" spans="5:13" x14ac:dyDescent="0.25">
      <c r="E1523" s="33">
        <v>1870</v>
      </c>
      <c r="F1523" s="48">
        <v>45469</v>
      </c>
      <c r="G1523" s="49">
        <v>2024</v>
      </c>
      <c r="H1523" s="45" t="s">
        <v>6</v>
      </c>
      <c r="I1523" s="50" t="s">
        <v>20</v>
      </c>
      <c r="J1523" s="50">
        <v>37</v>
      </c>
      <c r="K1523" s="50" t="s">
        <v>21</v>
      </c>
      <c r="L1523" s="50">
        <v>4</v>
      </c>
      <c r="M1523" s="51">
        <v>18</v>
      </c>
    </row>
    <row r="1524" spans="5:13" x14ac:dyDescent="0.25">
      <c r="E1524" s="32">
        <v>1551</v>
      </c>
      <c r="F1524" s="43">
        <v>45608</v>
      </c>
      <c r="G1524" s="44">
        <v>2024</v>
      </c>
      <c r="H1524" s="52" t="s">
        <v>11</v>
      </c>
      <c r="I1524" s="46" t="s">
        <v>22</v>
      </c>
      <c r="J1524" s="46">
        <v>53</v>
      </c>
      <c r="K1524" s="46" t="s">
        <v>21</v>
      </c>
      <c r="L1524" s="46">
        <v>6</v>
      </c>
      <c r="M1524" s="47">
        <v>240</v>
      </c>
    </row>
    <row r="1525" spans="5:13" x14ac:dyDescent="0.25">
      <c r="E1525" s="33">
        <v>1410</v>
      </c>
      <c r="F1525" s="48">
        <v>45543</v>
      </c>
      <c r="G1525" s="49">
        <v>2024</v>
      </c>
      <c r="H1525" s="45" t="s">
        <v>9</v>
      </c>
      <c r="I1525" s="50" t="s">
        <v>22</v>
      </c>
      <c r="J1525" s="50">
        <v>45</v>
      </c>
      <c r="K1525" s="50" t="s">
        <v>21</v>
      </c>
      <c r="L1525" s="50">
        <v>4</v>
      </c>
      <c r="M1525" s="51">
        <v>50</v>
      </c>
    </row>
    <row r="1526" spans="5:13" x14ac:dyDescent="0.25">
      <c r="E1526" s="32">
        <v>112</v>
      </c>
      <c r="F1526" s="43">
        <v>45262</v>
      </c>
      <c r="G1526" s="44">
        <v>2023</v>
      </c>
      <c r="H1526" s="52" t="s">
        <v>12</v>
      </c>
      <c r="I1526" s="46" t="s">
        <v>20</v>
      </c>
      <c r="J1526" s="46">
        <v>37</v>
      </c>
      <c r="K1526" s="46" t="s">
        <v>23</v>
      </c>
      <c r="L1526" s="46">
        <v>3</v>
      </c>
      <c r="M1526" s="47">
        <v>500</v>
      </c>
    </row>
    <row r="1527" spans="5:13" x14ac:dyDescent="0.25">
      <c r="E1527" s="33">
        <v>814</v>
      </c>
      <c r="F1527" s="48">
        <v>45150</v>
      </c>
      <c r="G1527" s="49">
        <v>2023</v>
      </c>
      <c r="H1527" s="45" t="s">
        <v>8</v>
      </c>
      <c r="I1527" s="50" t="s">
        <v>20</v>
      </c>
      <c r="J1527" s="50">
        <v>47</v>
      </c>
      <c r="K1527" s="50" t="s">
        <v>21</v>
      </c>
      <c r="L1527" s="50">
        <v>2</v>
      </c>
      <c r="M1527" s="51">
        <v>500</v>
      </c>
    </row>
    <row r="1528" spans="5:13" x14ac:dyDescent="0.25">
      <c r="E1528" s="32">
        <v>757</v>
      </c>
      <c r="F1528" s="43">
        <v>45115</v>
      </c>
      <c r="G1528" s="44">
        <v>2023</v>
      </c>
      <c r="H1528" s="52" t="s">
        <v>7</v>
      </c>
      <c r="I1528" s="46" t="s">
        <v>20</v>
      </c>
      <c r="J1528" s="46">
        <v>49</v>
      </c>
      <c r="K1528" s="46" t="s">
        <v>24</v>
      </c>
      <c r="L1528" s="46">
        <v>2</v>
      </c>
      <c r="M1528" s="47">
        <v>50</v>
      </c>
    </row>
    <row r="1529" spans="5:13" x14ac:dyDescent="0.25">
      <c r="E1529" s="33">
        <v>195</v>
      </c>
      <c r="F1529" s="48">
        <v>44962</v>
      </c>
      <c r="G1529" s="49">
        <v>2023</v>
      </c>
      <c r="H1529" s="45" t="s">
        <v>2</v>
      </c>
      <c r="I1529" s="50" t="s">
        <v>20</v>
      </c>
      <c r="J1529" s="50">
        <v>52</v>
      </c>
      <c r="K1529" s="50" t="s">
        <v>23</v>
      </c>
      <c r="L1529" s="50">
        <v>1</v>
      </c>
      <c r="M1529" s="51">
        <v>30</v>
      </c>
    </row>
    <row r="1530" spans="5:13" x14ac:dyDescent="0.25">
      <c r="E1530" s="32">
        <v>400</v>
      </c>
      <c r="F1530" s="43">
        <v>45210</v>
      </c>
      <c r="G1530" s="44">
        <v>2023</v>
      </c>
      <c r="H1530" s="52" t="s">
        <v>10</v>
      </c>
      <c r="I1530" s="46" t="s">
        <v>22</v>
      </c>
      <c r="J1530" s="46">
        <v>62</v>
      </c>
      <c r="K1530" s="46" t="s">
        <v>23</v>
      </c>
      <c r="L1530" s="46">
        <v>1</v>
      </c>
      <c r="M1530" s="47">
        <v>300</v>
      </c>
    </row>
    <row r="1531" spans="5:13" x14ac:dyDescent="0.25">
      <c r="E1531" s="33">
        <v>371</v>
      </c>
      <c r="F1531" s="48">
        <v>44964</v>
      </c>
      <c r="G1531" s="49">
        <v>2023</v>
      </c>
      <c r="H1531" s="45" t="s">
        <v>2</v>
      </c>
      <c r="I1531" s="50" t="s">
        <v>22</v>
      </c>
      <c r="J1531" s="50">
        <v>24</v>
      </c>
      <c r="K1531" s="50" t="s">
        <v>21</v>
      </c>
      <c r="L1531" s="50">
        <v>3</v>
      </c>
      <c r="M1531" s="51">
        <v>500</v>
      </c>
    </row>
    <row r="1532" spans="5:13" x14ac:dyDescent="0.25">
      <c r="E1532" s="32">
        <v>1726</v>
      </c>
      <c r="F1532" s="43">
        <v>45508</v>
      </c>
      <c r="G1532" s="44">
        <v>2024</v>
      </c>
      <c r="H1532" s="52" t="s">
        <v>8</v>
      </c>
      <c r="I1532" s="46" t="s">
        <v>22</v>
      </c>
      <c r="J1532" s="46">
        <v>61</v>
      </c>
      <c r="K1532" s="46" t="s">
        <v>23</v>
      </c>
      <c r="L1532" s="46">
        <v>2</v>
      </c>
      <c r="M1532" s="47">
        <v>13</v>
      </c>
    </row>
    <row r="1533" spans="5:13" x14ac:dyDescent="0.25">
      <c r="E1533" s="33">
        <v>1139</v>
      </c>
      <c r="F1533" s="48">
        <v>45598</v>
      </c>
      <c r="G1533" s="49">
        <v>2024</v>
      </c>
      <c r="H1533" s="45" t="s">
        <v>11</v>
      </c>
      <c r="I1533" s="50" t="s">
        <v>22</v>
      </c>
      <c r="J1533" s="50">
        <v>50</v>
      </c>
      <c r="K1533" s="50" t="s">
        <v>24</v>
      </c>
      <c r="L1533" s="50">
        <v>6</v>
      </c>
      <c r="M1533" s="51">
        <v>112</v>
      </c>
    </row>
    <row r="1534" spans="5:13" x14ac:dyDescent="0.25">
      <c r="E1534" s="32">
        <v>1944</v>
      </c>
      <c r="F1534" s="43">
        <v>45578</v>
      </c>
      <c r="G1534" s="44">
        <v>2024</v>
      </c>
      <c r="H1534" s="52" t="s">
        <v>10</v>
      </c>
      <c r="I1534" s="46" t="s">
        <v>22</v>
      </c>
      <c r="J1534" s="46">
        <v>37</v>
      </c>
      <c r="K1534" s="46" t="s">
        <v>24</v>
      </c>
      <c r="L1534" s="46">
        <v>2</v>
      </c>
      <c r="M1534" s="47">
        <v>304</v>
      </c>
    </row>
    <row r="1535" spans="5:13" x14ac:dyDescent="0.25">
      <c r="E1535" s="33">
        <v>1336</v>
      </c>
      <c r="F1535" s="48">
        <v>45354</v>
      </c>
      <c r="G1535" s="49">
        <v>2024</v>
      </c>
      <c r="H1535" s="45" t="s">
        <v>3</v>
      </c>
      <c r="I1535" s="50" t="s">
        <v>22</v>
      </c>
      <c r="J1535" s="50">
        <v>62</v>
      </c>
      <c r="K1535" s="50" t="s">
        <v>24</v>
      </c>
      <c r="L1535" s="50">
        <v>2</v>
      </c>
      <c r="M1535" s="51">
        <v>432</v>
      </c>
    </row>
    <row r="1536" spans="5:13" x14ac:dyDescent="0.25">
      <c r="E1536" s="32">
        <v>376</v>
      </c>
      <c r="F1536" s="43">
        <v>44994</v>
      </c>
      <c r="G1536" s="44">
        <v>2023</v>
      </c>
      <c r="H1536" s="52" t="s">
        <v>3</v>
      </c>
      <c r="I1536" s="46" t="s">
        <v>22</v>
      </c>
      <c r="J1536" s="46">
        <v>46</v>
      </c>
      <c r="K1536" s="46" t="s">
        <v>23</v>
      </c>
      <c r="L1536" s="46">
        <v>4</v>
      </c>
      <c r="M1536" s="47">
        <v>50</v>
      </c>
    </row>
    <row r="1537" spans="5:13" x14ac:dyDescent="0.25">
      <c r="E1537" s="33">
        <v>1985</v>
      </c>
      <c r="F1537" s="48">
        <v>45654</v>
      </c>
      <c r="G1537" s="49">
        <v>2024</v>
      </c>
      <c r="H1537" s="45" t="s">
        <v>12</v>
      </c>
      <c r="I1537" s="50" t="s">
        <v>22</v>
      </c>
      <c r="J1537" s="50">
        <v>23</v>
      </c>
      <c r="K1537" s="50" t="s">
        <v>24</v>
      </c>
      <c r="L1537" s="50">
        <v>7</v>
      </c>
      <c r="M1537" s="51">
        <v>104</v>
      </c>
    </row>
    <row r="1538" spans="5:13" x14ac:dyDescent="0.25">
      <c r="E1538" s="32">
        <v>1636</v>
      </c>
      <c r="F1538" s="43">
        <v>45425</v>
      </c>
      <c r="G1538" s="44">
        <v>2024</v>
      </c>
      <c r="H1538" s="52" t="s">
        <v>5</v>
      </c>
      <c r="I1538" s="46" t="s">
        <v>22</v>
      </c>
      <c r="J1538" s="46">
        <v>41</v>
      </c>
      <c r="K1538" s="46" t="s">
        <v>21</v>
      </c>
      <c r="L1538" s="46">
        <v>3</v>
      </c>
      <c r="M1538" s="47">
        <v>331</v>
      </c>
    </row>
    <row r="1539" spans="5:13" x14ac:dyDescent="0.25">
      <c r="E1539" s="33">
        <v>382</v>
      </c>
      <c r="F1539" s="48">
        <v>45007</v>
      </c>
      <c r="G1539" s="49">
        <v>2023</v>
      </c>
      <c r="H1539" s="45" t="s">
        <v>3</v>
      </c>
      <c r="I1539" s="50" t="s">
        <v>22</v>
      </c>
      <c r="J1539" s="50">
        <v>46</v>
      </c>
      <c r="K1539" s="50" t="s">
        <v>21</v>
      </c>
      <c r="L1539" s="50">
        <v>3</v>
      </c>
      <c r="M1539" s="51">
        <v>30</v>
      </c>
    </row>
    <row r="1540" spans="5:13" x14ac:dyDescent="0.25">
      <c r="E1540" s="32">
        <v>209</v>
      </c>
      <c r="F1540" s="43">
        <v>45280</v>
      </c>
      <c r="G1540" s="44">
        <v>2023</v>
      </c>
      <c r="H1540" s="52" t="s">
        <v>12</v>
      </c>
      <c r="I1540" s="46" t="s">
        <v>22</v>
      </c>
      <c r="J1540" s="46">
        <v>30</v>
      </c>
      <c r="K1540" s="46" t="s">
        <v>24</v>
      </c>
      <c r="L1540" s="46">
        <v>4</v>
      </c>
      <c r="M1540" s="47">
        <v>50</v>
      </c>
    </row>
    <row r="1541" spans="5:13" x14ac:dyDescent="0.25">
      <c r="E1541" s="33">
        <v>851</v>
      </c>
      <c r="F1541" s="48">
        <v>45050</v>
      </c>
      <c r="G1541" s="49">
        <v>2023</v>
      </c>
      <c r="H1541" s="45" t="s">
        <v>5</v>
      </c>
      <c r="I1541" s="50" t="s">
        <v>20</v>
      </c>
      <c r="J1541" s="50">
        <v>21</v>
      </c>
      <c r="K1541" s="50" t="s">
        <v>21</v>
      </c>
      <c r="L1541" s="50">
        <v>2</v>
      </c>
      <c r="M1541" s="51">
        <v>500</v>
      </c>
    </row>
    <row r="1542" spans="5:13" x14ac:dyDescent="0.25">
      <c r="E1542" s="32">
        <v>404</v>
      </c>
      <c r="F1542" s="43">
        <v>45236</v>
      </c>
      <c r="G1542" s="44">
        <v>2023</v>
      </c>
      <c r="H1542" s="52" t="s">
        <v>11</v>
      </c>
      <c r="I1542" s="46" t="s">
        <v>22</v>
      </c>
      <c r="J1542" s="46">
        <v>25</v>
      </c>
      <c r="K1542" s="46" t="s">
        <v>23</v>
      </c>
      <c r="L1542" s="46">
        <v>4</v>
      </c>
      <c r="M1542" s="47">
        <v>300</v>
      </c>
    </row>
    <row r="1543" spans="5:13" x14ac:dyDescent="0.25">
      <c r="E1543" s="33">
        <v>1943</v>
      </c>
      <c r="F1543" s="48">
        <v>45353</v>
      </c>
      <c r="G1543" s="49">
        <v>2024</v>
      </c>
      <c r="H1543" s="45" t="s">
        <v>3</v>
      </c>
      <c r="I1543" s="50" t="s">
        <v>20</v>
      </c>
      <c r="J1543" s="50">
        <v>62</v>
      </c>
      <c r="K1543" s="50" t="s">
        <v>21</v>
      </c>
      <c r="L1543" s="50">
        <v>7</v>
      </c>
      <c r="M1543" s="51">
        <v>186</v>
      </c>
    </row>
    <row r="1544" spans="5:13" x14ac:dyDescent="0.25">
      <c r="E1544" s="32">
        <v>632</v>
      </c>
      <c r="F1544" s="43">
        <v>45145</v>
      </c>
      <c r="G1544" s="44">
        <v>2023</v>
      </c>
      <c r="H1544" s="52" t="s">
        <v>8</v>
      </c>
      <c r="I1544" s="46" t="s">
        <v>20</v>
      </c>
      <c r="J1544" s="46">
        <v>39</v>
      </c>
      <c r="K1544" s="46" t="s">
        <v>21</v>
      </c>
      <c r="L1544" s="46">
        <v>4</v>
      </c>
      <c r="M1544" s="47">
        <v>30</v>
      </c>
    </row>
    <row r="1545" spans="5:13" x14ac:dyDescent="0.25">
      <c r="E1545" s="33">
        <v>1555</v>
      </c>
      <c r="F1545" s="48">
        <v>45573</v>
      </c>
      <c r="G1545" s="49">
        <v>2024</v>
      </c>
      <c r="H1545" s="45" t="s">
        <v>10</v>
      </c>
      <c r="I1545" s="50" t="s">
        <v>22</v>
      </c>
      <c r="J1545" s="50">
        <v>47</v>
      </c>
      <c r="K1545" s="50" t="s">
        <v>23</v>
      </c>
      <c r="L1545" s="50">
        <v>1</v>
      </c>
      <c r="M1545" s="51">
        <v>207</v>
      </c>
    </row>
    <row r="1546" spans="5:13" x14ac:dyDescent="0.25">
      <c r="E1546" s="32">
        <v>651</v>
      </c>
      <c r="F1546" s="43">
        <v>45066</v>
      </c>
      <c r="G1546" s="44">
        <v>2023</v>
      </c>
      <c r="H1546" s="52" t="s">
        <v>5</v>
      </c>
      <c r="I1546" s="46" t="s">
        <v>20</v>
      </c>
      <c r="J1546" s="46">
        <v>54</v>
      </c>
      <c r="K1546" s="46" t="s">
        <v>23</v>
      </c>
      <c r="L1546" s="46">
        <v>3</v>
      </c>
      <c r="M1546" s="47">
        <v>25</v>
      </c>
    </row>
    <row r="1547" spans="5:13" x14ac:dyDescent="0.25">
      <c r="E1547" s="33">
        <v>1205</v>
      </c>
      <c r="F1547" s="48">
        <v>45401</v>
      </c>
      <c r="G1547" s="49">
        <v>2024</v>
      </c>
      <c r="H1547" s="45" t="s">
        <v>4</v>
      </c>
      <c r="I1547" s="50" t="s">
        <v>22</v>
      </c>
      <c r="J1547" s="50">
        <v>26</v>
      </c>
      <c r="K1547" s="50" t="s">
        <v>21</v>
      </c>
      <c r="L1547" s="50">
        <v>7</v>
      </c>
      <c r="M1547" s="51">
        <v>366</v>
      </c>
    </row>
    <row r="1548" spans="5:13" x14ac:dyDescent="0.25">
      <c r="E1548" s="32">
        <v>1104</v>
      </c>
      <c r="F1548" s="43">
        <v>45430</v>
      </c>
      <c r="G1548" s="44">
        <v>2024</v>
      </c>
      <c r="H1548" s="52" t="s">
        <v>5</v>
      </c>
      <c r="I1548" s="46" t="s">
        <v>22</v>
      </c>
      <c r="J1548" s="46">
        <v>50</v>
      </c>
      <c r="K1548" s="46" t="s">
        <v>23</v>
      </c>
      <c r="L1548" s="46">
        <v>7</v>
      </c>
      <c r="M1548" s="47">
        <v>90</v>
      </c>
    </row>
    <row r="1549" spans="5:13" x14ac:dyDescent="0.25">
      <c r="E1549" s="33">
        <v>1898</v>
      </c>
      <c r="F1549" s="48">
        <v>45444</v>
      </c>
      <c r="G1549" s="49">
        <v>2024</v>
      </c>
      <c r="H1549" s="45" t="s">
        <v>6</v>
      </c>
      <c r="I1549" s="50" t="s">
        <v>22</v>
      </c>
      <c r="J1549" s="50">
        <v>31</v>
      </c>
      <c r="K1549" s="50" t="s">
        <v>21</v>
      </c>
      <c r="L1549" s="50">
        <v>2</v>
      </c>
      <c r="M1549" s="51">
        <v>298</v>
      </c>
    </row>
    <row r="1550" spans="5:13" x14ac:dyDescent="0.25">
      <c r="E1550" s="32">
        <v>709</v>
      </c>
      <c r="F1550" s="43">
        <v>45215</v>
      </c>
      <c r="G1550" s="44">
        <v>2023</v>
      </c>
      <c r="H1550" s="52" t="s">
        <v>10</v>
      </c>
      <c r="I1550" s="46" t="s">
        <v>20</v>
      </c>
      <c r="J1550" s="46">
        <v>26</v>
      </c>
      <c r="K1550" s="46" t="s">
        <v>24</v>
      </c>
      <c r="L1550" s="46">
        <v>3</v>
      </c>
      <c r="M1550" s="47">
        <v>500</v>
      </c>
    </row>
    <row r="1551" spans="5:13" x14ac:dyDescent="0.25">
      <c r="E1551" s="33">
        <v>734</v>
      </c>
      <c r="F1551" s="48">
        <v>44953</v>
      </c>
      <c r="G1551" s="49">
        <v>2023</v>
      </c>
      <c r="H1551" s="45" t="s">
        <v>1</v>
      </c>
      <c r="I1551" s="50" t="s">
        <v>20</v>
      </c>
      <c r="J1551" s="50">
        <v>29</v>
      </c>
      <c r="K1551" s="50" t="s">
        <v>23</v>
      </c>
      <c r="L1551" s="50">
        <v>4</v>
      </c>
      <c r="M1551" s="51">
        <v>25</v>
      </c>
    </row>
    <row r="1552" spans="5:13" x14ac:dyDescent="0.25">
      <c r="E1552" s="32">
        <v>1796</v>
      </c>
      <c r="F1552" s="43">
        <v>45346</v>
      </c>
      <c r="G1552" s="44">
        <v>2024</v>
      </c>
      <c r="H1552" s="52" t="s">
        <v>2</v>
      </c>
      <c r="I1552" s="46" t="s">
        <v>20</v>
      </c>
      <c r="J1552" s="46">
        <v>35</v>
      </c>
      <c r="K1552" s="46" t="s">
        <v>23</v>
      </c>
      <c r="L1552" s="46">
        <v>2</v>
      </c>
      <c r="M1552" s="47">
        <v>231</v>
      </c>
    </row>
    <row r="1553" spans="5:13" x14ac:dyDescent="0.25">
      <c r="E1553" s="33">
        <v>426</v>
      </c>
      <c r="F1553" s="48">
        <v>45153</v>
      </c>
      <c r="G1553" s="49">
        <v>2023</v>
      </c>
      <c r="H1553" s="45" t="s">
        <v>8</v>
      </c>
      <c r="I1553" s="50" t="s">
        <v>20</v>
      </c>
      <c r="J1553" s="50">
        <v>25</v>
      </c>
      <c r="K1553" s="50" t="s">
        <v>24</v>
      </c>
      <c r="L1553" s="50">
        <v>1</v>
      </c>
      <c r="M1553" s="51">
        <v>25</v>
      </c>
    </row>
    <row r="1554" spans="5:13" x14ac:dyDescent="0.25">
      <c r="E1554" s="32">
        <v>982</v>
      </c>
      <c r="F1554" s="43">
        <v>45167</v>
      </c>
      <c r="G1554" s="44">
        <v>2023</v>
      </c>
      <c r="H1554" s="52" t="s">
        <v>8</v>
      </c>
      <c r="I1554" s="46" t="s">
        <v>20</v>
      </c>
      <c r="J1554" s="46">
        <v>56</v>
      </c>
      <c r="K1554" s="46" t="s">
        <v>23</v>
      </c>
      <c r="L1554" s="46">
        <v>1</v>
      </c>
      <c r="M1554" s="47">
        <v>500</v>
      </c>
    </row>
    <row r="1555" spans="5:13" x14ac:dyDescent="0.25">
      <c r="E1555" s="33">
        <v>728</v>
      </c>
      <c r="F1555" s="48">
        <v>45142</v>
      </c>
      <c r="G1555" s="49">
        <v>2023</v>
      </c>
      <c r="H1555" s="45" t="s">
        <v>8</v>
      </c>
      <c r="I1555" s="50" t="s">
        <v>22</v>
      </c>
      <c r="J1555" s="50">
        <v>36</v>
      </c>
      <c r="K1555" s="50" t="s">
        <v>23</v>
      </c>
      <c r="L1555" s="50">
        <v>2</v>
      </c>
      <c r="M1555" s="51">
        <v>25</v>
      </c>
    </row>
    <row r="1556" spans="5:13" x14ac:dyDescent="0.25">
      <c r="E1556" s="32">
        <v>1439</v>
      </c>
      <c r="F1556" s="43">
        <v>45368</v>
      </c>
      <c r="G1556" s="44">
        <v>2024</v>
      </c>
      <c r="H1556" s="52" t="s">
        <v>3</v>
      </c>
      <c r="I1556" s="46" t="s">
        <v>22</v>
      </c>
      <c r="J1556" s="46">
        <v>23</v>
      </c>
      <c r="K1556" s="46" t="s">
        <v>23</v>
      </c>
      <c r="L1556" s="46">
        <v>3</v>
      </c>
      <c r="M1556" s="47">
        <v>377</v>
      </c>
    </row>
    <row r="1557" spans="5:13" x14ac:dyDescent="0.25">
      <c r="E1557" s="33">
        <v>418</v>
      </c>
      <c r="F1557" s="48">
        <v>45068</v>
      </c>
      <c r="G1557" s="49">
        <v>2023</v>
      </c>
      <c r="H1557" s="45" t="s">
        <v>5</v>
      </c>
      <c r="I1557" s="50" t="s">
        <v>22</v>
      </c>
      <c r="J1557" s="50">
        <v>44</v>
      </c>
      <c r="K1557" s="50" t="s">
        <v>23</v>
      </c>
      <c r="L1557" s="50">
        <v>3</v>
      </c>
      <c r="M1557" s="51">
        <v>30</v>
      </c>
    </row>
    <row r="1558" spans="5:13" x14ac:dyDescent="0.25">
      <c r="E1558" s="32">
        <v>817</v>
      </c>
      <c r="F1558" s="43">
        <v>45092</v>
      </c>
      <c r="G1558" s="44">
        <v>2023</v>
      </c>
      <c r="H1558" s="52" t="s">
        <v>6</v>
      </c>
      <c r="I1558" s="46" t="s">
        <v>22</v>
      </c>
      <c r="J1558" s="46">
        <v>35</v>
      </c>
      <c r="K1558" s="46" t="s">
        <v>21</v>
      </c>
      <c r="L1558" s="46">
        <v>2</v>
      </c>
      <c r="M1558" s="47">
        <v>50</v>
      </c>
    </row>
    <row r="1559" spans="5:13" x14ac:dyDescent="0.25">
      <c r="E1559" s="33">
        <v>1901</v>
      </c>
      <c r="F1559" s="48">
        <v>45384</v>
      </c>
      <c r="G1559" s="49">
        <v>2024</v>
      </c>
      <c r="H1559" s="45" t="s">
        <v>4</v>
      </c>
      <c r="I1559" s="50" t="s">
        <v>20</v>
      </c>
      <c r="J1559" s="50">
        <v>52</v>
      </c>
      <c r="K1559" s="50" t="s">
        <v>21</v>
      </c>
      <c r="L1559" s="50">
        <v>3</v>
      </c>
      <c r="M1559" s="51">
        <v>298</v>
      </c>
    </row>
    <row r="1560" spans="5:13" x14ac:dyDescent="0.25">
      <c r="E1560" s="32">
        <v>1890</v>
      </c>
      <c r="F1560" s="43">
        <v>45540</v>
      </c>
      <c r="G1560" s="44">
        <v>2024</v>
      </c>
      <c r="H1560" s="52" t="s">
        <v>9</v>
      </c>
      <c r="I1560" s="46" t="s">
        <v>20</v>
      </c>
      <c r="J1560" s="46">
        <v>63</v>
      </c>
      <c r="K1560" s="46" t="s">
        <v>24</v>
      </c>
      <c r="L1560" s="46">
        <v>5</v>
      </c>
      <c r="M1560" s="47">
        <v>467</v>
      </c>
    </row>
    <row r="1561" spans="5:13" x14ac:dyDescent="0.25">
      <c r="E1561" s="33">
        <v>1098</v>
      </c>
      <c r="F1561" s="48">
        <v>45459</v>
      </c>
      <c r="G1561" s="49">
        <v>2024</v>
      </c>
      <c r="H1561" s="45" t="s">
        <v>6</v>
      </c>
      <c r="I1561" s="50" t="s">
        <v>20</v>
      </c>
      <c r="J1561" s="50">
        <v>27</v>
      </c>
      <c r="K1561" s="50" t="s">
        <v>24</v>
      </c>
      <c r="L1561" s="50">
        <v>6</v>
      </c>
      <c r="M1561" s="51">
        <v>96</v>
      </c>
    </row>
    <row r="1562" spans="5:13" x14ac:dyDescent="0.25">
      <c r="E1562" s="32">
        <v>1833</v>
      </c>
      <c r="F1562" s="43">
        <v>45474</v>
      </c>
      <c r="G1562" s="44">
        <v>2024</v>
      </c>
      <c r="H1562" s="52" t="s">
        <v>7</v>
      </c>
      <c r="I1562" s="46" t="s">
        <v>20</v>
      </c>
      <c r="J1562" s="46">
        <v>65</v>
      </c>
      <c r="K1562" s="46" t="s">
        <v>21</v>
      </c>
      <c r="L1562" s="46">
        <v>4</v>
      </c>
      <c r="M1562" s="47">
        <v>24</v>
      </c>
    </row>
    <row r="1563" spans="5:13" x14ac:dyDescent="0.25">
      <c r="E1563" s="33">
        <v>1589</v>
      </c>
      <c r="F1563" s="48">
        <v>45315</v>
      </c>
      <c r="G1563" s="49">
        <v>2024</v>
      </c>
      <c r="H1563" s="45" t="s">
        <v>1</v>
      </c>
      <c r="I1563" s="50" t="s">
        <v>22</v>
      </c>
      <c r="J1563" s="50">
        <v>54</v>
      </c>
      <c r="K1563" s="50" t="s">
        <v>21</v>
      </c>
      <c r="L1563" s="50">
        <v>7</v>
      </c>
      <c r="M1563" s="51">
        <v>320</v>
      </c>
    </row>
    <row r="1564" spans="5:13" x14ac:dyDescent="0.25">
      <c r="E1564" s="32">
        <v>1899</v>
      </c>
      <c r="F1564" s="43">
        <v>45409</v>
      </c>
      <c r="G1564" s="44">
        <v>2024</v>
      </c>
      <c r="H1564" s="52" t="s">
        <v>4</v>
      </c>
      <c r="I1564" s="46" t="s">
        <v>22</v>
      </c>
      <c r="J1564" s="46">
        <v>53</v>
      </c>
      <c r="K1564" s="46" t="s">
        <v>21</v>
      </c>
      <c r="L1564" s="46">
        <v>2</v>
      </c>
      <c r="M1564" s="47">
        <v>70</v>
      </c>
    </row>
    <row r="1565" spans="5:13" x14ac:dyDescent="0.25">
      <c r="E1565" s="33">
        <v>789</v>
      </c>
      <c r="F1565" s="48">
        <v>45265</v>
      </c>
      <c r="G1565" s="49">
        <v>2023</v>
      </c>
      <c r="H1565" s="45" t="s">
        <v>12</v>
      </c>
      <c r="I1565" s="50" t="s">
        <v>22</v>
      </c>
      <c r="J1565" s="50">
        <v>51</v>
      </c>
      <c r="K1565" s="50" t="s">
        <v>21</v>
      </c>
      <c r="L1565" s="50">
        <v>1</v>
      </c>
      <c r="M1565" s="51">
        <v>25</v>
      </c>
    </row>
    <row r="1566" spans="5:13" x14ac:dyDescent="0.25">
      <c r="E1566" s="32">
        <v>1536</v>
      </c>
      <c r="F1566" s="43">
        <v>45451</v>
      </c>
      <c r="G1566" s="44">
        <v>2024</v>
      </c>
      <c r="H1566" s="52" t="s">
        <v>6</v>
      </c>
      <c r="I1566" s="46" t="s">
        <v>20</v>
      </c>
      <c r="J1566" s="46">
        <v>44</v>
      </c>
      <c r="K1566" s="46" t="s">
        <v>21</v>
      </c>
      <c r="L1566" s="46">
        <v>3</v>
      </c>
      <c r="M1566" s="47">
        <v>108</v>
      </c>
    </row>
    <row r="1567" spans="5:13" x14ac:dyDescent="0.25">
      <c r="E1567" s="33">
        <v>334</v>
      </c>
      <c r="F1567" s="48">
        <v>44961</v>
      </c>
      <c r="G1567" s="49">
        <v>2023</v>
      </c>
      <c r="H1567" s="45" t="s">
        <v>2</v>
      </c>
      <c r="I1567" s="50" t="s">
        <v>22</v>
      </c>
      <c r="J1567" s="50">
        <v>47</v>
      </c>
      <c r="K1567" s="50" t="s">
        <v>21</v>
      </c>
      <c r="L1567" s="50">
        <v>4</v>
      </c>
      <c r="M1567" s="51">
        <v>30</v>
      </c>
    </row>
    <row r="1568" spans="5:13" x14ac:dyDescent="0.25">
      <c r="E1568" s="32">
        <v>275</v>
      </c>
      <c r="F1568" s="43">
        <v>45201</v>
      </c>
      <c r="G1568" s="44">
        <v>2023</v>
      </c>
      <c r="H1568" s="52" t="s">
        <v>10</v>
      </c>
      <c r="I1568" s="46" t="s">
        <v>22</v>
      </c>
      <c r="J1568" s="46">
        <v>21</v>
      </c>
      <c r="K1568" s="46" t="s">
        <v>21</v>
      </c>
      <c r="L1568" s="46">
        <v>4</v>
      </c>
      <c r="M1568" s="47">
        <v>25</v>
      </c>
    </row>
    <row r="1569" spans="5:13" x14ac:dyDescent="0.25">
      <c r="E1569" s="33">
        <v>1543</v>
      </c>
      <c r="F1569" s="48">
        <v>45576</v>
      </c>
      <c r="G1569" s="49">
        <v>2024</v>
      </c>
      <c r="H1569" s="45" t="s">
        <v>10</v>
      </c>
      <c r="I1569" s="50" t="s">
        <v>22</v>
      </c>
      <c r="J1569" s="50">
        <v>27</v>
      </c>
      <c r="K1569" s="50" t="s">
        <v>24</v>
      </c>
      <c r="L1569" s="50">
        <v>1</v>
      </c>
      <c r="M1569" s="51">
        <v>204</v>
      </c>
    </row>
    <row r="1570" spans="5:13" x14ac:dyDescent="0.25">
      <c r="E1570" s="32">
        <v>602</v>
      </c>
      <c r="F1570" s="43">
        <v>45123</v>
      </c>
      <c r="G1570" s="44">
        <v>2023</v>
      </c>
      <c r="H1570" s="52" t="s">
        <v>7</v>
      </c>
      <c r="I1570" s="46" t="s">
        <v>22</v>
      </c>
      <c r="J1570" s="46">
        <v>40</v>
      </c>
      <c r="K1570" s="46" t="s">
        <v>23</v>
      </c>
      <c r="L1570" s="46">
        <v>3</v>
      </c>
      <c r="M1570" s="47">
        <v>30</v>
      </c>
    </row>
    <row r="1571" spans="5:13" x14ac:dyDescent="0.25">
      <c r="E1571" s="33">
        <v>468</v>
      </c>
      <c r="F1571" s="48">
        <v>45054</v>
      </c>
      <c r="G1571" s="49">
        <v>2023</v>
      </c>
      <c r="H1571" s="45" t="s">
        <v>5</v>
      </c>
      <c r="I1571" s="50" t="s">
        <v>20</v>
      </c>
      <c r="J1571" s="50">
        <v>18</v>
      </c>
      <c r="K1571" s="50" t="s">
        <v>21</v>
      </c>
      <c r="L1571" s="50">
        <v>3</v>
      </c>
      <c r="M1571" s="51">
        <v>25</v>
      </c>
    </row>
    <row r="1572" spans="5:13" x14ac:dyDescent="0.25">
      <c r="E1572" s="32">
        <v>894</v>
      </c>
      <c r="F1572" s="43">
        <v>45228</v>
      </c>
      <c r="G1572" s="44">
        <v>2023</v>
      </c>
      <c r="H1572" s="52" t="s">
        <v>10</v>
      </c>
      <c r="I1572" s="46" t="s">
        <v>22</v>
      </c>
      <c r="J1572" s="46">
        <v>30</v>
      </c>
      <c r="K1572" s="46" t="s">
        <v>24</v>
      </c>
      <c r="L1572" s="46">
        <v>2</v>
      </c>
      <c r="M1572" s="47">
        <v>25</v>
      </c>
    </row>
    <row r="1573" spans="5:13" x14ac:dyDescent="0.25">
      <c r="E1573" s="33">
        <v>1533</v>
      </c>
      <c r="F1573" s="48">
        <v>45356</v>
      </c>
      <c r="G1573" s="49">
        <v>2024</v>
      </c>
      <c r="H1573" s="45" t="s">
        <v>3</v>
      </c>
      <c r="I1573" s="50" t="s">
        <v>22</v>
      </c>
      <c r="J1573" s="50">
        <v>42</v>
      </c>
      <c r="K1573" s="50" t="s">
        <v>21</v>
      </c>
      <c r="L1573" s="50">
        <v>4</v>
      </c>
      <c r="M1573" s="51">
        <v>129</v>
      </c>
    </row>
    <row r="1574" spans="5:13" x14ac:dyDescent="0.25">
      <c r="E1574" s="32">
        <v>1878</v>
      </c>
      <c r="F1574" s="43">
        <v>45449</v>
      </c>
      <c r="G1574" s="44">
        <v>2024</v>
      </c>
      <c r="H1574" s="52" t="s">
        <v>6</v>
      </c>
      <c r="I1574" s="46" t="s">
        <v>22</v>
      </c>
      <c r="J1574" s="46">
        <v>49</v>
      </c>
      <c r="K1574" s="46" t="s">
        <v>24</v>
      </c>
      <c r="L1574" s="46">
        <v>6</v>
      </c>
      <c r="M1574" s="47">
        <v>496</v>
      </c>
    </row>
    <row r="1575" spans="5:13" x14ac:dyDescent="0.25">
      <c r="E1575" s="33">
        <v>1480</v>
      </c>
      <c r="F1575" s="48">
        <v>45407</v>
      </c>
      <c r="G1575" s="49">
        <v>2024</v>
      </c>
      <c r="H1575" s="45" t="s">
        <v>4</v>
      </c>
      <c r="I1575" s="50" t="s">
        <v>20</v>
      </c>
      <c r="J1575" s="50">
        <v>37</v>
      </c>
      <c r="K1575" s="50" t="s">
        <v>23</v>
      </c>
      <c r="L1575" s="50">
        <v>7</v>
      </c>
      <c r="M1575" s="51">
        <v>370</v>
      </c>
    </row>
    <row r="1576" spans="5:13" x14ac:dyDescent="0.25">
      <c r="E1576" s="32">
        <v>215</v>
      </c>
      <c r="F1576" s="43">
        <v>45118</v>
      </c>
      <c r="G1576" s="44">
        <v>2023</v>
      </c>
      <c r="H1576" s="52" t="s">
        <v>7</v>
      </c>
      <c r="I1576" s="46" t="s">
        <v>20</v>
      </c>
      <c r="J1576" s="46">
        <v>62</v>
      </c>
      <c r="K1576" s="46" t="s">
        <v>24</v>
      </c>
      <c r="L1576" s="46">
        <v>2</v>
      </c>
      <c r="M1576" s="47">
        <v>50</v>
      </c>
    </row>
    <row r="1577" spans="5:13" x14ac:dyDescent="0.25">
      <c r="E1577" s="33">
        <v>1513</v>
      </c>
      <c r="F1577" s="48">
        <v>45588</v>
      </c>
      <c r="G1577" s="49">
        <v>2024</v>
      </c>
      <c r="H1577" s="45" t="s">
        <v>10</v>
      </c>
      <c r="I1577" s="50" t="s">
        <v>20</v>
      </c>
      <c r="J1577" s="50">
        <v>49</v>
      </c>
      <c r="K1577" s="50" t="s">
        <v>21</v>
      </c>
      <c r="L1577" s="50">
        <v>1</v>
      </c>
      <c r="M1577" s="51">
        <v>151</v>
      </c>
    </row>
    <row r="1578" spans="5:13" x14ac:dyDescent="0.25">
      <c r="E1578" s="32">
        <v>1588</v>
      </c>
      <c r="F1578" s="43">
        <v>45304</v>
      </c>
      <c r="G1578" s="44">
        <v>2024</v>
      </c>
      <c r="H1578" s="52" t="s">
        <v>1</v>
      </c>
      <c r="I1578" s="46" t="s">
        <v>20</v>
      </c>
      <c r="J1578" s="46">
        <v>33</v>
      </c>
      <c r="K1578" s="46" t="s">
        <v>24</v>
      </c>
      <c r="L1578" s="46">
        <v>6</v>
      </c>
      <c r="M1578" s="47">
        <v>252</v>
      </c>
    </row>
    <row r="1579" spans="5:13" x14ac:dyDescent="0.25">
      <c r="E1579" s="33">
        <v>170</v>
      </c>
      <c r="F1579" s="48">
        <v>45079</v>
      </c>
      <c r="G1579" s="49">
        <v>2023</v>
      </c>
      <c r="H1579" s="45" t="s">
        <v>6</v>
      </c>
      <c r="I1579" s="50" t="s">
        <v>22</v>
      </c>
      <c r="J1579" s="50">
        <v>25</v>
      </c>
      <c r="K1579" s="50" t="s">
        <v>23</v>
      </c>
      <c r="L1579" s="50">
        <v>2</v>
      </c>
      <c r="M1579" s="51">
        <v>25</v>
      </c>
    </row>
    <row r="1580" spans="5:13" x14ac:dyDescent="0.25">
      <c r="E1580" s="32">
        <v>744</v>
      </c>
      <c r="F1580" s="43">
        <v>44937</v>
      </c>
      <c r="G1580" s="44">
        <v>2023</v>
      </c>
      <c r="H1580" s="52" t="s">
        <v>1</v>
      </c>
      <c r="I1580" s="46" t="s">
        <v>22</v>
      </c>
      <c r="J1580" s="46">
        <v>33</v>
      </c>
      <c r="K1580" s="46" t="s">
        <v>23</v>
      </c>
      <c r="L1580" s="46">
        <v>3</v>
      </c>
      <c r="M1580" s="47">
        <v>30</v>
      </c>
    </row>
    <row r="1581" spans="5:13" x14ac:dyDescent="0.25">
      <c r="E1581" s="33">
        <v>108</v>
      </c>
      <c r="F1581" s="48">
        <v>45035</v>
      </c>
      <c r="G1581" s="49">
        <v>2023</v>
      </c>
      <c r="H1581" s="45" t="s">
        <v>4</v>
      </c>
      <c r="I1581" s="50" t="s">
        <v>22</v>
      </c>
      <c r="J1581" s="50">
        <v>27</v>
      </c>
      <c r="K1581" s="50" t="s">
        <v>21</v>
      </c>
      <c r="L1581" s="50">
        <v>3</v>
      </c>
      <c r="M1581" s="51">
        <v>25</v>
      </c>
    </row>
    <row r="1582" spans="5:13" x14ac:dyDescent="0.25">
      <c r="E1582" s="32">
        <v>558</v>
      </c>
      <c r="F1582" s="43">
        <v>44927</v>
      </c>
      <c r="G1582" s="44">
        <v>2023</v>
      </c>
      <c r="H1582" s="52" t="s">
        <v>1</v>
      </c>
      <c r="I1582" s="46" t="s">
        <v>22</v>
      </c>
      <c r="J1582" s="46">
        <v>40</v>
      </c>
      <c r="K1582" s="46" t="s">
        <v>23</v>
      </c>
      <c r="L1582" s="46">
        <v>4</v>
      </c>
      <c r="M1582" s="47">
        <v>300</v>
      </c>
    </row>
    <row r="1583" spans="5:13" x14ac:dyDescent="0.25">
      <c r="E1583" s="33">
        <v>1075</v>
      </c>
      <c r="F1583" s="48">
        <v>45482</v>
      </c>
      <c r="G1583" s="49">
        <v>2024</v>
      </c>
      <c r="H1583" s="45" t="s">
        <v>7</v>
      </c>
      <c r="I1583" s="50" t="s">
        <v>22</v>
      </c>
      <c r="J1583" s="50">
        <v>53</v>
      </c>
      <c r="K1583" s="50" t="s">
        <v>23</v>
      </c>
      <c r="L1583" s="50">
        <v>2</v>
      </c>
      <c r="M1583" s="51">
        <v>352</v>
      </c>
    </row>
    <row r="1584" spans="5:13" x14ac:dyDescent="0.25">
      <c r="E1584" s="32">
        <v>346</v>
      </c>
      <c r="F1584" s="43">
        <v>45141</v>
      </c>
      <c r="G1584" s="44">
        <v>2023</v>
      </c>
      <c r="H1584" s="52" t="s">
        <v>8</v>
      </c>
      <c r="I1584" s="46" t="s">
        <v>20</v>
      </c>
      <c r="J1584" s="46">
        <v>42</v>
      </c>
      <c r="K1584" s="46" t="s">
        <v>24</v>
      </c>
      <c r="L1584" s="46">
        <v>1</v>
      </c>
      <c r="M1584" s="47">
        <v>25</v>
      </c>
    </row>
    <row r="1585" spans="5:13" x14ac:dyDescent="0.25">
      <c r="E1585" s="33">
        <v>1951</v>
      </c>
      <c r="F1585" s="48">
        <v>45487</v>
      </c>
      <c r="G1585" s="49">
        <v>2024</v>
      </c>
      <c r="H1585" s="45" t="s">
        <v>7</v>
      </c>
      <c r="I1585" s="50" t="s">
        <v>20</v>
      </c>
      <c r="J1585" s="50">
        <v>20</v>
      </c>
      <c r="K1585" s="50" t="s">
        <v>23</v>
      </c>
      <c r="L1585" s="50">
        <v>7</v>
      </c>
      <c r="M1585" s="51">
        <v>394</v>
      </c>
    </row>
    <row r="1586" spans="5:13" x14ac:dyDescent="0.25">
      <c r="E1586" s="32">
        <v>1557</v>
      </c>
      <c r="F1586" s="43">
        <v>45448</v>
      </c>
      <c r="G1586" s="44">
        <v>2024</v>
      </c>
      <c r="H1586" s="52" t="s">
        <v>6</v>
      </c>
      <c r="I1586" s="46" t="s">
        <v>22</v>
      </c>
      <c r="J1586" s="46">
        <v>55</v>
      </c>
      <c r="K1586" s="46" t="s">
        <v>24</v>
      </c>
      <c r="L1586" s="46">
        <v>2</v>
      </c>
      <c r="M1586" s="47">
        <v>211</v>
      </c>
    </row>
    <row r="1587" spans="5:13" x14ac:dyDescent="0.25">
      <c r="E1587" s="33">
        <v>962</v>
      </c>
      <c r="F1587" s="48">
        <v>44957</v>
      </c>
      <c r="G1587" s="49">
        <v>2023</v>
      </c>
      <c r="H1587" s="45" t="s">
        <v>1</v>
      </c>
      <c r="I1587" s="50" t="s">
        <v>20</v>
      </c>
      <c r="J1587" s="50">
        <v>24</v>
      </c>
      <c r="K1587" s="50" t="s">
        <v>23</v>
      </c>
      <c r="L1587" s="50">
        <v>3</v>
      </c>
      <c r="M1587" s="51">
        <v>300</v>
      </c>
    </row>
    <row r="1588" spans="5:13" x14ac:dyDescent="0.25">
      <c r="E1588" s="32">
        <v>1425</v>
      </c>
      <c r="F1588" s="43">
        <v>45575</v>
      </c>
      <c r="G1588" s="44">
        <v>2024</v>
      </c>
      <c r="H1588" s="52" t="s">
        <v>10</v>
      </c>
      <c r="I1588" s="46" t="s">
        <v>22</v>
      </c>
      <c r="J1588" s="46">
        <v>57</v>
      </c>
      <c r="K1588" s="46" t="s">
        <v>24</v>
      </c>
      <c r="L1588" s="46">
        <v>3</v>
      </c>
      <c r="M1588" s="47">
        <v>30</v>
      </c>
    </row>
    <row r="1589" spans="5:13" x14ac:dyDescent="0.25">
      <c r="E1589" s="33">
        <v>328</v>
      </c>
      <c r="F1589" s="48">
        <v>44956</v>
      </c>
      <c r="G1589" s="49">
        <v>2023</v>
      </c>
      <c r="H1589" s="45" t="s">
        <v>1</v>
      </c>
      <c r="I1589" s="50" t="s">
        <v>22</v>
      </c>
      <c r="J1589" s="50">
        <v>46</v>
      </c>
      <c r="K1589" s="50" t="s">
        <v>24</v>
      </c>
      <c r="L1589" s="50">
        <v>4</v>
      </c>
      <c r="M1589" s="51">
        <v>25</v>
      </c>
    </row>
    <row r="1590" spans="5:13" x14ac:dyDescent="0.25">
      <c r="E1590" s="32">
        <v>501</v>
      </c>
      <c r="F1590" s="43">
        <v>45018</v>
      </c>
      <c r="G1590" s="44">
        <v>2023</v>
      </c>
      <c r="H1590" s="52" t="s">
        <v>4</v>
      </c>
      <c r="I1590" s="46" t="s">
        <v>20</v>
      </c>
      <c r="J1590" s="46">
        <v>43</v>
      </c>
      <c r="K1590" s="46" t="s">
        <v>24</v>
      </c>
      <c r="L1590" s="46">
        <v>3</v>
      </c>
      <c r="M1590" s="47">
        <v>50</v>
      </c>
    </row>
    <row r="1591" spans="5:13" x14ac:dyDescent="0.25">
      <c r="E1591" s="33">
        <v>1585</v>
      </c>
      <c r="F1591" s="48">
        <v>45408</v>
      </c>
      <c r="G1591" s="49">
        <v>2024</v>
      </c>
      <c r="H1591" s="45" t="s">
        <v>4</v>
      </c>
      <c r="I1591" s="50" t="s">
        <v>20</v>
      </c>
      <c r="J1591" s="50">
        <v>41</v>
      </c>
      <c r="K1591" s="50" t="s">
        <v>24</v>
      </c>
      <c r="L1591" s="50">
        <v>7</v>
      </c>
      <c r="M1591" s="51">
        <v>186</v>
      </c>
    </row>
    <row r="1592" spans="5:13" x14ac:dyDescent="0.25">
      <c r="E1592" s="32">
        <v>1535</v>
      </c>
      <c r="F1592" s="43">
        <v>45552</v>
      </c>
      <c r="G1592" s="44">
        <v>2024</v>
      </c>
      <c r="H1592" s="52" t="s">
        <v>9</v>
      </c>
      <c r="I1592" s="46" t="s">
        <v>20</v>
      </c>
      <c r="J1592" s="46">
        <v>31</v>
      </c>
      <c r="K1592" s="46" t="s">
        <v>23</v>
      </c>
      <c r="L1592" s="46">
        <v>2</v>
      </c>
      <c r="M1592" s="47">
        <v>281</v>
      </c>
    </row>
    <row r="1593" spans="5:13" x14ac:dyDescent="0.25">
      <c r="E1593" s="33">
        <v>89</v>
      </c>
      <c r="F1593" s="48">
        <v>45200</v>
      </c>
      <c r="G1593" s="49">
        <v>2023</v>
      </c>
      <c r="H1593" s="45" t="s">
        <v>10</v>
      </c>
      <c r="I1593" s="50" t="s">
        <v>22</v>
      </c>
      <c r="J1593" s="50">
        <v>55</v>
      </c>
      <c r="K1593" s="50" t="s">
        <v>24</v>
      </c>
      <c r="L1593" s="50">
        <v>4</v>
      </c>
      <c r="M1593" s="51">
        <v>500</v>
      </c>
    </row>
    <row r="1594" spans="5:13" x14ac:dyDescent="0.25">
      <c r="E1594" s="32">
        <v>145</v>
      </c>
      <c r="F1594" s="43">
        <v>45232</v>
      </c>
      <c r="G1594" s="44">
        <v>2023</v>
      </c>
      <c r="H1594" s="52" t="s">
        <v>11</v>
      </c>
      <c r="I1594" s="46" t="s">
        <v>22</v>
      </c>
      <c r="J1594" s="46">
        <v>39</v>
      </c>
      <c r="K1594" s="46" t="s">
        <v>23</v>
      </c>
      <c r="L1594" s="46">
        <v>3</v>
      </c>
      <c r="M1594" s="47">
        <v>25</v>
      </c>
    </row>
    <row r="1595" spans="5:13" x14ac:dyDescent="0.25">
      <c r="E1595" s="33">
        <v>1436</v>
      </c>
      <c r="F1595" s="48">
        <v>45482</v>
      </c>
      <c r="G1595" s="49">
        <v>2024</v>
      </c>
      <c r="H1595" s="45" t="s">
        <v>7</v>
      </c>
      <c r="I1595" s="50" t="s">
        <v>20</v>
      </c>
      <c r="J1595" s="50">
        <v>29</v>
      </c>
      <c r="K1595" s="50" t="s">
        <v>23</v>
      </c>
      <c r="L1595" s="50">
        <v>7</v>
      </c>
      <c r="M1595" s="51">
        <v>466</v>
      </c>
    </row>
    <row r="1596" spans="5:13" x14ac:dyDescent="0.25">
      <c r="E1596" s="32">
        <v>1213</v>
      </c>
      <c r="F1596" s="43">
        <v>45484</v>
      </c>
      <c r="G1596" s="44">
        <v>2024</v>
      </c>
      <c r="H1596" s="52" t="s">
        <v>7</v>
      </c>
      <c r="I1596" s="46" t="s">
        <v>20</v>
      </c>
      <c r="J1596" s="46">
        <v>56</v>
      </c>
      <c r="K1596" s="46" t="s">
        <v>24</v>
      </c>
      <c r="L1596" s="46">
        <v>2</v>
      </c>
      <c r="M1596" s="47">
        <v>264</v>
      </c>
    </row>
    <row r="1597" spans="5:13" x14ac:dyDescent="0.25">
      <c r="E1597" s="33">
        <v>1086</v>
      </c>
      <c r="F1597" s="48">
        <v>45380</v>
      </c>
      <c r="G1597" s="49">
        <v>2024</v>
      </c>
      <c r="H1597" s="45" t="s">
        <v>3</v>
      </c>
      <c r="I1597" s="50" t="s">
        <v>20</v>
      </c>
      <c r="J1597" s="50">
        <v>23</v>
      </c>
      <c r="K1597" s="50" t="s">
        <v>23</v>
      </c>
      <c r="L1597" s="50">
        <v>4</v>
      </c>
      <c r="M1597" s="51">
        <v>198</v>
      </c>
    </row>
    <row r="1598" spans="5:13" x14ac:dyDescent="0.25">
      <c r="E1598" s="32">
        <v>1936</v>
      </c>
      <c r="F1598" s="43">
        <v>45319</v>
      </c>
      <c r="G1598" s="44">
        <v>2024</v>
      </c>
      <c r="H1598" s="52" t="s">
        <v>1</v>
      </c>
      <c r="I1598" s="46" t="s">
        <v>22</v>
      </c>
      <c r="J1598" s="46">
        <v>35</v>
      </c>
      <c r="K1598" s="46" t="s">
        <v>24</v>
      </c>
      <c r="L1598" s="46">
        <v>3</v>
      </c>
      <c r="M1598" s="47">
        <v>212</v>
      </c>
    </row>
    <row r="1599" spans="5:13" x14ac:dyDescent="0.25">
      <c r="E1599" s="33">
        <v>1565</v>
      </c>
      <c r="F1599" s="48">
        <v>45531</v>
      </c>
      <c r="G1599" s="49">
        <v>2024</v>
      </c>
      <c r="H1599" s="45" t="s">
        <v>8</v>
      </c>
      <c r="I1599" s="50" t="s">
        <v>22</v>
      </c>
      <c r="J1599" s="50">
        <v>18</v>
      </c>
      <c r="K1599" s="50" t="s">
        <v>24</v>
      </c>
      <c r="L1599" s="50">
        <v>1</v>
      </c>
      <c r="M1599" s="51">
        <v>477</v>
      </c>
    </row>
    <row r="1600" spans="5:13" x14ac:dyDescent="0.25">
      <c r="E1600" s="32">
        <v>1467</v>
      </c>
      <c r="F1600" s="43">
        <v>45429</v>
      </c>
      <c r="G1600" s="44">
        <v>2024</v>
      </c>
      <c r="H1600" s="52" t="s">
        <v>5</v>
      </c>
      <c r="I1600" s="46" t="s">
        <v>22</v>
      </c>
      <c r="J1600" s="46">
        <v>18</v>
      </c>
      <c r="K1600" s="46" t="s">
        <v>23</v>
      </c>
      <c r="L1600" s="46">
        <v>2</v>
      </c>
      <c r="M1600" s="47">
        <v>186</v>
      </c>
    </row>
    <row r="1601" spans="5:13" x14ac:dyDescent="0.25">
      <c r="E1601" s="33">
        <v>1609</v>
      </c>
      <c r="F1601" s="48">
        <v>45510</v>
      </c>
      <c r="G1601" s="49">
        <v>2024</v>
      </c>
      <c r="H1601" s="45" t="s">
        <v>8</v>
      </c>
      <c r="I1601" s="50" t="s">
        <v>22</v>
      </c>
      <c r="J1601" s="50">
        <v>52</v>
      </c>
      <c r="K1601" s="50" t="s">
        <v>24</v>
      </c>
      <c r="L1601" s="50">
        <v>5</v>
      </c>
      <c r="M1601" s="51">
        <v>135</v>
      </c>
    </row>
    <row r="1602" spans="5:13" x14ac:dyDescent="0.25">
      <c r="E1602" s="32">
        <v>140</v>
      </c>
      <c r="F1602" s="43">
        <v>45143</v>
      </c>
      <c r="G1602" s="44">
        <v>2023</v>
      </c>
      <c r="H1602" s="52" t="s">
        <v>8</v>
      </c>
      <c r="I1602" s="46" t="s">
        <v>20</v>
      </c>
      <c r="J1602" s="46">
        <v>38</v>
      </c>
      <c r="K1602" s="46" t="s">
        <v>24</v>
      </c>
      <c r="L1602" s="46">
        <v>1</v>
      </c>
      <c r="M1602" s="47">
        <v>30</v>
      </c>
    </row>
    <row r="1603" spans="5:13" x14ac:dyDescent="0.25">
      <c r="E1603" s="33">
        <v>135</v>
      </c>
      <c r="F1603" s="48">
        <v>44983</v>
      </c>
      <c r="G1603" s="49">
        <v>2023</v>
      </c>
      <c r="H1603" s="45" t="s">
        <v>2</v>
      </c>
      <c r="I1603" s="50" t="s">
        <v>20</v>
      </c>
      <c r="J1603" s="50">
        <v>20</v>
      </c>
      <c r="K1603" s="50" t="s">
        <v>23</v>
      </c>
      <c r="L1603" s="50">
        <v>2</v>
      </c>
      <c r="M1603" s="51">
        <v>25</v>
      </c>
    </row>
    <row r="1604" spans="5:13" x14ac:dyDescent="0.25">
      <c r="E1604" s="32">
        <v>75</v>
      </c>
      <c r="F1604" s="43">
        <v>45113</v>
      </c>
      <c r="G1604" s="44">
        <v>2023</v>
      </c>
      <c r="H1604" s="52" t="s">
        <v>7</v>
      </c>
      <c r="I1604" s="46" t="s">
        <v>20</v>
      </c>
      <c r="J1604" s="46">
        <v>61</v>
      </c>
      <c r="K1604" s="46" t="s">
        <v>21</v>
      </c>
      <c r="L1604" s="46">
        <v>4</v>
      </c>
      <c r="M1604" s="47">
        <v>50</v>
      </c>
    </row>
    <row r="1605" spans="5:13" x14ac:dyDescent="0.25">
      <c r="E1605" s="33">
        <v>1973</v>
      </c>
      <c r="F1605" s="48">
        <v>45330</v>
      </c>
      <c r="G1605" s="49">
        <v>2024</v>
      </c>
      <c r="H1605" s="45" t="s">
        <v>2</v>
      </c>
      <c r="I1605" s="50" t="s">
        <v>22</v>
      </c>
      <c r="J1605" s="50">
        <v>19</v>
      </c>
      <c r="K1605" s="50" t="s">
        <v>24</v>
      </c>
      <c r="L1605" s="50">
        <v>4</v>
      </c>
      <c r="M1605" s="51">
        <v>388</v>
      </c>
    </row>
    <row r="1606" spans="5:13" x14ac:dyDescent="0.25">
      <c r="E1606" s="32">
        <v>1292</v>
      </c>
      <c r="F1606" s="43">
        <v>45501</v>
      </c>
      <c r="G1606" s="44">
        <v>2024</v>
      </c>
      <c r="H1606" s="52" t="s">
        <v>7</v>
      </c>
      <c r="I1606" s="46" t="s">
        <v>22</v>
      </c>
      <c r="J1606" s="46">
        <v>32</v>
      </c>
      <c r="K1606" s="46" t="s">
        <v>21</v>
      </c>
      <c r="L1606" s="46">
        <v>3</v>
      </c>
      <c r="M1606" s="47">
        <v>229</v>
      </c>
    </row>
    <row r="1607" spans="5:13" x14ac:dyDescent="0.25">
      <c r="E1607" s="33">
        <v>1273</v>
      </c>
      <c r="F1607" s="48">
        <v>45567</v>
      </c>
      <c r="G1607" s="49">
        <v>2024</v>
      </c>
      <c r="H1607" s="45" t="s">
        <v>10</v>
      </c>
      <c r="I1607" s="50" t="s">
        <v>22</v>
      </c>
      <c r="J1607" s="50">
        <v>34</v>
      </c>
      <c r="K1607" s="50" t="s">
        <v>21</v>
      </c>
      <c r="L1607" s="50">
        <v>5</v>
      </c>
      <c r="M1607" s="51">
        <v>304</v>
      </c>
    </row>
    <row r="1608" spans="5:13" x14ac:dyDescent="0.25">
      <c r="E1608" s="32">
        <v>1879</v>
      </c>
      <c r="F1608" s="43">
        <v>45421</v>
      </c>
      <c r="G1608" s="44">
        <v>2024</v>
      </c>
      <c r="H1608" s="52" t="s">
        <v>5</v>
      </c>
      <c r="I1608" s="46" t="s">
        <v>20</v>
      </c>
      <c r="J1608" s="46">
        <v>61</v>
      </c>
      <c r="K1608" s="46" t="s">
        <v>24</v>
      </c>
      <c r="L1608" s="46">
        <v>6</v>
      </c>
      <c r="M1608" s="47">
        <v>254</v>
      </c>
    </row>
    <row r="1609" spans="5:13" x14ac:dyDescent="0.25">
      <c r="E1609" s="33">
        <v>964</v>
      </c>
      <c r="F1609" s="48">
        <v>44977</v>
      </c>
      <c r="G1609" s="49">
        <v>2023</v>
      </c>
      <c r="H1609" s="45" t="s">
        <v>2</v>
      </c>
      <c r="I1609" s="50" t="s">
        <v>20</v>
      </c>
      <c r="J1609" s="50">
        <v>60</v>
      </c>
      <c r="K1609" s="50" t="s">
        <v>24</v>
      </c>
      <c r="L1609" s="50">
        <v>2</v>
      </c>
      <c r="M1609" s="51">
        <v>500</v>
      </c>
    </row>
    <row r="1610" spans="5:13" x14ac:dyDescent="0.25">
      <c r="E1610" s="32">
        <v>1932</v>
      </c>
      <c r="F1610" s="43">
        <v>45329</v>
      </c>
      <c r="G1610" s="44">
        <v>2024</v>
      </c>
      <c r="H1610" s="52" t="s">
        <v>2</v>
      </c>
      <c r="I1610" s="46" t="s">
        <v>20</v>
      </c>
      <c r="J1610" s="46">
        <v>38</v>
      </c>
      <c r="K1610" s="46" t="s">
        <v>21</v>
      </c>
      <c r="L1610" s="46">
        <v>6</v>
      </c>
      <c r="M1610" s="47">
        <v>497</v>
      </c>
    </row>
    <row r="1611" spans="5:13" x14ac:dyDescent="0.25">
      <c r="E1611" s="33">
        <v>1248</v>
      </c>
      <c r="F1611" s="48">
        <v>45535</v>
      </c>
      <c r="G1611" s="49">
        <v>2024</v>
      </c>
      <c r="H1611" s="45" t="s">
        <v>8</v>
      </c>
      <c r="I1611" s="50" t="s">
        <v>22</v>
      </c>
      <c r="J1611" s="50">
        <v>46</v>
      </c>
      <c r="K1611" s="50" t="s">
        <v>21</v>
      </c>
      <c r="L1611" s="50">
        <v>5</v>
      </c>
      <c r="M1611" s="51">
        <v>106</v>
      </c>
    </row>
    <row r="1612" spans="5:13" x14ac:dyDescent="0.25">
      <c r="E1612" s="32">
        <v>936</v>
      </c>
      <c r="F1612" s="43">
        <v>45249</v>
      </c>
      <c r="G1612" s="44">
        <v>2023</v>
      </c>
      <c r="H1612" s="52" t="s">
        <v>11</v>
      </c>
      <c r="I1612" s="46" t="s">
        <v>20</v>
      </c>
      <c r="J1612" s="46">
        <v>49</v>
      </c>
      <c r="K1612" s="46" t="s">
        <v>23</v>
      </c>
      <c r="L1612" s="46">
        <v>4</v>
      </c>
      <c r="M1612" s="47">
        <v>50</v>
      </c>
    </row>
    <row r="1613" spans="5:13" x14ac:dyDescent="0.25">
      <c r="E1613" s="33">
        <v>1666</v>
      </c>
      <c r="F1613" s="48">
        <v>45570</v>
      </c>
      <c r="G1613" s="49">
        <v>2024</v>
      </c>
      <c r="H1613" s="45" t="s">
        <v>10</v>
      </c>
      <c r="I1613" s="50" t="s">
        <v>20</v>
      </c>
      <c r="J1613" s="50">
        <v>19</v>
      </c>
      <c r="K1613" s="50" t="s">
        <v>21</v>
      </c>
      <c r="L1613" s="50">
        <v>2</v>
      </c>
      <c r="M1613" s="51">
        <v>285</v>
      </c>
    </row>
    <row r="1614" spans="5:13" x14ac:dyDescent="0.25">
      <c r="E1614" s="32">
        <v>66</v>
      </c>
      <c r="F1614" s="43">
        <v>45043</v>
      </c>
      <c r="G1614" s="44">
        <v>2023</v>
      </c>
      <c r="H1614" s="52" t="s">
        <v>4</v>
      </c>
      <c r="I1614" s="46" t="s">
        <v>22</v>
      </c>
      <c r="J1614" s="46">
        <v>45</v>
      </c>
      <c r="K1614" s="46" t="s">
        <v>24</v>
      </c>
      <c r="L1614" s="46">
        <v>1</v>
      </c>
      <c r="M1614" s="47">
        <v>30</v>
      </c>
    </row>
    <row r="1615" spans="5:13" x14ac:dyDescent="0.25">
      <c r="E1615" s="33">
        <v>1262</v>
      </c>
      <c r="F1615" s="48">
        <v>45637</v>
      </c>
      <c r="G1615" s="49">
        <v>2024</v>
      </c>
      <c r="H1615" s="45" t="s">
        <v>12</v>
      </c>
      <c r="I1615" s="50" t="s">
        <v>20</v>
      </c>
      <c r="J1615" s="50">
        <v>24</v>
      </c>
      <c r="K1615" s="50" t="s">
        <v>23</v>
      </c>
      <c r="L1615" s="50">
        <v>5</v>
      </c>
      <c r="M1615" s="51">
        <v>365</v>
      </c>
    </row>
    <row r="1616" spans="5:13" x14ac:dyDescent="0.25">
      <c r="E1616" s="32">
        <v>1085</v>
      </c>
      <c r="F1616" s="43">
        <v>45618</v>
      </c>
      <c r="G1616" s="44">
        <v>2024</v>
      </c>
      <c r="H1616" s="52" t="s">
        <v>11</v>
      </c>
      <c r="I1616" s="46" t="s">
        <v>22</v>
      </c>
      <c r="J1616" s="46">
        <v>38</v>
      </c>
      <c r="K1616" s="46" t="s">
        <v>21</v>
      </c>
      <c r="L1616" s="46">
        <v>6</v>
      </c>
      <c r="M1616" s="47">
        <v>34</v>
      </c>
    </row>
    <row r="1617" spans="5:13" x14ac:dyDescent="0.25">
      <c r="E1617" s="33">
        <v>465</v>
      </c>
      <c r="F1617" s="48">
        <v>45097</v>
      </c>
      <c r="G1617" s="49">
        <v>2023</v>
      </c>
      <c r="H1617" s="45" t="s">
        <v>6</v>
      </c>
      <c r="I1617" s="50" t="s">
        <v>20</v>
      </c>
      <c r="J1617" s="50">
        <v>63</v>
      </c>
      <c r="K1617" s="50" t="s">
        <v>24</v>
      </c>
      <c r="L1617" s="50">
        <v>4</v>
      </c>
      <c r="M1617" s="51">
        <v>25</v>
      </c>
    </row>
    <row r="1618" spans="5:13" x14ac:dyDescent="0.25">
      <c r="E1618" s="32">
        <v>1389</v>
      </c>
      <c r="F1618" s="43">
        <v>45634</v>
      </c>
      <c r="G1618" s="44">
        <v>2024</v>
      </c>
      <c r="H1618" s="52" t="s">
        <v>12</v>
      </c>
      <c r="I1618" s="46" t="s">
        <v>20</v>
      </c>
      <c r="J1618" s="46">
        <v>27</v>
      </c>
      <c r="K1618" s="46" t="s">
        <v>23</v>
      </c>
      <c r="L1618" s="46">
        <v>1</v>
      </c>
      <c r="M1618" s="47">
        <v>268</v>
      </c>
    </row>
    <row r="1619" spans="5:13" x14ac:dyDescent="0.25">
      <c r="E1619" s="33">
        <v>520</v>
      </c>
      <c r="F1619" s="48">
        <v>45150</v>
      </c>
      <c r="G1619" s="49">
        <v>2023</v>
      </c>
      <c r="H1619" s="45" t="s">
        <v>8</v>
      </c>
      <c r="I1619" s="50" t="s">
        <v>22</v>
      </c>
      <c r="J1619" s="50">
        <v>47</v>
      </c>
      <c r="K1619" s="50" t="s">
        <v>23</v>
      </c>
      <c r="L1619" s="50">
        <v>4</v>
      </c>
      <c r="M1619" s="51">
        <v>30</v>
      </c>
    </row>
    <row r="1620" spans="5:13" x14ac:dyDescent="0.25">
      <c r="E1620" s="32">
        <v>1694</v>
      </c>
      <c r="F1620" s="43">
        <v>45492</v>
      </c>
      <c r="G1620" s="44">
        <v>2024</v>
      </c>
      <c r="H1620" s="52" t="s">
        <v>7</v>
      </c>
      <c r="I1620" s="46" t="s">
        <v>22</v>
      </c>
      <c r="J1620" s="46">
        <v>42</v>
      </c>
      <c r="K1620" s="46" t="s">
        <v>24</v>
      </c>
      <c r="L1620" s="46">
        <v>5</v>
      </c>
      <c r="M1620" s="47">
        <v>34</v>
      </c>
    </row>
    <row r="1621" spans="5:13" x14ac:dyDescent="0.25">
      <c r="E1621" s="33">
        <v>1110</v>
      </c>
      <c r="F1621" s="48">
        <v>45628</v>
      </c>
      <c r="G1621" s="49">
        <v>2024</v>
      </c>
      <c r="H1621" s="45" t="s">
        <v>12</v>
      </c>
      <c r="I1621" s="50" t="s">
        <v>20</v>
      </c>
      <c r="J1621" s="50">
        <v>26</v>
      </c>
      <c r="K1621" s="50" t="s">
        <v>23</v>
      </c>
      <c r="L1621" s="50">
        <v>4</v>
      </c>
      <c r="M1621" s="51">
        <v>100</v>
      </c>
    </row>
    <row r="1622" spans="5:13" x14ac:dyDescent="0.25">
      <c r="E1622" s="32">
        <v>1527</v>
      </c>
      <c r="F1622" s="43">
        <v>45327</v>
      </c>
      <c r="G1622" s="44">
        <v>2024</v>
      </c>
      <c r="H1622" s="52" t="s">
        <v>2</v>
      </c>
      <c r="I1622" s="46" t="s">
        <v>22</v>
      </c>
      <c r="J1622" s="46">
        <v>29</v>
      </c>
      <c r="K1622" s="46" t="s">
        <v>24</v>
      </c>
      <c r="L1622" s="46">
        <v>5</v>
      </c>
      <c r="M1622" s="47">
        <v>468</v>
      </c>
    </row>
    <row r="1623" spans="5:13" x14ac:dyDescent="0.25">
      <c r="E1623" s="33">
        <v>1471</v>
      </c>
      <c r="F1623" s="48">
        <v>45488</v>
      </c>
      <c r="G1623" s="49">
        <v>2024</v>
      </c>
      <c r="H1623" s="45" t="s">
        <v>7</v>
      </c>
      <c r="I1623" s="50" t="s">
        <v>22</v>
      </c>
      <c r="J1623" s="50">
        <v>60</v>
      </c>
      <c r="K1623" s="50" t="s">
        <v>23</v>
      </c>
      <c r="L1623" s="50">
        <v>4</v>
      </c>
      <c r="M1623" s="51">
        <v>243</v>
      </c>
    </row>
    <row r="1624" spans="5:13" x14ac:dyDescent="0.25">
      <c r="E1624" s="32">
        <v>514</v>
      </c>
      <c r="F1624" s="43">
        <v>45124</v>
      </c>
      <c r="G1624" s="44">
        <v>2023</v>
      </c>
      <c r="H1624" s="52" t="s">
        <v>7</v>
      </c>
      <c r="I1624" s="46" t="s">
        <v>22</v>
      </c>
      <c r="J1624" s="46">
        <v>49</v>
      </c>
      <c r="K1624" s="46" t="s">
        <v>23</v>
      </c>
      <c r="L1624" s="46">
        <v>3</v>
      </c>
      <c r="M1624" s="47">
        <v>300</v>
      </c>
    </row>
    <row r="1625" spans="5:13" x14ac:dyDescent="0.25">
      <c r="E1625" s="33">
        <v>581</v>
      </c>
      <c r="F1625" s="48">
        <v>45244</v>
      </c>
      <c r="G1625" s="49">
        <v>2023</v>
      </c>
      <c r="H1625" s="45" t="s">
        <v>11</v>
      </c>
      <c r="I1625" s="50" t="s">
        <v>20</v>
      </c>
      <c r="J1625" s="50">
        <v>35</v>
      </c>
      <c r="K1625" s="50" t="s">
        <v>23</v>
      </c>
      <c r="L1625" s="50">
        <v>3</v>
      </c>
      <c r="M1625" s="51">
        <v>300</v>
      </c>
    </row>
    <row r="1626" spans="5:13" x14ac:dyDescent="0.25">
      <c r="E1626" s="32">
        <v>1047</v>
      </c>
      <c r="F1626" s="43">
        <v>45314</v>
      </c>
      <c r="G1626" s="44">
        <v>2024</v>
      </c>
      <c r="H1626" s="52" t="s">
        <v>1</v>
      </c>
      <c r="I1626" s="46" t="s">
        <v>22</v>
      </c>
      <c r="J1626" s="46">
        <v>26</v>
      </c>
      <c r="K1626" s="46" t="s">
        <v>24</v>
      </c>
      <c r="L1626" s="46">
        <v>6</v>
      </c>
      <c r="M1626" s="47">
        <v>301</v>
      </c>
    </row>
    <row r="1627" spans="5:13" x14ac:dyDescent="0.25">
      <c r="E1627" s="33">
        <v>1349</v>
      </c>
      <c r="F1627" s="48">
        <v>45454</v>
      </c>
      <c r="G1627" s="49">
        <v>2024</v>
      </c>
      <c r="H1627" s="45" t="s">
        <v>6</v>
      </c>
      <c r="I1627" s="50" t="s">
        <v>20</v>
      </c>
      <c r="J1627" s="50">
        <v>18</v>
      </c>
      <c r="K1627" s="50" t="s">
        <v>24</v>
      </c>
      <c r="L1627" s="50">
        <v>4</v>
      </c>
      <c r="M1627" s="51">
        <v>180</v>
      </c>
    </row>
    <row r="1628" spans="5:13" x14ac:dyDescent="0.25">
      <c r="E1628" s="32">
        <v>106</v>
      </c>
      <c r="F1628" s="43">
        <v>45064</v>
      </c>
      <c r="G1628" s="44">
        <v>2023</v>
      </c>
      <c r="H1628" s="52" t="s">
        <v>5</v>
      </c>
      <c r="I1628" s="46" t="s">
        <v>22</v>
      </c>
      <c r="J1628" s="46">
        <v>46</v>
      </c>
      <c r="K1628" s="46" t="s">
        <v>23</v>
      </c>
      <c r="L1628" s="46">
        <v>1</v>
      </c>
      <c r="M1628" s="47">
        <v>50</v>
      </c>
    </row>
    <row r="1629" spans="5:13" x14ac:dyDescent="0.25">
      <c r="E1629" s="33">
        <v>775</v>
      </c>
      <c r="F1629" s="48">
        <v>45280</v>
      </c>
      <c r="G1629" s="49">
        <v>2023</v>
      </c>
      <c r="H1629" s="45" t="s">
        <v>12</v>
      </c>
      <c r="I1629" s="50" t="s">
        <v>20</v>
      </c>
      <c r="J1629" s="50">
        <v>48</v>
      </c>
      <c r="K1629" s="50" t="s">
        <v>24</v>
      </c>
      <c r="L1629" s="50">
        <v>3</v>
      </c>
      <c r="M1629" s="51">
        <v>50</v>
      </c>
    </row>
    <row r="1630" spans="5:13" x14ac:dyDescent="0.25">
      <c r="E1630" s="32">
        <v>753</v>
      </c>
      <c r="F1630" s="43">
        <v>45038</v>
      </c>
      <c r="G1630" s="44">
        <v>2023</v>
      </c>
      <c r="H1630" s="52" t="s">
        <v>4</v>
      </c>
      <c r="I1630" s="46" t="s">
        <v>22</v>
      </c>
      <c r="J1630" s="46">
        <v>58</v>
      </c>
      <c r="K1630" s="46" t="s">
        <v>23</v>
      </c>
      <c r="L1630" s="46">
        <v>3</v>
      </c>
      <c r="M1630" s="47">
        <v>25</v>
      </c>
    </row>
    <row r="1631" spans="5:13" x14ac:dyDescent="0.25">
      <c r="E1631" s="33">
        <v>123</v>
      </c>
      <c r="F1631" s="48">
        <v>45061</v>
      </c>
      <c r="G1631" s="49">
        <v>2023</v>
      </c>
      <c r="H1631" s="45" t="s">
        <v>5</v>
      </c>
      <c r="I1631" s="50" t="s">
        <v>22</v>
      </c>
      <c r="J1631" s="50">
        <v>40</v>
      </c>
      <c r="K1631" s="50" t="s">
        <v>24</v>
      </c>
      <c r="L1631" s="50">
        <v>2</v>
      </c>
      <c r="M1631" s="51">
        <v>30</v>
      </c>
    </row>
    <row r="1632" spans="5:13" x14ac:dyDescent="0.25">
      <c r="E1632" s="32">
        <v>592</v>
      </c>
      <c r="F1632" s="43">
        <v>45052</v>
      </c>
      <c r="G1632" s="44">
        <v>2023</v>
      </c>
      <c r="H1632" s="52" t="s">
        <v>5</v>
      </c>
      <c r="I1632" s="46" t="s">
        <v>20</v>
      </c>
      <c r="J1632" s="46">
        <v>35</v>
      </c>
      <c r="K1632" s="46" t="s">
        <v>24</v>
      </c>
      <c r="L1632" s="46">
        <v>2</v>
      </c>
      <c r="M1632" s="47">
        <v>30</v>
      </c>
    </row>
    <row r="1633" spans="5:13" x14ac:dyDescent="0.25">
      <c r="E1633" s="33">
        <v>580</v>
      </c>
      <c r="F1633" s="48">
        <v>45251</v>
      </c>
      <c r="G1633" s="49">
        <v>2023</v>
      </c>
      <c r="H1633" s="45" t="s">
        <v>11</v>
      </c>
      <c r="I1633" s="50" t="s">
        <v>22</v>
      </c>
      <c r="J1633" s="50">
        <v>48</v>
      </c>
      <c r="K1633" s="50" t="s">
        <v>21</v>
      </c>
      <c r="L1633" s="50">
        <v>2</v>
      </c>
      <c r="M1633" s="51">
        <v>30</v>
      </c>
    </row>
    <row r="1634" spans="5:13" x14ac:dyDescent="0.25">
      <c r="E1634" s="32">
        <v>43</v>
      </c>
      <c r="F1634" s="43">
        <v>45121</v>
      </c>
      <c r="G1634" s="44">
        <v>2023</v>
      </c>
      <c r="H1634" s="52" t="s">
        <v>7</v>
      </c>
      <c r="I1634" s="46" t="s">
        <v>22</v>
      </c>
      <c r="J1634" s="46">
        <v>48</v>
      </c>
      <c r="K1634" s="46" t="s">
        <v>23</v>
      </c>
      <c r="L1634" s="46">
        <v>1</v>
      </c>
      <c r="M1634" s="47">
        <v>300</v>
      </c>
    </row>
    <row r="1635" spans="5:13" x14ac:dyDescent="0.25">
      <c r="E1635" s="33">
        <v>630</v>
      </c>
      <c r="F1635" s="48">
        <v>45240</v>
      </c>
      <c r="G1635" s="49">
        <v>2023</v>
      </c>
      <c r="H1635" s="45" t="s">
        <v>11</v>
      </c>
      <c r="I1635" s="50" t="s">
        <v>20</v>
      </c>
      <c r="J1635" s="50">
        <v>56</v>
      </c>
      <c r="K1635" s="50" t="s">
        <v>24</v>
      </c>
      <c r="L1635" s="50">
        <v>3</v>
      </c>
      <c r="M1635" s="51">
        <v>30</v>
      </c>
    </row>
    <row r="1636" spans="5:13" x14ac:dyDescent="0.25">
      <c r="E1636" s="32">
        <v>1218</v>
      </c>
      <c r="F1636" s="43">
        <v>45419</v>
      </c>
      <c r="G1636" s="44">
        <v>2024</v>
      </c>
      <c r="H1636" s="52" t="s">
        <v>5</v>
      </c>
      <c r="I1636" s="46" t="s">
        <v>20</v>
      </c>
      <c r="J1636" s="46">
        <v>64</v>
      </c>
      <c r="K1636" s="46" t="s">
        <v>21</v>
      </c>
      <c r="L1636" s="46">
        <v>3</v>
      </c>
      <c r="M1636" s="47">
        <v>188</v>
      </c>
    </row>
    <row r="1637" spans="5:13" x14ac:dyDescent="0.25">
      <c r="E1637" s="33">
        <v>885</v>
      </c>
      <c r="F1637" s="48">
        <v>45088</v>
      </c>
      <c r="G1637" s="49">
        <v>2023</v>
      </c>
      <c r="H1637" s="45" t="s">
        <v>6</v>
      </c>
      <c r="I1637" s="50" t="s">
        <v>20</v>
      </c>
      <c r="J1637" s="50">
        <v>59</v>
      </c>
      <c r="K1637" s="50" t="s">
        <v>23</v>
      </c>
      <c r="L1637" s="50">
        <v>4</v>
      </c>
      <c r="M1637" s="51">
        <v>25</v>
      </c>
    </row>
    <row r="1638" spans="5:13" x14ac:dyDescent="0.25">
      <c r="E1638" s="32">
        <v>868</v>
      </c>
      <c r="F1638" s="43">
        <v>45115</v>
      </c>
      <c r="G1638" s="44">
        <v>2023</v>
      </c>
      <c r="H1638" s="52" t="s">
        <v>7</v>
      </c>
      <c r="I1638" s="46" t="s">
        <v>22</v>
      </c>
      <c r="J1638" s="46">
        <v>46</v>
      </c>
      <c r="K1638" s="46" t="s">
        <v>24</v>
      </c>
      <c r="L1638" s="46">
        <v>4</v>
      </c>
      <c r="M1638" s="47">
        <v>30</v>
      </c>
    </row>
    <row r="1639" spans="5:13" x14ac:dyDescent="0.25">
      <c r="E1639" s="33">
        <v>99</v>
      </c>
      <c r="F1639" s="48">
        <v>45277</v>
      </c>
      <c r="G1639" s="49">
        <v>2023</v>
      </c>
      <c r="H1639" s="45" t="s">
        <v>12</v>
      </c>
      <c r="I1639" s="50" t="s">
        <v>22</v>
      </c>
      <c r="J1639" s="50">
        <v>50</v>
      </c>
      <c r="K1639" s="50" t="s">
        <v>24</v>
      </c>
      <c r="L1639" s="50">
        <v>4</v>
      </c>
      <c r="M1639" s="51">
        <v>300</v>
      </c>
    </row>
    <row r="1640" spans="5:13" x14ac:dyDescent="0.25">
      <c r="E1640" s="32">
        <v>179</v>
      </c>
      <c r="F1640" s="43">
        <v>45198</v>
      </c>
      <c r="G1640" s="44">
        <v>2023</v>
      </c>
      <c r="H1640" s="52" t="s">
        <v>9</v>
      </c>
      <c r="I1640" s="46" t="s">
        <v>20</v>
      </c>
      <c r="J1640" s="46">
        <v>31</v>
      </c>
      <c r="K1640" s="46" t="s">
        <v>24</v>
      </c>
      <c r="L1640" s="46">
        <v>1</v>
      </c>
      <c r="M1640" s="47">
        <v>300</v>
      </c>
    </row>
    <row r="1641" spans="5:13" x14ac:dyDescent="0.25">
      <c r="E1641" s="33">
        <v>53</v>
      </c>
      <c r="F1641" s="48">
        <v>45120</v>
      </c>
      <c r="G1641" s="49">
        <v>2023</v>
      </c>
      <c r="H1641" s="45" t="s">
        <v>7</v>
      </c>
      <c r="I1641" s="50" t="s">
        <v>20</v>
      </c>
      <c r="J1641" s="50">
        <v>34</v>
      </c>
      <c r="K1641" s="50" t="s">
        <v>24</v>
      </c>
      <c r="L1641" s="50">
        <v>2</v>
      </c>
      <c r="M1641" s="51">
        <v>50</v>
      </c>
    </row>
    <row r="1642" spans="5:13" x14ac:dyDescent="0.25">
      <c r="E1642" s="32">
        <v>607</v>
      </c>
      <c r="F1642" s="43">
        <v>45262</v>
      </c>
      <c r="G1642" s="44">
        <v>2023</v>
      </c>
      <c r="H1642" s="52" t="s">
        <v>12</v>
      </c>
      <c r="I1642" s="46" t="s">
        <v>22</v>
      </c>
      <c r="J1642" s="46">
        <v>55</v>
      </c>
      <c r="K1642" s="46" t="s">
        <v>24</v>
      </c>
      <c r="L1642" s="46">
        <v>3</v>
      </c>
      <c r="M1642" s="47">
        <v>500</v>
      </c>
    </row>
    <row r="1643" spans="5:13" x14ac:dyDescent="0.25">
      <c r="E1643" s="33">
        <v>249</v>
      </c>
      <c r="F1643" s="48">
        <v>45222</v>
      </c>
      <c r="G1643" s="49">
        <v>2023</v>
      </c>
      <c r="H1643" s="45" t="s">
        <v>10</v>
      </c>
      <c r="I1643" s="50" t="s">
        <v>20</v>
      </c>
      <c r="J1643" s="50">
        <v>48</v>
      </c>
      <c r="K1643" s="50" t="s">
        <v>24</v>
      </c>
      <c r="L1643" s="50">
        <v>1</v>
      </c>
      <c r="M1643" s="51">
        <v>50</v>
      </c>
    </row>
    <row r="1644" spans="5:13" x14ac:dyDescent="0.25">
      <c r="E1644" s="32">
        <v>1197</v>
      </c>
      <c r="F1644" s="43">
        <v>45630</v>
      </c>
      <c r="G1644" s="44">
        <v>2024</v>
      </c>
      <c r="H1644" s="52" t="s">
        <v>12</v>
      </c>
      <c r="I1644" s="46" t="s">
        <v>20</v>
      </c>
      <c r="J1644" s="46">
        <v>32</v>
      </c>
      <c r="K1644" s="46" t="s">
        <v>21</v>
      </c>
      <c r="L1644" s="46">
        <v>6</v>
      </c>
      <c r="M1644" s="47">
        <v>11</v>
      </c>
    </row>
    <row r="1645" spans="5:13" x14ac:dyDescent="0.25">
      <c r="E1645" s="33">
        <v>1560</v>
      </c>
      <c r="F1645" s="48">
        <v>45513</v>
      </c>
      <c r="G1645" s="49">
        <v>2024</v>
      </c>
      <c r="H1645" s="45" t="s">
        <v>8</v>
      </c>
      <c r="I1645" s="50" t="s">
        <v>20</v>
      </c>
      <c r="J1645" s="50">
        <v>26</v>
      </c>
      <c r="K1645" s="50" t="s">
        <v>23</v>
      </c>
      <c r="L1645" s="50">
        <v>6</v>
      </c>
      <c r="M1645" s="51">
        <v>246</v>
      </c>
    </row>
    <row r="1646" spans="5:13" x14ac:dyDescent="0.25">
      <c r="E1646" s="32">
        <v>1061</v>
      </c>
      <c r="F1646" s="43">
        <v>45327</v>
      </c>
      <c r="G1646" s="44">
        <v>2024</v>
      </c>
      <c r="H1646" s="52" t="s">
        <v>2</v>
      </c>
      <c r="I1646" s="46" t="s">
        <v>20</v>
      </c>
      <c r="J1646" s="46">
        <v>29</v>
      </c>
      <c r="K1646" s="46" t="s">
        <v>24</v>
      </c>
      <c r="L1646" s="46">
        <v>1</v>
      </c>
      <c r="M1646" s="47">
        <v>213</v>
      </c>
    </row>
    <row r="1647" spans="5:13" x14ac:dyDescent="0.25">
      <c r="E1647" s="33">
        <v>444</v>
      </c>
      <c r="F1647" s="48">
        <v>44948</v>
      </c>
      <c r="G1647" s="49">
        <v>2023</v>
      </c>
      <c r="H1647" s="45" t="s">
        <v>1</v>
      </c>
      <c r="I1647" s="50" t="s">
        <v>22</v>
      </c>
      <c r="J1647" s="50">
        <v>53</v>
      </c>
      <c r="K1647" s="50" t="s">
        <v>24</v>
      </c>
      <c r="L1647" s="50">
        <v>1</v>
      </c>
      <c r="M1647" s="51">
        <v>300</v>
      </c>
    </row>
    <row r="1648" spans="5:13" x14ac:dyDescent="0.25">
      <c r="E1648" s="32">
        <v>1317</v>
      </c>
      <c r="F1648" s="43">
        <v>45323</v>
      </c>
      <c r="G1648" s="44">
        <v>2024</v>
      </c>
      <c r="H1648" s="52" t="s">
        <v>2</v>
      </c>
      <c r="I1648" s="46" t="s">
        <v>22</v>
      </c>
      <c r="J1648" s="46">
        <v>36</v>
      </c>
      <c r="K1648" s="46" t="s">
        <v>24</v>
      </c>
      <c r="L1648" s="46">
        <v>1</v>
      </c>
      <c r="M1648" s="47">
        <v>84</v>
      </c>
    </row>
    <row r="1649" spans="5:13" x14ac:dyDescent="0.25">
      <c r="E1649" s="33">
        <v>1064</v>
      </c>
      <c r="F1649" s="48">
        <v>45409</v>
      </c>
      <c r="G1649" s="49">
        <v>2024</v>
      </c>
      <c r="H1649" s="45" t="s">
        <v>4</v>
      </c>
      <c r="I1649" s="50" t="s">
        <v>22</v>
      </c>
      <c r="J1649" s="50">
        <v>25</v>
      </c>
      <c r="K1649" s="50" t="s">
        <v>24</v>
      </c>
      <c r="L1649" s="50">
        <v>3</v>
      </c>
      <c r="M1649" s="51">
        <v>33</v>
      </c>
    </row>
    <row r="1650" spans="5:13" x14ac:dyDescent="0.25">
      <c r="E1650" s="32">
        <v>829</v>
      </c>
      <c r="F1650" s="43">
        <v>44941</v>
      </c>
      <c r="G1650" s="44">
        <v>2023</v>
      </c>
      <c r="H1650" s="52" t="s">
        <v>1</v>
      </c>
      <c r="I1650" s="46" t="s">
        <v>20</v>
      </c>
      <c r="J1650" s="46">
        <v>27</v>
      </c>
      <c r="K1650" s="46" t="s">
        <v>24</v>
      </c>
      <c r="L1650" s="46">
        <v>4</v>
      </c>
      <c r="M1650" s="47">
        <v>25</v>
      </c>
    </row>
    <row r="1651" spans="5:13" x14ac:dyDescent="0.25">
      <c r="E1651" s="33">
        <v>1549</v>
      </c>
      <c r="F1651" s="48">
        <v>45639</v>
      </c>
      <c r="G1651" s="49">
        <v>2024</v>
      </c>
      <c r="H1651" s="45" t="s">
        <v>12</v>
      </c>
      <c r="I1651" s="50" t="s">
        <v>22</v>
      </c>
      <c r="J1651" s="50">
        <v>41</v>
      </c>
      <c r="K1651" s="50" t="s">
        <v>24</v>
      </c>
      <c r="L1651" s="50">
        <v>6</v>
      </c>
      <c r="M1651" s="51">
        <v>237</v>
      </c>
    </row>
    <row r="1652" spans="5:13" x14ac:dyDescent="0.25">
      <c r="E1652" s="32">
        <v>1347</v>
      </c>
      <c r="F1652" s="43">
        <v>45582</v>
      </c>
      <c r="G1652" s="44">
        <v>2024</v>
      </c>
      <c r="H1652" s="52" t="s">
        <v>10</v>
      </c>
      <c r="I1652" s="46" t="s">
        <v>20</v>
      </c>
      <c r="J1652" s="46">
        <v>27</v>
      </c>
      <c r="K1652" s="46" t="s">
        <v>21</v>
      </c>
      <c r="L1652" s="46">
        <v>3</v>
      </c>
      <c r="M1652" s="47">
        <v>174</v>
      </c>
    </row>
    <row r="1653" spans="5:13" x14ac:dyDescent="0.25">
      <c r="E1653" s="33">
        <v>1225</v>
      </c>
      <c r="F1653" s="48">
        <v>45410</v>
      </c>
      <c r="G1653" s="49">
        <v>2024</v>
      </c>
      <c r="H1653" s="45" t="s">
        <v>4</v>
      </c>
      <c r="I1653" s="50" t="s">
        <v>22</v>
      </c>
      <c r="J1653" s="50">
        <v>53</v>
      </c>
      <c r="K1653" s="50" t="s">
        <v>24</v>
      </c>
      <c r="L1653" s="50">
        <v>2</v>
      </c>
      <c r="M1653" s="51">
        <v>207</v>
      </c>
    </row>
    <row r="1654" spans="5:13" x14ac:dyDescent="0.25">
      <c r="E1654" s="32">
        <v>1463</v>
      </c>
      <c r="F1654" s="43">
        <v>45463</v>
      </c>
      <c r="G1654" s="44">
        <v>2024</v>
      </c>
      <c r="H1654" s="52" t="s">
        <v>6</v>
      </c>
      <c r="I1654" s="46" t="s">
        <v>20</v>
      </c>
      <c r="J1654" s="46">
        <v>38</v>
      </c>
      <c r="K1654" s="46" t="s">
        <v>24</v>
      </c>
      <c r="L1654" s="46">
        <v>6</v>
      </c>
      <c r="M1654" s="47">
        <v>257</v>
      </c>
    </row>
    <row r="1655" spans="5:13" x14ac:dyDescent="0.25">
      <c r="E1655" s="33">
        <v>1984</v>
      </c>
      <c r="F1655" s="48">
        <v>45440</v>
      </c>
      <c r="G1655" s="49">
        <v>2024</v>
      </c>
      <c r="H1655" s="45" t="s">
        <v>5</v>
      </c>
      <c r="I1655" s="50" t="s">
        <v>22</v>
      </c>
      <c r="J1655" s="50">
        <v>49</v>
      </c>
      <c r="K1655" s="50" t="s">
        <v>23</v>
      </c>
      <c r="L1655" s="50">
        <v>6</v>
      </c>
      <c r="M1655" s="51">
        <v>89</v>
      </c>
    </row>
    <row r="1656" spans="5:13" x14ac:dyDescent="0.25">
      <c r="E1656" s="32">
        <v>799</v>
      </c>
      <c r="F1656" s="43">
        <v>45148</v>
      </c>
      <c r="G1656" s="44">
        <v>2023</v>
      </c>
      <c r="H1656" s="52" t="s">
        <v>8</v>
      </c>
      <c r="I1656" s="46" t="s">
        <v>20</v>
      </c>
      <c r="J1656" s="46">
        <v>21</v>
      </c>
      <c r="K1656" s="46" t="s">
        <v>23</v>
      </c>
      <c r="L1656" s="46">
        <v>4</v>
      </c>
      <c r="M1656" s="47">
        <v>50</v>
      </c>
    </row>
    <row r="1657" spans="5:13" x14ac:dyDescent="0.25">
      <c r="E1657" s="33">
        <v>1238</v>
      </c>
      <c r="F1657" s="48">
        <v>45556</v>
      </c>
      <c r="G1657" s="49">
        <v>2024</v>
      </c>
      <c r="H1657" s="45" t="s">
        <v>9</v>
      </c>
      <c r="I1657" s="50" t="s">
        <v>22</v>
      </c>
      <c r="J1657" s="50">
        <v>46</v>
      </c>
      <c r="K1657" s="50" t="s">
        <v>24</v>
      </c>
      <c r="L1657" s="50">
        <v>4</v>
      </c>
      <c r="M1657" s="51">
        <v>116</v>
      </c>
    </row>
    <row r="1658" spans="5:13" x14ac:dyDescent="0.25">
      <c r="E1658" s="32">
        <v>896</v>
      </c>
      <c r="F1658" s="43">
        <v>45232</v>
      </c>
      <c r="G1658" s="44">
        <v>2023</v>
      </c>
      <c r="H1658" s="52" t="s">
        <v>11</v>
      </c>
      <c r="I1658" s="46" t="s">
        <v>22</v>
      </c>
      <c r="J1658" s="46">
        <v>42</v>
      </c>
      <c r="K1658" s="46" t="s">
        <v>23</v>
      </c>
      <c r="L1658" s="46">
        <v>3</v>
      </c>
      <c r="M1658" s="47">
        <v>30</v>
      </c>
    </row>
    <row r="1659" spans="5:13" x14ac:dyDescent="0.25">
      <c r="E1659" s="33">
        <v>1776</v>
      </c>
      <c r="F1659" s="48">
        <v>45344</v>
      </c>
      <c r="G1659" s="49">
        <v>2024</v>
      </c>
      <c r="H1659" s="45" t="s">
        <v>2</v>
      </c>
      <c r="I1659" s="50" t="s">
        <v>20</v>
      </c>
      <c r="J1659" s="50">
        <v>50</v>
      </c>
      <c r="K1659" s="50" t="s">
        <v>24</v>
      </c>
      <c r="L1659" s="50">
        <v>4</v>
      </c>
      <c r="M1659" s="51">
        <v>313</v>
      </c>
    </row>
    <row r="1660" spans="5:13" x14ac:dyDescent="0.25">
      <c r="E1660" s="32">
        <v>1811</v>
      </c>
      <c r="F1660" s="43">
        <v>45531</v>
      </c>
      <c r="G1660" s="44">
        <v>2024</v>
      </c>
      <c r="H1660" s="52" t="s">
        <v>8</v>
      </c>
      <c r="I1660" s="46" t="s">
        <v>22</v>
      </c>
      <c r="J1660" s="46">
        <v>43</v>
      </c>
      <c r="K1660" s="46" t="s">
        <v>23</v>
      </c>
      <c r="L1660" s="46">
        <v>4</v>
      </c>
      <c r="M1660" s="47">
        <v>73</v>
      </c>
    </row>
    <row r="1661" spans="5:13" x14ac:dyDescent="0.25">
      <c r="E1661" s="33">
        <v>598</v>
      </c>
      <c r="F1661" s="48">
        <v>45249</v>
      </c>
      <c r="G1661" s="49">
        <v>2023</v>
      </c>
      <c r="H1661" s="45" t="s">
        <v>11</v>
      </c>
      <c r="I1661" s="50" t="s">
        <v>22</v>
      </c>
      <c r="J1661" s="50">
        <v>28</v>
      </c>
      <c r="K1661" s="50" t="s">
        <v>21</v>
      </c>
      <c r="L1661" s="50">
        <v>2</v>
      </c>
      <c r="M1661" s="51">
        <v>50</v>
      </c>
    </row>
    <row r="1662" spans="5:13" x14ac:dyDescent="0.25">
      <c r="E1662" s="32">
        <v>574</v>
      </c>
      <c r="F1662" s="43">
        <v>45013</v>
      </c>
      <c r="G1662" s="44">
        <v>2023</v>
      </c>
      <c r="H1662" s="52" t="s">
        <v>3</v>
      </c>
      <c r="I1662" s="46" t="s">
        <v>20</v>
      </c>
      <c r="J1662" s="46">
        <v>60</v>
      </c>
      <c r="K1662" s="46" t="s">
        <v>23</v>
      </c>
      <c r="L1662" s="46">
        <v>2</v>
      </c>
      <c r="M1662" s="47">
        <v>50</v>
      </c>
    </row>
    <row r="1663" spans="5:13" x14ac:dyDescent="0.25">
      <c r="E1663" s="33">
        <v>1005</v>
      </c>
      <c r="F1663" s="48">
        <v>45364</v>
      </c>
      <c r="G1663" s="49">
        <v>2024</v>
      </c>
      <c r="H1663" s="45" t="s">
        <v>3</v>
      </c>
      <c r="I1663" s="50" t="s">
        <v>20</v>
      </c>
      <c r="J1663" s="50">
        <v>36</v>
      </c>
      <c r="K1663" s="50" t="s">
        <v>23</v>
      </c>
      <c r="L1663" s="50">
        <v>6</v>
      </c>
      <c r="M1663" s="51">
        <v>448</v>
      </c>
    </row>
    <row r="1664" spans="5:13" x14ac:dyDescent="0.25">
      <c r="E1664" s="32">
        <v>1687</v>
      </c>
      <c r="F1664" s="43">
        <v>45405</v>
      </c>
      <c r="G1664" s="44">
        <v>2024</v>
      </c>
      <c r="H1664" s="52" t="s">
        <v>4</v>
      </c>
      <c r="I1664" s="46" t="s">
        <v>22</v>
      </c>
      <c r="J1664" s="46">
        <v>46</v>
      </c>
      <c r="K1664" s="46" t="s">
        <v>23</v>
      </c>
      <c r="L1664" s="46">
        <v>6</v>
      </c>
      <c r="M1664" s="47">
        <v>189</v>
      </c>
    </row>
    <row r="1665" spans="5:13" x14ac:dyDescent="0.25">
      <c r="E1665" s="33">
        <v>1715</v>
      </c>
      <c r="F1665" s="48">
        <v>45386</v>
      </c>
      <c r="G1665" s="49">
        <v>2024</v>
      </c>
      <c r="H1665" s="45" t="s">
        <v>4</v>
      </c>
      <c r="I1665" s="50" t="s">
        <v>22</v>
      </c>
      <c r="J1665" s="50">
        <v>51</v>
      </c>
      <c r="K1665" s="50" t="s">
        <v>23</v>
      </c>
      <c r="L1665" s="50">
        <v>3</v>
      </c>
      <c r="M1665" s="51">
        <v>416</v>
      </c>
    </row>
    <row r="1666" spans="5:13" x14ac:dyDescent="0.25">
      <c r="E1666" s="32">
        <v>942</v>
      </c>
      <c r="F1666" s="43">
        <v>45082</v>
      </c>
      <c r="G1666" s="44">
        <v>2023</v>
      </c>
      <c r="H1666" s="52" t="s">
        <v>6</v>
      </c>
      <c r="I1666" s="46" t="s">
        <v>20</v>
      </c>
      <c r="J1666" s="46">
        <v>44</v>
      </c>
      <c r="K1666" s="46" t="s">
        <v>23</v>
      </c>
      <c r="L1666" s="46">
        <v>2</v>
      </c>
      <c r="M1666" s="47">
        <v>25</v>
      </c>
    </row>
    <row r="1667" spans="5:13" x14ac:dyDescent="0.25">
      <c r="E1667" s="33">
        <v>541</v>
      </c>
      <c r="F1667" s="48">
        <v>45094</v>
      </c>
      <c r="G1667" s="49">
        <v>2023</v>
      </c>
      <c r="H1667" s="45" t="s">
        <v>6</v>
      </c>
      <c r="I1667" s="50" t="s">
        <v>22</v>
      </c>
      <c r="J1667" s="50">
        <v>20</v>
      </c>
      <c r="K1667" s="50" t="s">
        <v>21</v>
      </c>
      <c r="L1667" s="50">
        <v>1</v>
      </c>
      <c r="M1667" s="51">
        <v>50</v>
      </c>
    </row>
    <row r="1668" spans="5:13" x14ac:dyDescent="0.25">
      <c r="E1668" s="32">
        <v>821</v>
      </c>
      <c r="F1668" s="43">
        <v>45157</v>
      </c>
      <c r="G1668" s="44">
        <v>2023</v>
      </c>
      <c r="H1668" s="52" t="s">
        <v>8</v>
      </c>
      <c r="I1668" s="46" t="s">
        <v>22</v>
      </c>
      <c r="J1668" s="46">
        <v>56</v>
      </c>
      <c r="K1668" s="46" t="s">
        <v>24</v>
      </c>
      <c r="L1668" s="46">
        <v>2</v>
      </c>
      <c r="M1668" s="47">
        <v>50</v>
      </c>
    </row>
    <row r="1669" spans="5:13" x14ac:dyDescent="0.25">
      <c r="E1669" s="33">
        <v>1380</v>
      </c>
      <c r="F1669" s="48">
        <v>45373</v>
      </c>
      <c r="G1669" s="49">
        <v>2024</v>
      </c>
      <c r="H1669" s="45" t="s">
        <v>3</v>
      </c>
      <c r="I1669" s="50" t="s">
        <v>22</v>
      </c>
      <c r="J1669" s="50">
        <v>29</v>
      </c>
      <c r="K1669" s="50" t="s">
        <v>21</v>
      </c>
      <c r="L1669" s="50">
        <v>2</v>
      </c>
      <c r="M1669" s="51">
        <v>376</v>
      </c>
    </row>
    <row r="1670" spans="5:13" x14ac:dyDescent="0.25">
      <c r="E1670" s="32">
        <v>892</v>
      </c>
      <c r="F1670" s="43">
        <v>45174</v>
      </c>
      <c r="G1670" s="44">
        <v>2023</v>
      </c>
      <c r="H1670" s="52" t="s">
        <v>9</v>
      </c>
      <c r="I1670" s="46" t="s">
        <v>20</v>
      </c>
      <c r="J1670" s="46">
        <v>52</v>
      </c>
      <c r="K1670" s="46" t="s">
        <v>24</v>
      </c>
      <c r="L1670" s="46">
        <v>1</v>
      </c>
      <c r="M1670" s="47">
        <v>30</v>
      </c>
    </row>
    <row r="1671" spans="5:13" x14ac:dyDescent="0.25">
      <c r="E1671" s="33">
        <v>329</v>
      </c>
      <c r="F1671" s="48">
        <v>45187</v>
      </c>
      <c r="G1671" s="49">
        <v>2023</v>
      </c>
      <c r="H1671" s="45" t="s">
        <v>9</v>
      </c>
      <c r="I1671" s="50" t="s">
        <v>22</v>
      </c>
      <c r="J1671" s="50">
        <v>25</v>
      </c>
      <c r="K1671" s="50" t="s">
        <v>21</v>
      </c>
      <c r="L1671" s="50">
        <v>4</v>
      </c>
      <c r="M1671" s="51">
        <v>50</v>
      </c>
    </row>
    <row r="1672" spans="5:13" x14ac:dyDescent="0.25">
      <c r="E1672" s="32">
        <v>1397</v>
      </c>
      <c r="F1672" s="43">
        <v>45346</v>
      </c>
      <c r="G1672" s="44">
        <v>2024</v>
      </c>
      <c r="H1672" s="52" t="s">
        <v>2</v>
      </c>
      <c r="I1672" s="46" t="s">
        <v>20</v>
      </c>
      <c r="J1672" s="46">
        <v>60</v>
      </c>
      <c r="K1672" s="46" t="s">
        <v>23</v>
      </c>
      <c r="L1672" s="46">
        <v>7</v>
      </c>
      <c r="M1672" s="47">
        <v>254</v>
      </c>
    </row>
    <row r="1673" spans="5:13" x14ac:dyDescent="0.25">
      <c r="E1673" s="33">
        <v>1117</v>
      </c>
      <c r="F1673" s="48">
        <v>45364</v>
      </c>
      <c r="G1673" s="49">
        <v>2024</v>
      </c>
      <c r="H1673" s="45" t="s">
        <v>3</v>
      </c>
      <c r="I1673" s="50" t="s">
        <v>22</v>
      </c>
      <c r="J1673" s="50">
        <v>41</v>
      </c>
      <c r="K1673" s="50" t="s">
        <v>23</v>
      </c>
      <c r="L1673" s="50">
        <v>7</v>
      </c>
      <c r="M1673" s="51">
        <v>109</v>
      </c>
    </row>
    <row r="1674" spans="5:13" x14ac:dyDescent="0.25">
      <c r="E1674" s="32">
        <v>1830</v>
      </c>
      <c r="F1674" s="43">
        <v>45386</v>
      </c>
      <c r="G1674" s="44">
        <v>2024</v>
      </c>
      <c r="H1674" s="52" t="s">
        <v>4</v>
      </c>
      <c r="I1674" s="46" t="s">
        <v>22</v>
      </c>
      <c r="J1674" s="46">
        <v>42</v>
      </c>
      <c r="K1674" s="46" t="s">
        <v>21</v>
      </c>
      <c r="L1674" s="46">
        <v>5</v>
      </c>
      <c r="M1674" s="47">
        <v>354</v>
      </c>
    </row>
    <row r="1675" spans="5:13" x14ac:dyDescent="0.25">
      <c r="E1675" s="33">
        <v>360</v>
      </c>
      <c r="F1675" s="48">
        <v>45270</v>
      </c>
      <c r="G1675" s="49">
        <v>2023</v>
      </c>
      <c r="H1675" s="45" t="s">
        <v>12</v>
      </c>
      <c r="I1675" s="50" t="s">
        <v>22</v>
      </c>
      <c r="J1675" s="50">
        <v>34</v>
      </c>
      <c r="K1675" s="50" t="s">
        <v>24</v>
      </c>
      <c r="L1675" s="50">
        <v>4</v>
      </c>
      <c r="M1675" s="51">
        <v>300</v>
      </c>
    </row>
    <row r="1676" spans="5:13" x14ac:dyDescent="0.25">
      <c r="E1676" s="32">
        <v>37</v>
      </c>
      <c r="F1676" s="43">
        <v>45069</v>
      </c>
      <c r="G1676" s="44">
        <v>2023</v>
      </c>
      <c r="H1676" s="52" t="s">
        <v>5</v>
      </c>
      <c r="I1676" s="46" t="s">
        <v>22</v>
      </c>
      <c r="J1676" s="46">
        <v>18</v>
      </c>
      <c r="K1676" s="46" t="s">
        <v>21</v>
      </c>
      <c r="L1676" s="46">
        <v>3</v>
      </c>
      <c r="M1676" s="47">
        <v>25</v>
      </c>
    </row>
    <row r="1677" spans="5:13" x14ac:dyDescent="0.25">
      <c r="E1677" s="33">
        <v>561</v>
      </c>
      <c r="F1677" s="48">
        <v>45034</v>
      </c>
      <c r="G1677" s="49">
        <v>2023</v>
      </c>
      <c r="H1677" s="45" t="s">
        <v>4</v>
      </c>
      <c r="I1677" s="50" t="s">
        <v>20</v>
      </c>
      <c r="J1677" s="50">
        <v>54</v>
      </c>
      <c r="K1677" s="50" t="s">
        <v>24</v>
      </c>
      <c r="L1677" s="50">
        <v>2</v>
      </c>
      <c r="M1677" s="51">
        <v>25</v>
      </c>
    </row>
    <row r="1678" spans="5:13" x14ac:dyDescent="0.25">
      <c r="E1678" s="32">
        <v>1277</v>
      </c>
      <c r="F1678" s="43">
        <v>45386</v>
      </c>
      <c r="G1678" s="44">
        <v>2024</v>
      </c>
      <c r="H1678" s="52" t="s">
        <v>4</v>
      </c>
      <c r="I1678" s="46" t="s">
        <v>22</v>
      </c>
      <c r="J1678" s="46">
        <v>49</v>
      </c>
      <c r="K1678" s="46" t="s">
        <v>23</v>
      </c>
      <c r="L1678" s="46">
        <v>3</v>
      </c>
      <c r="M1678" s="47">
        <v>479</v>
      </c>
    </row>
    <row r="1679" spans="5:13" x14ac:dyDescent="0.25">
      <c r="E1679" s="33">
        <v>1446</v>
      </c>
      <c r="F1679" s="48">
        <v>45476</v>
      </c>
      <c r="G1679" s="49">
        <v>2024</v>
      </c>
      <c r="H1679" s="45" t="s">
        <v>7</v>
      </c>
      <c r="I1679" s="50" t="s">
        <v>20</v>
      </c>
      <c r="J1679" s="50">
        <v>18</v>
      </c>
      <c r="K1679" s="50" t="s">
        <v>24</v>
      </c>
      <c r="L1679" s="50">
        <v>4</v>
      </c>
      <c r="M1679" s="51">
        <v>234</v>
      </c>
    </row>
    <row r="1680" spans="5:13" x14ac:dyDescent="0.25">
      <c r="E1680" s="32">
        <v>1769</v>
      </c>
      <c r="F1680" s="43">
        <v>45496</v>
      </c>
      <c r="G1680" s="44">
        <v>2024</v>
      </c>
      <c r="H1680" s="52" t="s">
        <v>7</v>
      </c>
      <c r="I1680" s="46" t="s">
        <v>20</v>
      </c>
      <c r="J1680" s="46">
        <v>32</v>
      </c>
      <c r="K1680" s="46" t="s">
        <v>24</v>
      </c>
      <c r="L1680" s="46">
        <v>1</v>
      </c>
      <c r="M1680" s="47">
        <v>447</v>
      </c>
    </row>
    <row r="1681" spans="5:13" x14ac:dyDescent="0.25">
      <c r="E1681" s="33">
        <v>1716</v>
      </c>
      <c r="F1681" s="48">
        <v>45317</v>
      </c>
      <c r="G1681" s="49">
        <v>2024</v>
      </c>
      <c r="H1681" s="45" t="s">
        <v>1</v>
      </c>
      <c r="I1681" s="50" t="s">
        <v>22</v>
      </c>
      <c r="J1681" s="50">
        <v>45</v>
      </c>
      <c r="K1681" s="50" t="s">
        <v>21</v>
      </c>
      <c r="L1681" s="50">
        <v>2</v>
      </c>
      <c r="M1681" s="51">
        <v>437</v>
      </c>
    </row>
    <row r="1682" spans="5:13" x14ac:dyDescent="0.25">
      <c r="E1682" s="32">
        <v>703</v>
      </c>
      <c r="F1682" s="43">
        <v>44992</v>
      </c>
      <c r="G1682" s="44">
        <v>2023</v>
      </c>
      <c r="H1682" s="52" t="s">
        <v>3</v>
      </c>
      <c r="I1682" s="46" t="s">
        <v>20</v>
      </c>
      <c r="J1682" s="46">
        <v>60</v>
      </c>
      <c r="K1682" s="46" t="s">
        <v>24</v>
      </c>
      <c r="L1682" s="46">
        <v>2</v>
      </c>
      <c r="M1682" s="47">
        <v>25</v>
      </c>
    </row>
    <row r="1683" spans="5:13" x14ac:dyDescent="0.25">
      <c r="E1683" s="33">
        <v>1893</v>
      </c>
      <c r="F1683" s="48">
        <v>45561</v>
      </c>
      <c r="G1683" s="49">
        <v>2024</v>
      </c>
      <c r="H1683" s="45" t="s">
        <v>9</v>
      </c>
      <c r="I1683" s="50" t="s">
        <v>22</v>
      </c>
      <c r="J1683" s="50">
        <v>41</v>
      </c>
      <c r="K1683" s="50" t="s">
        <v>24</v>
      </c>
      <c r="L1683" s="50">
        <v>1</v>
      </c>
      <c r="M1683" s="51">
        <v>40</v>
      </c>
    </row>
    <row r="1684" spans="5:13" x14ac:dyDescent="0.25">
      <c r="E1684" s="32">
        <v>1419</v>
      </c>
      <c r="F1684" s="43">
        <v>45463</v>
      </c>
      <c r="G1684" s="44">
        <v>2024</v>
      </c>
      <c r="H1684" s="52" t="s">
        <v>6</v>
      </c>
      <c r="I1684" s="46" t="s">
        <v>22</v>
      </c>
      <c r="J1684" s="46">
        <v>35</v>
      </c>
      <c r="K1684" s="46" t="s">
        <v>23</v>
      </c>
      <c r="L1684" s="46">
        <v>5</v>
      </c>
      <c r="M1684" s="47">
        <v>409</v>
      </c>
    </row>
    <row r="1685" spans="5:13" x14ac:dyDescent="0.25">
      <c r="E1685" s="33">
        <v>1829</v>
      </c>
      <c r="F1685" s="48">
        <v>45459</v>
      </c>
      <c r="G1685" s="49">
        <v>2024</v>
      </c>
      <c r="H1685" s="45" t="s">
        <v>6</v>
      </c>
      <c r="I1685" s="50" t="s">
        <v>20</v>
      </c>
      <c r="J1685" s="50">
        <v>52</v>
      </c>
      <c r="K1685" s="50" t="s">
        <v>21</v>
      </c>
      <c r="L1685" s="50">
        <v>6</v>
      </c>
      <c r="M1685" s="51">
        <v>335</v>
      </c>
    </row>
    <row r="1686" spans="5:13" x14ac:dyDescent="0.25">
      <c r="E1686" s="32">
        <v>1889</v>
      </c>
      <c r="F1686" s="43">
        <v>45403</v>
      </c>
      <c r="G1686" s="44">
        <v>2024</v>
      </c>
      <c r="H1686" s="52" t="s">
        <v>4</v>
      </c>
      <c r="I1686" s="46" t="s">
        <v>20</v>
      </c>
      <c r="J1686" s="46">
        <v>39</v>
      </c>
      <c r="K1686" s="46" t="s">
        <v>24</v>
      </c>
      <c r="L1686" s="46">
        <v>4</v>
      </c>
      <c r="M1686" s="47">
        <v>481</v>
      </c>
    </row>
    <row r="1687" spans="5:13" x14ac:dyDescent="0.25">
      <c r="E1687" s="33">
        <v>1280</v>
      </c>
      <c r="F1687" s="48">
        <v>45420</v>
      </c>
      <c r="G1687" s="49">
        <v>2024</v>
      </c>
      <c r="H1687" s="45" t="s">
        <v>5</v>
      </c>
      <c r="I1687" s="50" t="s">
        <v>22</v>
      </c>
      <c r="J1687" s="50">
        <v>49</v>
      </c>
      <c r="K1687" s="50" t="s">
        <v>24</v>
      </c>
      <c r="L1687" s="50">
        <v>7</v>
      </c>
      <c r="M1687" s="51">
        <v>174</v>
      </c>
    </row>
    <row r="1688" spans="5:13" x14ac:dyDescent="0.25">
      <c r="E1688" s="32">
        <v>1520</v>
      </c>
      <c r="F1688" s="43">
        <v>45559</v>
      </c>
      <c r="G1688" s="44">
        <v>2024</v>
      </c>
      <c r="H1688" s="52" t="s">
        <v>9</v>
      </c>
      <c r="I1688" s="46" t="s">
        <v>22</v>
      </c>
      <c r="J1688" s="46">
        <v>65</v>
      </c>
      <c r="K1688" s="46" t="s">
        <v>24</v>
      </c>
      <c r="L1688" s="46">
        <v>4</v>
      </c>
      <c r="M1688" s="47">
        <v>443</v>
      </c>
    </row>
    <row r="1689" spans="5:13" x14ac:dyDescent="0.25">
      <c r="E1689" s="33">
        <v>832</v>
      </c>
      <c r="F1689" s="48">
        <v>45020</v>
      </c>
      <c r="G1689" s="49">
        <v>2023</v>
      </c>
      <c r="H1689" s="45" t="s">
        <v>4</v>
      </c>
      <c r="I1689" s="50" t="s">
        <v>22</v>
      </c>
      <c r="J1689" s="50">
        <v>56</v>
      </c>
      <c r="K1689" s="50" t="s">
        <v>21</v>
      </c>
      <c r="L1689" s="50">
        <v>2</v>
      </c>
      <c r="M1689" s="51">
        <v>30</v>
      </c>
    </row>
    <row r="1690" spans="5:13" x14ac:dyDescent="0.25">
      <c r="E1690" s="32">
        <v>1645</v>
      </c>
      <c r="F1690" s="43">
        <v>45518</v>
      </c>
      <c r="G1690" s="44">
        <v>2024</v>
      </c>
      <c r="H1690" s="52" t="s">
        <v>8</v>
      </c>
      <c r="I1690" s="46" t="s">
        <v>20</v>
      </c>
      <c r="J1690" s="46">
        <v>46</v>
      </c>
      <c r="K1690" s="46" t="s">
        <v>21</v>
      </c>
      <c r="L1690" s="46">
        <v>7</v>
      </c>
      <c r="M1690" s="47">
        <v>243</v>
      </c>
    </row>
    <row r="1691" spans="5:13" x14ac:dyDescent="0.25">
      <c r="E1691" s="33">
        <v>1451</v>
      </c>
      <c r="F1691" s="48">
        <v>45344</v>
      </c>
      <c r="G1691" s="49">
        <v>2024</v>
      </c>
      <c r="H1691" s="45" t="s">
        <v>2</v>
      </c>
      <c r="I1691" s="50" t="s">
        <v>22</v>
      </c>
      <c r="J1691" s="50">
        <v>22</v>
      </c>
      <c r="K1691" s="50" t="s">
        <v>21</v>
      </c>
      <c r="L1691" s="50">
        <v>2</v>
      </c>
      <c r="M1691" s="51">
        <v>284</v>
      </c>
    </row>
    <row r="1692" spans="5:13" x14ac:dyDescent="0.25">
      <c r="E1692" s="32">
        <v>652</v>
      </c>
      <c r="F1692" s="43">
        <v>45098</v>
      </c>
      <c r="G1692" s="44">
        <v>2023</v>
      </c>
      <c r="H1692" s="52" t="s">
        <v>6</v>
      </c>
      <c r="I1692" s="46" t="s">
        <v>20</v>
      </c>
      <c r="J1692" s="46">
        <v>42</v>
      </c>
      <c r="K1692" s="46" t="s">
        <v>23</v>
      </c>
      <c r="L1692" s="46">
        <v>3</v>
      </c>
      <c r="M1692" s="47">
        <v>25</v>
      </c>
    </row>
    <row r="1693" spans="5:13" x14ac:dyDescent="0.25">
      <c r="E1693" s="33">
        <v>1315</v>
      </c>
      <c r="F1693" s="48">
        <v>45589</v>
      </c>
      <c r="G1693" s="49">
        <v>2024</v>
      </c>
      <c r="H1693" s="45" t="s">
        <v>10</v>
      </c>
      <c r="I1693" s="50" t="s">
        <v>20</v>
      </c>
      <c r="J1693" s="50">
        <v>60</v>
      </c>
      <c r="K1693" s="50" t="s">
        <v>23</v>
      </c>
      <c r="L1693" s="50">
        <v>3</v>
      </c>
      <c r="M1693" s="51">
        <v>125</v>
      </c>
    </row>
    <row r="1694" spans="5:13" x14ac:dyDescent="0.25">
      <c r="E1694" s="32">
        <v>803</v>
      </c>
      <c r="F1694" s="43">
        <v>45289</v>
      </c>
      <c r="G1694" s="44">
        <v>2023</v>
      </c>
      <c r="H1694" s="52" t="s">
        <v>12</v>
      </c>
      <c r="I1694" s="46" t="s">
        <v>22</v>
      </c>
      <c r="J1694" s="46">
        <v>30</v>
      </c>
      <c r="K1694" s="46" t="s">
        <v>21</v>
      </c>
      <c r="L1694" s="46">
        <v>3</v>
      </c>
      <c r="M1694" s="47">
        <v>500</v>
      </c>
    </row>
    <row r="1695" spans="5:13" x14ac:dyDescent="0.25">
      <c r="E1695" s="33">
        <v>251</v>
      </c>
      <c r="F1695" s="48">
        <v>45051</v>
      </c>
      <c r="G1695" s="49">
        <v>2023</v>
      </c>
      <c r="H1695" s="45" t="s">
        <v>5</v>
      </c>
      <c r="I1695" s="50" t="s">
        <v>20</v>
      </c>
      <c r="J1695" s="50">
        <v>54</v>
      </c>
      <c r="K1695" s="50" t="s">
        <v>24</v>
      </c>
      <c r="L1695" s="50">
        <v>1</v>
      </c>
      <c r="M1695" s="51">
        <v>300</v>
      </c>
    </row>
    <row r="1696" spans="5:13" x14ac:dyDescent="0.25">
      <c r="E1696" s="32">
        <v>32</v>
      </c>
      <c r="F1696" s="43">
        <v>44930</v>
      </c>
      <c r="G1696" s="44">
        <v>2023</v>
      </c>
      <c r="H1696" s="52" t="s">
        <v>1</v>
      </c>
      <c r="I1696" s="46" t="s">
        <v>20</v>
      </c>
      <c r="J1696" s="46">
        <v>30</v>
      </c>
      <c r="K1696" s="46" t="s">
        <v>21</v>
      </c>
      <c r="L1696" s="46">
        <v>3</v>
      </c>
      <c r="M1696" s="47">
        <v>30</v>
      </c>
    </row>
    <row r="1697" spans="5:13" x14ac:dyDescent="0.25">
      <c r="E1697" s="33">
        <v>1828</v>
      </c>
      <c r="F1697" s="48">
        <v>45546</v>
      </c>
      <c r="G1697" s="49">
        <v>2024</v>
      </c>
      <c r="H1697" s="45" t="s">
        <v>9</v>
      </c>
      <c r="I1697" s="50" t="s">
        <v>20</v>
      </c>
      <c r="J1697" s="50">
        <v>46</v>
      </c>
      <c r="K1697" s="50" t="s">
        <v>21</v>
      </c>
      <c r="L1697" s="50">
        <v>2</v>
      </c>
      <c r="M1697" s="51">
        <v>421</v>
      </c>
    </row>
    <row r="1698" spans="5:13" x14ac:dyDescent="0.25">
      <c r="E1698" s="32">
        <v>1858</v>
      </c>
      <c r="F1698" s="43">
        <v>45443</v>
      </c>
      <c r="G1698" s="44">
        <v>2024</v>
      </c>
      <c r="H1698" s="52" t="s">
        <v>5</v>
      </c>
      <c r="I1698" s="46" t="s">
        <v>20</v>
      </c>
      <c r="J1698" s="46">
        <v>59</v>
      </c>
      <c r="K1698" s="46" t="s">
        <v>24</v>
      </c>
      <c r="L1698" s="46">
        <v>5</v>
      </c>
      <c r="M1698" s="47">
        <v>31</v>
      </c>
    </row>
    <row r="1699" spans="5:13" x14ac:dyDescent="0.25">
      <c r="E1699" s="33">
        <v>635</v>
      </c>
      <c r="F1699" s="48">
        <v>45008</v>
      </c>
      <c r="G1699" s="49">
        <v>2023</v>
      </c>
      <c r="H1699" s="45" t="s">
        <v>3</v>
      </c>
      <c r="I1699" s="50" t="s">
        <v>22</v>
      </c>
      <c r="J1699" s="50">
        <v>21</v>
      </c>
      <c r="K1699" s="50" t="s">
        <v>21</v>
      </c>
      <c r="L1699" s="50">
        <v>3</v>
      </c>
      <c r="M1699" s="51">
        <v>500</v>
      </c>
    </row>
    <row r="1700" spans="5:13" x14ac:dyDescent="0.25">
      <c r="E1700" s="32">
        <v>226</v>
      </c>
      <c r="F1700" s="43">
        <v>45210</v>
      </c>
      <c r="G1700" s="44">
        <v>2023</v>
      </c>
      <c r="H1700" s="52" t="s">
        <v>10</v>
      </c>
      <c r="I1700" s="46" t="s">
        <v>20</v>
      </c>
      <c r="J1700" s="46">
        <v>36</v>
      </c>
      <c r="K1700" s="46" t="s">
        <v>24</v>
      </c>
      <c r="L1700" s="46">
        <v>2</v>
      </c>
      <c r="M1700" s="47">
        <v>50</v>
      </c>
    </row>
    <row r="1701" spans="5:13" x14ac:dyDescent="0.25">
      <c r="E1701" s="33">
        <v>696</v>
      </c>
      <c r="F1701" s="48">
        <v>45126</v>
      </c>
      <c r="G1701" s="49">
        <v>2023</v>
      </c>
      <c r="H1701" s="45" t="s">
        <v>7</v>
      </c>
      <c r="I1701" s="50" t="s">
        <v>22</v>
      </c>
      <c r="J1701" s="50">
        <v>64</v>
      </c>
      <c r="K1701" s="50" t="s">
        <v>24</v>
      </c>
      <c r="L1701" s="50">
        <v>1</v>
      </c>
      <c r="M1701" s="51">
        <v>300</v>
      </c>
    </row>
    <row r="1702" spans="5:13" x14ac:dyDescent="0.25">
      <c r="E1702" s="32">
        <v>250</v>
      </c>
      <c r="F1702" s="43">
        <v>45169</v>
      </c>
      <c r="G1702" s="44">
        <v>2023</v>
      </c>
      <c r="H1702" s="52" t="s">
        <v>8</v>
      </c>
      <c r="I1702" s="46" t="s">
        <v>22</v>
      </c>
      <c r="J1702" s="46">
        <v>57</v>
      </c>
      <c r="K1702" s="46" t="s">
        <v>21</v>
      </c>
      <c r="L1702" s="46">
        <v>4</v>
      </c>
      <c r="M1702" s="47">
        <v>50</v>
      </c>
    </row>
    <row r="1703" spans="5:13" x14ac:dyDescent="0.25">
      <c r="E1703" s="33">
        <v>1684</v>
      </c>
      <c r="F1703" s="48">
        <v>45568</v>
      </c>
      <c r="G1703" s="49">
        <v>2024</v>
      </c>
      <c r="H1703" s="45" t="s">
        <v>10</v>
      </c>
      <c r="I1703" s="50" t="s">
        <v>20</v>
      </c>
      <c r="J1703" s="50">
        <v>55</v>
      </c>
      <c r="K1703" s="50" t="s">
        <v>23</v>
      </c>
      <c r="L1703" s="50">
        <v>3</v>
      </c>
      <c r="M1703" s="51">
        <v>60</v>
      </c>
    </row>
    <row r="1704" spans="5:13" x14ac:dyDescent="0.25">
      <c r="E1704" s="32">
        <v>1215</v>
      </c>
      <c r="F1704" s="43">
        <v>45557</v>
      </c>
      <c r="G1704" s="44">
        <v>2024</v>
      </c>
      <c r="H1704" s="52" t="s">
        <v>9</v>
      </c>
      <c r="I1704" s="46" t="s">
        <v>20</v>
      </c>
      <c r="J1704" s="46">
        <v>31</v>
      </c>
      <c r="K1704" s="46" t="s">
        <v>21</v>
      </c>
      <c r="L1704" s="46">
        <v>5</v>
      </c>
      <c r="M1704" s="47">
        <v>239</v>
      </c>
    </row>
    <row r="1705" spans="5:13" x14ac:dyDescent="0.25">
      <c r="E1705" s="33">
        <v>443</v>
      </c>
      <c r="F1705" s="48">
        <v>44992</v>
      </c>
      <c r="G1705" s="49">
        <v>2023</v>
      </c>
      <c r="H1705" s="45" t="s">
        <v>3</v>
      </c>
      <c r="I1705" s="50" t="s">
        <v>22</v>
      </c>
      <c r="J1705" s="50">
        <v>61</v>
      </c>
      <c r="K1705" s="50" t="s">
        <v>23</v>
      </c>
      <c r="L1705" s="50">
        <v>3</v>
      </c>
      <c r="M1705" s="51">
        <v>30</v>
      </c>
    </row>
    <row r="1706" spans="5:13" x14ac:dyDescent="0.25">
      <c r="E1706" s="32">
        <v>736</v>
      </c>
      <c r="F1706" s="43">
        <v>45041</v>
      </c>
      <c r="G1706" s="44">
        <v>2023</v>
      </c>
      <c r="H1706" s="52" t="s">
        <v>4</v>
      </c>
      <c r="I1706" s="46" t="s">
        <v>20</v>
      </c>
      <c r="J1706" s="46">
        <v>41</v>
      </c>
      <c r="K1706" s="46" t="s">
        <v>23</v>
      </c>
      <c r="L1706" s="46">
        <v>2</v>
      </c>
      <c r="M1706" s="47">
        <v>50</v>
      </c>
    </row>
    <row r="1707" spans="5:13" x14ac:dyDescent="0.25">
      <c r="E1707" s="33">
        <v>1312</v>
      </c>
      <c r="F1707" s="48">
        <v>45444</v>
      </c>
      <c r="G1707" s="49">
        <v>2024</v>
      </c>
      <c r="H1707" s="45" t="s">
        <v>6</v>
      </c>
      <c r="I1707" s="50" t="s">
        <v>20</v>
      </c>
      <c r="J1707" s="50">
        <v>65</v>
      </c>
      <c r="K1707" s="50" t="s">
        <v>23</v>
      </c>
      <c r="L1707" s="50">
        <v>2</v>
      </c>
      <c r="M1707" s="51">
        <v>427</v>
      </c>
    </row>
    <row r="1708" spans="5:13" x14ac:dyDescent="0.25">
      <c r="E1708" s="32">
        <v>1773</v>
      </c>
      <c r="F1708" s="43">
        <v>45646</v>
      </c>
      <c r="G1708" s="44">
        <v>2024</v>
      </c>
      <c r="H1708" s="52" t="s">
        <v>12</v>
      </c>
      <c r="I1708" s="46" t="s">
        <v>20</v>
      </c>
      <c r="J1708" s="46">
        <v>42</v>
      </c>
      <c r="K1708" s="46" t="s">
        <v>24</v>
      </c>
      <c r="L1708" s="46">
        <v>5</v>
      </c>
      <c r="M1708" s="47">
        <v>487</v>
      </c>
    </row>
    <row r="1709" spans="5:13" x14ac:dyDescent="0.25">
      <c r="E1709" s="33">
        <v>739</v>
      </c>
      <c r="F1709" s="48">
        <v>45260</v>
      </c>
      <c r="G1709" s="49">
        <v>2023</v>
      </c>
      <c r="H1709" s="45" t="s">
        <v>11</v>
      </c>
      <c r="I1709" s="50" t="s">
        <v>20</v>
      </c>
      <c r="J1709" s="50">
        <v>48</v>
      </c>
      <c r="K1709" s="50" t="s">
        <v>23</v>
      </c>
      <c r="L1709" s="50">
        <v>1</v>
      </c>
      <c r="M1709" s="51">
        <v>300</v>
      </c>
    </row>
    <row r="1710" spans="5:13" x14ac:dyDescent="0.25">
      <c r="E1710" s="32">
        <v>1622</v>
      </c>
      <c r="F1710" s="43">
        <v>45634</v>
      </c>
      <c r="G1710" s="44">
        <v>2024</v>
      </c>
      <c r="H1710" s="52" t="s">
        <v>12</v>
      </c>
      <c r="I1710" s="46" t="s">
        <v>20</v>
      </c>
      <c r="J1710" s="46">
        <v>42</v>
      </c>
      <c r="K1710" s="46" t="s">
        <v>23</v>
      </c>
      <c r="L1710" s="46">
        <v>3</v>
      </c>
      <c r="M1710" s="47">
        <v>85</v>
      </c>
    </row>
    <row r="1711" spans="5:13" x14ac:dyDescent="0.25">
      <c r="E1711" s="33">
        <v>798</v>
      </c>
      <c r="F1711" s="48">
        <v>44981</v>
      </c>
      <c r="G1711" s="49">
        <v>2023</v>
      </c>
      <c r="H1711" s="45" t="s">
        <v>2</v>
      </c>
      <c r="I1711" s="50" t="s">
        <v>20</v>
      </c>
      <c r="J1711" s="50">
        <v>32</v>
      </c>
      <c r="K1711" s="50" t="s">
        <v>23</v>
      </c>
      <c r="L1711" s="50">
        <v>4</v>
      </c>
      <c r="M1711" s="51">
        <v>300</v>
      </c>
    </row>
    <row r="1712" spans="5:13" x14ac:dyDescent="0.25">
      <c r="E1712" s="32">
        <v>1512</v>
      </c>
      <c r="F1712" s="43">
        <v>45490</v>
      </c>
      <c r="G1712" s="44">
        <v>2024</v>
      </c>
      <c r="H1712" s="52" t="s">
        <v>7</v>
      </c>
      <c r="I1712" s="46" t="s">
        <v>22</v>
      </c>
      <c r="J1712" s="46">
        <v>33</v>
      </c>
      <c r="K1712" s="46" t="s">
        <v>23</v>
      </c>
      <c r="L1712" s="46">
        <v>3</v>
      </c>
      <c r="M1712" s="47">
        <v>51</v>
      </c>
    </row>
    <row r="1713" spans="5:13" x14ac:dyDescent="0.25">
      <c r="E1713" s="33">
        <v>176</v>
      </c>
      <c r="F1713" s="48">
        <v>45118</v>
      </c>
      <c r="G1713" s="49">
        <v>2023</v>
      </c>
      <c r="H1713" s="45" t="s">
        <v>7</v>
      </c>
      <c r="I1713" s="50" t="s">
        <v>22</v>
      </c>
      <c r="J1713" s="50">
        <v>43</v>
      </c>
      <c r="K1713" s="50" t="s">
        <v>21</v>
      </c>
      <c r="L1713" s="50">
        <v>2</v>
      </c>
      <c r="M1713" s="51">
        <v>50</v>
      </c>
    </row>
    <row r="1714" spans="5:13" x14ac:dyDescent="0.25">
      <c r="E1714" s="32">
        <v>149</v>
      </c>
      <c r="F1714" s="43">
        <v>45210</v>
      </c>
      <c r="G1714" s="44">
        <v>2023</v>
      </c>
      <c r="H1714" s="52" t="s">
        <v>10</v>
      </c>
      <c r="I1714" s="46" t="s">
        <v>20</v>
      </c>
      <c r="J1714" s="46">
        <v>22</v>
      </c>
      <c r="K1714" s="46" t="s">
        <v>23</v>
      </c>
      <c r="L1714" s="46">
        <v>3</v>
      </c>
      <c r="M1714" s="47">
        <v>25</v>
      </c>
    </row>
    <row r="1715" spans="5:13" x14ac:dyDescent="0.25">
      <c r="E1715" s="33">
        <v>624</v>
      </c>
      <c r="F1715" s="48">
        <v>45268</v>
      </c>
      <c r="G1715" s="49">
        <v>2023</v>
      </c>
      <c r="H1715" s="45" t="s">
        <v>12</v>
      </c>
      <c r="I1715" s="50" t="s">
        <v>20</v>
      </c>
      <c r="J1715" s="50">
        <v>31</v>
      </c>
      <c r="K1715" s="50" t="s">
        <v>23</v>
      </c>
      <c r="L1715" s="50">
        <v>1</v>
      </c>
      <c r="M1715" s="51">
        <v>300</v>
      </c>
    </row>
    <row r="1716" spans="5:13" x14ac:dyDescent="0.25">
      <c r="E1716" s="32">
        <v>447</v>
      </c>
      <c r="F1716" s="43">
        <v>44947</v>
      </c>
      <c r="G1716" s="44">
        <v>2023</v>
      </c>
      <c r="H1716" s="52" t="s">
        <v>1</v>
      </c>
      <c r="I1716" s="46" t="s">
        <v>22</v>
      </c>
      <c r="J1716" s="46">
        <v>54</v>
      </c>
      <c r="K1716" s="46" t="s">
        <v>21</v>
      </c>
      <c r="L1716" s="46">
        <v>2</v>
      </c>
      <c r="M1716" s="47">
        <v>30</v>
      </c>
    </row>
    <row r="1717" spans="5:13" x14ac:dyDescent="0.25">
      <c r="E1717" s="33">
        <v>1152</v>
      </c>
      <c r="F1717" s="48">
        <v>45567</v>
      </c>
      <c r="G1717" s="49">
        <v>2024</v>
      </c>
      <c r="H1717" s="45" t="s">
        <v>10</v>
      </c>
      <c r="I1717" s="50" t="s">
        <v>20</v>
      </c>
      <c r="J1717" s="50">
        <v>23</v>
      </c>
      <c r="K1717" s="50" t="s">
        <v>24</v>
      </c>
      <c r="L1717" s="50">
        <v>3</v>
      </c>
      <c r="M1717" s="51">
        <v>364</v>
      </c>
    </row>
    <row r="1718" spans="5:13" x14ac:dyDescent="0.25">
      <c r="E1718" s="32">
        <v>1644</v>
      </c>
      <c r="F1718" s="43">
        <v>45433</v>
      </c>
      <c r="G1718" s="44">
        <v>2024</v>
      </c>
      <c r="H1718" s="52" t="s">
        <v>5</v>
      </c>
      <c r="I1718" s="46" t="s">
        <v>20</v>
      </c>
      <c r="J1718" s="46">
        <v>24</v>
      </c>
      <c r="K1718" s="46" t="s">
        <v>23</v>
      </c>
      <c r="L1718" s="46">
        <v>5</v>
      </c>
      <c r="M1718" s="47">
        <v>419</v>
      </c>
    </row>
    <row r="1719" spans="5:13" x14ac:dyDescent="0.25">
      <c r="E1719" s="33">
        <v>1894</v>
      </c>
      <c r="F1719" s="48">
        <v>45598</v>
      </c>
      <c r="G1719" s="49">
        <v>2024</v>
      </c>
      <c r="H1719" s="45" t="s">
        <v>11</v>
      </c>
      <c r="I1719" s="50" t="s">
        <v>22</v>
      </c>
      <c r="J1719" s="50">
        <v>59</v>
      </c>
      <c r="K1719" s="50" t="s">
        <v>23</v>
      </c>
      <c r="L1719" s="50">
        <v>3</v>
      </c>
      <c r="M1719" s="51">
        <v>390</v>
      </c>
    </row>
    <row r="1720" spans="5:13" x14ac:dyDescent="0.25">
      <c r="E1720" s="32">
        <v>1578</v>
      </c>
      <c r="F1720" s="43">
        <v>45617</v>
      </c>
      <c r="G1720" s="44">
        <v>2024</v>
      </c>
      <c r="H1720" s="52" t="s">
        <v>11</v>
      </c>
      <c r="I1720" s="46" t="s">
        <v>22</v>
      </c>
      <c r="J1720" s="46">
        <v>46</v>
      </c>
      <c r="K1720" s="46" t="s">
        <v>21</v>
      </c>
      <c r="L1720" s="46">
        <v>2</v>
      </c>
      <c r="M1720" s="47">
        <v>192</v>
      </c>
    </row>
    <row r="1721" spans="5:13" x14ac:dyDescent="0.25">
      <c r="E1721" s="33">
        <v>1120</v>
      </c>
      <c r="F1721" s="48">
        <v>45568</v>
      </c>
      <c r="G1721" s="49">
        <v>2024</v>
      </c>
      <c r="H1721" s="45" t="s">
        <v>10</v>
      </c>
      <c r="I1721" s="50" t="s">
        <v>20</v>
      </c>
      <c r="J1721" s="50">
        <v>29</v>
      </c>
      <c r="K1721" s="50" t="s">
        <v>24</v>
      </c>
      <c r="L1721" s="50">
        <v>7</v>
      </c>
      <c r="M1721" s="51">
        <v>92</v>
      </c>
    </row>
    <row r="1722" spans="5:13" x14ac:dyDescent="0.25">
      <c r="E1722" s="32">
        <v>917</v>
      </c>
      <c r="F1722" s="43">
        <v>45178</v>
      </c>
      <c r="G1722" s="44">
        <v>2023</v>
      </c>
      <c r="H1722" s="52" t="s">
        <v>9</v>
      </c>
      <c r="I1722" s="46" t="s">
        <v>22</v>
      </c>
      <c r="J1722" s="46">
        <v>22</v>
      </c>
      <c r="K1722" s="46" t="s">
        <v>21</v>
      </c>
      <c r="L1722" s="46">
        <v>2</v>
      </c>
      <c r="M1722" s="47">
        <v>25</v>
      </c>
    </row>
    <row r="1723" spans="5:13" x14ac:dyDescent="0.25">
      <c r="E1723" s="33">
        <v>1930</v>
      </c>
      <c r="F1723" s="48">
        <v>45498</v>
      </c>
      <c r="G1723" s="49">
        <v>2024</v>
      </c>
      <c r="H1723" s="45" t="s">
        <v>7</v>
      </c>
      <c r="I1723" s="50" t="s">
        <v>20</v>
      </c>
      <c r="J1723" s="50">
        <v>29</v>
      </c>
      <c r="K1723" s="50" t="s">
        <v>21</v>
      </c>
      <c r="L1723" s="50">
        <v>6</v>
      </c>
      <c r="M1723" s="51">
        <v>313</v>
      </c>
    </row>
    <row r="1724" spans="5:13" x14ac:dyDescent="0.25">
      <c r="E1724" s="32">
        <v>1937</v>
      </c>
      <c r="F1724" s="43">
        <v>45370</v>
      </c>
      <c r="G1724" s="44">
        <v>2024</v>
      </c>
      <c r="H1724" s="52" t="s">
        <v>3</v>
      </c>
      <c r="I1724" s="46" t="s">
        <v>22</v>
      </c>
      <c r="J1724" s="46">
        <v>61</v>
      </c>
      <c r="K1724" s="46" t="s">
        <v>23</v>
      </c>
      <c r="L1724" s="46">
        <v>5</v>
      </c>
      <c r="M1724" s="47">
        <v>146</v>
      </c>
    </row>
    <row r="1725" spans="5:13" x14ac:dyDescent="0.25">
      <c r="E1725" s="33">
        <v>50</v>
      </c>
      <c r="F1725" s="48">
        <v>45162</v>
      </c>
      <c r="G1725" s="49">
        <v>2023</v>
      </c>
      <c r="H1725" s="45" t="s">
        <v>8</v>
      </c>
      <c r="I1725" s="50" t="s">
        <v>22</v>
      </c>
      <c r="J1725" s="50">
        <v>27</v>
      </c>
      <c r="K1725" s="50" t="s">
        <v>21</v>
      </c>
      <c r="L1725" s="50">
        <v>3</v>
      </c>
      <c r="M1725" s="51">
        <v>25</v>
      </c>
    </row>
    <row r="1726" spans="5:13" x14ac:dyDescent="0.25">
      <c r="E1726" s="32">
        <v>1927</v>
      </c>
      <c r="F1726" s="43">
        <v>45537</v>
      </c>
      <c r="G1726" s="44">
        <v>2024</v>
      </c>
      <c r="H1726" s="52" t="s">
        <v>9</v>
      </c>
      <c r="I1726" s="46" t="s">
        <v>20</v>
      </c>
      <c r="J1726" s="46">
        <v>36</v>
      </c>
      <c r="K1726" s="46" t="s">
        <v>21</v>
      </c>
      <c r="L1726" s="46">
        <v>2</v>
      </c>
      <c r="M1726" s="47">
        <v>392</v>
      </c>
    </row>
    <row r="1727" spans="5:13" x14ac:dyDescent="0.25">
      <c r="E1727" s="33">
        <v>157</v>
      </c>
      <c r="F1727" s="48">
        <v>45101</v>
      </c>
      <c r="G1727" s="49">
        <v>2023</v>
      </c>
      <c r="H1727" s="45" t="s">
        <v>6</v>
      </c>
      <c r="I1727" s="50" t="s">
        <v>20</v>
      </c>
      <c r="J1727" s="50">
        <v>62</v>
      </c>
      <c r="K1727" s="50" t="s">
        <v>24</v>
      </c>
      <c r="L1727" s="50">
        <v>4</v>
      </c>
      <c r="M1727" s="51">
        <v>500</v>
      </c>
    </row>
    <row r="1728" spans="5:13" x14ac:dyDescent="0.25">
      <c r="E1728" s="32">
        <v>527</v>
      </c>
      <c r="F1728" s="43">
        <v>45113</v>
      </c>
      <c r="G1728" s="44">
        <v>2023</v>
      </c>
      <c r="H1728" s="52" t="s">
        <v>7</v>
      </c>
      <c r="I1728" s="46" t="s">
        <v>22</v>
      </c>
      <c r="J1728" s="46">
        <v>36</v>
      </c>
      <c r="K1728" s="46" t="s">
        <v>23</v>
      </c>
      <c r="L1728" s="46">
        <v>2</v>
      </c>
      <c r="M1728" s="47">
        <v>30</v>
      </c>
    </row>
    <row r="1729" spans="5:13" x14ac:dyDescent="0.25">
      <c r="E1729" s="33">
        <v>51</v>
      </c>
      <c r="F1729" s="48">
        <v>45201</v>
      </c>
      <c r="G1729" s="49">
        <v>2023</v>
      </c>
      <c r="H1729" s="45" t="s">
        <v>10</v>
      </c>
      <c r="I1729" s="50" t="s">
        <v>20</v>
      </c>
      <c r="J1729" s="50">
        <v>27</v>
      </c>
      <c r="K1729" s="50" t="s">
        <v>21</v>
      </c>
      <c r="L1729" s="50">
        <v>3</v>
      </c>
      <c r="M1729" s="51">
        <v>25</v>
      </c>
    </row>
    <row r="1730" spans="5:13" x14ac:dyDescent="0.25">
      <c r="E1730" s="32">
        <v>658</v>
      </c>
      <c r="F1730" s="43">
        <v>45045</v>
      </c>
      <c r="G1730" s="44">
        <v>2023</v>
      </c>
      <c r="H1730" s="52" t="s">
        <v>4</v>
      </c>
      <c r="I1730" s="46" t="s">
        <v>22</v>
      </c>
      <c r="J1730" s="46">
        <v>38</v>
      </c>
      <c r="K1730" s="46" t="s">
        <v>21</v>
      </c>
      <c r="L1730" s="46">
        <v>2</v>
      </c>
      <c r="M1730" s="47">
        <v>500</v>
      </c>
    </row>
    <row r="1731" spans="5:13" x14ac:dyDescent="0.25">
      <c r="E1731" s="33">
        <v>1966</v>
      </c>
      <c r="F1731" s="48">
        <v>45428</v>
      </c>
      <c r="G1731" s="49">
        <v>2024</v>
      </c>
      <c r="H1731" s="45" t="s">
        <v>5</v>
      </c>
      <c r="I1731" s="50" t="s">
        <v>20</v>
      </c>
      <c r="J1731" s="50">
        <v>60</v>
      </c>
      <c r="K1731" s="50" t="s">
        <v>24</v>
      </c>
      <c r="L1731" s="50">
        <v>1</v>
      </c>
      <c r="M1731" s="51">
        <v>105</v>
      </c>
    </row>
    <row r="1732" spans="5:13" x14ac:dyDescent="0.25">
      <c r="E1732" s="32">
        <v>1344</v>
      </c>
      <c r="F1732" s="43">
        <v>45507</v>
      </c>
      <c r="G1732" s="44">
        <v>2024</v>
      </c>
      <c r="H1732" s="52" t="s">
        <v>8</v>
      </c>
      <c r="I1732" s="46" t="s">
        <v>20</v>
      </c>
      <c r="J1732" s="46">
        <v>51</v>
      </c>
      <c r="K1732" s="46" t="s">
        <v>24</v>
      </c>
      <c r="L1732" s="46">
        <v>2</v>
      </c>
      <c r="M1732" s="47">
        <v>30</v>
      </c>
    </row>
    <row r="1733" spans="5:13" x14ac:dyDescent="0.25">
      <c r="E1733" s="33">
        <v>735</v>
      </c>
      <c r="F1733" s="48">
        <v>45106</v>
      </c>
      <c r="G1733" s="49">
        <v>2023</v>
      </c>
      <c r="H1733" s="45" t="s">
        <v>6</v>
      </c>
      <c r="I1733" s="50" t="s">
        <v>22</v>
      </c>
      <c r="J1733" s="50">
        <v>33</v>
      </c>
      <c r="K1733" s="50" t="s">
        <v>23</v>
      </c>
      <c r="L1733" s="50">
        <v>1</v>
      </c>
      <c r="M1733" s="51">
        <v>50</v>
      </c>
    </row>
    <row r="1734" spans="5:13" x14ac:dyDescent="0.25">
      <c r="E1734" s="32">
        <v>324</v>
      </c>
      <c r="F1734" s="43">
        <v>45171</v>
      </c>
      <c r="G1734" s="44">
        <v>2023</v>
      </c>
      <c r="H1734" s="52" t="s">
        <v>9</v>
      </c>
      <c r="I1734" s="46" t="s">
        <v>22</v>
      </c>
      <c r="J1734" s="46">
        <v>52</v>
      </c>
      <c r="K1734" s="46" t="s">
        <v>24</v>
      </c>
      <c r="L1734" s="46">
        <v>2</v>
      </c>
      <c r="M1734" s="47">
        <v>25</v>
      </c>
    </row>
    <row r="1735" spans="5:13" x14ac:dyDescent="0.25">
      <c r="E1735" s="33">
        <v>1755</v>
      </c>
      <c r="F1735" s="48">
        <v>45481</v>
      </c>
      <c r="G1735" s="49">
        <v>2024</v>
      </c>
      <c r="H1735" s="45" t="s">
        <v>7</v>
      </c>
      <c r="I1735" s="50" t="s">
        <v>20</v>
      </c>
      <c r="J1735" s="50">
        <v>42</v>
      </c>
      <c r="K1735" s="50" t="s">
        <v>24</v>
      </c>
      <c r="L1735" s="50">
        <v>4</v>
      </c>
      <c r="M1735" s="51">
        <v>212</v>
      </c>
    </row>
    <row r="1736" spans="5:13" x14ac:dyDescent="0.25">
      <c r="E1736" s="32">
        <v>1026</v>
      </c>
      <c r="F1736" s="43">
        <v>45405</v>
      </c>
      <c r="G1736" s="44">
        <v>2024</v>
      </c>
      <c r="H1736" s="52" t="s">
        <v>4</v>
      </c>
      <c r="I1736" s="46" t="s">
        <v>22</v>
      </c>
      <c r="J1736" s="46">
        <v>37</v>
      </c>
      <c r="K1736" s="46" t="s">
        <v>21</v>
      </c>
      <c r="L1736" s="46">
        <v>4</v>
      </c>
      <c r="M1736" s="47">
        <v>232</v>
      </c>
    </row>
    <row r="1737" spans="5:13" x14ac:dyDescent="0.25">
      <c r="E1737" s="33">
        <v>1523</v>
      </c>
      <c r="F1737" s="48">
        <v>45636</v>
      </c>
      <c r="G1737" s="49">
        <v>2024</v>
      </c>
      <c r="H1737" s="45" t="s">
        <v>12</v>
      </c>
      <c r="I1737" s="50" t="s">
        <v>20</v>
      </c>
      <c r="J1737" s="50">
        <v>20</v>
      </c>
      <c r="K1737" s="50" t="s">
        <v>23</v>
      </c>
      <c r="L1737" s="50">
        <v>7</v>
      </c>
      <c r="M1737" s="51">
        <v>34</v>
      </c>
    </row>
    <row r="1738" spans="5:13" x14ac:dyDescent="0.25">
      <c r="E1738" s="32">
        <v>1949</v>
      </c>
      <c r="F1738" s="43">
        <v>45408</v>
      </c>
      <c r="G1738" s="44">
        <v>2024</v>
      </c>
      <c r="H1738" s="52" t="s">
        <v>4</v>
      </c>
      <c r="I1738" s="46" t="s">
        <v>20</v>
      </c>
      <c r="J1738" s="46">
        <v>26</v>
      </c>
      <c r="K1738" s="46" t="s">
        <v>21</v>
      </c>
      <c r="L1738" s="46">
        <v>6</v>
      </c>
      <c r="M1738" s="47">
        <v>280</v>
      </c>
    </row>
    <row r="1739" spans="5:13" x14ac:dyDescent="0.25">
      <c r="E1739" s="33">
        <v>1586</v>
      </c>
      <c r="F1739" s="48">
        <v>45394</v>
      </c>
      <c r="G1739" s="49">
        <v>2024</v>
      </c>
      <c r="H1739" s="45" t="s">
        <v>4</v>
      </c>
      <c r="I1739" s="50" t="s">
        <v>22</v>
      </c>
      <c r="J1739" s="50">
        <v>24</v>
      </c>
      <c r="K1739" s="50" t="s">
        <v>21</v>
      </c>
      <c r="L1739" s="50">
        <v>7</v>
      </c>
      <c r="M1739" s="51">
        <v>496</v>
      </c>
    </row>
    <row r="1740" spans="5:13" x14ac:dyDescent="0.25">
      <c r="E1740" s="32">
        <v>837</v>
      </c>
      <c r="F1740" s="43">
        <v>45101</v>
      </c>
      <c r="G1740" s="44">
        <v>2023</v>
      </c>
      <c r="H1740" s="52" t="s">
        <v>6</v>
      </c>
      <c r="I1740" s="46" t="s">
        <v>22</v>
      </c>
      <c r="J1740" s="46">
        <v>20</v>
      </c>
      <c r="K1740" s="46" t="s">
        <v>24</v>
      </c>
      <c r="L1740" s="46">
        <v>4</v>
      </c>
      <c r="M1740" s="47">
        <v>300</v>
      </c>
    </row>
    <row r="1741" spans="5:13" x14ac:dyDescent="0.25">
      <c r="E1741" s="33">
        <v>1729</v>
      </c>
      <c r="F1741" s="48">
        <v>45533</v>
      </c>
      <c r="G1741" s="49">
        <v>2024</v>
      </c>
      <c r="H1741" s="45" t="s">
        <v>8</v>
      </c>
      <c r="I1741" s="50" t="s">
        <v>20</v>
      </c>
      <c r="J1741" s="50">
        <v>64</v>
      </c>
      <c r="K1741" s="50" t="s">
        <v>21</v>
      </c>
      <c r="L1741" s="50">
        <v>3</v>
      </c>
      <c r="M1741" s="51">
        <v>391</v>
      </c>
    </row>
    <row r="1742" spans="5:13" x14ac:dyDescent="0.25">
      <c r="E1742" s="32">
        <v>505</v>
      </c>
      <c r="F1742" s="43">
        <v>44982</v>
      </c>
      <c r="G1742" s="44">
        <v>2023</v>
      </c>
      <c r="H1742" s="52" t="s">
        <v>2</v>
      </c>
      <c r="I1742" s="46" t="s">
        <v>20</v>
      </c>
      <c r="J1742" s="46">
        <v>34</v>
      </c>
      <c r="K1742" s="46" t="s">
        <v>21</v>
      </c>
      <c r="L1742" s="46">
        <v>3</v>
      </c>
      <c r="M1742" s="47">
        <v>500</v>
      </c>
    </row>
    <row r="1743" spans="5:13" x14ac:dyDescent="0.25">
      <c r="E1743" s="33">
        <v>1748</v>
      </c>
      <c r="F1743" s="48">
        <v>45635</v>
      </c>
      <c r="G1743" s="49">
        <v>2024</v>
      </c>
      <c r="H1743" s="45" t="s">
        <v>12</v>
      </c>
      <c r="I1743" s="50" t="s">
        <v>20</v>
      </c>
      <c r="J1743" s="50">
        <v>25</v>
      </c>
      <c r="K1743" s="50" t="s">
        <v>23</v>
      </c>
      <c r="L1743" s="50">
        <v>2</v>
      </c>
      <c r="M1743" s="51">
        <v>161</v>
      </c>
    </row>
    <row r="1744" spans="5:13" x14ac:dyDescent="0.25">
      <c r="E1744" s="32">
        <v>386</v>
      </c>
      <c r="F1744" s="43">
        <v>45081</v>
      </c>
      <c r="G1744" s="44">
        <v>2023</v>
      </c>
      <c r="H1744" s="52" t="s">
        <v>6</v>
      </c>
      <c r="I1744" s="46" t="s">
        <v>20</v>
      </c>
      <c r="J1744" s="46">
        <v>44</v>
      </c>
      <c r="K1744" s="46" t="s">
        <v>21</v>
      </c>
      <c r="L1744" s="46">
        <v>1</v>
      </c>
      <c r="M1744" s="47">
        <v>30</v>
      </c>
    </row>
    <row r="1745" spans="5:13" x14ac:dyDescent="0.25">
      <c r="E1745" s="33">
        <v>819</v>
      </c>
      <c r="F1745" s="48">
        <v>44971</v>
      </c>
      <c r="G1745" s="49">
        <v>2023</v>
      </c>
      <c r="H1745" s="45" t="s">
        <v>2</v>
      </c>
      <c r="I1745" s="50" t="s">
        <v>20</v>
      </c>
      <c r="J1745" s="50">
        <v>49</v>
      </c>
      <c r="K1745" s="50" t="s">
        <v>24</v>
      </c>
      <c r="L1745" s="50">
        <v>1</v>
      </c>
      <c r="M1745" s="51">
        <v>300</v>
      </c>
    </row>
    <row r="1746" spans="5:13" x14ac:dyDescent="0.25">
      <c r="E1746" s="32">
        <v>437</v>
      </c>
      <c r="F1746" s="43">
        <v>44945</v>
      </c>
      <c r="G1746" s="44">
        <v>2023</v>
      </c>
      <c r="H1746" s="52" t="s">
        <v>1</v>
      </c>
      <c r="I1746" s="46" t="s">
        <v>22</v>
      </c>
      <c r="J1746" s="46">
        <v>42</v>
      </c>
      <c r="K1746" s="46" t="s">
        <v>23</v>
      </c>
      <c r="L1746" s="46">
        <v>1</v>
      </c>
      <c r="M1746" s="47">
        <v>30</v>
      </c>
    </row>
    <row r="1747" spans="5:13" x14ac:dyDescent="0.25">
      <c r="E1747" s="33">
        <v>570</v>
      </c>
      <c r="F1747" s="48">
        <v>45272</v>
      </c>
      <c r="G1747" s="49">
        <v>2023</v>
      </c>
      <c r="H1747" s="45" t="s">
        <v>12</v>
      </c>
      <c r="I1747" s="50" t="s">
        <v>22</v>
      </c>
      <c r="J1747" s="50">
        <v>41</v>
      </c>
      <c r="K1747" s="50" t="s">
        <v>24</v>
      </c>
      <c r="L1747" s="50">
        <v>1</v>
      </c>
      <c r="M1747" s="51">
        <v>50</v>
      </c>
    </row>
    <row r="1748" spans="5:13" x14ac:dyDescent="0.25">
      <c r="E1748" s="32">
        <v>318</v>
      </c>
      <c r="F1748" s="43">
        <v>45204</v>
      </c>
      <c r="G1748" s="44">
        <v>2023</v>
      </c>
      <c r="H1748" s="52" t="s">
        <v>10</v>
      </c>
      <c r="I1748" s="46" t="s">
        <v>20</v>
      </c>
      <c r="J1748" s="46">
        <v>31</v>
      </c>
      <c r="K1748" s="46" t="s">
        <v>23</v>
      </c>
      <c r="L1748" s="46">
        <v>1</v>
      </c>
      <c r="M1748" s="47">
        <v>500</v>
      </c>
    </row>
    <row r="1749" spans="5:13" x14ac:dyDescent="0.25">
      <c r="E1749" s="33">
        <v>1539</v>
      </c>
      <c r="F1749" s="48">
        <v>45460</v>
      </c>
      <c r="G1749" s="49">
        <v>2024</v>
      </c>
      <c r="H1749" s="45" t="s">
        <v>6</v>
      </c>
      <c r="I1749" s="50" t="s">
        <v>22</v>
      </c>
      <c r="J1749" s="50">
        <v>43</v>
      </c>
      <c r="K1749" s="50" t="s">
        <v>21</v>
      </c>
      <c r="L1749" s="50">
        <v>1</v>
      </c>
      <c r="M1749" s="51">
        <v>183</v>
      </c>
    </row>
    <row r="1750" spans="5:13" x14ac:dyDescent="0.25">
      <c r="E1750" s="32">
        <v>1672</v>
      </c>
      <c r="F1750" s="43">
        <v>45492</v>
      </c>
      <c r="G1750" s="44">
        <v>2024</v>
      </c>
      <c r="H1750" s="52" t="s">
        <v>7</v>
      </c>
      <c r="I1750" s="46" t="s">
        <v>20</v>
      </c>
      <c r="J1750" s="46">
        <v>43</v>
      </c>
      <c r="K1750" s="46" t="s">
        <v>24</v>
      </c>
      <c r="L1750" s="46">
        <v>5</v>
      </c>
      <c r="M1750" s="47">
        <v>219</v>
      </c>
    </row>
    <row r="1751" spans="5:13" x14ac:dyDescent="0.25">
      <c r="E1751" s="33">
        <v>537</v>
      </c>
      <c r="F1751" s="48">
        <v>45186</v>
      </c>
      <c r="G1751" s="49">
        <v>2023</v>
      </c>
      <c r="H1751" s="45" t="s">
        <v>9</v>
      </c>
      <c r="I1751" s="50" t="s">
        <v>20</v>
      </c>
      <c r="J1751" s="50">
        <v>18</v>
      </c>
      <c r="K1751" s="50" t="s">
        <v>23</v>
      </c>
      <c r="L1751" s="50">
        <v>3</v>
      </c>
      <c r="M1751" s="51">
        <v>50</v>
      </c>
    </row>
    <row r="1752" spans="5:13" x14ac:dyDescent="0.25">
      <c r="E1752" s="32">
        <v>162</v>
      </c>
      <c r="F1752" s="43">
        <v>45159</v>
      </c>
      <c r="G1752" s="44">
        <v>2023</v>
      </c>
      <c r="H1752" s="52" t="s">
        <v>8</v>
      </c>
      <c r="I1752" s="46" t="s">
        <v>20</v>
      </c>
      <c r="J1752" s="46">
        <v>39</v>
      </c>
      <c r="K1752" s="46" t="s">
        <v>23</v>
      </c>
      <c r="L1752" s="46">
        <v>2</v>
      </c>
      <c r="M1752" s="47">
        <v>30</v>
      </c>
    </row>
    <row r="1753" spans="5:13" x14ac:dyDescent="0.25">
      <c r="E1753" s="33">
        <v>103</v>
      </c>
      <c r="F1753" s="48">
        <v>44943</v>
      </c>
      <c r="G1753" s="49">
        <v>2023</v>
      </c>
      <c r="H1753" s="45" t="s">
        <v>1</v>
      </c>
      <c r="I1753" s="50" t="s">
        <v>22</v>
      </c>
      <c r="J1753" s="50">
        <v>59</v>
      </c>
      <c r="K1753" s="50" t="s">
        <v>23</v>
      </c>
      <c r="L1753" s="50">
        <v>1</v>
      </c>
      <c r="M1753" s="51">
        <v>25</v>
      </c>
    </row>
    <row r="1754" spans="5:13" x14ac:dyDescent="0.25">
      <c r="E1754" s="32">
        <v>188</v>
      </c>
      <c r="F1754" s="43">
        <v>45049</v>
      </c>
      <c r="G1754" s="44">
        <v>2023</v>
      </c>
      <c r="H1754" s="52" t="s">
        <v>5</v>
      </c>
      <c r="I1754" s="46" t="s">
        <v>20</v>
      </c>
      <c r="J1754" s="46">
        <v>40</v>
      </c>
      <c r="K1754" s="46" t="s">
        <v>23</v>
      </c>
      <c r="L1754" s="46">
        <v>3</v>
      </c>
      <c r="M1754" s="47">
        <v>25</v>
      </c>
    </row>
    <row r="1755" spans="5:13" x14ac:dyDescent="0.25">
      <c r="E1755" s="33">
        <v>1831</v>
      </c>
      <c r="F1755" s="48">
        <v>45542</v>
      </c>
      <c r="G1755" s="49">
        <v>2024</v>
      </c>
      <c r="H1755" s="45" t="s">
        <v>9</v>
      </c>
      <c r="I1755" s="50" t="s">
        <v>20</v>
      </c>
      <c r="J1755" s="50">
        <v>54</v>
      </c>
      <c r="K1755" s="50" t="s">
        <v>23</v>
      </c>
      <c r="L1755" s="50">
        <v>7</v>
      </c>
      <c r="M1755" s="51">
        <v>308</v>
      </c>
    </row>
    <row r="1756" spans="5:13" x14ac:dyDescent="0.25">
      <c r="E1756" s="32">
        <v>831</v>
      </c>
      <c r="F1756" s="43">
        <v>45093</v>
      </c>
      <c r="G1756" s="44">
        <v>2023</v>
      </c>
      <c r="H1756" s="52" t="s">
        <v>6</v>
      </c>
      <c r="I1756" s="46" t="s">
        <v>20</v>
      </c>
      <c r="J1756" s="46">
        <v>42</v>
      </c>
      <c r="K1756" s="46" t="s">
        <v>21</v>
      </c>
      <c r="L1756" s="46">
        <v>4</v>
      </c>
      <c r="M1756" s="47">
        <v>50</v>
      </c>
    </row>
    <row r="1757" spans="5:13" x14ac:dyDescent="0.25">
      <c r="E1757" s="33">
        <v>234</v>
      </c>
      <c r="F1757" s="48">
        <v>44957</v>
      </c>
      <c r="G1757" s="49">
        <v>2023</v>
      </c>
      <c r="H1757" s="45" t="s">
        <v>1</v>
      </c>
      <c r="I1757" s="50" t="s">
        <v>22</v>
      </c>
      <c r="J1757" s="50">
        <v>23</v>
      </c>
      <c r="K1757" s="50" t="s">
        <v>24</v>
      </c>
      <c r="L1757" s="50">
        <v>2</v>
      </c>
      <c r="M1757" s="51">
        <v>500</v>
      </c>
    </row>
    <row r="1758" spans="5:13" x14ac:dyDescent="0.25">
      <c r="E1758" s="32">
        <v>1909</v>
      </c>
      <c r="F1758" s="43">
        <v>45319</v>
      </c>
      <c r="G1758" s="44">
        <v>2024</v>
      </c>
      <c r="H1758" s="52" t="s">
        <v>1</v>
      </c>
      <c r="I1758" s="46" t="s">
        <v>20</v>
      </c>
      <c r="J1758" s="46">
        <v>34</v>
      </c>
      <c r="K1758" s="46" t="s">
        <v>24</v>
      </c>
      <c r="L1758" s="46">
        <v>2</v>
      </c>
      <c r="M1758" s="47">
        <v>209</v>
      </c>
    </row>
    <row r="1759" spans="5:13" x14ac:dyDescent="0.25">
      <c r="E1759" s="33">
        <v>1623</v>
      </c>
      <c r="F1759" s="48">
        <v>45564</v>
      </c>
      <c r="G1759" s="49">
        <v>2024</v>
      </c>
      <c r="H1759" s="45" t="s">
        <v>9</v>
      </c>
      <c r="I1759" s="50" t="s">
        <v>22</v>
      </c>
      <c r="J1759" s="50">
        <v>47</v>
      </c>
      <c r="K1759" s="50" t="s">
        <v>23</v>
      </c>
      <c r="L1759" s="50">
        <v>6</v>
      </c>
      <c r="M1759" s="51">
        <v>499</v>
      </c>
    </row>
    <row r="1760" spans="5:13" x14ac:dyDescent="0.25">
      <c r="E1760" s="32">
        <v>1809</v>
      </c>
      <c r="F1760" s="43">
        <v>45568</v>
      </c>
      <c r="G1760" s="44">
        <v>2024</v>
      </c>
      <c r="H1760" s="52" t="s">
        <v>10</v>
      </c>
      <c r="I1760" s="46" t="s">
        <v>20</v>
      </c>
      <c r="J1760" s="46">
        <v>30</v>
      </c>
      <c r="K1760" s="46" t="s">
        <v>24</v>
      </c>
      <c r="L1760" s="46">
        <v>2</v>
      </c>
      <c r="M1760" s="47">
        <v>413</v>
      </c>
    </row>
    <row r="1761" spans="5:13" x14ac:dyDescent="0.25">
      <c r="E1761" s="33">
        <v>748</v>
      </c>
      <c r="F1761" s="48">
        <v>44991</v>
      </c>
      <c r="G1761" s="49">
        <v>2023</v>
      </c>
      <c r="H1761" s="45" t="s">
        <v>3</v>
      </c>
      <c r="I1761" s="50" t="s">
        <v>22</v>
      </c>
      <c r="J1761" s="50">
        <v>35</v>
      </c>
      <c r="K1761" s="50" t="s">
        <v>23</v>
      </c>
      <c r="L1761" s="50">
        <v>3</v>
      </c>
      <c r="M1761" s="51">
        <v>25</v>
      </c>
    </row>
    <row r="1762" spans="5:13" x14ac:dyDescent="0.25">
      <c r="E1762" s="32">
        <v>1421</v>
      </c>
      <c r="F1762" s="43">
        <v>45619</v>
      </c>
      <c r="G1762" s="44">
        <v>2024</v>
      </c>
      <c r="H1762" s="52" t="s">
        <v>11</v>
      </c>
      <c r="I1762" s="46" t="s">
        <v>20</v>
      </c>
      <c r="J1762" s="46">
        <v>49</v>
      </c>
      <c r="K1762" s="46" t="s">
        <v>21</v>
      </c>
      <c r="L1762" s="46">
        <v>7</v>
      </c>
      <c r="M1762" s="47">
        <v>401</v>
      </c>
    </row>
    <row r="1763" spans="5:13" x14ac:dyDescent="0.25">
      <c r="E1763" s="33">
        <v>1234</v>
      </c>
      <c r="F1763" s="48">
        <v>45326</v>
      </c>
      <c r="G1763" s="49">
        <v>2024</v>
      </c>
      <c r="H1763" s="45" t="s">
        <v>2</v>
      </c>
      <c r="I1763" s="50" t="s">
        <v>22</v>
      </c>
      <c r="J1763" s="50">
        <v>24</v>
      </c>
      <c r="K1763" s="50" t="s">
        <v>21</v>
      </c>
      <c r="L1763" s="50">
        <v>3</v>
      </c>
      <c r="M1763" s="51">
        <v>353</v>
      </c>
    </row>
    <row r="1764" spans="5:13" x14ac:dyDescent="0.25">
      <c r="E1764" s="32">
        <v>1621</v>
      </c>
      <c r="F1764" s="43">
        <v>45530</v>
      </c>
      <c r="G1764" s="44">
        <v>2024</v>
      </c>
      <c r="H1764" s="52" t="s">
        <v>8</v>
      </c>
      <c r="I1764" s="46" t="s">
        <v>22</v>
      </c>
      <c r="J1764" s="46">
        <v>35</v>
      </c>
      <c r="K1764" s="46" t="s">
        <v>21</v>
      </c>
      <c r="L1764" s="46">
        <v>7</v>
      </c>
      <c r="M1764" s="47">
        <v>204</v>
      </c>
    </row>
    <row r="1765" spans="5:13" x14ac:dyDescent="0.25">
      <c r="E1765" s="33">
        <v>847</v>
      </c>
      <c r="F1765" s="48">
        <v>45050</v>
      </c>
      <c r="G1765" s="49">
        <v>2023</v>
      </c>
      <c r="H1765" s="45" t="s">
        <v>5</v>
      </c>
      <c r="I1765" s="50" t="s">
        <v>20</v>
      </c>
      <c r="J1765" s="50">
        <v>32</v>
      </c>
      <c r="K1765" s="50" t="s">
        <v>23</v>
      </c>
      <c r="L1765" s="50">
        <v>2</v>
      </c>
      <c r="M1765" s="51">
        <v>25</v>
      </c>
    </row>
    <row r="1766" spans="5:13" x14ac:dyDescent="0.25">
      <c r="E1766" s="32">
        <v>1337</v>
      </c>
      <c r="F1766" s="43">
        <v>45584</v>
      </c>
      <c r="G1766" s="44">
        <v>2024</v>
      </c>
      <c r="H1766" s="52" t="s">
        <v>10</v>
      </c>
      <c r="I1766" s="46" t="s">
        <v>22</v>
      </c>
      <c r="J1766" s="46">
        <v>37</v>
      </c>
      <c r="K1766" s="46" t="s">
        <v>23</v>
      </c>
      <c r="L1766" s="46">
        <v>4</v>
      </c>
      <c r="M1766" s="47">
        <v>33</v>
      </c>
    </row>
    <row r="1767" spans="5:13" x14ac:dyDescent="0.25">
      <c r="E1767" s="33">
        <v>166</v>
      </c>
      <c r="F1767" s="48">
        <v>45018</v>
      </c>
      <c r="G1767" s="49">
        <v>2023</v>
      </c>
      <c r="H1767" s="45" t="s">
        <v>4</v>
      </c>
      <c r="I1767" s="50" t="s">
        <v>20</v>
      </c>
      <c r="J1767" s="50">
        <v>34</v>
      </c>
      <c r="K1767" s="50" t="s">
        <v>23</v>
      </c>
      <c r="L1767" s="50">
        <v>4</v>
      </c>
      <c r="M1767" s="51">
        <v>500</v>
      </c>
    </row>
    <row r="1768" spans="5:13" x14ac:dyDescent="0.25">
      <c r="E1768" s="32">
        <v>1052</v>
      </c>
      <c r="F1768" s="43">
        <v>45332</v>
      </c>
      <c r="G1768" s="44">
        <v>2024</v>
      </c>
      <c r="H1768" s="52" t="s">
        <v>2</v>
      </c>
      <c r="I1768" s="46" t="s">
        <v>22</v>
      </c>
      <c r="J1768" s="46">
        <v>59</v>
      </c>
      <c r="K1768" s="46" t="s">
        <v>24</v>
      </c>
      <c r="L1768" s="46">
        <v>6</v>
      </c>
      <c r="M1768" s="47">
        <v>346</v>
      </c>
    </row>
    <row r="1769" spans="5:13" x14ac:dyDescent="0.25">
      <c r="E1769" s="33">
        <v>555</v>
      </c>
      <c r="F1769" s="48">
        <v>45081</v>
      </c>
      <c r="G1769" s="49">
        <v>2023</v>
      </c>
      <c r="H1769" s="45" t="s">
        <v>6</v>
      </c>
      <c r="I1769" s="50" t="s">
        <v>22</v>
      </c>
      <c r="J1769" s="50">
        <v>18</v>
      </c>
      <c r="K1769" s="50" t="s">
        <v>24</v>
      </c>
      <c r="L1769" s="50">
        <v>1</v>
      </c>
      <c r="M1769" s="51">
        <v>50</v>
      </c>
    </row>
    <row r="1770" spans="5:13" x14ac:dyDescent="0.25">
      <c r="E1770" s="32">
        <v>882</v>
      </c>
      <c r="F1770" s="43">
        <v>45045</v>
      </c>
      <c r="G1770" s="44">
        <v>2023</v>
      </c>
      <c r="H1770" s="52" t="s">
        <v>4</v>
      </c>
      <c r="I1770" s="46" t="s">
        <v>22</v>
      </c>
      <c r="J1770" s="46">
        <v>26</v>
      </c>
      <c r="K1770" s="46" t="s">
        <v>23</v>
      </c>
      <c r="L1770" s="46">
        <v>2</v>
      </c>
      <c r="M1770" s="47">
        <v>30</v>
      </c>
    </row>
    <row r="1771" spans="5:13" x14ac:dyDescent="0.25">
      <c r="E1771" s="33">
        <v>1789</v>
      </c>
      <c r="F1771" s="48">
        <v>45327</v>
      </c>
      <c r="G1771" s="49">
        <v>2024</v>
      </c>
      <c r="H1771" s="45" t="s">
        <v>2</v>
      </c>
      <c r="I1771" s="50" t="s">
        <v>20</v>
      </c>
      <c r="J1771" s="50">
        <v>55</v>
      </c>
      <c r="K1771" s="50" t="s">
        <v>21</v>
      </c>
      <c r="L1771" s="50">
        <v>6</v>
      </c>
      <c r="M1771" s="51">
        <v>499</v>
      </c>
    </row>
    <row r="1772" spans="5:13" x14ac:dyDescent="0.25">
      <c r="E1772" s="32">
        <v>1164</v>
      </c>
      <c r="F1772" s="43">
        <v>45384</v>
      </c>
      <c r="G1772" s="44">
        <v>2024</v>
      </c>
      <c r="H1772" s="52" t="s">
        <v>4</v>
      </c>
      <c r="I1772" s="46" t="s">
        <v>20</v>
      </c>
      <c r="J1772" s="46">
        <v>30</v>
      </c>
      <c r="K1772" s="46" t="s">
        <v>23</v>
      </c>
      <c r="L1772" s="46">
        <v>5</v>
      </c>
      <c r="M1772" s="47">
        <v>242</v>
      </c>
    </row>
    <row r="1773" spans="5:13" x14ac:dyDescent="0.25">
      <c r="E1773" s="33">
        <v>1209</v>
      </c>
      <c r="F1773" s="48">
        <v>45452</v>
      </c>
      <c r="G1773" s="49">
        <v>2024</v>
      </c>
      <c r="H1773" s="45" t="s">
        <v>6</v>
      </c>
      <c r="I1773" s="50" t="s">
        <v>20</v>
      </c>
      <c r="J1773" s="50">
        <v>53</v>
      </c>
      <c r="K1773" s="50" t="s">
        <v>23</v>
      </c>
      <c r="L1773" s="50">
        <v>7</v>
      </c>
      <c r="M1773" s="51">
        <v>166</v>
      </c>
    </row>
    <row r="1774" spans="5:13" x14ac:dyDescent="0.25">
      <c r="E1774" s="32">
        <v>549</v>
      </c>
      <c r="F1774" s="43">
        <v>45267</v>
      </c>
      <c r="G1774" s="44">
        <v>2023</v>
      </c>
      <c r="H1774" s="52" t="s">
        <v>12</v>
      </c>
      <c r="I1774" s="46" t="s">
        <v>20</v>
      </c>
      <c r="J1774" s="46">
        <v>40</v>
      </c>
      <c r="K1774" s="46" t="s">
        <v>23</v>
      </c>
      <c r="L1774" s="46">
        <v>3</v>
      </c>
      <c r="M1774" s="47">
        <v>300</v>
      </c>
    </row>
    <row r="1775" spans="5:13" x14ac:dyDescent="0.25">
      <c r="E1775" s="33">
        <v>8</v>
      </c>
      <c r="F1775" s="48">
        <v>44979</v>
      </c>
      <c r="G1775" s="49">
        <v>2023</v>
      </c>
      <c r="H1775" s="45" t="s">
        <v>2</v>
      </c>
      <c r="I1775" s="50" t="s">
        <v>20</v>
      </c>
      <c r="J1775" s="50">
        <v>30</v>
      </c>
      <c r="K1775" s="50" t="s">
        <v>24</v>
      </c>
      <c r="L1775" s="50">
        <v>4</v>
      </c>
      <c r="M1775" s="51">
        <v>25</v>
      </c>
    </row>
    <row r="1776" spans="5:13" x14ac:dyDescent="0.25">
      <c r="E1776" s="32">
        <v>403</v>
      </c>
      <c r="F1776" s="43">
        <v>45071</v>
      </c>
      <c r="G1776" s="44">
        <v>2023</v>
      </c>
      <c r="H1776" s="52" t="s">
        <v>5</v>
      </c>
      <c r="I1776" s="46" t="s">
        <v>20</v>
      </c>
      <c r="J1776" s="46">
        <v>46</v>
      </c>
      <c r="K1776" s="46" t="s">
        <v>24</v>
      </c>
      <c r="L1776" s="46">
        <v>2</v>
      </c>
      <c r="M1776" s="47">
        <v>500</v>
      </c>
    </row>
    <row r="1777" spans="5:13" x14ac:dyDescent="0.25">
      <c r="E1777" s="33">
        <v>509</v>
      </c>
      <c r="F1777" s="48">
        <v>45087</v>
      </c>
      <c r="G1777" s="49">
        <v>2023</v>
      </c>
      <c r="H1777" s="45" t="s">
        <v>6</v>
      </c>
      <c r="I1777" s="50" t="s">
        <v>22</v>
      </c>
      <c r="J1777" s="50">
        <v>39</v>
      </c>
      <c r="K1777" s="50" t="s">
        <v>21</v>
      </c>
      <c r="L1777" s="50">
        <v>4</v>
      </c>
      <c r="M1777" s="51">
        <v>50</v>
      </c>
    </row>
    <row r="1778" spans="5:13" x14ac:dyDescent="0.25">
      <c r="E1778" s="32">
        <v>1780</v>
      </c>
      <c r="F1778" s="43">
        <v>45600</v>
      </c>
      <c r="G1778" s="44">
        <v>2024</v>
      </c>
      <c r="H1778" s="52" t="s">
        <v>11</v>
      </c>
      <c r="I1778" s="46" t="s">
        <v>22</v>
      </c>
      <c r="J1778" s="46">
        <v>34</v>
      </c>
      <c r="K1778" s="46" t="s">
        <v>24</v>
      </c>
      <c r="L1778" s="46">
        <v>3</v>
      </c>
      <c r="M1778" s="47">
        <v>206</v>
      </c>
    </row>
    <row r="1779" spans="5:13" x14ac:dyDescent="0.25">
      <c r="E1779" s="33">
        <v>1791</v>
      </c>
      <c r="F1779" s="48">
        <v>45624</v>
      </c>
      <c r="G1779" s="49">
        <v>2024</v>
      </c>
      <c r="H1779" s="45" t="s">
        <v>11</v>
      </c>
      <c r="I1779" s="50" t="s">
        <v>20</v>
      </c>
      <c r="J1779" s="50">
        <v>44</v>
      </c>
      <c r="K1779" s="50" t="s">
        <v>24</v>
      </c>
      <c r="L1779" s="50">
        <v>6</v>
      </c>
      <c r="M1779" s="51">
        <v>108</v>
      </c>
    </row>
    <row r="1780" spans="5:13" x14ac:dyDescent="0.25">
      <c r="E1780" s="32">
        <v>1501</v>
      </c>
      <c r="F1780" s="43">
        <v>45428</v>
      </c>
      <c r="G1780" s="44">
        <v>2024</v>
      </c>
      <c r="H1780" s="52" t="s">
        <v>5</v>
      </c>
      <c r="I1780" s="46" t="s">
        <v>22</v>
      </c>
      <c r="J1780" s="46">
        <v>47</v>
      </c>
      <c r="K1780" s="46" t="s">
        <v>21</v>
      </c>
      <c r="L1780" s="46">
        <v>6</v>
      </c>
      <c r="M1780" s="47">
        <v>63</v>
      </c>
    </row>
    <row r="1781" spans="5:13" x14ac:dyDescent="0.25">
      <c r="E1781" s="33">
        <v>1236</v>
      </c>
      <c r="F1781" s="48">
        <v>45462</v>
      </c>
      <c r="G1781" s="49">
        <v>2024</v>
      </c>
      <c r="H1781" s="45" t="s">
        <v>6</v>
      </c>
      <c r="I1781" s="50" t="s">
        <v>20</v>
      </c>
      <c r="J1781" s="50">
        <v>27</v>
      </c>
      <c r="K1781" s="50" t="s">
        <v>24</v>
      </c>
      <c r="L1781" s="50">
        <v>6</v>
      </c>
      <c r="M1781" s="51">
        <v>194</v>
      </c>
    </row>
    <row r="1782" spans="5:13" x14ac:dyDescent="0.25">
      <c r="E1782" s="32">
        <v>1235</v>
      </c>
      <c r="F1782" s="43">
        <v>45308</v>
      </c>
      <c r="G1782" s="44">
        <v>2024</v>
      </c>
      <c r="H1782" s="52" t="s">
        <v>1</v>
      </c>
      <c r="I1782" s="46" t="s">
        <v>22</v>
      </c>
      <c r="J1782" s="46">
        <v>65</v>
      </c>
      <c r="K1782" s="46" t="s">
        <v>21</v>
      </c>
      <c r="L1782" s="46">
        <v>1</v>
      </c>
      <c r="M1782" s="47">
        <v>497</v>
      </c>
    </row>
    <row r="1783" spans="5:13" x14ac:dyDescent="0.25">
      <c r="E1783" s="33">
        <v>1350</v>
      </c>
      <c r="F1783" s="48">
        <v>45426</v>
      </c>
      <c r="G1783" s="49">
        <v>2024</v>
      </c>
      <c r="H1783" s="45" t="s">
        <v>5</v>
      </c>
      <c r="I1783" s="50" t="s">
        <v>20</v>
      </c>
      <c r="J1783" s="50">
        <v>57</v>
      </c>
      <c r="K1783" s="50" t="s">
        <v>24</v>
      </c>
      <c r="L1783" s="50">
        <v>3</v>
      </c>
      <c r="M1783" s="51">
        <v>117</v>
      </c>
    </row>
    <row r="1784" spans="5:13" x14ac:dyDescent="0.25">
      <c r="E1784" s="32">
        <v>802</v>
      </c>
      <c r="F1784" s="43">
        <v>45162</v>
      </c>
      <c r="G1784" s="44">
        <v>2023</v>
      </c>
      <c r="H1784" s="52" t="s">
        <v>8</v>
      </c>
      <c r="I1784" s="46" t="s">
        <v>20</v>
      </c>
      <c r="J1784" s="46">
        <v>42</v>
      </c>
      <c r="K1784" s="46" t="s">
        <v>24</v>
      </c>
      <c r="L1784" s="46">
        <v>1</v>
      </c>
      <c r="M1784" s="47">
        <v>30</v>
      </c>
    </row>
    <row r="1785" spans="5:13" x14ac:dyDescent="0.25">
      <c r="E1785" s="33">
        <v>1613</v>
      </c>
      <c r="F1785" s="48">
        <v>45558</v>
      </c>
      <c r="G1785" s="49">
        <v>2024</v>
      </c>
      <c r="H1785" s="45" t="s">
        <v>9</v>
      </c>
      <c r="I1785" s="50" t="s">
        <v>20</v>
      </c>
      <c r="J1785" s="50">
        <v>52</v>
      </c>
      <c r="K1785" s="50" t="s">
        <v>23</v>
      </c>
      <c r="L1785" s="50">
        <v>1</v>
      </c>
      <c r="M1785" s="51">
        <v>401</v>
      </c>
    </row>
    <row r="1786" spans="5:13" x14ac:dyDescent="0.25">
      <c r="E1786" s="32">
        <v>797</v>
      </c>
      <c r="F1786" s="43">
        <v>45177</v>
      </c>
      <c r="G1786" s="44">
        <v>2023</v>
      </c>
      <c r="H1786" s="52" t="s">
        <v>9</v>
      </c>
      <c r="I1786" s="46" t="s">
        <v>20</v>
      </c>
      <c r="J1786" s="46">
        <v>56</v>
      </c>
      <c r="K1786" s="46" t="s">
        <v>24</v>
      </c>
      <c r="L1786" s="46">
        <v>2</v>
      </c>
      <c r="M1786" s="47">
        <v>50</v>
      </c>
    </row>
    <row r="1787" spans="5:13" x14ac:dyDescent="0.25">
      <c r="E1787" s="33">
        <v>980</v>
      </c>
      <c r="F1787" s="48">
        <v>45279</v>
      </c>
      <c r="G1787" s="49">
        <v>2023</v>
      </c>
      <c r="H1787" s="45" t="s">
        <v>12</v>
      </c>
      <c r="I1787" s="50" t="s">
        <v>22</v>
      </c>
      <c r="J1787" s="50">
        <v>46</v>
      </c>
      <c r="K1787" s="50" t="s">
        <v>21</v>
      </c>
      <c r="L1787" s="50">
        <v>3</v>
      </c>
      <c r="M1787" s="51">
        <v>30</v>
      </c>
    </row>
    <row r="1788" spans="5:13" x14ac:dyDescent="0.25">
      <c r="E1788" s="32">
        <v>1384</v>
      </c>
      <c r="F1788" s="43">
        <v>45447</v>
      </c>
      <c r="G1788" s="44">
        <v>2024</v>
      </c>
      <c r="H1788" s="52" t="s">
        <v>6</v>
      </c>
      <c r="I1788" s="46" t="s">
        <v>20</v>
      </c>
      <c r="J1788" s="46">
        <v>35</v>
      </c>
      <c r="K1788" s="46" t="s">
        <v>21</v>
      </c>
      <c r="L1788" s="46">
        <v>2</v>
      </c>
      <c r="M1788" s="47">
        <v>66</v>
      </c>
    </row>
    <row r="1789" spans="5:13" x14ac:dyDescent="0.25">
      <c r="E1789" s="33">
        <v>1849</v>
      </c>
      <c r="F1789" s="48">
        <v>45416</v>
      </c>
      <c r="G1789" s="49">
        <v>2024</v>
      </c>
      <c r="H1789" s="45" t="s">
        <v>5</v>
      </c>
      <c r="I1789" s="50" t="s">
        <v>20</v>
      </c>
      <c r="J1789" s="50">
        <v>46</v>
      </c>
      <c r="K1789" s="50" t="s">
        <v>21</v>
      </c>
      <c r="L1789" s="50">
        <v>6</v>
      </c>
      <c r="M1789" s="51">
        <v>345</v>
      </c>
    </row>
    <row r="1790" spans="5:13" x14ac:dyDescent="0.25">
      <c r="E1790" s="32">
        <v>1801</v>
      </c>
      <c r="F1790" s="43">
        <v>45655</v>
      </c>
      <c r="G1790" s="44">
        <v>2024</v>
      </c>
      <c r="H1790" s="52" t="s">
        <v>12</v>
      </c>
      <c r="I1790" s="46" t="s">
        <v>22</v>
      </c>
      <c r="J1790" s="46">
        <v>30</v>
      </c>
      <c r="K1790" s="46" t="s">
        <v>21</v>
      </c>
      <c r="L1790" s="46">
        <v>6</v>
      </c>
      <c r="M1790" s="47">
        <v>472</v>
      </c>
    </row>
    <row r="1791" spans="5:13" x14ac:dyDescent="0.25">
      <c r="E1791" s="33">
        <v>292</v>
      </c>
      <c r="F1791" s="48">
        <v>45048</v>
      </c>
      <c r="G1791" s="49">
        <v>2023</v>
      </c>
      <c r="H1791" s="45" t="s">
        <v>5</v>
      </c>
      <c r="I1791" s="50" t="s">
        <v>20</v>
      </c>
      <c r="J1791" s="50">
        <v>50</v>
      </c>
      <c r="K1791" s="50" t="s">
        <v>24</v>
      </c>
      <c r="L1791" s="50">
        <v>3</v>
      </c>
      <c r="M1791" s="51">
        <v>30</v>
      </c>
    </row>
    <row r="1792" spans="5:13" x14ac:dyDescent="0.25">
      <c r="E1792" s="32">
        <v>707</v>
      </c>
      <c r="F1792" s="43">
        <v>45128</v>
      </c>
      <c r="G1792" s="44">
        <v>2023</v>
      </c>
      <c r="H1792" s="52" t="s">
        <v>7</v>
      </c>
      <c r="I1792" s="46" t="s">
        <v>22</v>
      </c>
      <c r="J1792" s="46">
        <v>19</v>
      </c>
      <c r="K1792" s="46" t="s">
        <v>24</v>
      </c>
      <c r="L1792" s="46">
        <v>2</v>
      </c>
      <c r="M1792" s="47">
        <v>500</v>
      </c>
    </row>
    <row r="1793" spans="5:13" x14ac:dyDescent="0.25">
      <c r="E1793" s="33">
        <v>779</v>
      </c>
      <c r="F1793" s="48">
        <v>45283</v>
      </c>
      <c r="G1793" s="49">
        <v>2023</v>
      </c>
      <c r="H1793" s="45" t="s">
        <v>12</v>
      </c>
      <c r="I1793" s="50" t="s">
        <v>20</v>
      </c>
      <c r="J1793" s="50">
        <v>35</v>
      </c>
      <c r="K1793" s="50" t="s">
        <v>21</v>
      </c>
      <c r="L1793" s="50">
        <v>1</v>
      </c>
      <c r="M1793" s="51">
        <v>500</v>
      </c>
    </row>
    <row r="1794" spans="5:13" x14ac:dyDescent="0.25">
      <c r="E1794" s="32">
        <v>1790</v>
      </c>
      <c r="F1794" s="43">
        <v>45552</v>
      </c>
      <c r="G1794" s="44">
        <v>2024</v>
      </c>
      <c r="H1794" s="52" t="s">
        <v>9</v>
      </c>
      <c r="I1794" s="46" t="s">
        <v>22</v>
      </c>
      <c r="J1794" s="46">
        <v>46</v>
      </c>
      <c r="K1794" s="46" t="s">
        <v>21</v>
      </c>
      <c r="L1794" s="46">
        <v>2</v>
      </c>
      <c r="M1794" s="47">
        <v>99</v>
      </c>
    </row>
    <row r="1795" spans="5:13" x14ac:dyDescent="0.25">
      <c r="E1795" s="33">
        <v>1195</v>
      </c>
      <c r="F1795" s="48">
        <v>45357</v>
      </c>
      <c r="G1795" s="49">
        <v>2024</v>
      </c>
      <c r="H1795" s="45" t="s">
        <v>3</v>
      </c>
      <c r="I1795" s="50" t="s">
        <v>22</v>
      </c>
      <c r="J1795" s="50">
        <v>39</v>
      </c>
      <c r="K1795" s="50" t="s">
        <v>23</v>
      </c>
      <c r="L1795" s="50">
        <v>1</v>
      </c>
      <c r="M1795" s="51">
        <v>224</v>
      </c>
    </row>
    <row r="1796" spans="5:13" x14ac:dyDescent="0.25">
      <c r="E1796" s="32">
        <v>1762</v>
      </c>
      <c r="F1796" s="43">
        <v>45347</v>
      </c>
      <c r="G1796" s="44">
        <v>2024</v>
      </c>
      <c r="H1796" s="52" t="s">
        <v>2</v>
      </c>
      <c r="I1796" s="46" t="s">
        <v>20</v>
      </c>
      <c r="J1796" s="46">
        <v>25</v>
      </c>
      <c r="K1796" s="46" t="s">
        <v>24</v>
      </c>
      <c r="L1796" s="46">
        <v>5</v>
      </c>
      <c r="M1796" s="47">
        <v>374</v>
      </c>
    </row>
    <row r="1797" spans="5:13" x14ac:dyDescent="0.25">
      <c r="E1797" s="33">
        <v>361</v>
      </c>
      <c r="F1797" s="48">
        <v>45257</v>
      </c>
      <c r="G1797" s="49">
        <v>2023</v>
      </c>
      <c r="H1797" s="45" t="s">
        <v>11</v>
      </c>
      <c r="I1797" s="50" t="s">
        <v>20</v>
      </c>
      <c r="J1797" s="50">
        <v>50</v>
      </c>
      <c r="K1797" s="50" t="s">
        <v>23</v>
      </c>
      <c r="L1797" s="50">
        <v>1</v>
      </c>
      <c r="M1797" s="51">
        <v>25</v>
      </c>
    </row>
    <row r="1798" spans="5:13" x14ac:dyDescent="0.25">
      <c r="E1798" s="32">
        <v>717</v>
      </c>
      <c r="F1798" s="43">
        <v>45020</v>
      </c>
      <c r="G1798" s="44">
        <v>2023</v>
      </c>
      <c r="H1798" s="52" t="s">
        <v>4</v>
      </c>
      <c r="I1798" s="46" t="s">
        <v>22</v>
      </c>
      <c r="J1798" s="46">
        <v>42</v>
      </c>
      <c r="K1798" s="46" t="s">
        <v>23</v>
      </c>
      <c r="L1798" s="46">
        <v>2</v>
      </c>
      <c r="M1798" s="47">
        <v>30</v>
      </c>
    </row>
    <row r="1799" spans="5:13" x14ac:dyDescent="0.25">
      <c r="E1799" s="33">
        <v>1924</v>
      </c>
      <c r="F1799" s="48">
        <v>45387</v>
      </c>
      <c r="G1799" s="49">
        <v>2024</v>
      </c>
      <c r="H1799" s="45" t="s">
        <v>4</v>
      </c>
      <c r="I1799" s="50" t="s">
        <v>22</v>
      </c>
      <c r="J1799" s="50">
        <v>41</v>
      </c>
      <c r="K1799" s="50" t="s">
        <v>23</v>
      </c>
      <c r="L1799" s="50">
        <v>1</v>
      </c>
      <c r="M1799" s="51">
        <v>293</v>
      </c>
    </row>
    <row r="1800" spans="5:13" x14ac:dyDescent="0.25">
      <c r="E1800" s="32">
        <v>1105</v>
      </c>
      <c r="F1800" s="43">
        <v>45325</v>
      </c>
      <c r="G1800" s="44">
        <v>2024</v>
      </c>
      <c r="H1800" s="52" t="s">
        <v>2</v>
      </c>
      <c r="I1800" s="46" t="s">
        <v>22</v>
      </c>
      <c r="J1800" s="46">
        <v>58</v>
      </c>
      <c r="K1800" s="46" t="s">
        <v>23</v>
      </c>
      <c r="L1800" s="46">
        <v>7</v>
      </c>
      <c r="M1800" s="47">
        <v>494</v>
      </c>
    </row>
    <row r="1801" spans="5:13" x14ac:dyDescent="0.25">
      <c r="E1801" s="33">
        <v>128</v>
      </c>
      <c r="F1801" s="48">
        <v>45112</v>
      </c>
      <c r="G1801" s="49">
        <v>2023</v>
      </c>
      <c r="H1801" s="45" t="s">
        <v>7</v>
      </c>
      <c r="I1801" s="50" t="s">
        <v>20</v>
      </c>
      <c r="J1801" s="50">
        <v>25</v>
      </c>
      <c r="K1801" s="50" t="s">
        <v>21</v>
      </c>
      <c r="L1801" s="50">
        <v>1</v>
      </c>
      <c r="M1801" s="51">
        <v>500</v>
      </c>
    </row>
    <row r="1802" spans="5:13" x14ac:dyDescent="0.25">
      <c r="E1802" s="32">
        <v>869</v>
      </c>
      <c r="F1802" s="43">
        <v>45169</v>
      </c>
      <c r="G1802" s="44">
        <v>2023</v>
      </c>
      <c r="H1802" s="52" t="s">
        <v>8</v>
      </c>
      <c r="I1802" s="46" t="s">
        <v>20</v>
      </c>
      <c r="J1802" s="46">
        <v>62</v>
      </c>
      <c r="K1802" s="46" t="s">
        <v>21</v>
      </c>
      <c r="L1802" s="46">
        <v>2</v>
      </c>
      <c r="M1802" s="47">
        <v>30</v>
      </c>
    </row>
    <row r="1803" spans="5:13" x14ac:dyDescent="0.25">
      <c r="E1803" s="33">
        <v>1798</v>
      </c>
      <c r="F1803" s="48">
        <v>45478</v>
      </c>
      <c r="G1803" s="49">
        <v>2024</v>
      </c>
      <c r="H1803" s="45" t="s">
        <v>7</v>
      </c>
      <c r="I1803" s="50" t="s">
        <v>22</v>
      </c>
      <c r="J1803" s="50">
        <v>63</v>
      </c>
      <c r="K1803" s="50" t="s">
        <v>21</v>
      </c>
      <c r="L1803" s="50">
        <v>7</v>
      </c>
      <c r="M1803" s="51">
        <v>203</v>
      </c>
    </row>
    <row r="1804" spans="5:13" x14ac:dyDescent="0.25">
      <c r="E1804" s="32">
        <v>1815</v>
      </c>
      <c r="F1804" s="43">
        <v>45458</v>
      </c>
      <c r="G1804" s="44">
        <v>2024</v>
      </c>
      <c r="H1804" s="52" t="s">
        <v>6</v>
      </c>
      <c r="I1804" s="46" t="s">
        <v>22</v>
      </c>
      <c r="J1804" s="46">
        <v>64</v>
      </c>
      <c r="K1804" s="46" t="s">
        <v>21</v>
      </c>
      <c r="L1804" s="46">
        <v>2</v>
      </c>
      <c r="M1804" s="47">
        <v>233</v>
      </c>
    </row>
    <row r="1805" spans="5:13" x14ac:dyDescent="0.25">
      <c r="E1805" s="33">
        <v>1443</v>
      </c>
      <c r="F1805" s="48">
        <v>45450</v>
      </c>
      <c r="G1805" s="49">
        <v>2024</v>
      </c>
      <c r="H1805" s="45" t="s">
        <v>6</v>
      </c>
      <c r="I1805" s="50" t="s">
        <v>20</v>
      </c>
      <c r="J1805" s="50">
        <v>20</v>
      </c>
      <c r="K1805" s="50" t="s">
        <v>24</v>
      </c>
      <c r="L1805" s="50">
        <v>6</v>
      </c>
      <c r="M1805" s="51">
        <v>284</v>
      </c>
    </row>
    <row r="1806" spans="5:13" x14ac:dyDescent="0.25">
      <c r="E1806" s="32">
        <v>1385</v>
      </c>
      <c r="F1806" s="43">
        <v>45606</v>
      </c>
      <c r="G1806" s="44">
        <v>2024</v>
      </c>
      <c r="H1806" s="52" t="s">
        <v>11</v>
      </c>
      <c r="I1806" s="46" t="s">
        <v>20</v>
      </c>
      <c r="J1806" s="46">
        <v>56</v>
      </c>
      <c r="K1806" s="46" t="s">
        <v>24</v>
      </c>
      <c r="L1806" s="46">
        <v>5</v>
      </c>
      <c r="M1806" s="47">
        <v>11</v>
      </c>
    </row>
    <row r="1807" spans="5:13" x14ac:dyDescent="0.25">
      <c r="E1807" s="33">
        <v>445</v>
      </c>
      <c r="F1807" s="48">
        <v>45084</v>
      </c>
      <c r="G1807" s="49">
        <v>2023</v>
      </c>
      <c r="H1807" s="45" t="s">
        <v>6</v>
      </c>
      <c r="I1807" s="50" t="s">
        <v>20</v>
      </c>
      <c r="J1807" s="50">
        <v>21</v>
      </c>
      <c r="K1807" s="50" t="s">
        <v>24</v>
      </c>
      <c r="L1807" s="50">
        <v>1</v>
      </c>
      <c r="M1807" s="51">
        <v>50</v>
      </c>
    </row>
    <row r="1808" spans="5:13" x14ac:dyDescent="0.25">
      <c r="E1808" s="32">
        <v>951</v>
      </c>
      <c r="F1808" s="43">
        <v>45042</v>
      </c>
      <c r="G1808" s="44">
        <v>2023</v>
      </c>
      <c r="H1808" s="52" t="s">
        <v>4</v>
      </c>
      <c r="I1808" s="46" t="s">
        <v>20</v>
      </c>
      <c r="J1808" s="46">
        <v>45</v>
      </c>
      <c r="K1808" s="46" t="s">
        <v>21</v>
      </c>
      <c r="L1808" s="46">
        <v>3</v>
      </c>
      <c r="M1808" s="47">
        <v>30</v>
      </c>
    </row>
    <row r="1809" spans="5:13" x14ac:dyDescent="0.25">
      <c r="E1809" s="33">
        <v>1414</v>
      </c>
      <c r="F1809" s="48">
        <v>45617</v>
      </c>
      <c r="G1809" s="49">
        <v>2024</v>
      </c>
      <c r="H1809" s="45" t="s">
        <v>11</v>
      </c>
      <c r="I1809" s="50" t="s">
        <v>20</v>
      </c>
      <c r="J1809" s="50">
        <v>61</v>
      </c>
      <c r="K1809" s="50" t="s">
        <v>24</v>
      </c>
      <c r="L1809" s="50">
        <v>5</v>
      </c>
      <c r="M1809" s="51">
        <v>263</v>
      </c>
    </row>
    <row r="1810" spans="5:13" x14ac:dyDescent="0.25">
      <c r="E1810" s="32">
        <v>1415</v>
      </c>
      <c r="F1810" s="43">
        <v>45509</v>
      </c>
      <c r="G1810" s="44">
        <v>2024</v>
      </c>
      <c r="H1810" s="52" t="s">
        <v>8</v>
      </c>
      <c r="I1810" s="46" t="s">
        <v>22</v>
      </c>
      <c r="J1810" s="46">
        <v>45</v>
      </c>
      <c r="K1810" s="46" t="s">
        <v>24</v>
      </c>
      <c r="L1810" s="46">
        <v>4</v>
      </c>
      <c r="M1810" s="47">
        <v>204</v>
      </c>
    </row>
    <row r="1811" spans="5:13" x14ac:dyDescent="0.25">
      <c r="E1811" s="33">
        <v>503</v>
      </c>
      <c r="F1811" s="48">
        <v>45062</v>
      </c>
      <c r="G1811" s="49">
        <v>2023</v>
      </c>
      <c r="H1811" s="45" t="s">
        <v>5</v>
      </c>
      <c r="I1811" s="50" t="s">
        <v>22</v>
      </c>
      <c r="J1811" s="50">
        <v>38</v>
      </c>
      <c r="K1811" s="50" t="s">
        <v>21</v>
      </c>
      <c r="L1811" s="50">
        <v>3</v>
      </c>
      <c r="M1811" s="51">
        <v>50</v>
      </c>
    </row>
    <row r="1812" spans="5:13" x14ac:dyDescent="0.25">
      <c r="E1812" s="32">
        <v>518</v>
      </c>
      <c r="F1812" s="43">
        <v>44949</v>
      </c>
      <c r="G1812" s="44">
        <v>2023</v>
      </c>
      <c r="H1812" s="52" t="s">
        <v>1</v>
      </c>
      <c r="I1812" s="46" t="s">
        <v>22</v>
      </c>
      <c r="J1812" s="46">
        <v>36</v>
      </c>
      <c r="K1812" s="46" t="s">
        <v>24</v>
      </c>
      <c r="L1812" s="46">
        <v>4</v>
      </c>
      <c r="M1812" s="47">
        <v>30</v>
      </c>
    </row>
    <row r="1813" spans="5:13" x14ac:dyDescent="0.25">
      <c r="E1813" s="33">
        <v>1784</v>
      </c>
      <c r="F1813" s="48">
        <v>45470</v>
      </c>
      <c r="G1813" s="49">
        <v>2024</v>
      </c>
      <c r="H1813" s="45" t="s">
        <v>6</v>
      </c>
      <c r="I1813" s="50" t="s">
        <v>22</v>
      </c>
      <c r="J1813" s="50">
        <v>30</v>
      </c>
      <c r="K1813" s="50" t="s">
        <v>21</v>
      </c>
      <c r="L1813" s="50">
        <v>2</v>
      </c>
      <c r="M1813" s="51">
        <v>244</v>
      </c>
    </row>
    <row r="1814" spans="5:13" x14ac:dyDescent="0.25">
      <c r="E1814" s="32">
        <v>766</v>
      </c>
      <c r="F1814" s="43">
        <v>44940</v>
      </c>
      <c r="G1814" s="44">
        <v>2023</v>
      </c>
      <c r="H1814" s="52" t="s">
        <v>1</v>
      </c>
      <c r="I1814" s="46" t="s">
        <v>22</v>
      </c>
      <c r="J1814" s="46">
        <v>24</v>
      </c>
      <c r="K1814" s="46" t="s">
        <v>21</v>
      </c>
      <c r="L1814" s="46">
        <v>3</v>
      </c>
      <c r="M1814" s="47">
        <v>25</v>
      </c>
    </row>
    <row r="1815" spans="5:13" x14ac:dyDescent="0.25">
      <c r="E1815" s="33">
        <v>859</v>
      </c>
      <c r="F1815" s="48">
        <v>44974</v>
      </c>
      <c r="G1815" s="49">
        <v>2023</v>
      </c>
      <c r="H1815" s="45" t="s">
        <v>2</v>
      </c>
      <c r="I1815" s="50" t="s">
        <v>22</v>
      </c>
      <c r="J1815" s="50">
        <v>41</v>
      </c>
      <c r="K1815" s="50" t="s">
        <v>23</v>
      </c>
      <c r="L1815" s="50">
        <v>3</v>
      </c>
      <c r="M1815" s="51">
        <v>30</v>
      </c>
    </row>
    <row r="1816" spans="5:13" x14ac:dyDescent="0.25">
      <c r="E1816" s="32">
        <v>269</v>
      </c>
      <c r="F1816" s="43">
        <v>45133</v>
      </c>
      <c r="G1816" s="44">
        <v>2023</v>
      </c>
      <c r="H1816" s="52" t="s">
        <v>7</v>
      </c>
      <c r="I1816" s="46" t="s">
        <v>20</v>
      </c>
      <c r="J1816" s="46">
        <v>43</v>
      </c>
      <c r="K1816" s="46" t="s">
        <v>24</v>
      </c>
      <c r="L1816" s="46">
        <v>1</v>
      </c>
      <c r="M1816" s="47">
        <v>300</v>
      </c>
    </row>
    <row r="1817" spans="5:13" x14ac:dyDescent="0.25">
      <c r="E1817" s="33">
        <v>59</v>
      </c>
      <c r="F1817" s="48">
        <v>45112</v>
      </c>
      <c r="G1817" s="49">
        <v>2023</v>
      </c>
      <c r="H1817" s="45" t="s">
        <v>7</v>
      </c>
      <c r="I1817" s="50" t="s">
        <v>20</v>
      </c>
      <c r="J1817" s="50">
        <v>62</v>
      </c>
      <c r="K1817" s="50" t="s">
        <v>23</v>
      </c>
      <c r="L1817" s="50">
        <v>1</v>
      </c>
      <c r="M1817" s="51">
        <v>50</v>
      </c>
    </row>
    <row r="1818" spans="5:13" x14ac:dyDescent="0.25">
      <c r="E1818" s="32">
        <v>1843</v>
      </c>
      <c r="F1818" s="43">
        <v>45390</v>
      </c>
      <c r="G1818" s="44">
        <v>2024</v>
      </c>
      <c r="H1818" s="52" t="s">
        <v>4</v>
      </c>
      <c r="I1818" s="46" t="s">
        <v>22</v>
      </c>
      <c r="J1818" s="46">
        <v>56</v>
      </c>
      <c r="K1818" s="46" t="s">
        <v>24</v>
      </c>
      <c r="L1818" s="46">
        <v>6</v>
      </c>
      <c r="M1818" s="47">
        <v>54</v>
      </c>
    </row>
    <row r="1819" spans="5:13" x14ac:dyDescent="0.25">
      <c r="E1819" s="33">
        <v>1628</v>
      </c>
      <c r="F1819" s="48">
        <v>45606</v>
      </c>
      <c r="G1819" s="49">
        <v>2024</v>
      </c>
      <c r="H1819" s="45" t="s">
        <v>11</v>
      </c>
      <c r="I1819" s="50" t="s">
        <v>20</v>
      </c>
      <c r="J1819" s="50">
        <v>33</v>
      </c>
      <c r="K1819" s="50" t="s">
        <v>24</v>
      </c>
      <c r="L1819" s="50">
        <v>3</v>
      </c>
      <c r="M1819" s="51">
        <v>285</v>
      </c>
    </row>
    <row r="1820" spans="5:13" x14ac:dyDescent="0.25">
      <c r="E1820" s="32">
        <v>177</v>
      </c>
      <c r="F1820" s="43">
        <v>45009</v>
      </c>
      <c r="G1820" s="44">
        <v>2023</v>
      </c>
      <c r="H1820" s="52" t="s">
        <v>3</v>
      </c>
      <c r="I1820" s="46" t="s">
        <v>20</v>
      </c>
      <c r="J1820" s="46">
        <v>45</v>
      </c>
      <c r="K1820" s="46" t="s">
        <v>21</v>
      </c>
      <c r="L1820" s="46">
        <v>2</v>
      </c>
      <c r="M1820" s="47">
        <v>50</v>
      </c>
    </row>
    <row r="1821" spans="5:13" x14ac:dyDescent="0.25">
      <c r="E1821" s="33">
        <v>623</v>
      </c>
      <c r="F1821" s="48">
        <v>45164</v>
      </c>
      <c r="G1821" s="49">
        <v>2023</v>
      </c>
      <c r="H1821" s="45" t="s">
        <v>8</v>
      </c>
      <c r="I1821" s="50" t="s">
        <v>22</v>
      </c>
      <c r="J1821" s="50">
        <v>34</v>
      </c>
      <c r="K1821" s="50" t="s">
        <v>21</v>
      </c>
      <c r="L1821" s="50">
        <v>3</v>
      </c>
      <c r="M1821" s="51">
        <v>300</v>
      </c>
    </row>
    <row r="1822" spans="5:13" x14ac:dyDescent="0.25">
      <c r="E1822" s="32">
        <v>353</v>
      </c>
      <c r="F1822" s="43">
        <v>45031</v>
      </c>
      <c r="G1822" s="44">
        <v>2023</v>
      </c>
      <c r="H1822" s="52" t="s">
        <v>4</v>
      </c>
      <c r="I1822" s="46" t="s">
        <v>22</v>
      </c>
      <c r="J1822" s="46">
        <v>49</v>
      </c>
      <c r="K1822" s="46" t="s">
        <v>21</v>
      </c>
      <c r="L1822" s="46">
        <v>4</v>
      </c>
      <c r="M1822" s="47">
        <v>50</v>
      </c>
    </row>
    <row r="1823" spans="5:13" x14ac:dyDescent="0.25">
      <c r="E1823" s="33">
        <v>58</v>
      </c>
      <c r="F1823" s="48">
        <v>45243</v>
      </c>
      <c r="G1823" s="49">
        <v>2023</v>
      </c>
      <c r="H1823" s="45" t="s">
        <v>11</v>
      </c>
      <c r="I1823" s="50" t="s">
        <v>20</v>
      </c>
      <c r="J1823" s="50">
        <v>18</v>
      </c>
      <c r="K1823" s="50" t="s">
        <v>23</v>
      </c>
      <c r="L1823" s="50">
        <v>4</v>
      </c>
      <c r="M1823" s="51">
        <v>300</v>
      </c>
    </row>
    <row r="1824" spans="5:13" x14ac:dyDescent="0.25">
      <c r="E1824" s="32">
        <v>298</v>
      </c>
      <c r="F1824" s="43">
        <v>45132</v>
      </c>
      <c r="G1824" s="44">
        <v>2023</v>
      </c>
      <c r="H1824" s="52" t="s">
        <v>7</v>
      </c>
      <c r="I1824" s="46" t="s">
        <v>20</v>
      </c>
      <c r="J1824" s="46">
        <v>61</v>
      </c>
      <c r="K1824" s="46" t="s">
        <v>24</v>
      </c>
      <c r="L1824" s="46">
        <v>2</v>
      </c>
      <c r="M1824" s="47">
        <v>500</v>
      </c>
    </row>
    <row r="1825" spans="5:13" x14ac:dyDescent="0.25">
      <c r="E1825" s="33">
        <v>586</v>
      </c>
      <c r="F1825" s="48">
        <v>45085</v>
      </c>
      <c r="G1825" s="49">
        <v>2023</v>
      </c>
      <c r="H1825" s="45" t="s">
        <v>6</v>
      </c>
      <c r="I1825" s="50" t="s">
        <v>22</v>
      </c>
      <c r="J1825" s="50">
        <v>40</v>
      </c>
      <c r="K1825" s="50" t="s">
        <v>21</v>
      </c>
      <c r="L1825" s="50">
        <v>4</v>
      </c>
      <c r="M1825" s="51">
        <v>300</v>
      </c>
    </row>
    <row r="1826" spans="5:13" x14ac:dyDescent="0.25">
      <c r="E1826" s="32">
        <v>961</v>
      </c>
      <c r="F1826" s="43">
        <v>45244</v>
      </c>
      <c r="G1826" s="44">
        <v>2023</v>
      </c>
      <c r="H1826" s="52" t="s">
        <v>11</v>
      </c>
      <c r="I1826" s="46" t="s">
        <v>22</v>
      </c>
      <c r="J1826" s="46">
        <v>55</v>
      </c>
      <c r="K1826" s="46" t="s">
        <v>21</v>
      </c>
      <c r="L1826" s="46">
        <v>1</v>
      </c>
      <c r="M1826" s="47">
        <v>50</v>
      </c>
    </row>
    <row r="1827" spans="5:13" x14ac:dyDescent="0.25">
      <c r="E1827" s="33">
        <v>323</v>
      </c>
      <c r="F1827" s="48">
        <v>45226</v>
      </c>
      <c r="G1827" s="49">
        <v>2023</v>
      </c>
      <c r="H1827" s="45" t="s">
        <v>10</v>
      </c>
      <c r="I1827" s="50" t="s">
        <v>22</v>
      </c>
      <c r="J1827" s="50">
        <v>52</v>
      </c>
      <c r="K1827" s="50" t="s">
        <v>24</v>
      </c>
      <c r="L1827" s="50">
        <v>3</v>
      </c>
      <c r="M1827" s="51">
        <v>50</v>
      </c>
    </row>
    <row r="1828" spans="5:13" x14ac:dyDescent="0.25">
      <c r="E1828" s="32">
        <v>150</v>
      </c>
      <c r="F1828" s="43">
        <v>44932</v>
      </c>
      <c r="G1828" s="44">
        <v>2023</v>
      </c>
      <c r="H1828" s="52" t="s">
        <v>1</v>
      </c>
      <c r="I1828" s="46" t="s">
        <v>22</v>
      </c>
      <c r="J1828" s="46">
        <v>58</v>
      </c>
      <c r="K1828" s="46" t="s">
        <v>24</v>
      </c>
      <c r="L1828" s="46">
        <v>4</v>
      </c>
      <c r="M1828" s="47">
        <v>30</v>
      </c>
    </row>
    <row r="1829" spans="5:13" x14ac:dyDescent="0.25">
      <c r="E1829" s="33">
        <v>62</v>
      </c>
      <c r="F1829" s="48">
        <v>45287</v>
      </c>
      <c r="G1829" s="49">
        <v>2023</v>
      </c>
      <c r="H1829" s="45" t="s">
        <v>12</v>
      </c>
      <c r="I1829" s="50" t="s">
        <v>20</v>
      </c>
      <c r="J1829" s="50">
        <v>18</v>
      </c>
      <c r="K1829" s="50" t="s">
        <v>21</v>
      </c>
      <c r="L1829" s="50">
        <v>2</v>
      </c>
      <c r="M1829" s="51">
        <v>50</v>
      </c>
    </row>
    <row r="1830" spans="5:13" x14ac:dyDescent="0.25">
      <c r="E1830" s="32">
        <v>1468</v>
      </c>
      <c r="F1830" s="43">
        <v>45374</v>
      </c>
      <c r="G1830" s="44">
        <v>2024</v>
      </c>
      <c r="H1830" s="52" t="s">
        <v>3</v>
      </c>
      <c r="I1830" s="46" t="s">
        <v>20</v>
      </c>
      <c r="J1830" s="46">
        <v>58</v>
      </c>
      <c r="K1830" s="46" t="s">
        <v>23</v>
      </c>
      <c r="L1830" s="46">
        <v>4</v>
      </c>
      <c r="M1830" s="47">
        <v>493</v>
      </c>
    </row>
    <row r="1831" spans="5:13" x14ac:dyDescent="0.25">
      <c r="E1831" s="33">
        <v>1794</v>
      </c>
      <c r="F1831" s="48">
        <v>45508</v>
      </c>
      <c r="G1831" s="49">
        <v>2024</v>
      </c>
      <c r="H1831" s="45" t="s">
        <v>8</v>
      </c>
      <c r="I1831" s="50" t="s">
        <v>20</v>
      </c>
      <c r="J1831" s="50">
        <v>29</v>
      </c>
      <c r="K1831" s="50" t="s">
        <v>23</v>
      </c>
      <c r="L1831" s="50">
        <v>5</v>
      </c>
      <c r="M1831" s="51">
        <v>487</v>
      </c>
    </row>
    <row r="1832" spans="5:13" x14ac:dyDescent="0.25">
      <c r="E1832" s="32">
        <v>1473</v>
      </c>
      <c r="F1832" s="43">
        <v>45533</v>
      </c>
      <c r="G1832" s="44">
        <v>2024</v>
      </c>
      <c r="H1832" s="52" t="s">
        <v>8</v>
      </c>
      <c r="I1832" s="46" t="s">
        <v>22</v>
      </c>
      <c r="J1832" s="46">
        <v>26</v>
      </c>
      <c r="K1832" s="46" t="s">
        <v>23</v>
      </c>
      <c r="L1832" s="46">
        <v>5</v>
      </c>
      <c r="M1832" s="47">
        <v>407</v>
      </c>
    </row>
    <row r="1833" spans="5:13" x14ac:dyDescent="0.25">
      <c r="E1833" s="33">
        <v>236</v>
      </c>
      <c r="F1833" s="48">
        <v>44961</v>
      </c>
      <c r="G1833" s="49">
        <v>2023</v>
      </c>
      <c r="H1833" s="45" t="s">
        <v>2</v>
      </c>
      <c r="I1833" s="50" t="s">
        <v>22</v>
      </c>
      <c r="J1833" s="50">
        <v>50</v>
      </c>
      <c r="K1833" s="50" t="s">
        <v>21</v>
      </c>
      <c r="L1833" s="50">
        <v>2</v>
      </c>
      <c r="M1833" s="51">
        <v>500</v>
      </c>
    </row>
    <row r="1834" spans="5:13" x14ac:dyDescent="0.25">
      <c r="E1834" s="32">
        <v>1802</v>
      </c>
      <c r="F1834" s="43">
        <v>45371</v>
      </c>
      <c r="G1834" s="44">
        <v>2024</v>
      </c>
      <c r="H1834" s="52" t="s">
        <v>3</v>
      </c>
      <c r="I1834" s="46" t="s">
        <v>22</v>
      </c>
      <c r="J1834" s="46">
        <v>57</v>
      </c>
      <c r="K1834" s="46" t="s">
        <v>21</v>
      </c>
      <c r="L1834" s="46">
        <v>6</v>
      </c>
      <c r="M1834" s="47">
        <v>270</v>
      </c>
    </row>
    <row r="1835" spans="5:13" x14ac:dyDescent="0.25">
      <c r="E1835" s="33">
        <v>408</v>
      </c>
      <c r="F1835" s="48">
        <v>45278</v>
      </c>
      <c r="G1835" s="49">
        <v>2023</v>
      </c>
      <c r="H1835" s="45" t="s">
        <v>12</v>
      </c>
      <c r="I1835" s="50" t="s">
        <v>22</v>
      </c>
      <c r="J1835" s="50">
        <v>21</v>
      </c>
      <c r="K1835" s="50" t="s">
        <v>24</v>
      </c>
      <c r="L1835" s="50">
        <v>3</v>
      </c>
      <c r="M1835" s="51">
        <v>300</v>
      </c>
    </row>
    <row r="1836" spans="5:13" x14ac:dyDescent="0.25">
      <c r="E1836" s="32">
        <v>1495</v>
      </c>
      <c r="F1836" s="43">
        <v>45462</v>
      </c>
      <c r="G1836" s="44">
        <v>2024</v>
      </c>
      <c r="H1836" s="52" t="s">
        <v>6</v>
      </c>
      <c r="I1836" s="46" t="s">
        <v>22</v>
      </c>
      <c r="J1836" s="46">
        <v>20</v>
      </c>
      <c r="K1836" s="46" t="s">
        <v>23</v>
      </c>
      <c r="L1836" s="46">
        <v>5</v>
      </c>
      <c r="M1836" s="47">
        <v>280</v>
      </c>
    </row>
    <row r="1837" spans="5:13" x14ac:dyDescent="0.25">
      <c r="E1837" s="33">
        <v>1862</v>
      </c>
      <c r="F1837" s="48">
        <v>45417</v>
      </c>
      <c r="G1837" s="49">
        <v>2024</v>
      </c>
      <c r="H1837" s="45" t="s">
        <v>5</v>
      </c>
      <c r="I1837" s="50" t="s">
        <v>20</v>
      </c>
      <c r="J1837" s="50">
        <v>18</v>
      </c>
      <c r="K1837" s="50" t="s">
        <v>24</v>
      </c>
      <c r="L1837" s="50">
        <v>5</v>
      </c>
      <c r="M1837" s="51">
        <v>55</v>
      </c>
    </row>
    <row r="1838" spans="5:13" x14ac:dyDescent="0.25">
      <c r="E1838" s="32">
        <v>1486</v>
      </c>
      <c r="F1838" s="43">
        <v>45435</v>
      </c>
      <c r="G1838" s="44">
        <v>2024</v>
      </c>
      <c r="H1838" s="52" t="s">
        <v>5</v>
      </c>
      <c r="I1838" s="46" t="s">
        <v>20</v>
      </c>
      <c r="J1838" s="46">
        <v>60</v>
      </c>
      <c r="K1838" s="46" t="s">
        <v>24</v>
      </c>
      <c r="L1838" s="46">
        <v>4</v>
      </c>
      <c r="M1838" s="47">
        <v>136</v>
      </c>
    </row>
    <row r="1839" spans="5:13" x14ac:dyDescent="0.25">
      <c r="E1839" s="33">
        <v>1222</v>
      </c>
      <c r="F1839" s="48">
        <v>45302</v>
      </c>
      <c r="G1839" s="49">
        <v>2024</v>
      </c>
      <c r="H1839" s="45" t="s">
        <v>1</v>
      </c>
      <c r="I1839" s="50" t="s">
        <v>22</v>
      </c>
      <c r="J1839" s="50">
        <v>35</v>
      </c>
      <c r="K1839" s="50" t="s">
        <v>21</v>
      </c>
      <c r="L1839" s="50">
        <v>4</v>
      </c>
      <c r="M1839" s="51">
        <v>399</v>
      </c>
    </row>
    <row r="1840" spans="5:13" x14ac:dyDescent="0.25">
      <c r="E1840" s="32">
        <v>1092</v>
      </c>
      <c r="F1840" s="43">
        <v>45431</v>
      </c>
      <c r="G1840" s="44">
        <v>2024</v>
      </c>
      <c r="H1840" s="52" t="s">
        <v>5</v>
      </c>
      <c r="I1840" s="46" t="s">
        <v>22</v>
      </c>
      <c r="J1840" s="46">
        <v>41</v>
      </c>
      <c r="K1840" s="46" t="s">
        <v>21</v>
      </c>
      <c r="L1840" s="46">
        <v>3</v>
      </c>
      <c r="M1840" s="47">
        <v>223</v>
      </c>
    </row>
    <row r="1841" spans="5:13" x14ac:dyDescent="0.25">
      <c r="E1841" s="33">
        <v>662</v>
      </c>
      <c r="F1841" s="48">
        <v>45288</v>
      </c>
      <c r="G1841" s="49">
        <v>2023</v>
      </c>
      <c r="H1841" s="45" t="s">
        <v>12</v>
      </c>
      <c r="I1841" s="50" t="s">
        <v>22</v>
      </c>
      <c r="J1841" s="50">
        <v>44</v>
      </c>
      <c r="K1841" s="50" t="s">
        <v>23</v>
      </c>
      <c r="L1841" s="50">
        <v>4</v>
      </c>
      <c r="M1841" s="51">
        <v>500</v>
      </c>
    </row>
    <row r="1842" spans="5:13" x14ac:dyDescent="0.25">
      <c r="E1842" s="32">
        <v>1566</v>
      </c>
      <c r="F1842" s="43">
        <v>45519</v>
      </c>
      <c r="G1842" s="44">
        <v>2024</v>
      </c>
      <c r="H1842" s="52" t="s">
        <v>8</v>
      </c>
      <c r="I1842" s="46" t="s">
        <v>20</v>
      </c>
      <c r="J1842" s="46">
        <v>51</v>
      </c>
      <c r="K1842" s="46" t="s">
        <v>24</v>
      </c>
      <c r="L1842" s="46">
        <v>3</v>
      </c>
      <c r="M1842" s="47">
        <v>240</v>
      </c>
    </row>
    <row r="1843" spans="5:13" x14ac:dyDescent="0.25">
      <c r="E1843" s="33">
        <v>513</v>
      </c>
      <c r="F1843" s="48">
        <v>44986</v>
      </c>
      <c r="G1843" s="49">
        <v>2023</v>
      </c>
      <c r="H1843" s="45" t="s">
        <v>3</v>
      </c>
      <c r="I1843" s="50" t="s">
        <v>22</v>
      </c>
      <c r="J1843" s="50">
        <v>18</v>
      </c>
      <c r="K1843" s="50" t="s">
        <v>24</v>
      </c>
      <c r="L1843" s="50">
        <v>1</v>
      </c>
      <c r="M1843" s="51">
        <v>300</v>
      </c>
    </row>
    <row r="1844" spans="5:13" x14ac:dyDescent="0.25">
      <c r="E1844" s="32">
        <v>100</v>
      </c>
      <c r="F1844" s="43">
        <v>45093</v>
      </c>
      <c r="G1844" s="44">
        <v>2023</v>
      </c>
      <c r="H1844" s="52" t="s">
        <v>6</v>
      </c>
      <c r="I1844" s="46" t="s">
        <v>20</v>
      </c>
      <c r="J1844" s="46">
        <v>41</v>
      </c>
      <c r="K1844" s="46" t="s">
        <v>24</v>
      </c>
      <c r="L1844" s="46">
        <v>1</v>
      </c>
      <c r="M1844" s="47">
        <v>30</v>
      </c>
    </row>
    <row r="1845" spans="5:13" x14ac:dyDescent="0.25">
      <c r="E1845" s="33">
        <v>31</v>
      </c>
      <c r="F1845" s="48">
        <v>45069</v>
      </c>
      <c r="G1845" s="49">
        <v>2023</v>
      </c>
      <c r="H1845" s="45" t="s">
        <v>5</v>
      </c>
      <c r="I1845" s="50" t="s">
        <v>20</v>
      </c>
      <c r="J1845" s="50">
        <v>44</v>
      </c>
      <c r="K1845" s="50" t="s">
        <v>24</v>
      </c>
      <c r="L1845" s="50">
        <v>4</v>
      </c>
      <c r="M1845" s="51">
        <v>300</v>
      </c>
    </row>
    <row r="1846" spans="5:13" x14ac:dyDescent="0.25">
      <c r="E1846" s="32">
        <v>1964</v>
      </c>
      <c r="F1846" s="43">
        <v>45613</v>
      </c>
      <c r="G1846" s="44">
        <v>2024</v>
      </c>
      <c r="H1846" s="52" t="s">
        <v>11</v>
      </c>
      <c r="I1846" s="46" t="s">
        <v>22</v>
      </c>
      <c r="J1846" s="46">
        <v>33</v>
      </c>
      <c r="K1846" s="46" t="s">
        <v>23</v>
      </c>
      <c r="L1846" s="46">
        <v>6</v>
      </c>
      <c r="M1846" s="47">
        <v>107</v>
      </c>
    </row>
    <row r="1847" spans="5:13" x14ac:dyDescent="0.25">
      <c r="E1847" s="33">
        <v>1295</v>
      </c>
      <c r="F1847" s="48">
        <v>45402</v>
      </c>
      <c r="G1847" s="49">
        <v>2024</v>
      </c>
      <c r="H1847" s="45" t="s">
        <v>4</v>
      </c>
      <c r="I1847" s="50" t="s">
        <v>20</v>
      </c>
      <c r="J1847" s="50">
        <v>29</v>
      </c>
      <c r="K1847" s="50" t="s">
        <v>21</v>
      </c>
      <c r="L1847" s="50">
        <v>1</v>
      </c>
      <c r="M1847" s="51">
        <v>329</v>
      </c>
    </row>
    <row r="1848" spans="5:13" x14ac:dyDescent="0.25">
      <c r="E1848" s="32">
        <v>1559</v>
      </c>
      <c r="F1848" s="43">
        <v>45400</v>
      </c>
      <c r="G1848" s="44">
        <v>2024</v>
      </c>
      <c r="H1848" s="52" t="s">
        <v>4</v>
      </c>
      <c r="I1848" s="46" t="s">
        <v>20</v>
      </c>
      <c r="J1848" s="46">
        <v>25</v>
      </c>
      <c r="K1848" s="46" t="s">
        <v>24</v>
      </c>
      <c r="L1848" s="46">
        <v>7</v>
      </c>
      <c r="M1848" s="47">
        <v>370</v>
      </c>
    </row>
    <row r="1849" spans="5:13" x14ac:dyDescent="0.25">
      <c r="E1849" s="33">
        <v>1462</v>
      </c>
      <c r="F1849" s="48">
        <v>45384</v>
      </c>
      <c r="G1849" s="49">
        <v>2024</v>
      </c>
      <c r="H1849" s="45" t="s">
        <v>4</v>
      </c>
      <c r="I1849" s="50" t="s">
        <v>22</v>
      </c>
      <c r="J1849" s="50">
        <v>30</v>
      </c>
      <c r="K1849" s="50" t="s">
        <v>24</v>
      </c>
      <c r="L1849" s="50">
        <v>4</v>
      </c>
      <c r="M1849" s="51">
        <v>416</v>
      </c>
    </row>
    <row r="1850" spans="5:13" x14ac:dyDescent="0.25">
      <c r="E1850" s="32">
        <v>889</v>
      </c>
      <c r="F1850" s="43">
        <v>45021</v>
      </c>
      <c r="G1850" s="44">
        <v>2023</v>
      </c>
      <c r="H1850" s="52" t="s">
        <v>4</v>
      </c>
      <c r="I1850" s="46" t="s">
        <v>20</v>
      </c>
      <c r="J1850" s="46">
        <v>41</v>
      </c>
      <c r="K1850" s="46" t="s">
        <v>24</v>
      </c>
      <c r="L1850" s="46">
        <v>3</v>
      </c>
      <c r="M1850" s="47">
        <v>300</v>
      </c>
    </row>
    <row r="1851" spans="5:13" x14ac:dyDescent="0.25">
      <c r="E1851" s="33">
        <v>1313</v>
      </c>
      <c r="F1851" s="48">
        <v>45404</v>
      </c>
      <c r="G1851" s="49">
        <v>2024</v>
      </c>
      <c r="H1851" s="45" t="s">
        <v>4</v>
      </c>
      <c r="I1851" s="50" t="s">
        <v>22</v>
      </c>
      <c r="J1851" s="50">
        <v>64</v>
      </c>
      <c r="K1851" s="50" t="s">
        <v>23</v>
      </c>
      <c r="L1851" s="50">
        <v>4</v>
      </c>
      <c r="M1851" s="51">
        <v>224</v>
      </c>
    </row>
    <row r="1852" spans="5:13" x14ac:dyDescent="0.25">
      <c r="E1852" s="32">
        <v>1805</v>
      </c>
      <c r="F1852" s="43">
        <v>45560</v>
      </c>
      <c r="G1852" s="44">
        <v>2024</v>
      </c>
      <c r="H1852" s="52" t="s">
        <v>9</v>
      </c>
      <c r="I1852" s="46" t="s">
        <v>22</v>
      </c>
      <c r="J1852" s="46">
        <v>33</v>
      </c>
      <c r="K1852" s="46" t="s">
        <v>21</v>
      </c>
      <c r="L1852" s="46">
        <v>4</v>
      </c>
      <c r="M1852" s="47">
        <v>39</v>
      </c>
    </row>
    <row r="1853" spans="5:13" x14ac:dyDescent="0.25">
      <c r="E1853" s="33">
        <v>1931</v>
      </c>
      <c r="F1853" s="48">
        <v>45544</v>
      </c>
      <c r="G1853" s="49">
        <v>2024</v>
      </c>
      <c r="H1853" s="45" t="s">
        <v>9</v>
      </c>
      <c r="I1853" s="50" t="s">
        <v>22</v>
      </c>
      <c r="J1853" s="50">
        <v>50</v>
      </c>
      <c r="K1853" s="50" t="s">
        <v>21</v>
      </c>
      <c r="L1853" s="50">
        <v>6</v>
      </c>
      <c r="M1853" s="51">
        <v>157</v>
      </c>
    </row>
    <row r="1854" spans="5:13" x14ac:dyDescent="0.25">
      <c r="E1854" s="32">
        <v>1797</v>
      </c>
      <c r="F1854" s="43">
        <v>45514</v>
      </c>
      <c r="G1854" s="44">
        <v>2024</v>
      </c>
      <c r="H1854" s="52" t="s">
        <v>8</v>
      </c>
      <c r="I1854" s="46" t="s">
        <v>20</v>
      </c>
      <c r="J1854" s="46">
        <v>19</v>
      </c>
      <c r="K1854" s="46" t="s">
        <v>23</v>
      </c>
      <c r="L1854" s="46">
        <v>1</v>
      </c>
      <c r="M1854" s="47">
        <v>97</v>
      </c>
    </row>
    <row r="1855" spans="5:13" x14ac:dyDescent="0.25">
      <c r="E1855" s="33">
        <v>1682</v>
      </c>
      <c r="F1855" s="48">
        <v>45492</v>
      </c>
      <c r="G1855" s="49">
        <v>2024</v>
      </c>
      <c r="H1855" s="45" t="s">
        <v>7</v>
      </c>
      <c r="I1855" s="50" t="s">
        <v>22</v>
      </c>
      <c r="J1855" s="50">
        <v>20</v>
      </c>
      <c r="K1855" s="50" t="s">
        <v>24</v>
      </c>
      <c r="L1855" s="50">
        <v>2</v>
      </c>
      <c r="M1855" s="51">
        <v>194</v>
      </c>
    </row>
    <row r="1856" spans="5:13" x14ac:dyDescent="0.25">
      <c r="E1856" s="32">
        <v>663</v>
      </c>
      <c r="F1856" s="43">
        <v>45036</v>
      </c>
      <c r="G1856" s="44">
        <v>2023</v>
      </c>
      <c r="H1856" s="52" t="s">
        <v>4</v>
      </c>
      <c r="I1856" s="46" t="s">
        <v>20</v>
      </c>
      <c r="J1856" s="46">
        <v>57</v>
      </c>
      <c r="K1856" s="46" t="s">
        <v>23</v>
      </c>
      <c r="L1856" s="46">
        <v>1</v>
      </c>
      <c r="M1856" s="47">
        <v>50</v>
      </c>
    </row>
    <row r="1857" spans="5:13" x14ac:dyDescent="0.25">
      <c r="E1857" s="33">
        <v>422</v>
      </c>
      <c r="F1857" s="48">
        <v>44993</v>
      </c>
      <c r="G1857" s="49">
        <v>2023</v>
      </c>
      <c r="H1857" s="45" t="s">
        <v>3</v>
      </c>
      <c r="I1857" s="50" t="s">
        <v>22</v>
      </c>
      <c r="J1857" s="50">
        <v>27</v>
      </c>
      <c r="K1857" s="50" t="s">
        <v>23</v>
      </c>
      <c r="L1857" s="50">
        <v>1</v>
      </c>
      <c r="M1857" s="51">
        <v>25</v>
      </c>
    </row>
    <row r="1858" spans="5:13" x14ac:dyDescent="0.25">
      <c r="E1858" s="32">
        <v>1491</v>
      </c>
      <c r="F1858" s="43">
        <v>45553</v>
      </c>
      <c r="G1858" s="44">
        <v>2024</v>
      </c>
      <c r="H1858" s="52" t="s">
        <v>9</v>
      </c>
      <c r="I1858" s="46" t="s">
        <v>22</v>
      </c>
      <c r="J1858" s="46">
        <v>27</v>
      </c>
      <c r="K1858" s="46" t="s">
        <v>21</v>
      </c>
      <c r="L1858" s="46">
        <v>2</v>
      </c>
      <c r="M1858" s="47">
        <v>63</v>
      </c>
    </row>
    <row r="1859" spans="5:13" x14ac:dyDescent="0.25">
      <c r="E1859" s="33">
        <v>1237</v>
      </c>
      <c r="F1859" s="48">
        <v>45328</v>
      </c>
      <c r="G1859" s="49">
        <v>2024</v>
      </c>
      <c r="H1859" s="45" t="s">
        <v>2</v>
      </c>
      <c r="I1859" s="50" t="s">
        <v>22</v>
      </c>
      <c r="J1859" s="50">
        <v>33</v>
      </c>
      <c r="K1859" s="50" t="s">
        <v>21</v>
      </c>
      <c r="L1859" s="50">
        <v>1</v>
      </c>
      <c r="M1859" s="51">
        <v>384</v>
      </c>
    </row>
    <row r="1860" spans="5:13" x14ac:dyDescent="0.25">
      <c r="E1860" s="32">
        <v>1680</v>
      </c>
      <c r="F1860" s="43">
        <v>45473</v>
      </c>
      <c r="G1860" s="44">
        <v>2024</v>
      </c>
      <c r="H1860" s="52" t="s">
        <v>6</v>
      </c>
      <c r="I1860" s="46" t="s">
        <v>22</v>
      </c>
      <c r="J1860" s="46">
        <v>47</v>
      </c>
      <c r="K1860" s="46" t="s">
        <v>23</v>
      </c>
      <c r="L1860" s="46">
        <v>1</v>
      </c>
      <c r="M1860" s="47">
        <v>308</v>
      </c>
    </row>
    <row r="1861" spans="5:13" x14ac:dyDescent="0.25">
      <c r="E1861" s="33">
        <v>494</v>
      </c>
      <c r="F1861" s="48">
        <v>45131</v>
      </c>
      <c r="G1861" s="49">
        <v>2023</v>
      </c>
      <c r="H1861" s="45" t="s">
        <v>7</v>
      </c>
      <c r="I1861" s="50" t="s">
        <v>20</v>
      </c>
      <c r="J1861" s="50">
        <v>24</v>
      </c>
      <c r="K1861" s="50" t="s">
        <v>21</v>
      </c>
      <c r="L1861" s="50">
        <v>2</v>
      </c>
      <c r="M1861" s="51">
        <v>30</v>
      </c>
    </row>
    <row r="1862" spans="5:13" x14ac:dyDescent="0.25">
      <c r="E1862" s="32">
        <v>1547</v>
      </c>
      <c r="F1862" s="43">
        <v>45633</v>
      </c>
      <c r="G1862" s="44">
        <v>2024</v>
      </c>
      <c r="H1862" s="52" t="s">
        <v>12</v>
      </c>
      <c r="I1862" s="46" t="s">
        <v>20</v>
      </c>
      <c r="J1862" s="46">
        <v>59</v>
      </c>
      <c r="K1862" s="46" t="s">
        <v>23</v>
      </c>
      <c r="L1862" s="46">
        <v>2</v>
      </c>
      <c r="M1862" s="47">
        <v>269</v>
      </c>
    </row>
    <row r="1863" spans="5:13" x14ac:dyDescent="0.25">
      <c r="E1863" s="33">
        <v>1981</v>
      </c>
      <c r="F1863" s="48">
        <v>45442</v>
      </c>
      <c r="G1863" s="49">
        <v>2024</v>
      </c>
      <c r="H1863" s="45" t="s">
        <v>5</v>
      </c>
      <c r="I1863" s="50" t="s">
        <v>22</v>
      </c>
      <c r="J1863" s="50">
        <v>43</v>
      </c>
      <c r="K1863" s="50" t="s">
        <v>24</v>
      </c>
      <c r="L1863" s="50">
        <v>3</v>
      </c>
      <c r="M1863" s="51">
        <v>13</v>
      </c>
    </row>
    <row r="1864" spans="5:13" x14ac:dyDescent="0.25">
      <c r="E1864" s="32">
        <v>525</v>
      </c>
      <c r="F1864" s="43">
        <v>45270</v>
      </c>
      <c r="G1864" s="44">
        <v>2023</v>
      </c>
      <c r="H1864" s="52" t="s">
        <v>12</v>
      </c>
      <c r="I1864" s="46" t="s">
        <v>20</v>
      </c>
      <c r="J1864" s="46">
        <v>33</v>
      </c>
      <c r="K1864" s="46" t="s">
        <v>23</v>
      </c>
      <c r="L1864" s="46">
        <v>2</v>
      </c>
      <c r="M1864" s="47">
        <v>50</v>
      </c>
    </row>
    <row r="1865" spans="5:13" x14ac:dyDescent="0.25">
      <c r="E1865" s="33">
        <v>822</v>
      </c>
      <c r="F1865" s="48">
        <v>45051</v>
      </c>
      <c r="G1865" s="49">
        <v>2023</v>
      </c>
      <c r="H1865" s="45" t="s">
        <v>5</v>
      </c>
      <c r="I1865" s="50" t="s">
        <v>20</v>
      </c>
      <c r="J1865" s="50">
        <v>63</v>
      </c>
      <c r="K1865" s="50" t="s">
        <v>23</v>
      </c>
      <c r="L1865" s="50">
        <v>4</v>
      </c>
      <c r="M1865" s="51">
        <v>30</v>
      </c>
    </row>
    <row r="1866" spans="5:13" x14ac:dyDescent="0.25">
      <c r="E1866" s="32">
        <v>1990</v>
      </c>
      <c r="F1866" s="43">
        <v>45644</v>
      </c>
      <c r="G1866" s="44">
        <v>2024</v>
      </c>
      <c r="H1866" s="52" t="s">
        <v>12</v>
      </c>
      <c r="I1866" s="46" t="s">
        <v>22</v>
      </c>
      <c r="J1866" s="46">
        <v>41</v>
      </c>
      <c r="K1866" s="46" t="s">
        <v>21</v>
      </c>
      <c r="L1866" s="46">
        <v>7</v>
      </c>
      <c r="M1866" s="47">
        <v>338</v>
      </c>
    </row>
    <row r="1867" spans="5:13" x14ac:dyDescent="0.25">
      <c r="E1867" s="33">
        <v>1504</v>
      </c>
      <c r="F1867" s="48">
        <v>45598</v>
      </c>
      <c r="G1867" s="49">
        <v>2024</v>
      </c>
      <c r="H1867" s="45" t="s">
        <v>11</v>
      </c>
      <c r="I1867" s="50" t="s">
        <v>22</v>
      </c>
      <c r="J1867" s="50">
        <v>61</v>
      </c>
      <c r="K1867" s="50" t="s">
        <v>24</v>
      </c>
      <c r="L1867" s="50">
        <v>6</v>
      </c>
      <c r="M1867" s="51">
        <v>159</v>
      </c>
    </row>
    <row r="1868" spans="5:13" x14ac:dyDescent="0.25">
      <c r="E1868" s="32">
        <v>1130</v>
      </c>
      <c r="F1868" s="43">
        <v>45545</v>
      </c>
      <c r="G1868" s="44">
        <v>2024</v>
      </c>
      <c r="H1868" s="52" t="s">
        <v>9</v>
      </c>
      <c r="I1868" s="46" t="s">
        <v>20</v>
      </c>
      <c r="J1868" s="46">
        <v>49</v>
      </c>
      <c r="K1868" s="46" t="s">
        <v>24</v>
      </c>
      <c r="L1868" s="46">
        <v>1</v>
      </c>
      <c r="M1868" s="47">
        <v>66</v>
      </c>
    </row>
    <row r="1869" spans="5:13" x14ac:dyDescent="0.25">
      <c r="E1869" s="33">
        <v>1327</v>
      </c>
      <c r="F1869" s="48">
        <v>45553</v>
      </c>
      <c r="G1869" s="49">
        <v>2024</v>
      </c>
      <c r="H1869" s="45" t="s">
        <v>9</v>
      </c>
      <c r="I1869" s="50" t="s">
        <v>22</v>
      </c>
      <c r="J1869" s="50">
        <v>30</v>
      </c>
      <c r="K1869" s="50" t="s">
        <v>21</v>
      </c>
      <c r="L1869" s="50">
        <v>6</v>
      </c>
      <c r="M1869" s="51">
        <v>476</v>
      </c>
    </row>
    <row r="1870" spans="5:13" x14ac:dyDescent="0.25">
      <c r="E1870" s="32">
        <v>38</v>
      </c>
      <c r="F1870" s="43">
        <v>45006</v>
      </c>
      <c r="G1870" s="44">
        <v>2023</v>
      </c>
      <c r="H1870" s="52" t="s">
        <v>3</v>
      </c>
      <c r="I1870" s="46" t="s">
        <v>20</v>
      </c>
      <c r="J1870" s="46">
        <v>38</v>
      </c>
      <c r="K1870" s="46" t="s">
        <v>21</v>
      </c>
      <c r="L1870" s="46">
        <v>4</v>
      </c>
      <c r="M1870" s="47">
        <v>50</v>
      </c>
    </row>
    <row r="1871" spans="5:13" x14ac:dyDescent="0.25">
      <c r="E1871" s="33">
        <v>1763</v>
      </c>
      <c r="F1871" s="48">
        <v>45589</v>
      </c>
      <c r="G1871" s="49">
        <v>2024</v>
      </c>
      <c r="H1871" s="45" t="s">
        <v>10</v>
      </c>
      <c r="I1871" s="50" t="s">
        <v>20</v>
      </c>
      <c r="J1871" s="50">
        <v>34</v>
      </c>
      <c r="K1871" s="50" t="s">
        <v>21</v>
      </c>
      <c r="L1871" s="50">
        <v>2</v>
      </c>
      <c r="M1871" s="51">
        <v>335</v>
      </c>
    </row>
    <row r="1872" spans="5:13" x14ac:dyDescent="0.25">
      <c r="E1872" s="32">
        <v>1175</v>
      </c>
      <c r="F1872" s="43">
        <v>45375</v>
      </c>
      <c r="G1872" s="44">
        <v>2024</v>
      </c>
      <c r="H1872" s="52" t="s">
        <v>3</v>
      </c>
      <c r="I1872" s="46" t="s">
        <v>20</v>
      </c>
      <c r="J1872" s="46">
        <v>42</v>
      </c>
      <c r="K1872" s="46" t="s">
        <v>21</v>
      </c>
      <c r="L1872" s="46">
        <v>3</v>
      </c>
      <c r="M1872" s="47">
        <v>279</v>
      </c>
    </row>
    <row r="1873" spans="5:13" x14ac:dyDescent="0.25">
      <c r="E1873" s="33">
        <v>792</v>
      </c>
      <c r="F1873" s="48">
        <v>45186</v>
      </c>
      <c r="G1873" s="49">
        <v>2023</v>
      </c>
      <c r="H1873" s="45" t="s">
        <v>9</v>
      </c>
      <c r="I1873" s="50" t="s">
        <v>22</v>
      </c>
      <c r="J1873" s="50">
        <v>60</v>
      </c>
      <c r="K1873" s="50" t="s">
        <v>21</v>
      </c>
      <c r="L1873" s="50">
        <v>1</v>
      </c>
      <c r="M1873" s="51">
        <v>300</v>
      </c>
    </row>
    <row r="1874" spans="5:13" x14ac:dyDescent="0.25">
      <c r="E1874" s="32">
        <v>794</v>
      </c>
      <c r="F1874" s="43">
        <v>45101</v>
      </c>
      <c r="G1874" s="44">
        <v>2023</v>
      </c>
      <c r="H1874" s="52" t="s">
        <v>6</v>
      </c>
      <c r="I1874" s="46" t="s">
        <v>20</v>
      </c>
      <c r="J1874" s="46">
        <v>43</v>
      </c>
      <c r="K1874" s="46" t="s">
        <v>21</v>
      </c>
      <c r="L1874" s="46">
        <v>4</v>
      </c>
      <c r="M1874" s="47">
        <v>30</v>
      </c>
    </row>
    <row r="1875" spans="5:13" x14ac:dyDescent="0.25">
      <c r="E1875" s="33">
        <v>1903</v>
      </c>
      <c r="F1875" s="48">
        <v>45299</v>
      </c>
      <c r="G1875" s="49">
        <v>2024</v>
      </c>
      <c r="H1875" s="45" t="s">
        <v>1</v>
      </c>
      <c r="I1875" s="50" t="s">
        <v>22</v>
      </c>
      <c r="J1875" s="50">
        <v>19</v>
      </c>
      <c r="K1875" s="50" t="s">
        <v>24</v>
      </c>
      <c r="L1875" s="50">
        <v>3</v>
      </c>
      <c r="M1875" s="51">
        <v>126</v>
      </c>
    </row>
    <row r="1876" spans="5:13" x14ac:dyDescent="0.25">
      <c r="E1876" s="32">
        <v>1498</v>
      </c>
      <c r="F1876" s="43">
        <v>45426</v>
      </c>
      <c r="G1876" s="44">
        <v>2024</v>
      </c>
      <c r="H1876" s="52" t="s">
        <v>5</v>
      </c>
      <c r="I1876" s="46" t="s">
        <v>20</v>
      </c>
      <c r="J1876" s="46">
        <v>21</v>
      </c>
      <c r="K1876" s="46" t="s">
        <v>24</v>
      </c>
      <c r="L1876" s="46">
        <v>4</v>
      </c>
      <c r="M1876" s="47">
        <v>413</v>
      </c>
    </row>
    <row r="1877" spans="5:13" x14ac:dyDescent="0.25">
      <c r="E1877" s="33">
        <v>1161</v>
      </c>
      <c r="F1877" s="48">
        <v>45293</v>
      </c>
      <c r="G1877" s="49">
        <v>2024</v>
      </c>
      <c r="H1877" s="45" t="s">
        <v>1</v>
      </c>
      <c r="I1877" s="50" t="s">
        <v>22</v>
      </c>
      <c r="J1877" s="50">
        <v>20</v>
      </c>
      <c r="K1877" s="50" t="s">
        <v>23</v>
      </c>
      <c r="L1877" s="50">
        <v>7</v>
      </c>
      <c r="M1877" s="51">
        <v>491</v>
      </c>
    </row>
    <row r="1878" spans="5:13" x14ac:dyDescent="0.25">
      <c r="E1878" s="32">
        <v>161</v>
      </c>
      <c r="F1878" s="43">
        <v>45007</v>
      </c>
      <c r="G1878" s="44">
        <v>2023</v>
      </c>
      <c r="H1878" s="52" t="s">
        <v>3</v>
      </c>
      <c r="I1878" s="46" t="s">
        <v>20</v>
      </c>
      <c r="J1878" s="46">
        <v>64</v>
      </c>
      <c r="K1878" s="46" t="s">
        <v>21</v>
      </c>
      <c r="L1878" s="46">
        <v>2</v>
      </c>
      <c r="M1878" s="47">
        <v>500</v>
      </c>
    </row>
    <row r="1879" spans="5:13" x14ac:dyDescent="0.25">
      <c r="E1879" s="33">
        <v>305</v>
      </c>
      <c r="F1879" s="48">
        <v>45159</v>
      </c>
      <c r="G1879" s="49">
        <v>2023</v>
      </c>
      <c r="H1879" s="45" t="s">
        <v>8</v>
      </c>
      <c r="I1879" s="50" t="s">
        <v>20</v>
      </c>
      <c r="J1879" s="50">
        <v>54</v>
      </c>
      <c r="K1879" s="50" t="s">
        <v>24</v>
      </c>
      <c r="L1879" s="50">
        <v>1</v>
      </c>
      <c r="M1879" s="51">
        <v>50</v>
      </c>
    </row>
    <row r="1880" spans="5:13" x14ac:dyDescent="0.25">
      <c r="E1880" s="32">
        <v>540</v>
      </c>
      <c r="F1880" s="43">
        <v>45136</v>
      </c>
      <c r="G1880" s="44">
        <v>2023</v>
      </c>
      <c r="H1880" s="52" t="s">
        <v>7</v>
      </c>
      <c r="I1880" s="46" t="s">
        <v>20</v>
      </c>
      <c r="J1880" s="46">
        <v>56</v>
      </c>
      <c r="K1880" s="46" t="s">
        <v>21</v>
      </c>
      <c r="L1880" s="46">
        <v>1</v>
      </c>
      <c r="M1880" s="47">
        <v>500</v>
      </c>
    </row>
    <row r="1881" spans="5:13" x14ac:dyDescent="0.25">
      <c r="E1881" s="33">
        <v>343</v>
      </c>
      <c r="F1881" s="48">
        <v>44947</v>
      </c>
      <c r="G1881" s="49">
        <v>2023</v>
      </c>
      <c r="H1881" s="45" t="s">
        <v>1</v>
      </c>
      <c r="I1881" s="50" t="s">
        <v>22</v>
      </c>
      <c r="J1881" s="50">
        <v>42</v>
      </c>
      <c r="K1881" s="50" t="s">
        <v>21</v>
      </c>
      <c r="L1881" s="50">
        <v>1</v>
      </c>
      <c r="M1881" s="51">
        <v>30</v>
      </c>
    </row>
    <row r="1882" spans="5:13" x14ac:dyDescent="0.25">
      <c r="E1882" s="32">
        <v>1196</v>
      </c>
      <c r="F1882" s="43">
        <v>45358</v>
      </c>
      <c r="G1882" s="44">
        <v>2024</v>
      </c>
      <c r="H1882" s="52" t="s">
        <v>3</v>
      </c>
      <c r="I1882" s="46" t="s">
        <v>22</v>
      </c>
      <c r="J1882" s="46">
        <v>43</v>
      </c>
      <c r="K1882" s="46" t="s">
        <v>21</v>
      </c>
      <c r="L1882" s="46">
        <v>4</v>
      </c>
      <c r="M1882" s="47">
        <v>316</v>
      </c>
    </row>
    <row r="1883" spans="5:13" x14ac:dyDescent="0.25">
      <c r="E1883" s="33">
        <v>1015</v>
      </c>
      <c r="F1883" s="48">
        <v>45404</v>
      </c>
      <c r="G1883" s="49">
        <v>2024</v>
      </c>
      <c r="H1883" s="45" t="s">
        <v>4</v>
      </c>
      <c r="I1883" s="50" t="s">
        <v>22</v>
      </c>
      <c r="J1883" s="50">
        <v>59</v>
      </c>
      <c r="K1883" s="50" t="s">
        <v>23</v>
      </c>
      <c r="L1883" s="50">
        <v>3</v>
      </c>
      <c r="M1883" s="51">
        <v>471</v>
      </c>
    </row>
    <row r="1884" spans="5:13" x14ac:dyDescent="0.25">
      <c r="E1884" s="32">
        <v>993</v>
      </c>
      <c r="F1884" s="43">
        <v>45046</v>
      </c>
      <c r="G1884" s="44">
        <v>2023</v>
      </c>
      <c r="H1884" s="52" t="s">
        <v>4</v>
      </c>
      <c r="I1884" s="46" t="s">
        <v>22</v>
      </c>
      <c r="J1884" s="46">
        <v>41</v>
      </c>
      <c r="K1884" s="46" t="s">
        <v>23</v>
      </c>
      <c r="L1884" s="46">
        <v>1</v>
      </c>
      <c r="M1884" s="47">
        <v>30</v>
      </c>
    </row>
    <row r="1885" spans="5:13" x14ac:dyDescent="0.25">
      <c r="E1885" s="33">
        <v>1518</v>
      </c>
      <c r="F1885" s="48">
        <v>45516</v>
      </c>
      <c r="G1885" s="49">
        <v>2024</v>
      </c>
      <c r="H1885" s="45" t="s">
        <v>8</v>
      </c>
      <c r="I1885" s="50" t="s">
        <v>22</v>
      </c>
      <c r="J1885" s="50">
        <v>44</v>
      </c>
      <c r="K1885" s="50" t="s">
        <v>23</v>
      </c>
      <c r="L1885" s="50">
        <v>4</v>
      </c>
      <c r="M1885" s="51">
        <v>278</v>
      </c>
    </row>
    <row r="1886" spans="5:13" x14ac:dyDescent="0.25">
      <c r="E1886" s="32">
        <v>1356</v>
      </c>
      <c r="F1886" s="43">
        <v>45495</v>
      </c>
      <c r="G1886" s="44">
        <v>2024</v>
      </c>
      <c r="H1886" s="52" t="s">
        <v>7</v>
      </c>
      <c r="I1886" s="46" t="s">
        <v>20</v>
      </c>
      <c r="J1886" s="46">
        <v>22</v>
      </c>
      <c r="K1886" s="46" t="s">
        <v>23</v>
      </c>
      <c r="L1886" s="46">
        <v>1</v>
      </c>
      <c r="M1886" s="47">
        <v>264</v>
      </c>
    </row>
    <row r="1887" spans="5:13" x14ac:dyDescent="0.25">
      <c r="E1887" s="33">
        <v>1268</v>
      </c>
      <c r="F1887" s="48">
        <v>45466</v>
      </c>
      <c r="G1887" s="49">
        <v>2024</v>
      </c>
      <c r="H1887" s="45" t="s">
        <v>6</v>
      </c>
      <c r="I1887" s="50" t="s">
        <v>22</v>
      </c>
      <c r="J1887" s="50">
        <v>65</v>
      </c>
      <c r="K1887" s="50" t="s">
        <v>21</v>
      </c>
      <c r="L1887" s="50">
        <v>4</v>
      </c>
      <c r="M1887" s="51">
        <v>397</v>
      </c>
    </row>
    <row r="1888" spans="5:13" x14ac:dyDescent="0.25">
      <c r="E1888" s="32">
        <v>1353</v>
      </c>
      <c r="F1888" s="43">
        <v>45453</v>
      </c>
      <c r="G1888" s="44">
        <v>2024</v>
      </c>
      <c r="H1888" s="52" t="s">
        <v>6</v>
      </c>
      <c r="I1888" s="46" t="s">
        <v>20</v>
      </c>
      <c r="J1888" s="46">
        <v>31</v>
      </c>
      <c r="K1888" s="46" t="s">
        <v>24</v>
      </c>
      <c r="L1888" s="46">
        <v>4</v>
      </c>
      <c r="M1888" s="47">
        <v>335</v>
      </c>
    </row>
    <row r="1889" spans="5:13" x14ac:dyDescent="0.25">
      <c r="E1889" s="33">
        <v>628</v>
      </c>
      <c r="F1889" s="48">
        <v>45089</v>
      </c>
      <c r="G1889" s="49">
        <v>2023</v>
      </c>
      <c r="H1889" s="45" t="s">
        <v>6</v>
      </c>
      <c r="I1889" s="50" t="s">
        <v>20</v>
      </c>
      <c r="J1889" s="50">
        <v>62</v>
      </c>
      <c r="K1889" s="50" t="s">
        <v>24</v>
      </c>
      <c r="L1889" s="50">
        <v>2</v>
      </c>
      <c r="M1889" s="51">
        <v>25</v>
      </c>
    </row>
    <row r="1890" spans="5:13" x14ac:dyDescent="0.25">
      <c r="E1890" s="32">
        <v>364</v>
      </c>
      <c r="F1890" s="43">
        <v>45088</v>
      </c>
      <c r="G1890" s="44">
        <v>2023</v>
      </c>
      <c r="H1890" s="52" t="s">
        <v>6</v>
      </c>
      <c r="I1890" s="46" t="s">
        <v>20</v>
      </c>
      <c r="J1890" s="46">
        <v>31</v>
      </c>
      <c r="K1890" s="46" t="s">
        <v>23</v>
      </c>
      <c r="L1890" s="46">
        <v>1</v>
      </c>
      <c r="M1890" s="47">
        <v>300</v>
      </c>
    </row>
    <row r="1891" spans="5:13" x14ac:dyDescent="0.25">
      <c r="E1891" s="33">
        <v>134</v>
      </c>
      <c r="F1891" s="48">
        <v>44951</v>
      </c>
      <c r="G1891" s="49">
        <v>2023</v>
      </c>
      <c r="H1891" s="45" t="s">
        <v>1</v>
      </c>
      <c r="I1891" s="50" t="s">
        <v>20</v>
      </c>
      <c r="J1891" s="50">
        <v>49</v>
      </c>
      <c r="K1891" s="50" t="s">
        <v>24</v>
      </c>
      <c r="L1891" s="50">
        <v>1</v>
      </c>
      <c r="M1891" s="51">
        <v>50</v>
      </c>
    </row>
    <row r="1892" spans="5:13" x14ac:dyDescent="0.25">
      <c r="E1892" s="32">
        <v>743</v>
      </c>
      <c r="F1892" s="43">
        <v>45029</v>
      </c>
      <c r="G1892" s="44">
        <v>2023</v>
      </c>
      <c r="H1892" s="52" t="s">
        <v>4</v>
      </c>
      <c r="I1892" s="46" t="s">
        <v>20</v>
      </c>
      <c r="J1892" s="46">
        <v>54</v>
      </c>
      <c r="K1892" s="46" t="s">
        <v>21</v>
      </c>
      <c r="L1892" s="46">
        <v>2</v>
      </c>
      <c r="M1892" s="47">
        <v>50</v>
      </c>
    </row>
    <row r="1893" spans="5:13" x14ac:dyDescent="0.25">
      <c r="E1893" s="33">
        <v>335</v>
      </c>
      <c r="F1893" s="48">
        <v>45272</v>
      </c>
      <c r="G1893" s="49">
        <v>2023</v>
      </c>
      <c r="H1893" s="45" t="s">
        <v>12</v>
      </c>
      <c r="I1893" s="50" t="s">
        <v>22</v>
      </c>
      <c r="J1893" s="50">
        <v>52</v>
      </c>
      <c r="K1893" s="50" t="s">
        <v>21</v>
      </c>
      <c r="L1893" s="50">
        <v>3</v>
      </c>
      <c r="M1893" s="51">
        <v>50</v>
      </c>
    </row>
    <row r="1894" spans="5:13" x14ac:dyDescent="0.25">
      <c r="E1894" s="32">
        <v>352</v>
      </c>
      <c r="F1894" s="43">
        <v>45060</v>
      </c>
      <c r="G1894" s="44">
        <v>2023</v>
      </c>
      <c r="H1894" s="52" t="s">
        <v>5</v>
      </c>
      <c r="I1894" s="46" t="s">
        <v>20</v>
      </c>
      <c r="J1894" s="46">
        <v>31</v>
      </c>
      <c r="K1894" s="46" t="s">
        <v>24</v>
      </c>
      <c r="L1894" s="46">
        <v>1</v>
      </c>
      <c r="M1894" s="47">
        <v>500</v>
      </c>
    </row>
    <row r="1895" spans="5:13" x14ac:dyDescent="0.25">
      <c r="E1895" s="33">
        <v>627</v>
      </c>
      <c r="F1895" s="48">
        <v>45231</v>
      </c>
      <c r="G1895" s="49">
        <v>2023</v>
      </c>
      <c r="H1895" s="45" t="s">
        <v>11</v>
      </c>
      <c r="I1895" s="50" t="s">
        <v>22</v>
      </c>
      <c r="J1895" s="50">
        <v>19</v>
      </c>
      <c r="K1895" s="50" t="s">
        <v>21</v>
      </c>
      <c r="L1895" s="50">
        <v>4</v>
      </c>
      <c r="M1895" s="51">
        <v>50</v>
      </c>
    </row>
    <row r="1896" spans="5:13" x14ac:dyDescent="0.25">
      <c r="E1896" s="32">
        <v>1083</v>
      </c>
      <c r="F1896" s="43">
        <v>45328</v>
      </c>
      <c r="G1896" s="44">
        <v>2024</v>
      </c>
      <c r="H1896" s="52" t="s">
        <v>2</v>
      </c>
      <c r="I1896" s="46" t="s">
        <v>20</v>
      </c>
      <c r="J1896" s="46">
        <v>41</v>
      </c>
      <c r="K1896" s="46" t="s">
        <v>23</v>
      </c>
      <c r="L1896" s="46">
        <v>7</v>
      </c>
      <c r="M1896" s="47">
        <v>219</v>
      </c>
    </row>
    <row r="1897" spans="5:13" x14ac:dyDescent="0.25">
      <c r="E1897" s="33">
        <v>321</v>
      </c>
      <c r="F1897" s="48">
        <v>44956</v>
      </c>
      <c r="G1897" s="49">
        <v>2023</v>
      </c>
      <c r="H1897" s="45" t="s">
        <v>1</v>
      </c>
      <c r="I1897" s="50" t="s">
        <v>20</v>
      </c>
      <c r="J1897" s="50">
        <v>51</v>
      </c>
      <c r="K1897" s="50" t="s">
        <v>24</v>
      </c>
      <c r="L1897" s="50">
        <v>1</v>
      </c>
      <c r="M1897" s="51">
        <v>500</v>
      </c>
    </row>
    <row r="1898" spans="5:13" x14ac:dyDescent="0.25">
      <c r="E1898" s="32">
        <v>3</v>
      </c>
      <c r="F1898" s="43">
        <v>44939</v>
      </c>
      <c r="G1898" s="44">
        <v>2023</v>
      </c>
      <c r="H1898" s="52" t="s">
        <v>1</v>
      </c>
      <c r="I1898" s="46" t="s">
        <v>20</v>
      </c>
      <c r="J1898" s="46">
        <v>50</v>
      </c>
      <c r="K1898" s="46" t="s">
        <v>24</v>
      </c>
      <c r="L1898" s="46">
        <v>1</v>
      </c>
      <c r="M1898" s="47">
        <v>30</v>
      </c>
    </row>
    <row r="1899" spans="5:13" x14ac:dyDescent="0.25">
      <c r="E1899" s="33">
        <v>47</v>
      </c>
      <c r="F1899" s="48">
        <v>45236</v>
      </c>
      <c r="G1899" s="49">
        <v>2023</v>
      </c>
      <c r="H1899" s="45" t="s">
        <v>11</v>
      </c>
      <c r="I1899" s="50" t="s">
        <v>22</v>
      </c>
      <c r="J1899" s="50">
        <v>40</v>
      </c>
      <c r="K1899" s="50" t="s">
        <v>21</v>
      </c>
      <c r="L1899" s="50">
        <v>3</v>
      </c>
      <c r="M1899" s="51">
        <v>500</v>
      </c>
    </row>
    <row r="1900" spans="5:13" x14ac:dyDescent="0.25">
      <c r="E1900" s="32">
        <v>898</v>
      </c>
      <c r="F1900" s="43">
        <v>44978</v>
      </c>
      <c r="G1900" s="44">
        <v>2023</v>
      </c>
      <c r="H1900" s="52" t="s">
        <v>2</v>
      </c>
      <c r="I1900" s="46" t="s">
        <v>20</v>
      </c>
      <c r="J1900" s="46">
        <v>21</v>
      </c>
      <c r="K1900" s="46" t="s">
        <v>23</v>
      </c>
      <c r="L1900" s="46">
        <v>2</v>
      </c>
      <c r="M1900" s="47">
        <v>30</v>
      </c>
    </row>
    <row r="1901" spans="5:13" x14ac:dyDescent="0.25">
      <c r="E1901" s="33">
        <v>1960</v>
      </c>
      <c r="F1901" s="48">
        <v>45322</v>
      </c>
      <c r="G1901" s="49">
        <v>2024</v>
      </c>
      <c r="H1901" s="45" t="s">
        <v>1</v>
      </c>
      <c r="I1901" s="50" t="s">
        <v>20</v>
      </c>
      <c r="J1901" s="50">
        <v>62</v>
      </c>
      <c r="K1901" s="50" t="s">
        <v>23</v>
      </c>
      <c r="L1901" s="50">
        <v>1</v>
      </c>
      <c r="M1901" s="51">
        <v>309</v>
      </c>
    </row>
    <row r="1902" spans="5:13" x14ac:dyDescent="0.25">
      <c r="E1902" s="32">
        <v>791</v>
      </c>
      <c r="F1902" s="43">
        <v>44962</v>
      </c>
      <c r="G1902" s="44">
        <v>2023</v>
      </c>
      <c r="H1902" s="52" t="s">
        <v>2</v>
      </c>
      <c r="I1902" s="46" t="s">
        <v>20</v>
      </c>
      <c r="J1902" s="46">
        <v>54</v>
      </c>
      <c r="K1902" s="46" t="s">
        <v>21</v>
      </c>
      <c r="L1902" s="46">
        <v>1</v>
      </c>
      <c r="M1902" s="47">
        <v>30</v>
      </c>
    </row>
    <row r="1903" spans="5:13" x14ac:dyDescent="0.25">
      <c r="E1903" s="33">
        <v>1735</v>
      </c>
      <c r="F1903" s="48">
        <v>45625</v>
      </c>
      <c r="G1903" s="49">
        <v>2024</v>
      </c>
      <c r="H1903" s="45" t="s">
        <v>11</v>
      </c>
      <c r="I1903" s="50" t="s">
        <v>20</v>
      </c>
      <c r="J1903" s="50">
        <v>18</v>
      </c>
      <c r="K1903" s="50" t="s">
        <v>21</v>
      </c>
      <c r="L1903" s="50">
        <v>3</v>
      </c>
      <c r="M1903" s="51">
        <v>476</v>
      </c>
    </row>
    <row r="1904" spans="5:13" x14ac:dyDescent="0.25">
      <c r="E1904" s="32">
        <v>1887</v>
      </c>
      <c r="F1904" s="43">
        <v>45387</v>
      </c>
      <c r="G1904" s="44">
        <v>2024</v>
      </c>
      <c r="H1904" s="52" t="s">
        <v>4</v>
      </c>
      <c r="I1904" s="46" t="s">
        <v>20</v>
      </c>
      <c r="J1904" s="46">
        <v>64</v>
      </c>
      <c r="K1904" s="46" t="s">
        <v>24</v>
      </c>
      <c r="L1904" s="46">
        <v>7</v>
      </c>
      <c r="M1904" s="47">
        <v>252</v>
      </c>
    </row>
    <row r="1905" spans="5:13" x14ac:dyDescent="0.25">
      <c r="E1905" s="33">
        <v>921</v>
      </c>
      <c r="F1905" s="48">
        <v>45072</v>
      </c>
      <c r="G1905" s="49">
        <v>2023</v>
      </c>
      <c r="H1905" s="45" t="s">
        <v>5</v>
      </c>
      <c r="I1905" s="50" t="s">
        <v>20</v>
      </c>
      <c r="J1905" s="50">
        <v>32</v>
      </c>
      <c r="K1905" s="50" t="s">
        <v>21</v>
      </c>
      <c r="L1905" s="50">
        <v>3</v>
      </c>
      <c r="M1905" s="51">
        <v>300</v>
      </c>
    </row>
    <row r="1906" spans="5:13" x14ac:dyDescent="0.25">
      <c r="E1906" s="32">
        <v>1882</v>
      </c>
      <c r="F1906" s="43">
        <v>45391</v>
      </c>
      <c r="G1906" s="44">
        <v>2024</v>
      </c>
      <c r="H1906" s="52" t="s">
        <v>4</v>
      </c>
      <c r="I1906" s="46" t="s">
        <v>20</v>
      </c>
      <c r="J1906" s="46">
        <v>25</v>
      </c>
      <c r="K1906" s="46" t="s">
        <v>24</v>
      </c>
      <c r="L1906" s="46">
        <v>1</v>
      </c>
      <c r="M1906" s="47">
        <v>308</v>
      </c>
    </row>
    <row r="1907" spans="5:13" x14ac:dyDescent="0.25">
      <c r="E1907" s="33">
        <v>18</v>
      </c>
      <c r="F1907" s="48">
        <v>45046</v>
      </c>
      <c r="G1907" s="49">
        <v>2023</v>
      </c>
      <c r="H1907" s="45" t="s">
        <v>4</v>
      </c>
      <c r="I1907" s="50" t="s">
        <v>22</v>
      </c>
      <c r="J1907" s="50">
        <v>47</v>
      </c>
      <c r="K1907" s="50" t="s">
        <v>24</v>
      </c>
      <c r="L1907" s="50">
        <v>2</v>
      </c>
      <c r="M1907" s="51">
        <v>25</v>
      </c>
    </row>
    <row r="1908" spans="5:13" x14ac:dyDescent="0.25">
      <c r="E1908" s="32">
        <v>1855</v>
      </c>
      <c r="F1908" s="43">
        <v>45522</v>
      </c>
      <c r="G1908" s="44">
        <v>2024</v>
      </c>
      <c r="H1908" s="52" t="s">
        <v>8</v>
      </c>
      <c r="I1908" s="46" t="s">
        <v>22</v>
      </c>
      <c r="J1908" s="46">
        <v>29</v>
      </c>
      <c r="K1908" s="46" t="s">
        <v>24</v>
      </c>
      <c r="L1908" s="46">
        <v>4</v>
      </c>
      <c r="M1908" s="47">
        <v>119</v>
      </c>
    </row>
    <row r="1909" spans="5:13" x14ac:dyDescent="0.25">
      <c r="E1909" s="33">
        <v>1432</v>
      </c>
      <c r="F1909" s="48">
        <v>45646</v>
      </c>
      <c r="G1909" s="49">
        <v>2024</v>
      </c>
      <c r="H1909" s="45" t="s">
        <v>12</v>
      </c>
      <c r="I1909" s="50" t="s">
        <v>22</v>
      </c>
      <c r="J1909" s="50">
        <v>46</v>
      </c>
      <c r="K1909" s="50" t="s">
        <v>21</v>
      </c>
      <c r="L1909" s="50">
        <v>6</v>
      </c>
      <c r="M1909" s="51">
        <v>500</v>
      </c>
    </row>
    <row r="1910" spans="5:13" x14ac:dyDescent="0.25">
      <c r="E1910" s="32">
        <v>1727</v>
      </c>
      <c r="F1910" s="43">
        <v>45422</v>
      </c>
      <c r="G1910" s="44">
        <v>2024</v>
      </c>
      <c r="H1910" s="52" t="s">
        <v>5</v>
      </c>
      <c r="I1910" s="46" t="s">
        <v>20</v>
      </c>
      <c r="J1910" s="46">
        <v>32</v>
      </c>
      <c r="K1910" s="46" t="s">
        <v>23</v>
      </c>
      <c r="L1910" s="46">
        <v>2</v>
      </c>
      <c r="M1910" s="47">
        <v>76</v>
      </c>
    </row>
    <row r="1911" spans="5:13" x14ac:dyDescent="0.25">
      <c r="E1911" s="33">
        <v>1399</v>
      </c>
      <c r="F1911" s="48">
        <v>45372</v>
      </c>
      <c r="G1911" s="49">
        <v>2024</v>
      </c>
      <c r="H1911" s="45" t="s">
        <v>3</v>
      </c>
      <c r="I1911" s="50" t="s">
        <v>22</v>
      </c>
      <c r="J1911" s="50">
        <v>42</v>
      </c>
      <c r="K1911" s="50" t="s">
        <v>23</v>
      </c>
      <c r="L1911" s="50">
        <v>1</v>
      </c>
      <c r="M1911" s="51">
        <v>206</v>
      </c>
    </row>
    <row r="1912" spans="5:13" x14ac:dyDescent="0.25">
      <c r="E1912" s="32">
        <v>1822</v>
      </c>
      <c r="F1912" s="43">
        <v>45584</v>
      </c>
      <c r="G1912" s="44">
        <v>2024</v>
      </c>
      <c r="H1912" s="52" t="s">
        <v>10</v>
      </c>
      <c r="I1912" s="46" t="s">
        <v>22</v>
      </c>
      <c r="J1912" s="46">
        <v>24</v>
      </c>
      <c r="K1912" s="46" t="s">
        <v>23</v>
      </c>
      <c r="L1912" s="46">
        <v>4</v>
      </c>
      <c r="M1912" s="47">
        <v>176</v>
      </c>
    </row>
    <row r="1913" spans="5:13" x14ac:dyDescent="0.25">
      <c r="E1913" s="33">
        <v>1915</v>
      </c>
      <c r="F1913" s="48">
        <v>45544</v>
      </c>
      <c r="G1913" s="49">
        <v>2024</v>
      </c>
      <c r="H1913" s="45" t="s">
        <v>9</v>
      </c>
      <c r="I1913" s="50" t="s">
        <v>22</v>
      </c>
      <c r="J1913" s="50">
        <v>46</v>
      </c>
      <c r="K1913" s="50" t="s">
        <v>21</v>
      </c>
      <c r="L1913" s="50">
        <v>6</v>
      </c>
      <c r="M1913" s="51">
        <v>36</v>
      </c>
    </row>
    <row r="1914" spans="5:13" x14ac:dyDescent="0.25">
      <c r="E1914" s="32">
        <v>1076</v>
      </c>
      <c r="F1914" s="43">
        <v>45474</v>
      </c>
      <c r="G1914" s="44">
        <v>2024</v>
      </c>
      <c r="H1914" s="52" t="s">
        <v>7</v>
      </c>
      <c r="I1914" s="46" t="s">
        <v>22</v>
      </c>
      <c r="J1914" s="46">
        <v>32</v>
      </c>
      <c r="K1914" s="46" t="s">
        <v>23</v>
      </c>
      <c r="L1914" s="46">
        <v>6</v>
      </c>
      <c r="M1914" s="47">
        <v>479</v>
      </c>
    </row>
    <row r="1915" spans="5:13" x14ac:dyDescent="0.25">
      <c r="E1915" s="33">
        <v>337</v>
      </c>
      <c r="F1915" s="48">
        <v>45133</v>
      </c>
      <c r="G1915" s="49">
        <v>2023</v>
      </c>
      <c r="H1915" s="45" t="s">
        <v>7</v>
      </c>
      <c r="I1915" s="50" t="s">
        <v>20</v>
      </c>
      <c r="J1915" s="50">
        <v>54</v>
      </c>
      <c r="K1915" s="50" t="s">
        <v>21</v>
      </c>
      <c r="L1915" s="50">
        <v>2</v>
      </c>
      <c r="M1915" s="51">
        <v>50</v>
      </c>
    </row>
    <row r="1916" spans="5:13" x14ac:dyDescent="0.25">
      <c r="E1916" s="32">
        <v>959</v>
      </c>
      <c r="F1916" s="43">
        <v>45083</v>
      </c>
      <c r="G1916" s="44">
        <v>2023</v>
      </c>
      <c r="H1916" s="52" t="s">
        <v>6</v>
      </c>
      <c r="I1916" s="46" t="s">
        <v>20</v>
      </c>
      <c r="J1916" s="46">
        <v>53</v>
      </c>
      <c r="K1916" s="46" t="s">
        <v>21</v>
      </c>
      <c r="L1916" s="46">
        <v>4</v>
      </c>
      <c r="M1916" s="47">
        <v>50</v>
      </c>
    </row>
    <row r="1917" spans="5:13" x14ac:dyDescent="0.25">
      <c r="E1917" s="33">
        <v>999</v>
      </c>
      <c r="F1917" s="48">
        <v>45620</v>
      </c>
      <c r="G1917" s="49">
        <v>2024</v>
      </c>
      <c r="H1917" s="45" t="s">
        <v>11</v>
      </c>
      <c r="I1917" s="50" t="s">
        <v>20</v>
      </c>
      <c r="J1917" s="50">
        <v>60</v>
      </c>
      <c r="K1917" s="50" t="s">
        <v>21</v>
      </c>
      <c r="L1917" s="50">
        <v>3</v>
      </c>
      <c r="M1917" s="51">
        <v>492</v>
      </c>
    </row>
    <row r="1918" spans="5:13" x14ac:dyDescent="0.25">
      <c r="E1918" s="32">
        <v>1877</v>
      </c>
      <c r="F1918" s="43">
        <v>45431</v>
      </c>
      <c r="G1918" s="44">
        <v>2024</v>
      </c>
      <c r="H1918" s="52" t="s">
        <v>5</v>
      </c>
      <c r="I1918" s="46" t="s">
        <v>20</v>
      </c>
      <c r="J1918" s="46">
        <v>22</v>
      </c>
      <c r="K1918" s="46" t="s">
        <v>24</v>
      </c>
      <c r="L1918" s="46">
        <v>1</v>
      </c>
      <c r="M1918" s="47">
        <v>446</v>
      </c>
    </row>
    <row r="1919" spans="5:13" x14ac:dyDescent="0.25">
      <c r="E1919" s="33">
        <v>1464</v>
      </c>
      <c r="F1919" s="48">
        <v>45503</v>
      </c>
      <c r="G1919" s="49">
        <v>2024</v>
      </c>
      <c r="H1919" s="45" t="s">
        <v>7</v>
      </c>
      <c r="I1919" s="50" t="s">
        <v>22</v>
      </c>
      <c r="J1919" s="50">
        <v>34</v>
      </c>
      <c r="K1919" s="50" t="s">
        <v>24</v>
      </c>
      <c r="L1919" s="50">
        <v>2</v>
      </c>
      <c r="M1919" s="51">
        <v>206</v>
      </c>
    </row>
    <row r="1920" spans="5:13" x14ac:dyDescent="0.25">
      <c r="E1920" s="32">
        <v>480</v>
      </c>
      <c r="F1920" s="43">
        <v>45083</v>
      </c>
      <c r="G1920" s="44">
        <v>2023</v>
      </c>
      <c r="H1920" s="52" t="s">
        <v>6</v>
      </c>
      <c r="I1920" s="46" t="s">
        <v>22</v>
      </c>
      <c r="J1920" s="46">
        <v>43</v>
      </c>
      <c r="K1920" s="46" t="s">
        <v>24</v>
      </c>
      <c r="L1920" s="46">
        <v>4</v>
      </c>
      <c r="M1920" s="47">
        <v>300</v>
      </c>
    </row>
    <row r="1921" spans="5:13" x14ac:dyDescent="0.25">
      <c r="E1921" s="33">
        <v>937</v>
      </c>
      <c r="F1921" s="48">
        <v>45278</v>
      </c>
      <c r="G1921" s="49">
        <v>2023</v>
      </c>
      <c r="H1921" s="45" t="s">
        <v>12</v>
      </c>
      <c r="I1921" s="50" t="s">
        <v>22</v>
      </c>
      <c r="J1921" s="50">
        <v>46</v>
      </c>
      <c r="K1921" s="50" t="s">
        <v>24</v>
      </c>
      <c r="L1921" s="50">
        <v>1</v>
      </c>
      <c r="M1921" s="51">
        <v>300</v>
      </c>
    </row>
    <row r="1922" spans="5:13" x14ac:dyDescent="0.25">
      <c r="E1922" s="32">
        <v>801</v>
      </c>
      <c r="F1922" s="43">
        <v>45252</v>
      </c>
      <c r="G1922" s="44">
        <v>2023</v>
      </c>
      <c r="H1922" s="52" t="s">
        <v>11</v>
      </c>
      <c r="I1922" s="46" t="s">
        <v>20</v>
      </c>
      <c r="J1922" s="46">
        <v>39</v>
      </c>
      <c r="K1922" s="46" t="s">
        <v>23</v>
      </c>
      <c r="L1922" s="46">
        <v>4</v>
      </c>
      <c r="M1922" s="47">
        <v>25</v>
      </c>
    </row>
    <row r="1923" spans="5:13" x14ac:dyDescent="0.25">
      <c r="E1923" s="33">
        <v>280</v>
      </c>
      <c r="F1923" s="48">
        <v>45069</v>
      </c>
      <c r="G1923" s="49">
        <v>2023</v>
      </c>
      <c r="H1923" s="45" t="s">
        <v>5</v>
      </c>
      <c r="I1923" s="50" t="s">
        <v>22</v>
      </c>
      <c r="J1923" s="50">
        <v>29</v>
      </c>
      <c r="K1923" s="50" t="s">
        <v>21</v>
      </c>
      <c r="L1923" s="50">
        <v>4</v>
      </c>
      <c r="M1923" s="51">
        <v>500</v>
      </c>
    </row>
    <row r="1924" spans="5:13" x14ac:dyDescent="0.25">
      <c r="E1924" s="32">
        <v>773</v>
      </c>
      <c r="F1924" s="43">
        <v>44965</v>
      </c>
      <c r="G1924" s="44">
        <v>2023</v>
      </c>
      <c r="H1924" s="52" t="s">
        <v>2</v>
      </c>
      <c r="I1924" s="46" t="s">
        <v>22</v>
      </c>
      <c r="J1924" s="46">
        <v>46</v>
      </c>
      <c r="K1924" s="46" t="s">
        <v>24</v>
      </c>
      <c r="L1924" s="46">
        <v>4</v>
      </c>
      <c r="M1924" s="47">
        <v>25</v>
      </c>
    </row>
    <row r="1925" spans="5:13" x14ac:dyDescent="0.25">
      <c r="E1925" s="33">
        <v>1150</v>
      </c>
      <c r="F1925" s="48">
        <v>45350</v>
      </c>
      <c r="G1925" s="49">
        <v>2024</v>
      </c>
      <c r="H1925" s="45" t="s">
        <v>2</v>
      </c>
      <c r="I1925" s="50" t="s">
        <v>20</v>
      </c>
      <c r="J1925" s="50">
        <v>18</v>
      </c>
      <c r="K1925" s="50" t="s">
        <v>24</v>
      </c>
      <c r="L1925" s="50">
        <v>3</v>
      </c>
      <c r="M1925" s="51">
        <v>160</v>
      </c>
    </row>
    <row r="1926" spans="5:13" x14ac:dyDescent="0.25">
      <c r="E1926" s="32">
        <v>1001</v>
      </c>
      <c r="F1926" s="43">
        <v>45304</v>
      </c>
      <c r="G1926" s="44">
        <v>2024</v>
      </c>
      <c r="H1926" s="52" t="s">
        <v>1</v>
      </c>
      <c r="I1926" s="46" t="s">
        <v>20</v>
      </c>
      <c r="J1926" s="46">
        <v>19</v>
      </c>
      <c r="K1926" s="46" t="s">
        <v>24</v>
      </c>
      <c r="L1926" s="46">
        <v>6</v>
      </c>
      <c r="M1926" s="47">
        <v>45</v>
      </c>
    </row>
    <row r="1927" spans="5:13" x14ac:dyDescent="0.25">
      <c r="E1927" s="33">
        <v>1303</v>
      </c>
      <c r="F1927" s="48">
        <v>45525</v>
      </c>
      <c r="G1927" s="49">
        <v>2024</v>
      </c>
      <c r="H1927" s="45" t="s">
        <v>8</v>
      </c>
      <c r="I1927" s="50" t="s">
        <v>20</v>
      </c>
      <c r="J1927" s="50">
        <v>30</v>
      </c>
      <c r="K1927" s="50" t="s">
        <v>24</v>
      </c>
      <c r="L1927" s="50">
        <v>2</v>
      </c>
      <c r="M1927" s="51">
        <v>471</v>
      </c>
    </row>
    <row r="1928" spans="5:13" x14ac:dyDescent="0.25">
      <c r="E1928" s="32">
        <v>310</v>
      </c>
      <c r="F1928" s="43">
        <v>45265</v>
      </c>
      <c r="G1928" s="44">
        <v>2023</v>
      </c>
      <c r="H1928" s="52" t="s">
        <v>12</v>
      </c>
      <c r="I1928" s="46" t="s">
        <v>22</v>
      </c>
      <c r="J1928" s="46">
        <v>32</v>
      </c>
      <c r="K1928" s="46" t="s">
        <v>21</v>
      </c>
      <c r="L1928" s="46">
        <v>4</v>
      </c>
      <c r="M1928" s="47">
        <v>25</v>
      </c>
    </row>
    <row r="1929" spans="5:13" x14ac:dyDescent="0.25">
      <c r="E1929" s="33">
        <v>344</v>
      </c>
      <c r="F1929" s="48">
        <v>45244</v>
      </c>
      <c r="G1929" s="49">
        <v>2023</v>
      </c>
      <c r="H1929" s="45" t="s">
        <v>11</v>
      </c>
      <c r="I1929" s="50" t="s">
        <v>20</v>
      </c>
      <c r="J1929" s="50">
        <v>62</v>
      </c>
      <c r="K1929" s="50" t="s">
        <v>24</v>
      </c>
      <c r="L1929" s="50">
        <v>1</v>
      </c>
      <c r="M1929" s="51">
        <v>30</v>
      </c>
    </row>
    <row r="1930" spans="5:13" x14ac:dyDescent="0.25">
      <c r="E1930" s="32">
        <v>473</v>
      </c>
      <c r="F1930" s="43">
        <v>45122</v>
      </c>
      <c r="G1930" s="44">
        <v>2023</v>
      </c>
      <c r="H1930" s="52" t="s">
        <v>7</v>
      </c>
      <c r="I1930" s="46" t="s">
        <v>22</v>
      </c>
      <c r="J1930" s="46">
        <v>26</v>
      </c>
      <c r="K1930" s="46" t="s">
        <v>23</v>
      </c>
      <c r="L1930" s="46">
        <v>3</v>
      </c>
      <c r="M1930" s="47">
        <v>500</v>
      </c>
    </row>
    <row r="1931" spans="5:13" x14ac:dyDescent="0.25">
      <c r="E1931" s="33">
        <v>199</v>
      </c>
      <c r="F1931" s="48">
        <v>45264</v>
      </c>
      <c r="G1931" s="49">
        <v>2023</v>
      </c>
      <c r="H1931" s="45" t="s">
        <v>12</v>
      </c>
      <c r="I1931" s="50" t="s">
        <v>20</v>
      </c>
      <c r="J1931" s="50">
        <v>45</v>
      </c>
      <c r="K1931" s="50" t="s">
        <v>21</v>
      </c>
      <c r="L1931" s="50">
        <v>3</v>
      </c>
      <c r="M1931" s="51">
        <v>500</v>
      </c>
    </row>
    <row r="1932" spans="5:13" x14ac:dyDescent="0.25">
      <c r="E1932" s="32">
        <v>1760</v>
      </c>
      <c r="F1932" s="43">
        <v>45376</v>
      </c>
      <c r="G1932" s="44">
        <v>2024</v>
      </c>
      <c r="H1932" s="52" t="s">
        <v>3</v>
      </c>
      <c r="I1932" s="46" t="s">
        <v>22</v>
      </c>
      <c r="J1932" s="46">
        <v>56</v>
      </c>
      <c r="K1932" s="46" t="s">
        <v>23</v>
      </c>
      <c r="L1932" s="46">
        <v>3</v>
      </c>
      <c r="M1932" s="47">
        <v>171</v>
      </c>
    </row>
    <row r="1933" spans="5:13" x14ac:dyDescent="0.25">
      <c r="E1933" s="33">
        <v>1457</v>
      </c>
      <c r="F1933" s="48">
        <v>45414</v>
      </c>
      <c r="G1933" s="49">
        <v>2024</v>
      </c>
      <c r="H1933" s="45" t="s">
        <v>5</v>
      </c>
      <c r="I1933" s="50" t="s">
        <v>20</v>
      </c>
      <c r="J1933" s="50">
        <v>27</v>
      </c>
      <c r="K1933" s="50" t="s">
        <v>21</v>
      </c>
      <c r="L1933" s="50">
        <v>4</v>
      </c>
      <c r="M1933" s="51">
        <v>216</v>
      </c>
    </row>
    <row r="1934" spans="5:13" x14ac:dyDescent="0.25">
      <c r="E1934" s="32">
        <v>1929</v>
      </c>
      <c r="F1934" s="43">
        <v>45325</v>
      </c>
      <c r="G1934" s="44">
        <v>2024</v>
      </c>
      <c r="H1934" s="52" t="s">
        <v>2</v>
      </c>
      <c r="I1934" s="46" t="s">
        <v>20</v>
      </c>
      <c r="J1934" s="46">
        <v>30</v>
      </c>
      <c r="K1934" s="46" t="s">
        <v>21</v>
      </c>
      <c r="L1934" s="46">
        <v>7</v>
      </c>
      <c r="M1934" s="47">
        <v>224</v>
      </c>
    </row>
    <row r="1935" spans="5:13" x14ac:dyDescent="0.25">
      <c r="E1935" s="33">
        <v>278</v>
      </c>
      <c r="F1935" s="48">
        <v>45143</v>
      </c>
      <c r="G1935" s="49">
        <v>2023</v>
      </c>
      <c r="H1935" s="45" t="s">
        <v>8</v>
      </c>
      <c r="I1935" s="50" t="s">
        <v>20</v>
      </c>
      <c r="J1935" s="50">
        <v>50</v>
      </c>
      <c r="K1935" s="50" t="s">
        <v>23</v>
      </c>
      <c r="L1935" s="50">
        <v>1</v>
      </c>
      <c r="M1935" s="51">
        <v>500</v>
      </c>
    </row>
    <row r="1936" spans="5:13" x14ac:dyDescent="0.25">
      <c r="E1936" s="32">
        <v>383</v>
      </c>
      <c r="F1936" s="43">
        <v>45151</v>
      </c>
      <c r="G1936" s="44">
        <v>2023</v>
      </c>
      <c r="H1936" s="52" t="s">
        <v>8</v>
      </c>
      <c r="I1936" s="46" t="s">
        <v>20</v>
      </c>
      <c r="J1936" s="46">
        <v>55</v>
      </c>
      <c r="K1936" s="46" t="s">
        <v>23</v>
      </c>
      <c r="L1936" s="46">
        <v>1</v>
      </c>
      <c r="M1936" s="47">
        <v>500</v>
      </c>
    </row>
    <row r="1937" spans="5:13" x14ac:dyDescent="0.25">
      <c r="E1937" s="33">
        <v>204</v>
      </c>
      <c r="F1937" s="48">
        <v>45197</v>
      </c>
      <c r="G1937" s="49">
        <v>2023</v>
      </c>
      <c r="H1937" s="45" t="s">
        <v>9</v>
      </c>
      <c r="I1937" s="50" t="s">
        <v>20</v>
      </c>
      <c r="J1937" s="50">
        <v>39</v>
      </c>
      <c r="K1937" s="50" t="s">
        <v>21</v>
      </c>
      <c r="L1937" s="50">
        <v>1</v>
      </c>
      <c r="M1937" s="51">
        <v>25</v>
      </c>
    </row>
    <row r="1938" spans="5:13" x14ac:dyDescent="0.25">
      <c r="E1938" s="32">
        <v>1056</v>
      </c>
      <c r="F1938" s="43">
        <v>45609</v>
      </c>
      <c r="G1938" s="44">
        <v>2024</v>
      </c>
      <c r="H1938" s="52" t="s">
        <v>11</v>
      </c>
      <c r="I1938" s="46" t="s">
        <v>20</v>
      </c>
      <c r="J1938" s="46">
        <v>33</v>
      </c>
      <c r="K1938" s="46" t="s">
        <v>23</v>
      </c>
      <c r="L1938" s="46">
        <v>1</v>
      </c>
      <c r="M1938" s="47">
        <v>465</v>
      </c>
    </row>
    <row r="1939" spans="5:13" x14ac:dyDescent="0.25">
      <c r="E1939" s="33">
        <v>1952</v>
      </c>
      <c r="F1939" s="48">
        <v>45523</v>
      </c>
      <c r="G1939" s="49">
        <v>2024</v>
      </c>
      <c r="H1939" s="45" t="s">
        <v>8</v>
      </c>
      <c r="I1939" s="50" t="s">
        <v>20</v>
      </c>
      <c r="J1939" s="50">
        <v>48</v>
      </c>
      <c r="K1939" s="50" t="s">
        <v>23</v>
      </c>
      <c r="L1939" s="50">
        <v>6</v>
      </c>
      <c r="M1939" s="51">
        <v>442</v>
      </c>
    </row>
    <row r="1940" spans="5:13" x14ac:dyDescent="0.25">
      <c r="E1940" s="32">
        <v>306</v>
      </c>
      <c r="F1940" s="43">
        <v>45073</v>
      </c>
      <c r="G1940" s="44">
        <v>2023</v>
      </c>
      <c r="H1940" s="52" t="s">
        <v>5</v>
      </c>
      <c r="I1940" s="46" t="s">
        <v>22</v>
      </c>
      <c r="J1940" s="46">
        <v>26</v>
      </c>
      <c r="K1940" s="46" t="s">
        <v>24</v>
      </c>
      <c r="L1940" s="46">
        <v>2</v>
      </c>
      <c r="M1940" s="47">
        <v>25</v>
      </c>
    </row>
    <row r="1941" spans="5:13" x14ac:dyDescent="0.25">
      <c r="E1941" s="33">
        <v>1279</v>
      </c>
      <c r="F1941" s="48">
        <v>45529</v>
      </c>
      <c r="G1941" s="49">
        <v>2024</v>
      </c>
      <c r="H1941" s="45" t="s">
        <v>8</v>
      </c>
      <c r="I1941" s="50" t="s">
        <v>22</v>
      </c>
      <c r="J1941" s="50">
        <v>25</v>
      </c>
      <c r="K1941" s="50" t="s">
        <v>24</v>
      </c>
      <c r="L1941" s="50">
        <v>3</v>
      </c>
      <c r="M1941" s="51">
        <v>392</v>
      </c>
    </row>
    <row r="1942" spans="5:13" x14ac:dyDescent="0.25">
      <c r="E1942" s="32">
        <v>673</v>
      </c>
      <c r="F1942" s="43">
        <v>45142</v>
      </c>
      <c r="G1942" s="44">
        <v>2023</v>
      </c>
      <c r="H1942" s="52" t="s">
        <v>8</v>
      </c>
      <c r="I1942" s="46" t="s">
        <v>22</v>
      </c>
      <c r="J1942" s="46">
        <v>45</v>
      </c>
      <c r="K1942" s="46" t="s">
        <v>23</v>
      </c>
      <c r="L1942" s="46">
        <v>2</v>
      </c>
      <c r="M1942" s="47">
        <v>30</v>
      </c>
    </row>
    <row r="1943" spans="5:13" x14ac:dyDescent="0.25">
      <c r="E1943" s="33">
        <v>1701</v>
      </c>
      <c r="F1943" s="48">
        <v>45358</v>
      </c>
      <c r="G1943" s="49">
        <v>2024</v>
      </c>
      <c r="H1943" s="45" t="s">
        <v>3</v>
      </c>
      <c r="I1943" s="50" t="s">
        <v>20</v>
      </c>
      <c r="J1943" s="50">
        <v>28</v>
      </c>
      <c r="K1943" s="50" t="s">
        <v>24</v>
      </c>
      <c r="L1943" s="50">
        <v>6</v>
      </c>
      <c r="M1943" s="51">
        <v>462</v>
      </c>
    </row>
    <row r="1944" spans="5:13" x14ac:dyDescent="0.25">
      <c r="E1944" s="32">
        <v>1783</v>
      </c>
      <c r="F1944" s="43">
        <v>45313</v>
      </c>
      <c r="G1944" s="44">
        <v>2024</v>
      </c>
      <c r="H1944" s="52" t="s">
        <v>1</v>
      </c>
      <c r="I1944" s="46" t="s">
        <v>20</v>
      </c>
      <c r="J1944" s="46">
        <v>31</v>
      </c>
      <c r="K1944" s="46" t="s">
        <v>24</v>
      </c>
      <c r="L1944" s="46">
        <v>5</v>
      </c>
      <c r="M1944" s="47">
        <v>325</v>
      </c>
    </row>
    <row r="1945" spans="5:13" x14ac:dyDescent="0.25">
      <c r="E1945" s="33">
        <v>1408</v>
      </c>
      <c r="F1945" s="48">
        <v>45428</v>
      </c>
      <c r="G1945" s="49">
        <v>2024</v>
      </c>
      <c r="H1945" s="45" t="s">
        <v>5</v>
      </c>
      <c r="I1945" s="50" t="s">
        <v>20</v>
      </c>
      <c r="J1945" s="50">
        <v>34</v>
      </c>
      <c r="K1945" s="50" t="s">
        <v>24</v>
      </c>
      <c r="L1945" s="50">
        <v>7</v>
      </c>
      <c r="M1945" s="51">
        <v>457</v>
      </c>
    </row>
    <row r="1946" spans="5:13" x14ac:dyDescent="0.25">
      <c r="E1946" s="32">
        <v>543</v>
      </c>
      <c r="F1946" s="43">
        <v>45283</v>
      </c>
      <c r="G1946" s="44">
        <v>2023</v>
      </c>
      <c r="H1946" s="52" t="s">
        <v>12</v>
      </c>
      <c r="I1946" s="46" t="s">
        <v>22</v>
      </c>
      <c r="J1946" s="46">
        <v>27</v>
      </c>
      <c r="K1946" s="46" t="s">
        <v>24</v>
      </c>
      <c r="L1946" s="46">
        <v>1</v>
      </c>
      <c r="M1946" s="47">
        <v>25</v>
      </c>
    </row>
    <row r="1947" spans="5:13" x14ac:dyDescent="0.25">
      <c r="E1947" s="33">
        <v>1603</v>
      </c>
      <c r="F1947" s="48">
        <v>45417</v>
      </c>
      <c r="G1947" s="49">
        <v>2024</v>
      </c>
      <c r="H1947" s="45" t="s">
        <v>5</v>
      </c>
      <c r="I1947" s="50" t="s">
        <v>20</v>
      </c>
      <c r="J1947" s="50">
        <v>27</v>
      </c>
      <c r="K1947" s="50" t="s">
        <v>24</v>
      </c>
      <c r="L1947" s="50">
        <v>6</v>
      </c>
      <c r="M1947" s="51">
        <v>45</v>
      </c>
    </row>
    <row r="1948" spans="5:13" x14ac:dyDescent="0.25">
      <c r="E1948" s="32">
        <v>684</v>
      </c>
      <c r="F1948" s="43">
        <v>45126</v>
      </c>
      <c r="G1948" s="44">
        <v>2023</v>
      </c>
      <c r="H1948" s="52" t="s">
        <v>7</v>
      </c>
      <c r="I1948" s="46" t="s">
        <v>22</v>
      </c>
      <c r="J1948" s="46">
        <v>28</v>
      </c>
      <c r="K1948" s="46" t="s">
        <v>24</v>
      </c>
      <c r="L1948" s="46">
        <v>4</v>
      </c>
      <c r="M1948" s="47">
        <v>50</v>
      </c>
    </row>
    <row r="1949" spans="5:13" x14ac:dyDescent="0.25">
      <c r="E1949" s="33">
        <v>1278</v>
      </c>
      <c r="F1949" s="48">
        <v>45435</v>
      </c>
      <c r="G1949" s="49">
        <v>2024</v>
      </c>
      <c r="H1949" s="45" t="s">
        <v>5</v>
      </c>
      <c r="I1949" s="50" t="s">
        <v>22</v>
      </c>
      <c r="J1949" s="50">
        <v>53</v>
      </c>
      <c r="K1949" s="50" t="s">
        <v>21</v>
      </c>
      <c r="L1949" s="50">
        <v>7</v>
      </c>
      <c r="M1949" s="51">
        <v>301</v>
      </c>
    </row>
    <row r="1950" spans="5:13" x14ac:dyDescent="0.25">
      <c r="E1950" s="32">
        <v>689</v>
      </c>
      <c r="F1950" s="43">
        <v>45039</v>
      </c>
      <c r="G1950" s="44">
        <v>2023</v>
      </c>
      <c r="H1950" s="52" t="s">
        <v>4</v>
      </c>
      <c r="I1950" s="46" t="s">
        <v>22</v>
      </c>
      <c r="J1950" s="46">
        <v>51</v>
      </c>
      <c r="K1950" s="46" t="s">
        <v>23</v>
      </c>
      <c r="L1950" s="46">
        <v>3</v>
      </c>
      <c r="M1950" s="47">
        <v>30</v>
      </c>
    </row>
    <row r="1951" spans="5:13" x14ac:dyDescent="0.25">
      <c r="E1951" s="33">
        <v>1388</v>
      </c>
      <c r="F1951" s="48">
        <v>45296</v>
      </c>
      <c r="G1951" s="49">
        <v>2024</v>
      </c>
      <c r="H1951" s="45" t="s">
        <v>1</v>
      </c>
      <c r="I1951" s="50" t="s">
        <v>20</v>
      </c>
      <c r="J1951" s="50">
        <v>25</v>
      </c>
      <c r="K1951" s="50" t="s">
        <v>21</v>
      </c>
      <c r="L1951" s="50">
        <v>5</v>
      </c>
      <c r="M1951" s="51">
        <v>306</v>
      </c>
    </row>
    <row r="1952" spans="5:13" x14ac:dyDescent="0.25">
      <c r="E1952" s="32">
        <v>1819</v>
      </c>
      <c r="F1952" s="43">
        <v>45523</v>
      </c>
      <c r="G1952" s="44">
        <v>2024</v>
      </c>
      <c r="H1952" s="52" t="s">
        <v>8</v>
      </c>
      <c r="I1952" s="46" t="s">
        <v>22</v>
      </c>
      <c r="J1952" s="46">
        <v>32</v>
      </c>
      <c r="K1952" s="46" t="s">
        <v>24</v>
      </c>
      <c r="L1952" s="46">
        <v>3</v>
      </c>
      <c r="M1952" s="47">
        <v>241</v>
      </c>
    </row>
    <row r="1953" spans="5:13" x14ac:dyDescent="0.25">
      <c r="E1953" s="33">
        <v>879</v>
      </c>
      <c r="F1953" s="48">
        <v>45065</v>
      </c>
      <c r="G1953" s="49">
        <v>2023</v>
      </c>
      <c r="H1953" s="45" t="s">
        <v>5</v>
      </c>
      <c r="I1953" s="50" t="s">
        <v>20</v>
      </c>
      <c r="J1953" s="50">
        <v>22</v>
      </c>
      <c r="K1953" s="50" t="s">
        <v>24</v>
      </c>
      <c r="L1953" s="50">
        <v>1</v>
      </c>
      <c r="M1953" s="51">
        <v>300</v>
      </c>
    </row>
    <row r="1954" spans="5:13" x14ac:dyDescent="0.25">
      <c r="E1954" s="32">
        <v>587</v>
      </c>
      <c r="F1954" s="43">
        <v>45042</v>
      </c>
      <c r="G1954" s="44">
        <v>2023</v>
      </c>
      <c r="H1954" s="52" t="s">
        <v>4</v>
      </c>
      <c r="I1954" s="46" t="s">
        <v>20</v>
      </c>
      <c r="J1954" s="46">
        <v>38</v>
      </c>
      <c r="K1954" s="46" t="s">
        <v>24</v>
      </c>
      <c r="L1954" s="46">
        <v>2</v>
      </c>
      <c r="M1954" s="47">
        <v>30</v>
      </c>
    </row>
    <row r="1955" spans="5:13" x14ac:dyDescent="0.25">
      <c r="E1955" s="33">
        <v>1532</v>
      </c>
      <c r="F1955" s="48">
        <v>45632</v>
      </c>
      <c r="G1955" s="49">
        <v>2024</v>
      </c>
      <c r="H1955" s="45" t="s">
        <v>12</v>
      </c>
      <c r="I1955" s="50" t="s">
        <v>20</v>
      </c>
      <c r="J1955" s="50">
        <v>42</v>
      </c>
      <c r="K1955" s="50" t="s">
        <v>21</v>
      </c>
      <c r="L1955" s="50">
        <v>2</v>
      </c>
      <c r="M1955" s="51">
        <v>408</v>
      </c>
    </row>
    <row r="1956" spans="5:13" x14ac:dyDescent="0.25">
      <c r="E1956" s="32">
        <v>338</v>
      </c>
      <c r="F1956" s="43">
        <v>44988</v>
      </c>
      <c r="G1956" s="44">
        <v>2023</v>
      </c>
      <c r="H1956" s="52" t="s">
        <v>3</v>
      </c>
      <c r="I1956" s="46" t="s">
        <v>22</v>
      </c>
      <c r="J1956" s="46">
        <v>22</v>
      </c>
      <c r="K1956" s="46" t="s">
        <v>24</v>
      </c>
      <c r="L1956" s="46">
        <v>2</v>
      </c>
      <c r="M1956" s="47">
        <v>25</v>
      </c>
    </row>
    <row r="1957" spans="5:13" x14ac:dyDescent="0.25">
      <c r="E1957" s="33">
        <v>1562</v>
      </c>
      <c r="F1957" s="48">
        <v>45603</v>
      </c>
      <c r="G1957" s="49">
        <v>2024</v>
      </c>
      <c r="H1957" s="45" t="s">
        <v>11</v>
      </c>
      <c r="I1957" s="50" t="s">
        <v>22</v>
      </c>
      <c r="J1957" s="50">
        <v>62</v>
      </c>
      <c r="K1957" s="50" t="s">
        <v>21</v>
      </c>
      <c r="L1957" s="50">
        <v>7</v>
      </c>
      <c r="M1957" s="51">
        <v>194</v>
      </c>
    </row>
    <row r="1958" spans="5:13" x14ac:dyDescent="0.25">
      <c r="E1958" s="32">
        <v>1757</v>
      </c>
      <c r="F1958" s="43">
        <v>45603</v>
      </c>
      <c r="G1958" s="44">
        <v>2024</v>
      </c>
      <c r="H1958" s="52" t="s">
        <v>11</v>
      </c>
      <c r="I1958" s="46" t="s">
        <v>22</v>
      </c>
      <c r="J1958" s="46">
        <v>27</v>
      </c>
      <c r="K1958" s="46" t="s">
        <v>23</v>
      </c>
      <c r="L1958" s="46">
        <v>3</v>
      </c>
      <c r="M1958" s="47">
        <v>240</v>
      </c>
    </row>
    <row r="1959" spans="5:13" x14ac:dyDescent="0.25">
      <c r="E1959" s="33">
        <v>1014</v>
      </c>
      <c r="F1959" s="48">
        <v>45339</v>
      </c>
      <c r="G1959" s="49">
        <v>2024</v>
      </c>
      <c r="H1959" s="45" t="s">
        <v>2</v>
      </c>
      <c r="I1959" s="50" t="s">
        <v>20</v>
      </c>
      <c r="J1959" s="50">
        <v>57</v>
      </c>
      <c r="K1959" s="50" t="s">
        <v>23</v>
      </c>
      <c r="L1959" s="50">
        <v>7</v>
      </c>
      <c r="M1959" s="51">
        <v>85</v>
      </c>
    </row>
    <row r="1960" spans="5:13" x14ac:dyDescent="0.25">
      <c r="E1960" s="32">
        <v>1660</v>
      </c>
      <c r="F1960" s="43">
        <v>45654</v>
      </c>
      <c r="G1960" s="44">
        <v>2024</v>
      </c>
      <c r="H1960" s="52" t="s">
        <v>12</v>
      </c>
      <c r="I1960" s="46" t="s">
        <v>22</v>
      </c>
      <c r="J1960" s="46">
        <v>46</v>
      </c>
      <c r="K1960" s="46" t="s">
        <v>23</v>
      </c>
      <c r="L1960" s="46">
        <v>2</v>
      </c>
      <c r="M1960" s="47">
        <v>264</v>
      </c>
    </row>
    <row r="1961" spans="5:13" x14ac:dyDescent="0.25">
      <c r="E1961" s="33">
        <v>551</v>
      </c>
      <c r="F1961" s="48">
        <v>45273</v>
      </c>
      <c r="G1961" s="49">
        <v>2023</v>
      </c>
      <c r="H1961" s="45" t="s">
        <v>12</v>
      </c>
      <c r="I1961" s="50" t="s">
        <v>22</v>
      </c>
      <c r="J1961" s="50">
        <v>49</v>
      </c>
      <c r="K1961" s="50" t="s">
        <v>24</v>
      </c>
      <c r="L1961" s="50">
        <v>3</v>
      </c>
      <c r="M1961" s="51">
        <v>25</v>
      </c>
    </row>
    <row r="1962" spans="5:13" x14ac:dyDescent="0.25">
      <c r="E1962" s="32">
        <v>1103</v>
      </c>
      <c r="F1962" s="43">
        <v>45498</v>
      </c>
      <c r="G1962" s="44">
        <v>2024</v>
      </c>
      <c r="H1962" s="52" t="s">
        <v>7</v>
      </c>
      <c r="I1962" s="46" t="s">
        <v>22</v>
      </c>
      <c r="J1962" s="46">
        <v>21</v>
      </c>
      <c r="K1962" s="46" t="s">
        <v>24</v>
      </c>
      <c r="L1962" s="46">
        <v>1</v>
      </c>
      <c r="M1962" s="47">
        <v>347</v>
      </c>
    </row>
    <row r="1963" spans="5:13" x14ac:dyDescent="0.25">
      <c r="E1963" s="33">
        <v>413</v>
      </c>
      <c r="F1963" s="48">
        <v>45055</v>
      </c>
      <c r="G1963" s="49">
        <v>2023</v>
      </c>
      <c r="H1963" s="45" t="s">
        <v>5</v>
      </c>
      <c r="I1963" s="50" t="s">
        <v>20</v>
      </c>
      <c r="J1963" s="50">
        <v>48</v>
      </c>
      <c r="K1963" s="50" t="s">
        <v>21</v>
      </c>
      <c r="L1963" s="50">
        <v>4</v>
      </c>
      <c r="M1963" s="51">
        <v>25</v>
      </c>
    </row>
    <row r="1964" spans="5:13" x14ac:dyDescent="0.25">
      <c r="E1964" s="32">
        <v>893</v>
      </c>
      <c r="F1964" s="43">
        <v>45068</v>
      </c>
      <c r="G1964" s="44">
        <v>2023</v>
      </c>
      <c r="H1964" s="52" t="s">
        <v>5</v>
      </c>
      <c r="I1964" s="46" t="s">
        <v>22</v>
      </c>
      <c r="J1964" s="46">
        <v>55</v>
      </c>
      <c r="K1964" s="46" t="s">
        <v>23</v>
      </c>
      <c r="L1964" s="46">
        <v>4</v>
      </c>
      <c r="M1964" s="47">
        <v>30</v>
      </c>
    </row>
    <row r="1965" spans="5:13" x14ac:dyDescent="0.25">
      <c r="E1965" s="33">
        <v>972</v>
      </c>
      <c r="F1965" s="48">
        <v>45049</v>
      </c>
      <c r="G1965" s="49">
        <v>2023</v>
      </c>
      <c r="H1965" s="45" t="s">
        <v>5</v>
      </c>
      <c r="I1965" s="50" t="s">
        <v>20</v>
      </c>
      <c r="J1965" s="50">
        <v>47</v>
      </c>
      <c r="K1965" s="50" t="s">
        <v>21</v>
      </c>
      <c r="L1965" s="50">
        <v>1</v>
      </c>
      <c r="M1965" s="51">
        <v>30</v>
      </c>
    </row>
    <row r="1966" spans="5:13" x14ac:dyDescent="0.25">
      <c r="E1966" s="32">
        <v>1631</v>
      </c>
      <c r="F1966" s="43">
        <v>45573</v>
      </c>
      <c r="G1966" s="44">
        <v>2024</v>
      </c>
      <c r="H1966" s="52" t="s">
        <v>10</v>
      </c>
      <c r="I1966" s="46" t="s">
        <v>20</v>
      </c>
      <c r="J1966" s="46">
        <v>22</v>
      </c>
      <c r="K1966" s="46" t="s">
        <v>24</v>
      </c>
      <c r="L1966" s="46">
        <v>2</v>
      </c>
      <c r="M1966" s="47">
        <v>244</v>
      </c>
    </row>
    <row r="1967" spans="5:13" x14ac:dyDescent="0.25">
      <c r="E1967" s="33">
        <v>274</v>
      </c>
      <c r="F1967" s="48">
        <v>45024</v>
      </c>
      <c r="G1967" s="49">
        <v>2023</v>
      </c>
      <c r="H1967" s="45" t="s">
        <v>4</v>
      </c>
      <c r="I1967" s="50" t="s">
        <v>20</v>
      </c>
      <c r="J1967" s="50">
        <v>43</v>
      </c>
      <c r="K1967" s="50" t="s">
        <v>23</v>
      </c>
      <c r="L1967" s="50">
        <v>2</v>
      </c>
      <c r="M1967" s="51">
        <v>500</v>
      </c>
    </row>
    <row r="1968" spans="5:13" x14ac:dyDescent="0.25">
      <c r="E1968" s="32">
        <v>575</v>
      </c>
      <c r="F1968" s="43">
        <v>45264</v>
      </c>
      <c r="G1968" s="44">
        <v>2023</v>
      </c>
      <c r="H1968" s="52" t="s">
        <v>12</v>
      </c>
      <c r="I1968" s="46" t="s">
        <v>22</v>
      </c>
      <c r="J1968" s="46">
        <v>33</v>
      </c>
      <c r="K1968" s="46" t="s">
        <v>21</v>
      </c>
      <c r="L1968" s="46">
        <v>3</v>
      </c>
      <c r="M1968" s="47">
        <v>50</v>
      </c>
    </row>
    <row r="1969" spans="5:13" x14ac:dyDescent="0.25">
      <c r="E1969" s="33">
        <v>631</v>
      </c>
      <c r="F1969" s="48">
        <v>45185</v>
      </c>
      <c r="G1969" s="49">
        <v>2023</v>
      </c>
      <c r="H1969" s="45" t="s">
        <v>9</v>
      </c>
      <c r="I1969" s="50" t="s">
        <v>22</v>
      </c>
      <c r="J1969" s="50">
        <v>26</v>
      </c>
      <c r="K1969" s="50" t="s">
        <v>24</v>
      </c>
      <c r="L1969" s="50">
        <v>4</v>
      </c>
      <c r="M1969" s="51">
        <v>25</v>
      </c>
    </row>
    <row r="1970" spans="5:13" x14ac:dyDescent="0.25">
      <c r="E1970" s="32">
        <v>302</v>
      </c>
      <c r="F1970" s="43">
        <v>44928</v>
      </c>
      <c r="G1970" s="44">
        <v>2023</v>
      </c>
      <c r="H1970" s="52" t="s">
        <v>1</v>
      </c>
      <c r="I1970" s="46" t="s">
        <v>20</v>
      </c>
      <c r="J1970" s="46">
        <v>19</v>
      </c>
      <c r="K1970" s="46" t="s">
        <v>24</v>
      </c>
      <c r="L1970" s="46">
        <v>3</v>
      </c>
      <c r="M1970" s="47">
        <v>30</v>
      </c>
    </row>
    <row r="1971" spans="5:13" x14ac:dyDescent="0.25">
      <c r="E1971" s="33">
        <v>163</v>
      </c>
      <c r="F1971" s="48">
        <v>44928</v>
      </c>
      <c r="G1971" s="49">
        <v>2023</v>
      </c>
      <c r="H1971" s="45" t="s">
        <v>1</v>
      </c>
      <c r="I1971" s="50" t="s">
        <v>22</v>
      </c>
      <c r="J1971" s="50">
        <v>64</v>
      </c>
      <c r="K1971" s="50" t="s">
        <v>23</v>
      </c>
      <c r="L1971" s="50">
        <v>3</v>
      </c>
      <c r="M1971" s="51">
        <v>50</v>
      </c>
    </row>
    <row r="1972" spans="5:13" x14ac:dyDescent="0.25">
      <c r="E1972" s="32">
        <v>1028</v>
      </c>
      <c r="F1972" s="43">
        <v>45594</v>
      </c>
      <c r="G1972" s="44">
        <v>2024</v>
      </c>
      <c r="H1972" s="52" t="s">
        <v>10</v>
      </c>
      <c r="I1972" s="46" t="s">
        <v>22</v>
      </c>
      <c r="J1972" s="46">
        <v>27</v>
      </c>
      <c r="K1972" s="46" t="s">
        <v>21</v>
      </c>
      <c r="L1972" s="46">
        <v>2</v>
      </c>
      <c r="M1972" s="47">
        <v>364</v>
      </c>
    </row>
    <row r="1973" spans="5:13" x14ac:dyDescent="0.25">
      <c r="E1973" s="33">
        <v>569</v>
      </c>
      <c r="F1973" s="48">
        <v>45153</v>
      </c>
      <c r="G1973" s="49">
        <v>2023</v>
      </c>
      <c r="H1973" s="45" t="s">
        <v>8</v>
      </c>
      <c r="I1973" s="50" t="s">
        <v>20</v>
      </c>
      <c r="J1973" s="50">
        <v>49</v>
      </c>
      <c r="K1973" s="50" t="s">
        <v>23</v>
      </c>
      <c r="L1973" s="50">
        <v>1</v>
      </c>
      <c r="M1973" s="51">
        <v>500</v>
      </c>
    </row>
    <row r="1974" spans="5:13" x14ac:dyDescent="0.25">
      <c r="E1974" s="32">
        <v>922</v>
      </c>
      <c r="F1974" s="43">
        <v>45167</v>
      </c>
      <c r="G1974" s="44">
        <v>2023</v>
      </c>
      <c r="H1974" s="52" t="s">
        <v>8</v>
      </c>
      <c r="I1974" s="46" t="s">
        <v>20</v>
      </c>
      <c r="J1974" s="46">
        <v>55</v>
      </c>
      <c r="K1974" s="46" t="s">
        <v>21</v>
      </c>
      <c r="L1974" s="46">
        <v>2</v>
      </c>
      <c r="M1974" s="47">
        <v>50</v>
      </c>
    </row>
    <row r="1975" spans="5:13" x14ac:dyDescent="0.25">
      <c r="E1975" s="33">
        <v>1458</v>
      </c>
      <c r="F1975" s="48">
        <v>45376</v>
      </c>
      <c r="G1975" s="49">
        <v>2024</v>
      </c>
      <c r="H1975" s="45" t="s">
        <v>3</v>
      </c>
      <c r="I1975" s="50" t="s">
        <v>22</v>
      </c>
      <c r="J1975" s="50">
        <v>58</v>
      </c>
      <c r="K1975" s="50" t="s">
        <v>21</v>
      </c>
      <c r="L1975" s="50">
        <v>4</v>
      </c>
      <c r="M1975" s="51">
        <v>351</v>
      </c>
    </row>
    <row r="1976" spans="5:13" x14ac:dyDescent="0.25">
      <c r="E1976" s="32">
        <v>159</v>
      </c>
      <c r="F1976" s="43">
        <v>45077</v>
      </c>
      <c r="G1976" s="44">
        <v>2023</v>
      </c>
      <c r="H1976" s="52" t="s">
        <v>5</v>
      </c>
      <c r="I1976" s="46" t="s">
        <v>20</v>
      </c>
      <c r="J1976" s="46">
        <v>26</v>
      </c>
      <c r="K1976" s="46" t="s">
        <v>23</v>
      </c>
      <c r="L1976" s="46">
        <v>4</v>
      </c>
      <c r="M1976" s="47">
        <v>50</v>
      </c>
    </row>
    <row r="1977" spans="5:13" x14ac:dyDescent="0.25">
      <c r="E1977" s="33">
        <v>431</v>
      </c>
      <c r="F1977" s="48">
        <v>44931</v>
      </c>
      <c r="G1977" s="49">
        <v>2023</v>
      </c>
      <c r="H1977" s="45" t="s">
        <v>1</v>
      </c>
      <c r="I1977" s="50" t="s">
        <v>22</v>
      </c>
      <c r="J1977" s="50">
        <v>60</v>
      </c>
      <c r="K1977" s="50" t="s">
        <v>24</v>
      </c>
      <c r="L1977" s="50">
        <v>2</v>
      </c>
      <c r="M1977" s="51">
        <v>500</v>
      </c>
    </row>
    <row r="1978" spans="5:13" x14ac:dyDescent="0.25">
      <c r="E1978" s="32">
        <v>133</v>
      </c>
      <c r="F1978" s="43">
        <v>44973</v>
      </c>
      <c r="G1978" s="44">
        <v>2023</v>
      </c>
      <c r="H1978" s="52" t="s">
        <v>2</v>
      </c>
      <c r="I1978" s="46" t="s">
        <v>20</v>
      </c>
      <c r="J1978" s="46">
        <v>20</v>
      </c>
      <c r="K1978" s="46" t="s">
        <v>24</v>
      </c>
      <c r="L1978" s="46">
        <v>3</v>
      </c>
      <c r="M1978" s="47">
        <v>300</v>
      </c>
    </row>
    <row r="1979" spans="5:13" x14ac:dyDescent="0.25">
      <c r="E1979" s="33">
        <v>1351</v>
      </c>
      <c r="F1979" s="48">
        <v>45397</v>
      </c>
      <c r="G1979" s="49">
        <v>2024</v>
      </c>
      <c r="H1979" s="45" t="s">
        <v>4</v>
      </c>
      <c r="I1979" s="50" t="s">
        <v>22</v>
      </c>
      <c r="J1979" s="50">
        <v>38</v>
      </c>
      <c r="K1979" s="50" t="s">
        <v>21</v>
      </c>
      <c r="L1979" s="50">
        <v>5</v>
      </c>
      <c r="M1979" s="51">
        <v>301</v>
      </c>
    </row>
    <row r="1980" spans="5:13" x14ac:dyDescent="0.25">
      <c r="E1980" s="32">
        <v>1078</v>
      </c>
      <c r="F1980" s="43">
        <v>45636</v>
      </c>
      <c r="G1980" s="44">
        <v>2024</v>
      </c>
      <c r="H1980" s="52" t="s">
        <v>12</v>
      </c>
      <c r="I1980" s="46" t="s">
        <v>22</v>
      </c>
      <c r="J1980" s="46">
        <v>53</v>
      </c>
      <c r="K1980" s="46" t="s">
        <v>23</v>
      </c>
      <c r="L1980" s="46">
        <v>5</v>
      </c>
      <c r="M1980" s="47">
        <v>56</v>
      </c>
    </row>
    <row r="1981" spans="5:13" x14ac:dyDescent="0.25">
      <c r="E1981" s="33">
        <v>909</v>
      </c>
      <c r="F1981" s="48">
        <v>45067</v>
      </c>
      <c r="G1981" s="49">
        <v>2023</v>
      </c>
      <c r="H1981" s="45" t="s">
        <v>5</v>
      </c>
      <c r="I1981" s="50" t="s">
        <v>20</v>
      </c>
      <c r="J1981" s="50">
        <v>42</v>
      </c>
      <c r="K1981" s="50" t="s">
        <v>24</v>
      </c>
      <c r="L1981" s="50">
        <v>3</v>
      </c>
      <c r="M1981" s="51">
        <v>300</v>
      </c>
    </row>
    <row r="1982" spans="5:13" x14ac:dyDescent="0.25">
      <c r="E1982" s="32">
        <v>1071</v>
      </c>
      <c r="F1982" s="43">
        <v>45525</v>
      </c>
      <c r="G1982" s="44">
        <v>2024</v>
      </c>
      <c r="H1982" s="52" t="s">
        <v>8</v>
      </c>
      <c r="I1982" s="46" t="s">
        <v>20</v>
      </c>
      <c r="J1982" s="46">
        <v>54</v>
      </c>
      <c r="K1982" s="46" t="s">
        <v>24</v>
      </c>
      <c r="L1982" s="46">
        <v>2</v>
      </c>
      <c r="M1982" s="47">
        <v>294</v>
      </c>
    </row>
    <row r="1983" spans="5:13" x14ac:dyDescent="0.25">
      <c r="E1983" s="33">
        <v>436</v>
      </c>
      <c r="F1983" s="48">
        <v>45206</v>
      </c>
      <c r="G1983" s="49">
        <v>2023</v>
      </c>
      <c r="H1983" s="45" t="s">
        <v>10</v>
      </c>
      <c r="I1983" s="50" t="s">
        <v>22</v>
      </c>
      <c r="J1983" s="50">
        <v>35</v>
      </c>
      <c r="K1983" s="50" t="s">
        <v>24</v>
      </c>
      <c r="L1983" s="50">
        <v>4</v>
      </c>
      <c r="M1983" s="51">
        <v>300</v>
      </c>
    </row>
    <row r="1984" spans="5:13" x14ac:dyDescent="0.25">
      <c r="E1984" s="32">
        <v>712</v>
      </c>
      <c r="F1984" s="43">
        <v>44969</v>
      </c>
      <c r="G1984" s="44">
        <v>2023</v>
      </c>
      <c r="H1984" s="52" t="s">
        <v>2</v>
      </c>
      <c r="I1984" s="46" t="s">
        <v>22</v>
      </c>
      <c r="J1984" s="46">
        <v>18</v>
      </c>
      <c r="K1984" s="46" t="s">
        <v>23</v>
      </c>
      <c r="L1984" s="46">
        <v>1</v>
      </c>
      <c r="M1984" s="47">
        <v>500</v>
      </c>
    </row>
    <row r="1985" spans="5:13" x14ac:dyDescent="0.25">
      <c r="E1985" s="33">
        <v>724</v>
      </c>
      <c r="F1985" s="48">
        <v>45094</v>
      </c>
      <c r="G1985" s="49">
        <v>2023</v>
      </c>
      <c r="H1985" s="45" t="s">
        <v>6</v>
      </c>
      <c r="I1985" s="50" t="s">
        <v>20</v>
      </c>
      <c r="J1985" s="50">
        <v>47</v>
      </c>
      <c r="K1985" s="50" t="s">
        <v>23</v>
      </c>
      <c r="L1985" s="50">
        <v>4</v>
      </c>
      <c r="M1985" s="51">
        <v>300</v>
      </c>
    </row>
    <row r="1986" spans="5:13" x14ac:dyDescent="0.25">
      <c r="E1986" s="32">
        <v>167</v>
      </c>
      <c r="F1986" s="43">
        <v>45186</v>
      </c>
      <c r="G1986" s="44">
        <v>2023</v>
      </c>
      <c r="H1986" s="52" t="s">
        <v>9</v>
      </c>
      <c r="I1986" s="46" t="s">
        <v>22</v>
      </c>
      <c r="J1986" s="46">
        <v>43</v>
      </c>
      <c r="K1986" s="46" t="s">
        <v>23</v>
      </c>
      <c r="L1986" s="46">
        <v>3</v>
      </c>
      <c r="M1986" s="47">
        <v>50</v>
      </c>
    </row>
    <row r="1987" spans="5:13" x14ac:dyDescent="0.25">
      <c r="E1987" s="33">
        <v>247</v>
      </c>
      <c r="F1987" s="48">
        <v>44994</v>
      </c>
      <c r="G1987" s="49">
        <v>2023</v>
      </c>
      <c r="H1987" s="45" t="s">
        <v>3</v>
      </c>
      <c r="I1987" s="50" t="s">
        <v>20</v>
      </c>
      <c r="J1987" s="50">
        <v>26</v>
      </c>
      <c r="K1987" s="50" t="s">
        <v>23</v>
      </c>
      <c r="L1987" s="50">
        <v>3</v>
      </c>
      <c r="M1987" s="51">
        <v>300</v>
      </c>
    </row>
    <row r="1988" spans="5:13" x14ac:dyDescent="0.25">
      <c r="E1988" s="32">
        <v>478</v>
      </c>
      <c r="F1988" s="43">
        <v>45162</v>
      </c>
      <c r="G1988" s="44">
        <v>2023</v>
      </c>
      <c r="H1988" s="52" t="s">
        <v>8</v>
      </c>
      <c r="I1988" s="46" t="s">
        <v>20</v>
      </c>
      <c r="J1988" s="46">
        <v>52</v>
      </c>
      <c r="K1988" s="46" t="s">
        <v>24</v>
      </c>
      <c r="L1988" s="46">
        <v>4</v>
      </c>
      <c r="M1988" s="47">
        <v>300</v>
      </c>
    </row>
    <row r="1989" spans="5:13" x14ac:dyDescent="0.25">
      <c r="E1989" s="33">
        <v>1010</v>
      </c>
      <c r="F1989" s="48">
        <v>45595</v>
      </c>
      <c r="G1989" s="49">
        <v>2024</v>
      </c>
      <c r="H1989" s="45" t="s">
        <v>10</v>
      </c>
      <c r="I1989" s="50" t="s">
        <v>20</v>
      </c>
      <c r="J1989" s="50">
        <v>36</v>
      </c>
      <c r="K1989" s="50" t="s">
        <v>21</v>
      </c>
      <c r="L1989" s="50">
        <v>4</v>
      </c>
      <c r="M1989" s="51">
        <v>392</v>
      </c>
    </row>
    <row r="1990" spans="5:13" x14ac:dyDescent="0.25">
      <c r="E1990" s="32">
        <v>1417</v>
      </c>
      <c r="F1990" s="43">
        <v>45314</v>
      </c>
      <c r="G1990" s="44">
        <v>2024</v>
      </c>
      <c r="H1990" s="52" t="s">
        <v>1</v>
      </c>
      <c r="I1990" s="46" t="s">
        <v>22</v>
      </c>
      <c r="J1990" s="46">
        <v>46</v>
      </c>
      <c r="K1990" s="46" t="s">
        <v>23</v>
      </c>
      <c r="L1990" s="46">
        <v>1</v>
      </c>
      <c r="M1990" s="47">
        <v>114</v>
      </c>
    </row>
    <row r="1991" spans="5:13" x14ac:dyDescent="0.25">
      <c r="E1991" s="33">
        <v>1430</v>
      </c>
      <c r="F1991" s="48">
        <v>45349</v>
      </c>
      <c r="G1991" s="49">
        <v>2024</v>
      </c>
      <c r="H1991" s="45" t="s">
        <v>2</v>
      </c>
      <c r="I1991" s="50" t="s">
        <v>20</v>
      </c>
      <c r="J1991" s="50">
        <v>51</v>
      </c>
      <c r="K1991" s="50" t="s">
        <v>21</v>
      </c>
      <c r="L1991" s="50">
        <v>5</v>
      </c>
      <c r="M1991" s="51">
        <v>485</v>
      </c>
    </row>
    <row r="1992" spans="5:13" x14ac:dyDescent="0.25">
      <c r="E1992" s="32">
        <v>71</v>
      </c>
      <c r="F1992" s="43">
        <v>45121</v>
      </c>
      <c r="G1992" s="44">
        <v>2023</v>
      </c>
      <c r="H1992" s="52" t="s">
        <v>7</v>
      </c>
      <c r="I1992" s="46" t="s">
        <v>22</v>
      </c>
      <c r="J1992" s="46">
        <v>51</v>
      </c>
      <c r="K1992" s="46" t="s">
        <v>21</v>
      </c>
      <c r="L1992" s="46">
        <v>4</v>
      </c>
      <c r="M1992" s="47">
        <v>25</v>
      </c>
    </row>
    <row r="1993" spans="5:13" x14ac:dyDescent="0.25">
      <c r="E1993" s="33">
        <v>456</v>
      </c>
      <c r="F1993" s="48">
        <v>45135</v>
      </c>
      <c r="G1993" s="49">
        <v>2023</v>
      </c>
      <c r="H1993" s="45" t="s">
        <v>7</v>
      </c>
      <c r="I1993" s="50" t="s">
        <v>22</v>
      </c>
      <c r="J1993" s="50">
        <v>58</v>
      </c>
      <c r="K1993" s="50" t="s">
        <v>21</v>
      </c>
      <c r="L1993" s="50">
        <v>3</v>
      </c>
      <c r="M1993" s="51">
        <v>300</v>
      </c>
    </row>
    <row r="1994" spans="5:13" x14ac:dyDescent="0.25">
      <c r="E1994" s="32">
        <v>92</v>
      </c>
      <c r="F1994" s="43">
        <v>45163</v>
      </c>
      <c r="G1994" s="44">
        <v>2023</v>
      </c>
      <c r="H1994" s="52" t="s">
        <v>8</v>
      </c>
      <c r="I1994" s="46" t="s">
        <v>22</v>
      </c>
      <c r="J1994" s="46">
        <v>51</v>
      </c>
      <c r="K1994" s="46" t="s">
        <v>24</v>
      </c>
      <c r="L1994" s="46">
        <v>4</v>
      </c>
      <c r="M1994" s="47">
        <v>30</v>
      </c>
    </row>
    <row r="1995" spans="5:13" x14ac:dyDescent="0.25">
      <c r="E1995" s="33">
        <v>1342</v>
      </c>
      <c r="F1995" s="48">
        <v>45610</v>
      </c>
      <c r="G1995" s="49">
        <v>2024</v>
      </c>
      <c r="H1995" s="45" t="s">
        <v>11</v>
      </c>
      <c r="I1995" s="50" t="s">
        <v>20</v>
      </c>
      <c r="J1995" s="50">
        <v>24</v>
      </c>
      <c r="K1995" s="50" t="s">
        <v>24</v>
      </c>
      <c r="L1995" s="50">
        <v>1</v>
      </c>
      <c r="M1995" s="51">
        <v>77</v>
      </c>
    </row>
    <row r="1996" spans="5:13" x14ac:dyDescent="0.25">
      <c r="E1996" s="32">
        <v>506</v>
      </c>
      <c r="F1996" s="43">
        <v>45232</v>
      </c>
      <c r="G1996" s="44">
        <v>2023</v>
      </c>
      <c r="H1996" s="52" t="s">
        <v>11</v>
      </c>
      <c r="I1996" s="46" t="s">
        <v>22</v>
      </c>
      <c r="J1996" s="46">
        <v>37</v>
      </c>
      <c r="K1996" s="46" t="s">
        <v>24</v>
      </c>
      <c r="L1996" s="46">
        <v>3</v>
      </c>
      <c r="M1996" s="47">
        <v>500</v>
      </c>
    </row>
    <row r="1997" spans="5:13" x14ac:dyDescent="0.25">
      <c r="E1997" s="33">
        <v>783</v>
      </c>
      <c r="F1997" s="48">
        <v>44988</v>
      </c>
      <c r="G1997" s="49">
        <v>2023</v>
      </c>
      <c r="H1997" s="45" t="s">
        <v>3</v>
      </c>
      <c r="I1997" s="50" t="s">
        <v>22</v>
      </c>
      <c r="J1997" s="50">
        <v>31</v>
      </c>
      <c r="K1997" s="50" t="s">
        <v>21</v>
      </c>
      <c r="L1997" s="50">
        <v>4</v>
      </c>
      <c r="M1997" s="51">
        <v>50</v>
      </c>
    </row>
    <row r="1998" spans="5:13" x14ac:dyDescent="0.25">
      <c r="E1998" s="32">
        <v>1525</v>
      </c>
      <c r="F1998" s="43">
        <v>45479</v>
      </c>
      <c r="G1998" s="44">
        <v>2024</v>
      </c>
      <c r="H1998" s="52" t="s">
        <v>7</v>
      </c>
      <c r="I1998" s="46" t="s">
        <v>22</v>
      </c>
      <c r="J1998" s="46">
        <v>49</v>
      </c>
      <c r="K1998" s="46" t="s">
        <v>23</v>
      </c>
      <c r="L1998" s="46">
        <v>7</v>
      </c>
      <c r="M1998" s="47">
        <v>482</v>
      </c>
    </row>
    <row r="1999" spans="5:13" x14ac:dyDescent="0.25">
      <c r="E1999" s="33">
        <v>836</v>
      </c>
      <c r="F1999" s="48">
        <v>45059</v>
      </c>
      <c r="G1999" s="49">
        <v>2023</v>
      </c>
      <c r="H1999" s="45" t="s">
        <v>5</v>
      </c>
      <c r="I1999" s="50" t="s">
        <v>20</v>
      </c>
      <c r="J1999" s="50">
        <v>47</v>
      </c>
      <c r="K1999" s="50" t="s">
        <v>24</v>
      </c>
      <c r="L1999" s="50">
        <v>2</v>
      </c>
      <c r="M1999" s="51">
        <v>300</v>
      </c>
    </row>
    <row r="2000" spans="5:13" x14ac:dyDescent="0.25">
      <c r="E2000" s="32">
        <v>1258</v>
      </c>
      <c r="F2000" s="43">
        <v>45509</v>
      </c>
      <c r="G2000" s="44">
        <v>2024</v>
      </c>
      <c r="H2000" s="52" t="s">
        <v>8</v>
      </c>
      <c r="I2000" s="46" t="s">
        <v>20</v>
      </c>
      <c r="J2000" s="46">
        <v>22</v>
      </c>
      <c r="K2000" s="46" t="s">
        <v>23</v>
      </c>
      <c r="L2000" s="46">
        <v>2</v>
      </c>
      <c r="M2000" s="47">
        <v>51</v>
      </c>
    </row>
    <row r="2001" spans="5:13" x14ac:dyDescent="0.25">
      <c r="E2001" s="33">
        <v>928</v>
      </c>
      <c r="F2001" s="48">
        <v>45056</v>
      </c>
      <c r="G2001" s="49">
        <v>2023</v>
      </c>
      <c r="H2001" s="45" t="s">
        <v>5</v>
      </c>
      <c r="I2001" s="50" t="s">
        <v>20</v>
      </c>
      <c r="J2001" s="50">
        <v>54</v>
      </c>
      <c r="K2001" s="50" t="s">
        <v>23</v>
      </c>
      <c r="L2001" s="50">
        <v>4</v>
      </c>
      <c r="M2001" s="51">
        <v>50</v>
      </c>
    </row>
    <row r="2002" spans="5:13" x14ac:dyDescent="0.25">
      <c r="E2002" s="32">
        <v>289</v>
      </c>
      <c r="F2002" s="43">
        <v>45203</v>
      </c>
      <c r="G2002" s="44">
        <v>2023</v>
      </c>
      <c r="H2002" s="52" t="s">
        <v>10</v>
      </c>
      <c r="I2002" s="46" t="s">
        <v>22</v>
      </c>
      <c r="J2002" s="46">
        <v>30</v>
      </c>
      <c r="K2002" s="46" t="s">
        <v>21</v>
      </c>
      <c r="L2002" s="46">
        <v>2</v>
      </c>
      <c r="M2002" s="47">
        <v>300</v>
      </c>
    </row>
    <row r="2003" spans="5:13" x14ac:dyDescent="0.25">
      <c r="E2003" s="33">
        <v>1948</v>
      </c>
      <c r="F2003" s="48">
        <v>45609</v>
      </c>
      <c r="G2003" s="49">
        <v>2024</v>
      </c>
      <c r="H2003" s="45" t="s">
        <v>11</v>
      </c>
      <c r="I2003" s="50" t="s">
        <v>22</v>
      </c>
      <c r="J2003" s="50">
        <v>65</v>
      </c>
      <c r="K2003" s="50" t="s">
        <v>23</v>
      </c>
      <c r="L2003" s="50">
        <v>5</v>
      </c>
      <c r="M2003" s="51">
        <v>294</v>
      </c>
    </row>
    <row r="2004" spans="5:13" ht="15.75" thickBot="1" x14ac:dyDescent="0.3">
      <c r="E2004" s="32">
        <v>1598</v>
      </c>
      <c r="F2004" s="43">
        <v>45392</v>
      </c>
      <c r="G2004" s="44">
        <v>2024</v>
      </c>
      <c r="H2004" s="52" t="s">
        <v>4</v>
      </c>
      <c r="I2004" s="46" t="s">
        <v>20</v>
      </c>
      <c r="J2004" s="46">
        <v>59</v>
      </c>
      <c r="K2004" s="46" t="s">
        <v>23</v>
      </c>
      <c r="L2004" s="46">
        <v>2</v>
      </c>
      <c r="M2004" s="47">
        <v>392</v>
      </c>
    </row>
    <row r="2005" spans="5:13" x14ac:dyDescent="0.25">
      <c r="E2005" s="53" t="s">
        <v>34</v>
      </c>
      <c r="F2005" s="54"/>
      <c r="G2005" s="54"/>
      <c r="H2005" s="55"/>
      <c r="I2005" s="54"/>
      <c r="J2005" s="54"/>
      <c r="K2005" s="54"/>
      <c r="L2005" s="54"/>
      <c r="M2005" s="56">
        <f>SUBTOTAL(109,Продажи_отчет!$M$9:$M$2004)</f>
        <v>438787</v>
      </c>
    </row>
  </sheetData>
  <phoneticPr fontId="5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894D3-F57A-47CC-A76D-542EDB28249E}">
  <sheetPr>
    <tabColor rgb="FF00B050"/>
  </sheetPr>
  <dimension ref="A2:Q2004"/>
  <sheetViews>
    <sheetView workbookViewId="0">
      <selection activeCell="K16" sqref="K16"/>
    </sheetView>
  </sheetViews>
  <sheetFormatPr defaultColWidth="8.625" defaultRowHeight="15" x14ac:dyDescent="0.25"/>
  <cols>
    <col min="1" max="1" width="4.625" style="2" customWidth="1"/>
    <col min="2" max="3" width="5.5" style="2" customWidth="1"/>
    <col min="4" max="4" width="8.625" style="1"/>
    <col min="5" max="5" width="18" style="1" bestFit="1" customWidth="1"/>
    <col min="6" max="6" width="9.75" style="1" bestFit="1" customWidth="1"/>
    <col min="7" max="8" width="9.75" style="1" customWidth="1"/>
    <col min="9" max="9" width="11.875" style="1" bestFit="1" customWidth="1"/>
    <col min="10" max="10" width="9" style="1" bestFit="1" customWidth="1"/>
    <col min="11" max="11" width="20.5" style="1" bestFit="1" customWidth="1"/>
    <col min="12" max="12" width="12.875" style="1" bestFit="1" customWidth="1"/>
    <col min="13" max="13" width="17.375" style="1" bestFit="1" customWidth="1"/>
    <col min="14" max="14" width="12.375" style="1" bestFit="1" customWidth="1"/>
    <col min="15" max="16" width="8.625" style="1"/>
    <col min="17" max="17" width="9.875" style="1" bestFit="1" customWidth="1"/>
    <col min="18" max="19" width="8.625" style="1"/>
    <col min="20" max="20" width="4.875" style="1" customWidth="1"/>
    <col min="21" max="16384" width="8.625" style="1"/>
  </cols>
  <sheetData>
    <row r="2" spans="5:17" x14ac:dyDescent="0.25">
      <c r="P2" s="1" t="s">
        <v>31</v>
      </c>
      <c r="Q2" s="27">
        <f>SUM(N9:N2004)</f>
        <v>1481872</v>
      </c>
    </row>
    <row r="3" spans="5:17" x14ac:dyDescent="0.25">
      <c r="L3" s="27">
        <f t="shared" ref="L3:M3" si="0">_xlfn.AGGREGATE(9,1,L9:L2004)</f>
        <v>6480</v>
      </c>
      <c r="M3" s="27">
        <f t="shared" si="0"/>
        <v>438787</v>
      </c>
      <c r="N3" s="27">
        <f>_xlfn.AGGREGATE(9,1,N9:N2004)</f>
        <v>1481872</v>
      </c>
      <c r="P3" s="1" t="s">
        <v>32</v>
      </c>
      <c r="Q3" s="27">
        <f>SUMPRODUCT(L9:L2004,M9:M2004)</f>
        <v>1481872</v>
      </c>
    </row>
    <row r="4" spans="5:17" x14ac:dyDescent="0.25">
      <c r="P4" s="1" t="s">
        <v>33</v>
      </c>
      <c r="Q4" s="27">
        <f t="array" ref="Q4">SUM(L9:L2004*M9:M2004)</f>
        <v>1481872</v>
      </c>
    </row>
    <row r="7" spans="5:17" ht="15.75" thickBot="1" x14ac:dyDescent="0.3"/>
    <row r="8" spans="5:17" x14ac:dyDescent="0.25">
      <c r="E8" s="6" t="s">
        <v>14</v>
      </c>
      <c r="F8" s="6" t="s">
        <v>15</v>
      </c>
      <c r="G8" s="6" t="s">
        <v>25</v>
      </c>
      <c r="H8" s="6" t="s">
        <v>26</v>
      </c>
      <c r="I8" s="6" t="s">
        <v>16</v>
      </c>
      <c r="J8" s="6" t="s">
        <v>17</v>
      </c>
      <c r="K8" s="6" t="s">
        <v>18</v>
      </c>
      <c r="L8" s="6" t="s">
        <v>13</v>
      </c>
      <c r="M8" s="6" t="s">
        <v>19</v>
      </c>
    </row>
    <row r="9" spans="5:17" x14ac:dyDescent="0.25">
      <c r="E9">
        <v>35</v>
      </c>
      <c r="F9" s="7">
        <v>45143</v>
      </c>
      <c r="G9">
        <f>YEAR(F9)</f>
        <v>2023</v>
      </c>
      <c r="H9" s="7" t="str">
        <f>TEXT(F9,"ММММ")</f>
        <v>Август</v>
      </c>
      <c r="I9" t="s">
        <v>22</v>
      </c>
      <c r="J9">
        <v>58</v>
      </c>
      <c r="K9" t="s">
        <v>21</v>
      </c>
      <c r="L9">
        <v>3</v>
      </c>
      <c r="M9">
        <v>300</v>
      </c>
      <c r="N9" s="1">
        <f>L9*M9</f>
        <v>900</v>
      </c>
    </row>
    <row r="10" spans="5:17" x14ac:dyDescent="0.25">
      <c r="E10">
        <v>522</v>
      </c>
      <c r="F10" s="7">
        <v>45193</v>
      </c>
      <c r="G10">
        <f t="shared" ref="G10:G73" si="1">YEAR(F10)</f>
        <v>2023</v>
      </c>
      <c r="H10" s="7" t="str">
        <f t="shared" ref="H10:H73" si="2">TEXT(F10,"ММММ")</f>
        <v>Сентябрь</v>
      </c>
      <c r="I10" t="s">
        <v>22</v>
      </c>
      <c r="J10">
        <v>62</v>
      </c>
      <c r="K10" t="s">
        <v>24</v>
      </c>
      <c r="L10">
        <v>1</v>
      </c>
      <c r="M10">
        <v>300</v>
      </c>
      <c r="N10" s="1">
        <f t="shared" ref="N10:N73" si="3">L10*M10</f>
        <v>300</v>
      </c>
    </row>
    <row r="11" spans="5:17" x14ac:dyDescent="0.25">
      <c r="E11">
        <v>1610</v>
      </c>
      <c r="F11" s="7">
        <v>45405</v>
      </c>
      <c r="G11">
        <f t="shared" si="1"/>
        <v>2024</v>
      </c>
      <c r="H11" s="7" t="str">
        <f t="shared" si="2"/>
        <v>Апрель</v>
      </c>
      <c r="I11" t="s">
        <v>22</v>
      </c>
      <c r="J11">
        <v>54</v>
      </c>
      <c r="K11" t="s">
        <v>23</v>
      </c>
      <c r="L11">
        <v>5</v>
      </c>
      <c r="M11">
        <v>190</v>
      </c>
      <c r="N11" s="1">
        <f t="shared" si="3"/>
        <v>950</v>
      </c>
    </row>
    <row r="12" spans="5:17" x14ac:dyDescent="0.25">
      <c r="E12">
        <v>1179</v>
      </c>
      <c r="F12" s="7">
        <v>45599</v>
      </c>
      <c r="G12">
        <f t="shared" si="1"/>
        <v>2024</v>
      </c>
      <c r="H12" s="7" t="str">
        <f t="shared" si="2"/>
        <v>Ноябрь</v>
      </c>
      <c r="I12" t="s">
        <v>20</v>
      </c>
      <c r="J12">
        <v>47</v>
      </c>
      <c r="K12" t="s">
        <v>24</v>
      </c>
      <c r="L12">
        <v>5</v>
      </c>
      <c r="M12">
        <v>286</v>
      </c>
      <c r="N12" s="1">
        <f t="shared" si="3"/>
        <v>1430</v>
      </c>
    </row>
    <row r="13" spans="5:17" x14ac:dyDescent="0.25">
      <c r="E13">
        <v>22</v>
      </c>
      <c r="F13" s="7">
        <v>45214</v>
      </c>
      <c r="G13">
        <f t="shared" si="1"/>
        <v>2023</v>
      </c>
      <c r="H13" s="7" t="str">
        <f t="shared" si="2"/>
        <v>Октябрь</v>
      </c>
      <c r="I13" t="s">
        <v>20</v>
      </c>
      <c r="J13">
        <v>18</v>
      </c>
      <c r="K13" t="s">
        <v>23</v>
      </c>
      <c r="L13">
        <v>2</v>
      </c>
      <c r="M13">
        <v>50</v>
      </c>
      <c r="N13" s="1">
        <f t="shared" si="3"/>
        <v>100</v>
      </c>
    </row>
    <row r="14" spans="5:17" x14ac:dyDescent="0.25">
      <c r="E14">
        <v>536</v>
      </c>
      <c r="F14" s="7">
        <v>45080</v>
      </c>
      <c r="G14">
        <f t="shared" si="1"/>
        <v>2023</v>
      </c>
      <c r="H14" s="7" t="str">
        <f t="shared" si="2"/>
        <v>Июнь</v>
      </c>
      <c r="I14" t="s">
        <v>22</v>
      </c>
      <c r="J14">
        <v>21</v>
      </c>
      <c r="K14" t="s">
        <v>21</v>
      </c>
      <c r="L14">
        <v>1</v>
      </c>
      <c r="M14">
        <v>500</v>
      </c>
      <c r="N14" s="1">
        <f t="shared" si="3"/>
        <v>500</v>
      </c>
    </row>
    <row r="15" spans="5:17" x14ac:dyDescent="0.25">
      <c r="E15">
        <v>1617</v>
      </c>
      <c r="F15" s="7">
        <v>45420</v>
      </c>
      <c r="G15">
        <f t="shared" si="1"/>
        <v>2024</v>
      </c>
      <c r="H15" s="7" t="str">
        <f t="shared" si="2"/>
        <v>Май</v>
      </c>
      <c r="I15" t="s">
        <v>20</v>
      </c>
      <c r="J15">
        <v>53</v>
      </c>
      <c r="K15" t="s">
        <v>24</v>
      </c>
      <c r="L15">
        <v>3</v>
      </c>
      <c r="M15">
        <v>474</v>
      </c>
      <c r="N15" s="1">
        <f t="shared" si="3"/>
        <v>1422</v>
      </c>
    </row>
    <row r="16" spans="5:17" x14ac:dyDescent="0.25">
      <c r="E16">
        <v>347</v>
      </c>
      <c r="F16" s="7">
        <v>45263</v>
      </c>
      <c r="G16">
        <f t="shared" si="1"/>
        <v>2023</v>
      </c>
      <c r="H16" s="7" t="str">
        <f t="shared" si="2"/>
        <v>Декабрь</v>
      </c>
      <c r="I16" t="s">
        <v>22</v>
      </c>
      <c r="J16">
        <v>35</v>
      </c>
      <c r="K16" t="s">
        <v>24</v>
      </c>
      <c r="L16">
        <v>2</v>
      </c>
      <c r="M16">
        <v>300</v>
      </c>
      <c r="N16" s="1">
        <f t="shared" si="3"/>
        <v>600</v>
      </c>
    </row>
    <row r="17" spans="5:14" x14ac:dyDescent="0.25">
      <c r="E17">
        <v>1782</v>
      </c>
      <c r="F17" s="7">
        <v>45582</v>
      </c>
      <c r="G17">
        <f t="shared" si="1"/>
        <v>2024</v>
      </c>
      <c r="H17" s="7" t="str">
        <f t="shared" si="2"/>
        <v>Октябрь</v>
      </c>
      <c r="I17" t="s">
        <v>20</v>
      </c>
      <c r="J17">
        <v>59</v>
      </c>
      <c r="K17" t="s">
        <v>23</v>
      </c>
      <c r="L17">
        <v>5</v>
      </c>
      <c r="M17">
        <v>97</v>
      </c>
      <c r="N17" s="1">
        <f t="shared" si="3"/>
        <v>485</v>
      </c>
    </row>
    <row r="18" spans="5:14" x14ac:dyDescent="0.25">
      <c r="E18">
        <v>1148</v>
      </c>
      <c r="F18" s="7">
        <v>45297</v>
      </c>
      <c r="G18">
        <f t="shared" si="1"/>
        <v>2024</v>
      </c>
      <c r="H18" s="7" t="str">
        <f t="shared" si="2"/>
        <v>Январь</v>
      </c>
      <c r="I18" t="s">
        <v>22</v>
      </c>
      <c r="J18">
        <v>24</v>
      </c>
      <c r="K18" t="s">
        <v>24</v>
      </c>
      <c r="L18">
        <v>1</v>
      </c>
      <c r="M18">
        <v>227</v>
      </c>
      <c r="N18" s="1">
        <f t="shared" si="3"/>
        <v>227</v>
      </c>
    </row>
    <row r="19" spans="5:14" x14ac:dyDescent="0.25">
      <c r="E19">
        <v>1180</v>
      </c>
      <c r="F19" s="7">
        <v>45458</v>
      </c>
      <c r="G19">
        <f t="shared" si="1"/>
        <v>2024</v>
      </c>
      <c r="H19" s="7" t="str">
        <f t="shared" si="2"/>
        <v>Июнь</v>
      </c>
      <c r="I19" t="s">
        <v>20</v>
      </c>
      <c r="J19">
        <v>37</v>
      </c>
      <c r="K19" t="s">
        <v>21</v>
      </c>
      <c r="L19">
        <v>2</v>
      </c>
      <c r="M19">
        <v>128</v>
      </c>
      <c r="N19" s="1">
        <f t="shared" si="3"/>
        <v>256</v>
      </c>
    </row>
    <row r="20" spans="5:14" x14ac:dyDescent="0.25">
      <c r="E20">
        <v>1305</v>
      </c>
      <c r="F20" s="7">
        <v>45509</v>
      </c>
      <c r="G20">
        <f t="shared" si="1"/>
        <v>2024</v>
      </c>
      <c r="H20" s="7" t="str">
        <f t="shared" si="2"/>
        <v>Август</v>
      </c>
      <c r="I20" t="s">
        <v>22</v>
      </c>
      <c r="J20">
        <v>19</v>
      </c>
      <c r="K20" t="s">
        <v>21</v>
      </c>
      <c r="L20">
        <v>6</v>
      </c>
      <c r="M20">
        <v>125</v>
      </c>
      <c r="N20" s="1">
        <f t="shared" si="3"/>
        <v>750</v>
      </c>
    </row>
    <row r="21" spans="5:14" x14ac:dyDescent="0.25">
      <c r="E21">
        <v>659</v>
      </c>
      <c r="F21" s="7">
        <v>45123</v>
      </c>
      <c r="G21">
        <f t="shared" si="1"/>
        <v>2023</v>
      </c>
      <c r="H21" s="7" t="str">
        <f t="shared" si="2"/>
        <v>Июль</v>
      </c>
      <c r="I21" t="s">
        <v>22</v>
      </c>
      <c r="J21">
        <v>44</v>
      </c>
      <c r="K21" t="s">
        <v>23</v>
      </c>
      <c r="L21">
        <v>4</v>
      </c>
      <c r="M21">
        <v>25</v>
      </c>
      <c r="N21" s="1">
        <f t="shared" si="3"/>
        <v>100</v>
      </c>
    </row>
    <row r="22" spans="5:14" x14ac:dyDescent="0.25">
      <c r="E22">
        <v>691</v>
      </c>
      <c r="F22" s="7">
        <v>45039</v>
      </c>
      <c r="G22">
        <f t="shared" si="1"/>
        <v>2023</v>
      </c>
      <c r="H22" s="7" t="str">
        <f t="shared" si="2"/>
        <v>Апрель</v>
      </c>
      <c r="I22" t="s">
        <v>20</v>
      </c>
      <c r="J22">
        <v>41</v>
      </c>
      <c r="K22" t="s">
        <v>21</v>
      </c>
      <c r="L22">
        <v>3</v>
      </c>
      <c r="M22">
        <v>500</v>
      </c>
      <c r="N22" s="1">
        <f t="shared" si="3"/>
        <v>1500</v>
      </c>
    </row>
    <row r="23" spans="5:14" x14ac:dyDescent="0.25">
      <c r="E23">
        <v>432</v>
      </c>
      <c r="F23" s="7">
        <v>44984</v>
      </c>
      <c r="G23">
        <f t="shared" si="1"/>
        <v>2023</v>
      </c>
      <c r="H23" s="7" t="str">
        <f t="shared" si="2"/>
        <v>Февраль</v>
      </c>
      <c r="I23" t="s">
        <v>20</v>
      </c>
      <c r="J23">
        <v>29</v>
      </c>
      <c r="K23" t="s">
        <v>21</v>
      </c>
      <c r="L23">
        <v>4</v>
      </c>
      <c r="M23">
        <v>50</v>
      </c>
      <c r="N23" s="1">
        <f t="shared" si="3"/>
        <v>200</v>
      </c>
    </row>
    <row r="24" spans="5:14" x14ac:dyDescent="0.25">
      <c r="E24">
        <v>669</v>
      </c>
      <c r="F24" s="7">
        <v>45165</v>
      </c>
      <c r="G24">
        <f t="shared" si="1"/>
        <v>2023</v>
      </c>
      <c r="H24" s="7" t="str">
        <f t="shared" si="2"/>
        <v>Август</v>
      </c>
      <c r="I24" t="s">
        <v>20</v>
      </c>
      <c r="J24">
        <v>62</v>
      </c>
      <c r="K24" t="s">
        <v>24</v>
      </c>
      <c r="L24">
        <v>3</v>
      </c>
      <c r="M24">
        <v>50</v>
      </c>
      <c r="N24" s="1">
        <f t="shared" si="3"/>
        <v>150</v>
      </c>
    </row>
    <row r="25" spans="5:14" x14ac:dyDescent="0.25">
      <c r="E25">
        <v>853</v>
      </c>
      <c r="F25" s="7">
        <v>45170</v>
      </c>
      <c r="G25">
        <f t="shared" si="1"/>
        <v>2023</v>
      </c>
      <c r="H25" s="7" t="str">
        <f t="shared" si="2"/>
        <v>Сентябрь</v>
      </c>
      <c r="I25" t="s">
        <v>20</v>
      </c>
      <c r="J25">
        <v>54</v>
      </c>
      <c r="K25" t="s">
        <v>21</v>
      </c>
      <c r="L25">
        <v>1</v>
      </c>
      <c r="M25">
        <v>25</v>
      </c>
      <c r="N25" s="1">
        <f t="shared" si="3"/>
        <v>25</v>
      </c>
    </row>
    <row r="26" spans="5:14" x14ac:dyDescent="0.25">
      <c r="E26">
        <v>683</v>
      </c>
      <c r="F26" s="7">
        <v>45079</v>
      </c>
      <c r="G26">
        <f t="shared" si="1"/>
        <v>2023</v>
      </c>
      <c r="H26" s="7" t="str">
        <f t="shared" si="2"/>
        <v>Июнь</v>
      </c>
      <c r="I26" t="s">
        <v>20</v>
      </c>
      <c r="J26">
        <v>57</v>
      </c>
      <c r="K26" t="s">
        <v>24</v>
      </c>
      <c r="L26">
        <v>2</v>
      </c>
      <c r="M26">
        <v>25</v>
      </c>
      <c r="N26" s="1">
        <f t="shared" si="3"/>
        <v>50</v>
      </c>
    </row>
    <row r="27" spans="5:14" x14ac:dyDescent="0.25">
      <c r="E27">
        <v>547</v>
      </c>
      <c r="F27" s="7">
        <v>45025</v>
      </c>
      <c r="G27">
        <f t="shared" si="1"/>
        <v>2023</v>
      </c>
      <c r="H27" s="7" t="str">
        <f t="shared" si="2"/>
        <v>Апрель</v>
      </c>
      <c r="I27" t="s">
        <v>22</v>
      </c>
      <c r="J27">
        <v>51</v>
      </c>
      <c r="K27" t="s">
        <v>23</v>
      </c>
      <c r="L27">
        <v>2</v>
      </c>
      <c r="M27">
        <v>30</v>
      </c>
      <c r="N27" s="1">
        <f t="shared" si="3"/>
        <v>60</v>
      </c>
    </row>
    <row r="28" spans="5:14" x14ac:dyDescent="0.25">
      <c r="E28">
        <v>1545</v>
      </c>
      <c r="F28" s="7">
        <v>45391</v>
      </c>
      <c r="G28">
        <f t="shared" si="1"/>
        <v>2024</v>
      </c>
      <c r="H28" s="7" t="str">
        <f t="shared" si="2"/>
        <v>Апрель</v>
      </c>
      <c r="I28" t="s">
        <v>22</v>
      </c>
      <c r="J28">
        <v>37</v>
      </c>
      <c r="K28" t="s">
        <v>23</v>
      </c>
      <c r="L28">
        <v>3</v>
      </c>
      <c r="M28">
        <v>465</v>
      </c>
      <c r="N28" s="1">
        <f t="shared" si="3"/>
        <v>1395</v>
      </c>
    </row>
    <row r="29" spans="5:14" x14ac:dyDescent="0.25">
      <c r="E29">
        <v>861</v>
      </c>
      <c r="F29" s="7">
        <v>45040</v>
      </c>
      <c r="G29">
        <f t="shared" si="1"/>
        <v>2023</v>
      </c>
      <c r="H29" s="7" t="str">
        <f t="shared" si="2"/>
        <v>Апрель</v>
      </c>
      <c r="I29" t="s">
        <v>22</v>
      </c>
      <c r="J29">
        <v>30</v>
      </c>
      <c r="K29" t="s">
        <v>24</v>
      </c>
      <c r="L29">
        <v>2</v>
      </c>
      <c r="M29">
        <v>25</v>
      </c>
      <c r="N29" s="1">
        <f t="shared" si="3"/>
        <v>50</v>
      </c>
    </row>
    <row r="30" spans="5:14" x14ac:dyDescent="0.25">
      <c r="E30">
        <v>715</v>
      </c>
      <c r="F30" s="7">
        <v>44996</v>
      </c>
      <c r="G30">
        <f t="shared" si="1"/>
        <v>2023</v>
      </c>
      <c r="H30" s="7" t="str">
        <f t="shared" si="2"/>
        <v>Март</v>
      </c>
      <c r="I30" t="s">
        <v>20</v>
      </c>
      <c r="J30">
        <v>57</v>
      </c>
      <c r="K30" t="s">
        <v>23</v>
      </c>
      <c r="L30">
        <v>1</v>
      </c>
      <c r="M30">
        <v>500</v>
      </c>
      <c r="N30" s="1">
        <f t="shared" si="3"/>
        <v>500</v>
      </c>
    </row>
    <row r="31" spans="5:14" x14ac:dyDescent="0.25">
      <c r="E31">
        <v>620</v>
      </c>
      <c r="F31" s="7">
        <v>44989</v>
      </c>
      <c r="G31">
        <f t="shared" si="1"/>
        <v>2023</v>
      </c>
      <c r="H31" s="7" t="str">
        <f t="shared" si="2"/>
        <v>Март</v>
      </c>
      <c r="I31" t="s">
        <v>22</v>
      </c>
      <c r="J31">
        <v>40</v>
      </c>
      <c r="K31" t="s">
        <v>21</v>
      </c>
      <c r="L31">
        <v>2</v>
      </c>
      <c r="M31">
        <v>500</v>
      </c>
      <c r="N31" s="1">
        <f t="shared" si="3"/>
        <v>1000</v>
      </c>
    </row>
    <row r="32" spans="5:14" x14ac:dyDescent="0.25">
      <c r="E32">
        <v>701</v>
      </c>
      <c r="F32" s="7">
        <v>45011</v>
      </c>
      <c r="G32">
        <f t="shared" si="1"/>
        <v>2023</v>
      </c>
      <c r="H32" s="7" t="str">
        <f t="shared" si="2"/>
        <v>Март</v>
      </c>
      <c r="I32" t="s">
        <v>20</v>
      </c>
      <c r="J32">
        <v>34</v>
      </c>
      <c r="K32" t="s">
        <v>24</v>
      </c>
      <c r="L32">
        <v>2</v>
      </c>
      <c r="M32">
        <v>50</v>
      </c>
      <c r="N32" s="1">
        <f t="shared" si="3"/>
        <v>100</v>
      </c>
    </row>
    <row r="33" spans="5:14" x14ac:dyDescent="0.25">
      <c r="E33">
        <v>1090</v>
      </c>
      <c r="F33" s="7">
        <v>45529</v>
      </c>
      <c r="G33">
        <f t="shared" si="1"/>
        <v>2024</v>
      </c>
      <c r="H33" s="7" t="str">
        <f t="shared" si="2"/>
        <v>Август</v>
      </c>
      <c r="I33" t="s">
        <v>22</v>
      </c>
      <c r="J33">
        <v>30</v>
      </c>
      <c r="K33" t="s">
        <v>24</v>
      </c>
      <c r="L33">
        <v>7</v>
      </c>
      <c r="M33">
        <v>54</v>
      </c>
      <c r="N33" s="1">
        <f t="shared" si="3"/>
        <v>378</v>
      </c>
    </row>
    <row r="34" spans="5:14" x14ac:dyDescent="0.25">
      <c r="E34">
        <v>1016</v>
      </c>
      <c r="F34" s="7">
        <v>45412</v>
      </c>
      <c r="G34">
        <f t="shared" si="1"/>
        <v>2024</v>
      </c>
      <c r="H34" s="7" t="str">
        <f t="shared" si="2"/>
        <v>Апрель</v>
      </c>
      <c r="I34" t="s">
        <v>22</v>
      </c>
      <c r="J34">
        <v>49</v>
      </c>
      <c r="K34" t="s">
        <v>24</v>
      </c>
      <c r="L34">
        <v>2</v>
      </c>
      <c r="M34">
        <v>177</v>
      </c>
      <c r="N34" s="1">
        <f t="shared" si="3"/>
        <v>354</v>
      </c>
    </row>
    <row r="35" spans="5:14" x14ac:dyDescent="0.25">
      <c r="E35">
        <v>1030</v>
      </c>
      <c r="F35" s="7">
        <v>45295</v>
      </c>
      <c r="G35">
        <f t="shared" si="1"/>
        <v>2024</v>
      </c>
      <c r="H35" s="7" t="str">
        <f t="shared" si="2"/>
        <v>Январь</v>
      </c>
      <c r="I35" t="s">
        <v>20</v>
      </c>
      <c r="J35">
        <v>60</v>
      </c>
      <c r="K35" t="s">
        <v>21</v>
      </c>
      <c r="L35">
        <v>7</v>
      </c>
      <c r="M35">
        <v>51</v>
      </c>
      <c r="N35" s="1">
        <f t="shared" si="3"/>
        <v>357</v>
      </c>
    </row>
    <row r="36" spans="5:14" x14ac:dyDescent="0.25">
      <c r="E36">
        <v>1133</v>
      </c>
      <c r="F36" s="7">
        <v>45348</v>
      </c>
      <c r="G36">
        <f t="shared" si="1"/>
        <v>2024</v>
      </c>
      <c r="H36" s="7" t="str">
        <f t="shared" si="2"/>
        <v>Февраль</v>
      </c>
      <c r="I36" t="s">
        <v>20</v>
      </c>
      <c r="J36">
        <v>34</v>
      </c>
      <c r="K36" t="s">
        <v>23</v>
      </c>
      <c r="L36">
        <v>7</v>
      </c>
      <c r="M36">
        <v>51</v>
      </c>
      <c r="N36" s="1">
        <f t="shared" si="3"/>
        <v>357</v>
      </c>
    </row>
    <row r="37" spans="5:14" x14ac:dyDescent="0.25">
      <c r="E37">
        <v>1177</v>
      </c>
      <c r="F37" s="7">
        <v>45564</v>
      </c>
      <c r="G37">
        <f t="shared" si="1"/>
        <v>2024</v>
      </c>
      <c r="H37" s="7" t="str">
        <f t="shared" si="2"/>
        <v>Сентябрь</v>
      </c>
      <c r="I37" t="s">
        <v>20</v>
      </c>
      <c r="J37">
        <v>29</v>
      </c>
      <c r="K37" t="s">
        <v>24</v>
      </c>
      <c r="L37">
        <v>5</v>
      </c>
      <c r="M37">
        <v>447</v>
      </c>
      <c r="N37" s="1">
        <f t="shared" si="3"/>
        <v>2235</v>
      </c>
    </row>
    <row r="38" spans="5:14" x14ac:dyDescent="0.25">
      <c r="E38">
        <v>1667</v>
      </c>
      <c r="F38" s="7">
        <v>45531</v>
      </c>
      <c r="G38">
        <f t="shared" si="1"/>
        <v>2024</v>
      </c>
      <c r="H38" s="7" t="str">
        <f t="shared" si="2"/>
        <v>Август</v>
      </c>
      <c r="I38" t="s">
        <v>20</v>
      </c>
      <c r="J38">
        <v>52</v>
      </c>
      <c r="K38" t="s">
        <v>24</v>
      </c>
      <c r="L38">
        <v>5</v>
      </c>
      <c r="M38">
        <v>479</v>
      </c>
      <c r="N38" s="1">
        <f t="shared" si="3"/>
        <v>2395</v>
      </c>
    </row>
    <row r="39" spans="5:14" x14ac:dyDescent="0.25">
      <c r="E39">
        <v>1629</v>
      </c>
      <c r="F39" s="7">
        <v>45551</v>
      </c>
      <c r="G39">
        <f t="shared" si="1"/>
        <v>2024</v>
      </c>
      <c r="H39" s="7" t="str">
        <f t="shared" si="2"/>
        <v>Сентябрь</v>
      </c>
      <c r="I39" t="s">
        <v>22</v>
      </c>
      <c r="J39">
        <v>53</v>
      </c>
      <c r="K39" t="s">
        <v>24</v>
      </c>
      <c r="L39">
        <v>5</v>
      </c>
      <c r="M39">
        <v>493</v>
      </c>
      <c r="N39" s="1">
        <f t="shared" si="3"/>
        <v>2465</v>
      </c>
    </row>
    <row r="40" spans="5:14" x14ac:dyDescent="0.25">
      <c r="E40">
        <v>716</v>
      </c>
      <c r="F40" s="7">
        <v>45163</v>
      </c>
      <c r="G40">
        <f t="shared" si="1"/>
        <v>2023</v>
      </c>
      <c r="H40" s="7" t="str">
        <f t="shared" si="2"/>
        <v>Август</v>
      </c>
      <c r="I40" t="s">
        <v>22</v>
      </c>
      <c r="J40">
        <v>59</v>
      </c>
      <c r="K40" t="s">
        <v>21</v>
      </c>
      <c r="L40">
        <v>3</v>
      </c>
      <c r="M40">
        <v>25</v>
      </c>
      <c r="N40" s="1">
        <f t="shared" si="3"/>
        <v>75</v>
      </c>
    </row>
    <row r="41" spans="5:14" x14ac:dyDescent="0.25">
      <c r="E41">
        <v>153</v>
      </c>
      <c r="F41" s="7">
        <v>45276</v>
      </c>
      <c r="G41">
        <f t="shared" si="1"/>
        <v>2023</v>
      </c>
      <c r="H41" s="7" t="str">
        <f t="shared" si="2"/>
        <v>Декабрь</v>
      </c>
      <c r="I41" t="s">
        <v>20</v>
      </c>
      <c r="J41">
        <v>63</v>
      </c>
      <c r="K41" t="s">
        <v>24</v>
      </c>
      <c r="L41">
        <v>2</v>
      </c>
      <c r="M41">
        <v>500</v>
      </c>
      <c r="N41" s="1">
        <f t="shared" si="3"/>
        <v>1000</v>
      </c>
    </row>
    <row r="42" spans="5:14" x14ac:dyDescent="0.25">
      <c r="E42">
        <v>1440</v>
      </c>
      <c r="F42" s="7">
        <v>45513</v>
      </c>
      <c r="G42">
        <f t="shared" si="1"/>
        <v>2024</v>
      </c>
      <c r="H42" s="7" t="str">
        <f t="shared" si="2"/>
        <v>Август</v>
      </c>
      <c r="I42" t="s">
        <v>20</v>
      </c>
      <c r="J42">
        <v>21</v>
      </c>
      <c r="K42" t="s">
        <v>23</v>
      </c>
      <c r="L42">
        <v>6</v>
      </c>
      <c r="M42">
        <v>215</v>
      </c>
      <c r="N42" s="1">
        <f t="shared" si="3"/>
        <v>1290</v>
      </c>
    </row>
    <row r="43" spans="5:14" x14ac:dyDescent="0.25">
      <c r="E43">
        <v>142</v>
      </c>
      <c r="F43" s="7">
        <v>44959</v>
      </c>
      <c r="G43">
        <f t="shared" si="1"/>
        <v>2023</v>
      </c>
      <c r="H43" s="7" t="str">
        <f t="shared" si="2"/>
        <v>Февраль</v>
      </c>
      <c r="I43" t="s">
        <v>20</v>
      </c>
      <c r="J43">
        <v>35</v>
      </c>
      <c r="K43" t="s">
        <v>24</v>
      </c>
      <c r="L43">
        <v>4</v>
      </c>
      <c r="M43">
        <v>300</v>
      </c>
      <c r="N43" s="1">
        <f t="shared" si="3"/>
        <v>1200</v>
      </c>
    </row>
    <row r="44" spans="5:14" x14ac:dyDescent="0.25">
      <c r="E44">
        <v>152</v>
      </c>
      <c r="F44" s="7">
        <v>44985</v>
      </c>
      <c r="G44">
        <f t="shared" si="1"/>
        <v>2023</v>
      </c>
      <c r="H44" s="7" t="str">
        <f t="shared" si="2"/>
        <v>Февраль</v>
      </c>
      <c r="I44" t="s">
        <v>20</v>
      </c>
      <c r="J44">
        <v>43</v>
      </c>
      <c r="K44" t="s">
        <v>24</v>
      </c>
      <c r="L44">
        <v>4</v>
      </c>
      <c r="M44">
        <v>500</v>
      </c>
      <c r="N44" s="1">
        <f t="shared" si="3"/>
        <v>2000</v>
      </c>
    </row>
    <row r="45" spans="5:14" x14ac:dyDescent="0.25">
      <c r="E45">
        <v>101</v>
      </c>
      <c r="F45" s="7">
        <v>44955</v>
      </c>
      <c r="G45">
        <f t="shared" si="1"/>
        <v>2023</v>
      </c>
      <c r="H45" s="7" t="str">
        <f t="shared" si="2"/>
        <v>Январь</v>
      </c>
      <c r="I45" t="s">
        <v>20</v>
      </c>
      <c r="J45">
        <v>32</v>
      </c>
      <c r="K45" t="s">
        <v>23</v>
      </c>
      <c r="L45">
        <v>2</v>
      </c>
      <c r="M45">
        <v>300</v>
      </c>
      <c r="N45" s="1">
        <f t="shared" si="3"/>
        <v>600</v>
      </c>
    </row>
    <row r="46" spans="5:14" x14ac:dyDescent="0.25">
      <c r="E46">
        <v>1709</v>
      </c>
      <c r="F46" s="7">
        <v>45305</v>
      </c>
      <c r="G46">
        <f t="shared" si="1"/>
        <v>2024</v>
      </c>
      <c r="H46" s="7" t="str">
        <f t="shared" si="2"/>
        <v>Январь</v>
      </c>
      <c r="I46" t="s">
        <v>20</v>
      </c>
      <c r="J46">
        <v>49</v>
      </c>
      <c r="K46" t="s">
        <v>21</v>
      </c>
      <c r="L46">
        <v>2</v>
      </c>
      <c r="M46">
        <v>389</v>
      </c>
      <c r="N46" s="1">
        <f t="shared" si="3"/>
        <v>778</v>
      </c>
    </row>
    <row r="47" spans="5:14" x14ac:dyDescent="0.25">
      <c r="E47">
        <v>109</v>
      </c>
      <c r="F47" s="7">
        <v>45217</v>
      </c>
      <c r="G47">
        <f t="shared" si="1"/>
        <v>2023</v>
      </c>
      <c r="H47" s="7" t="str">
        <f t="shared" si="2"/>
        <v>Октябрь</v>
      </c>
      <c r="I47" t="s">
        <v>22</v>
      </c>
      <c r="J47">
        <v>34</v>
      </c>
      <c r="K47" t="s">
        <v>24</v>
      </c>
      <c r="L47">
        <v>4</v>
      </c>
      <c r="M47">
        <v>500</v>
      </c>
      <c r="N47" s="1">
        <f t="shared" si="3"/>
        <v>2000</v>
      </c>
    </row>
    <row r="48" spans="5:14" x14ac:dyDescent="0.25">
      <c r="E48">
        <v>1959</v>
      </c>
      <c r="F48" s="7">
        <v>45610</v>
      </c>
      <c r="G48">
        <f t="shared" si="1"/>
        <v>2024</v>
      </c>
      <c r="H48" s="7" t="str">
        <f t="shared" si="2"/>
        <v>Ноябрь</v>
      </c>
      <c r="I48" t="s">
        <v>22</v>
      </c>
      <c r="J48">
        <v>25</v>
      </c>
      <c r="K48" t="s">
        <v>21</v>
      </c>
      <c r="L48">
        <v>3</v>
      </c>
      <c r="M48">
        <v>452</v>
      </c>
      <c r="N48" s="1">
        <f t="shared" si="3"/>
        <v>1356</v>
      </c>
    </row>
    <row r="49" spans="5:14" x14ac:dyDescent="0.25">
      <c r="E49">
        <v>1096</v>
      </c>
      <c r="F49" s="7">
        <v>45405</v>
      </c>
      <c r="G49">
        <f t="shared" si="1"/>
        <v>2024</v>
      </c>
      <c r="H49" s="7" t="str">
        <f t="shared" si="2"/>
        <v>Апрель</v>
      </c>
      <c r="I49" t="s">
        <v>22</v>
      </c>
      <c r="J49">
        <v>55</v>
      </c>
      <c r="K49" t="s">
        <v>21</v>
      </c>
      <c r="L49">
        <v>5</v>
      </c>
      <c r="M49">
        <v>330</v>
      </c>
      <c r="N49" s="1">
        <f t="shared" si="3"/>
        <v>1650</v>
      </c>
    </row>
    <row r="50" spans="5:14" x14ac:dyDescent="0.25">
      <c r="E50">
        <v>1850</v>
      </c>
      <c r="F50" s="7">
        <v>45646</v>
      </c>
      <c r="G50">
        <f t="shared" si="1"/>
        <v>2024</v>
      </c>
      <c r="H50" s="7" t="str">
        <f t="shared" si="2"/>
        <v>Декабрь</v>
      </c>
      <c r="I50" t="s">
        <v>20</v>
      </c>
      <c r="J50">
        <v>46</v>
      </c>
      <c r="K50" t="s">
        <v>23</v>
      </c>
      <c r="L50">
        <v>5</v>
      </c>
      <c r="M50">
        <v>184</v>
      </c>
      <c r="N50" s="1">
        <f t="shared" si="3"/>
        <v>920</v>
      </c>
    </row>
    <row r="51" spans="5:14" x14ac:dyDescent="0.25">
      <c r="E51">
        <v>113</v>
      </c>
      <c r="F51" s="7">
        <v>45182</v>
      </c>
      <c r="G51">
        <f t="shared" si="1"/>
        <v>2023</v>
      </c>
      <c r="H51" s="7" t="str">
        <f t="shared" si="2"/>
        <v>Сентябрь</v>
      </c>
      <c r="I51" t="s">
        <v>22</v>
      </c>
      <c r="J51">
        <v>41</v>
      </c>
      <c r="K51" t="s">
        <v>24</v>
      </c>
      <c r="L51">
        <v>2</v>
      </c>
      <c r="M51">
        <v>25</v>
      </c>
      <c r="N51" s="1">
        <f t="shared" si="3"/>
        <v>50</v>
      </c>
    </row>
    <row r="52" spans="5:14" x14ac:dyDescent="0.25">
      <c r="E52">
        <v>1688</v>
      </c>
      <c r="F52" s="7">
        <v>45542</v>
      </c>
      <c r="G52">
        <f t="shared" si="1"/>
        <v>2024</v>
      </c>
      <c r="H52" s="7" t="str">
        <f t="shared" si="2"/>
        <v>Сентябрь</v>
      </c>
      <c r="I52" t="s">
        <v>22</v>
      </c>
      <c r="J52">
        <v>26</v>
      </c>
      <c r="K52" t="s">
        <v>23</v>
      </c>
      <c r="L52">
        <v>1</v>
      </c>
      <c r="M52">
        <v>279</v>
      </c>
      <c r="N52" s="1">
        <f t="shared" si="3"/>
        <v>279</v>
      </c>
    </row>
    <row r="53" spans="5:14" x14ac:dyDescent="0.25">
      <c r="E53">
        <v>755</v>
      </c>
      <c r="F53" s="7">
        <v>45285</v>
      </c>
      <c r="G53">
        <f t="shared" si="1"/>
        <v>2023</v>
      </c>
      <c r="H53" s="7" t="str">
        <f t="shared" si="2"/>
        <v>Декабрь</v>
      </c>
      <c r="I53" t="s">
        <v>22</v>
      </c>
      <c r="J53">
        <v>43</v>
      </c>
      <c r="K53" t="s">
        <v>24</v>
      </c>
      <c r="L53">
        <v>4</v>
      </c>
      <c r="M53">
        <v>300</v>
      </c>
      <c r="N53" s="1">
        <f t="shared" si="3"/>
        <v>1200</v>
      </c>
    </row>
    <row r="54" spans="5:14" x14ac:dyDescent="0.25">
      <c r="E54">
        <v>416</v>
      </c>
      <c r="F54" s="7">
        <v>45251</v>
      </c>
      <c r="G54">
        <f t="shared" si="1"/>
        <v>2023</v>
      </c>
      <c r="H54" s="7" t="str">
        <f t="shared" si="2"/>
        <v>Ноябрь</v>
      </c>
      <c r="I54" t="s">
        <v>20</v>
      </c>
      <c r="J54">
        <v>43</v>
      </c>
      <c r="K54" t="s">
        <v>24</v>
      </c>
      <c r="L54">
        <v>3</v>
      </c>
      <c r="M54">
        <v>300</v>
      </c>
      <c r="N54" s="1">
        <f t="shared" si="3"/>
        <v>900</v>
      </c>
    </row>
    <row r="55" spans="5:14" x14ac:dyDescent="0.25">
      <c r="E55">
        <v>516</v>
      </c>
      <c r="F55" s="7">
        <v>45024</v>
      </c>
      <c r="G55">
        <f t="shared" si="1"/>
        <v>2023</v>
      </c>
      <c r="H55" s="7" t="str">
        <f t="shared" si="2"/>
        <v>Апрель</v>
      </c>
      <c r="I55" t="s">
        <v>22</v>
      </c>
      <c r="J55">
        <v>47</v>
      </c>
      <c r="K55" t="s">
        <v>23</v>
      </c>
      <c r="L55">
        <v>4</v>
      </c>
      <c r="M55">
        <v>25</v>
      </c>
      <c r="N55" s="1">
        <f t="shared" si="3"/>
        <v>100</v>
      </c>
    </row>
    <row r="56" spans="5:14" x14ac:dyDescent="0.25">
      <c r="E56">
        <v>825</v>
      </c>
      <c r="F56" s="7">
        <v>45239</v>
      </c>
      <c r="G56">
        <f t="shared" si="1"/>
        <v>2023</v>
      </c>
      <c r="H56" s="7" t="str">
        <f t="shared" si="2"/>
        <v>Ноябрь</v>
      </c>
      <c r="I56" t="s">
        <v>20</v>
      </c>
      <c r="J56">
        <v>61</v>
      </c>
      <c r="K56" t="s">
        <v>21</v>
      </c>
      <c r="L56">
        <v>3</v>
      </c>
      <c r="M56">
        <v>300</v>
      </c>
      <c r="N56" s="1">
        <f t="shared" si="3"/>
        <v>900</v>
      </c>
    </row>
    <row r="57" spans="5:14" x14ac:dyDescent="0.25">
      <c r="E57">
        <v>415</v>
      </c>
      <c r="F57" s="7">
        <v>44974</v>
      </c>
      <c r="G57">
        <f t="shared" si="1"/>
        <v>2023</v>
      </c>
      <c r="H57" s="7" t="str">
        <f t="shared" si="2"/>
        <v>Февраль</v>
      </c>
      <c r="I57" t="s">
        <v>20</v>
      </c>
      <c r="J57">
        <v>53</v>
      </c>
      <c r="K57" t="s">
        <v>24</v>
      </c>
      <c r="L57">
        <v>4</v>
      </c>
      <c r="M57">
        <v>500</v>
      </c>
      <c r="N57" s="1">
        <f t="shared" si="3"/>
        <v>2000</v>
      </c>
    </row>
    <row r="58" spans="5:14" x14ac:dyDescent="0.25">
      <c r="E58">
        <v>127</v>
      </c>
      <c r="F58" s="7">
        <v>45131</v>
      </c>
      <c r="G58">
        <f t="shared" si="1"/>
        <v>2023</v>
      </c>
      <c r="H58" s="7" t="str">
        <f t="shared" si="2"/>
        <v>Июль</v>
      </c>
      <c r="I58" t="s">
        <v>22</v>
      </c>
      <c r="J58">
        <v>33</v>
      </c>
      <c r="K58" t="s">
        <v>23</v>
      </c>
      <c r="L58">
        <v>2</v>
      </c>
      <c r="M58">
        <v>25</v>
      </c>
      <c r="N58" s="1">
        <f t="shared" si="3"/>
        <v>50</v>
      </c>
    </row>
    <row r="59" spans="5:14" x14ac:dyDescent="0.25">
      <c r="E59">
        <v>223</v>
      </c>
      <c r="F59" s="7">
        <v>45100</v>
      </c>
      <c r="G59">
        <f t="shared" si="1"/>
        <v>2023</v>
      </c>
      <c r="H59" s="7" t="str">
        <f t="shared" si="2"/>
        <v>Июнь</v>
      </c>
      <c r="I59" t="s">
        <v>22</v>
      </c>
      <c r="J59">
        <v>25</v>
      </c>
      <c r="K59" t="s">
        <v>23</v>
      </c>
      <c r="L59">
        <v>1</v>
      </c>
      <c r="M59">
        <v>50</v>
      </c>
      <c r="N59" s="1">
        <f t="shared" si="3"/>
        <v>50</v>
      </c>
    </row>
    <row r="60" spans="5:14" x14ac:dyDescent="0.25">
      <c r="E60">
        <v>900</v>
      </c>
      <c r="F60" s="7">
        <v>45078</v>
      </c>
      <c r="G60">
        <f t="shared" si="1"/>
        <v>2023</v>
      </c>
      <c r="H60" s="7" t="str">
        <f t="shared" si="2"/>
        <v>Июнь</v>
      </c>
      <c r="I60" t="s">
        <v>22</v>
      </c>
      <c r="J60">
        <v>54</v>
      </c>
      <c r="K60" t="s">
        <v>21</v>
      </c>
      <c r="L60">
        <v>1</v>
      </c>
      <c r="M60">
        <v>50</v>
      </c>
      <c r="N60" s="1">
        <f t="shared" si="3"/>
        <v>50</v>
      </c>
    </row>
    <row r="61" spans="5:14" x14ac:dyDescent="0.25">
      <c r="E61">
        <v>327</v>
      </c>
      <c r="F61" s="7">
        <v>45007</v>
      </c>
      <c r="G61">
        <f t="shared" si="1"/>
        <v>2023</v>
      </c>
      <c r="H61" s="7" t="str">
        <f t="shared" si="2"/>
        <v>Март</v>
      </c>
      <c r="I61" t="s">
        <v>20</v>
      </c>
      <c r="J61">
        <v>39</v>
      </c>
      <c r="K61" t="s">
        <v>21</v>
      </c>
      <c r="L61">
        <v>2</v>
      </c>
      <c r="M61">
        <v>50</v>
      </c>
      <c r="N61" s="1">
        <f t="shared" si="3"/>
        <v>100</v>
      </c>
    </row>
    <row r="62" spans="5:14" x14ac:dyDescent="0.25">
      <c r="E62">
        <v>208</v>
      </c>
      <c r="F62" s="7">
        <v>45203</v>
      </c>
      <c r="G62">
        <f t="shared" si="1"/>
        <v>2023</v>
      </c>
      <c r="H62" s="7" t="str">
        <f t="shared" si="2"/>
        <v>Октябрь</v>
      </c>
      <c r="I62" t="s">
        <v>22</v>
      </c>
      <c r="J62">
        <v>34</v>
      </c>
      <c r="K62" t="s">
        <v>24</v>
      </c>
      <c r="L62">
        <v>4</v>
      </c>
      <c r="M62">
        <v>50</v>
      </c>
      <c r="N62" s="1">
        <f t="shared" si="3"/>
        <v>200</v>
      </c>
    </row>
    <row r="63" spans="5:14" x14ac:dyDescent="0.25">
      <c r="E63">
        <v>1431</v>
      </c>
      <c r="F63" s="7">
        <v>45330</v>
      </c>
      <c r="G63">
        <f t="shared" si="1"/>
        <v>2024</v>
      </c>
      <c r="H63" s="7" t="str">
        <f t="shared" si="2"/>
        <v>Февраль</v>
      </c>
      <c r="I63" t="s">
        <v>22</v>
      </c>
      <c r="J63">
        <v>42</v>
      </c>
      <c r="K63" t="s">
        <v>24</v>
      </c>
      <c r="L63">
        <v>2</v>
      </c>
      <c r="M63">
        <v>488</v>
      </c>
      <c r="N63" s="1">
        <f t="shared" si="3"/>
        <v>976</v>
      </c>
    </row>
    <row r="64" spans="5:14" x14ac:dyDescent="0.25">
      <c r="E64">
        <v>1409</v>
      </c>
      <c r="F64" s="7">
        <v>45551</v>
      </c>
      <c r="G64">
        <f t="shared" si="1"/>
        <v>2024</v>
      </c>
      <c r="H64" s="7" t="str">
        <f t="shared" si="2"/>
        <v>Сентябрь</v>
      </c>
      <c r="I64" t="s">
        <v>22</v>
      </c>
      <c r="J64">
        <v>31</v>
      </c>
      <c r="K64" t="s">
        <v>24</v>
      </c>
      <c r="L64">
        <v>7</v>
      </c>
      <c r="M64">
        <v>123</v>
      </c>
      <c r="N64" s="1">
        <f t="shared" si="3"/>
        <v>861</v>
      </c>
    </row>
    <row r="65" spans="5:14" x14ac:dyDescent="0.25">
      <c r="E65">
        <v>1032</v>
      </c>
      <c r="F65" s="7">
        <v>45650</v>
      </c>
      <c r="G65">
        <f t="shared" si="1"/>
        <v>2024</v>
      </c>
      <c r="H65" s="7" t="str">
        <f t="shared" si="2"/>
        <v>Декабрь</v>
      </c>
      <c r="I65" t="s">
        <v>22</v>
      </c>
      <c r="J65">
        <v>32</v>
      </c>
      <c r="K65" t="s">
        <v>23</v>
      </c>
      <c r="L65">
        <v>1</v>
      </c>
      <c r="M65">
        <v>445</v>
      </c>
      <c r="N65" s="1">
        <f t="shared" si="3"/>
        <v>445</v>
      </c>
    </row>
    <row r="66" spans="5:14" x14ac:dyDescent="0.25">
      <c r="E66">
        <v>1146</v>
      </c>
      <c r="F66" s="7">
        <v>45421</v>
      </c>
      <c r="G66">
        <f t="shared" si="1"/>
        <v>2024</v>
      </c>
      <c r="H66" s="7" t="str">
        <f t="shared" si="2"/>
        <v>Май</v>
      </c>
      <c r="I66" t="s">
        <v>20</v>
      </c>
      <c r="J66">
        <v>19</v>
      </c>
      <c r="K66" t="s">
        <v>23</v>
      </c>
      <c r="L66">
        <v>4</v>
      </c>
      <c r="M66">
        <v>162</v>
      </c>
      <c r="N66" s="1">
        <f t="shared" si="3"/>
        <v>648</v>
      </c>
    </row>
    <row r="67" spans="5:14" x14ac:dyDescent="0.25">
      <c r="E67">
        <v>1558</v>
      </c>
      <c r="F67" s="7">
        <v>45439</v>
      </c>
      <c r="G67">
        <f t="shared" si="1"/>
        <v>2024</v>
      </c>
      <c r="H67" s="7" t="str">
        <f t="shared" si="2"/>
        <v>Май</v>
      </c>
      <c r="I67" t="s">
        <v>22</v>
      </c>
      <c r="J67">
        <v>61</v>
      </c>
      <c r="K67" t="s">
        <v>23</v>
      </c>
      <c r="L67">
        <v>3</v>
      </c>
      <c r="M67">
        <v>135</v>
      </c>
      <c r="N67" s="1">
        <f t="shared" si="3"/>
        <v>405</v>
      </c>
    </row>
    <row r="68" spans="5:14" x14ac:dyDescent="0.25">
      <c r="E68">
        <v>1472</v>
      </c>
      <c r="F68" s="7">
        <v>45311</v>
      </c>
      <c r="G68">
        <f t="shared" si="1"/>
        <v>2024</v>
      </c>
      <c r="H68" s="7" t="str">
        <f t="shared" si="2"/>
        <v>Январь</v>
      </c>
      <c r="I68" t="s">
        <v>20</v>
      </c>
      <c r="J68">
        <v>46</v>
      </c>
      <c r="K68" t="s">
        <v>23</v>
      </c>
      <c r="L68">
        <v>1</v>
      </c>
      <c r="M68">
        <v>224</v>
      </c>
      <c r="N68" s="1">
        <f t="shared" si="3"/>
        <v>224</v>
      </c>
    </row>
    <row r="69" spans="5:14" x14ac:dyDescent="0.25">
      <c r="E69">
        <v>255</v>
      </c>
      <c r="F69" s="7">
        <v>44975</v>
      </c>
      <c r="G69">
        <f t="shared" si="1"/>
        <v>2023</v>
      </c>
      <c r="H69" s="7" t="str">
        <f t="shared" si="2"/>
        <v>Февраль</v>
      </c>
      <c r="I69" t="s">
        <v>20</v>
      </c>
      <c r="J69">
        <v>23</v>
      </c>
      <c r="K69" t="s">
        <v>23</v>
      </c>
      <c r="L69">
        <v>2</v>
      </c>
      <c r="M69">
        <v>500</v>
      </c>
      <c r="N69" s="1">
        <f t="shared" si="3"/>
        <v>1000</v>
      </c>
    </row>
    <row r="70" spans="5:14" x14ac:dyDescent="0.25">
      <c r="E70">
        <v>1489</v>
      </c>
      <c r="F70" s="7">
        <v>45472</v>
      </c>
      <c r="G70">
        <f t="shared" si="1"/>
        <v>2024</v>
      </c>
      <c r="H70" s="7" t="str">
        <f t="shared" si="2"/>
        <v>Июнь</v>
      </c>
      <c r="I70" t="s">
        <v>20</v>
      </c>
      <c r="J70">
        <v>38</v>
      </c>
      <c r="K70" t="s">
        <v>21</v>
      </c>
      <c r="L70">
        <v>3</v>
      </c>
      <c r="M70">
        <v>47</v>
      </c>
      <c r="N70" s="1">
        <f t="shared" si="3"/>
        <v>141</v>
      </c>
    </row>
    <row r="71" spans="5:14" x14ac:dyDescent="0.25">
      <c r="E71">
        <v>1386</v>
      </c>
      <c r="F71" s="7">
        <v>45627</v>
      </c>
      <c r="G71">
        <f t="shared" si="1"/>
        <v>2024</v>
      </c>
      <c r="H71" s="7" t="str">
        <f t="shared" si="2"/>
        <v>Декабрь</v>
      </c>
      <c r="I71" t="s">
        <v>20</v>
      </c>
      <c r="J71">
        <v>32</v>
      </c>
      <c r="K71" t="s">
        <v>23</v>
      </c>
      <c r="L71">
        <v>2</v>
      </c>
      <c r="M71">
        <v>341</v>
      </c>
      <c r="N71" s="1">
        <f t="shared" si="3"/>
        <v>682</v>
      </c>
    </row>
    <row r="72" spans="5:14" x14ac:dyDescent="0.25">
      <c r="E72">
        <v>653</v>
      </c>
      <c r="F72" s="7">
        <v>45090</v>
      </c>
      <c r="G72">
        <f t="shared" si="1"/>
        <v>2023</v>
      </c>
      <c r="H72" s="7" t="str">
        <f t="shared" si="2"/>
        <v>Июнь</v>
      </c>
      <c r="I72" t="s">
        <v>22</v>
      </c>
      <c r="J72">
        <v>55</v>
      </c>
      <c r="K72" t="s">
        <v>23</v>
      </c>
      <c r="L72">
        <v>1</v>
      </c>
      <c r="M72">
        <v>500</v>
      </c>
      <c r="N72" s="1">
        <f t="shared" si="3"/>
        <v>500</v>
      </c>
    </row>
    <row r="73" spans="5:14" x14ac:dyDescent="0.25">
      <c r="E73">
        <v>1368</v>
      </c>
      <c r="F73" s="7">
        <v>45343</v>
      </c>
      <c r="G73">
        <f t="shared" si="1"/>
        <v>2024</v>
      </c>
      <c r="H73" s="7" t="str">
        <f t="shared" si="2"/>
        <v>Февраль</v>
      </c>
      <c r="I73" t="s">
        <v>22</v>
      </c>
      <c r="J73">
        <v>30</v>
      </c>
      <c r="K73" t="s">
        <v>21</v>
      </c>
      <c r="L73">
        <v>1</v>
      </c>
      <c r="M73">
        <v>319</v>
      </c>
      <c r="N73" s="1">
        <f t="shared" si="3"/>
        <v>319</v>
      </c>
    </row>
    <row r="74" spans="5:14" x14ac:dyDescent="0.25">
      <c r="E74">
        <v>1657</v>
      </c>
      <c r="F74" s="7">
        <v>45489</v>
      </c>
      <c r="G74">
        <f t="shared" ref="G74:G137" si="4">YEAR(F74)</f>
        <v>2024</v>
      </c>
      <c r="H74" s="7" t="str">
        <f t="shared" ref="H74:H137" si="5">TEXT(F74,"ММММ")</f>
        <v>Июль</v>
      </c>
      <c r="I74" t="s">
        <v>22</v>
      </c>
      <c r="J74">
        <v>46</v>
      </c>
      <c r="K74" t="s">
        <v>23</v>
      </c>
      <c r="L74">
        <v>5</v>
      </c>
      <c r="M74">
        <v>452</v>
      </c>
      <c r="N74" s="1">
        <f t="shared" ref="N74:N137" si="6">L74*M74</f>
        <v>2260</v>
      </c>
    </row>
    <row r="75" spans="5:14" x14ac:dyDescent="0.25">
      <c r="E75">
        <v>1524</v>
      </c>
      <c r="F75" s="7">
        <v>45393</v>
      </c>
      <c r="G75">
        <f t="shared" si="4"/>
        <v>2024</v>
      </c>
      <c r="H75" s="7" t="str">
        <f t="shared" si="5"/>
        <v>Апрель</v>
      </c>
      <c r="I75" t="s">
        <v>20</v>
      </c>
      <c r="J75">
        <v>63</v>
      </c>
      <c r="K75" t="s">
        <v>23</v>
      </c>
      <c r="L75">
        <v>1</v>
      </c>
      <c r="M75">
        <v>84</v>
      </c>
      <c r="N75" s="1">
        <f t="shared" si="6"/>
        <v>84</v>
      </c>
    </row>
    <row r="76" spans="5:14" x14ac:dyDescent="0.25">
      <c r="E76">
        <v>640</v>
      </c>
      <c r="F76" s="7">
        <v>45253</v>
      </c>
      <c r="G76">
        <f t="shared" si="4"/>
        <v>2023</v>
      </c>
      <c r="H76" s="7" t="str">
        <f t="shared" si="5"/>
        <v>Ноябрь</v>
      </c>
      <c r="I76" t="s">
        <v>22</v>
      </c>
      <c r="J76">
        <v>40</v>
      </c>
      <c r="K76" t="s">
        <v>24</v>
      </c>
      <c r="L76">
        <v>1</v>
      </c>
      <c r="M76">
        <v>300</v>
      </c>
      <c r="N76" s="1">
        <f t="shared" si="6"/>
        <v>300</v>
      </c>
    </row>
    <row r="77" spans="5:14" x14ac:dyDescent="0.25">
      <c r="E77">
        <v>222</v>
      </c>
      <c r="F77" s="7">
        <v>44959</v>
      </c>
      <c r="G77">
        <f t="shared" si="4"/>
        <v>2023</v>
      </c>
      <c r="H77" s="7" t="str">
        <f t="shared" si="5"/>
        <v>Февраль</v>
      </c>
      <c r="I77" t="s">
        <v>22</v>
      </c>
      <c r="J77">
        <v>64</v>
      </c>
      <c r="K77" t="s">
        <v>23</v>
      </c>
      <c r="L77">
        <v>1</v>
      </c>
      <c r="M77">
        <v>25</v>
      </c>
      <c r="N77" s="1">
        <f t="shared" si="6"/>
        <v>25</v>
      </c>
    </row>
    <row r="78" spans="5:14" x14ac:dyDescent="0.25">
      <c r="E78">
        <v>14</v>
      </c>
      <c r="F78" s="7">
        <v>44943</v>
      </c>
      <c r="G78">
        <f t="shared" si="4"/>
        <v>2023</v>
      </c>
      <c r="H78" s="7" t="str">
        <f t="shared" si="5"/>
        <v>Январь</v>
      </c>
      <c r="I78" t="s">
        <v>20</v>
      </c>
      <c r="J78">
        <v>64</v>
      </c>
      <c r="K78" t="s">
        <v>23</v>
      </c>
      <c r="L78">
        <v>4</v>
      </c>
      <c r="M78">
        <v>30</v>
      </c>
      <c r="N78" s="1">
        <f t="shared" si="6"/>
        <v>120</v>
      </c>
    </row>
    <row r="79" spans="5:14" x14ac:dyDescent="0.25">
      <c r="E79">
        <v>1492</v>
      </c>
      <c r="F79" s="7">
        <v>45497</v>
      </c>
      <c r="G79">
        <f t="shared" si="4"/>
        <v>2024</v>
      </c>
      <c r="H79" s="7" t="str">
        <f t="shared" si="5"/>
        <v>Июль</v>
      </c>
      <c r="I79" t="s">
        <v>20</v>
      </c>
      <c r="J79">
        <v>34</v>
      </c>
      <c r="K79" t="s">
        <v>21</v>
      </c>
      <c r="L79">
        <v>3</v>
      </c>
      <c r="M79">
        <v>108</v>
      </c>
      <c r="N79" s="1">
        <f t="shared" si="6"/>
        <v>324</v>
      </c>
    </row>
    <row r="80" spans="5:14" x14ac:dyDescent="0.25">
      <c r="E80">
        <v>991</v>
      </c>
      <c r="F80" s="7">
        <v>44963</v>
      </c>
      <c r="G80">
        <f t="shared" si="4"/>
        <v>2023</v>
      </c>
      <c r="H80" s="7" t="str">
        <f t="shared" si="5"/>
        <v>Февраль</v>
      </c>
      <c r="I80" t="s">
        <v>22</v>
      </c>
      <c r="J80">
        <v>48</v>
      </c>
      <c r="K80" t="s">
        <v>24</v>
      </c>
      <c r="L80">
        <v>3</v>
      </c>
      <c r="M80">
        <v>50</v>
      </c>
      <c r="N80" s="1">
        <f t="shared" si="6"/>
        <v>150</v>
      </c>
    </row>
    <row r="81" spans="5:14" x14ac:dyDescent="0.25">
      <c r="E81">
        <v>881</v>
      </c>
      <c r="F81" s="7">
        <v>45055</v>
      </c>
      <c r="G81">
        <f t="shared" si="4"/>
        <v>2023</v>
      </c>
      <c r="H81" s="7" t="str">
        <f t="shared" si="5"/>
        <v>Май</v>
      </c>
      <c r="I81" t="s">
        <v>20</v>
      </c>
      <c r="J81">
        <v>40</v>
      </c>
      <c r="K81" t="s">
        <v>24</v>
      </c>
      <c r="L81">
        <v>1</v>
      </c>
      <c r="M81">
        <v>500</v>
      </c>
      <c r="N81" s="1">
        <f t="shared" si="6"/>
        <v>500</v>
      </c>
    </row>
    <row r="82" spans="5:14" x14ac:dyDescent="0.25">
      <c r="E82">
        <v>1526</v>
      </c>
      <c r="F82" s="7">
        <v>45513</v>
      </c>
      <c r="G82">
        <f t="shared" si="4"/>
        <v>2024</v>
      </c>
      <c r="H82" s="7" t="str">
        <f t="shared" si="5"/>
        <v>Август</v>
      </c>
      <c r="I82" t="s">
        <v>22</v>
      </c>
      <c r="J82">
        <v>19</v>
      </c>
      <c r="K82" t="s">
        <v>23</v>
      </c>
      <c r="L82">
        <v>6</v>
      </c>
      <c r="M82">
        <v>72</v>
      </c>
      <c r="N82" s="1">
        <f t="shared" si="6"/>
        <v>432</v>
      </c>
    </row>
    <row r="83" spans="5:14" x14ac:dyDescent="0.25">
      <c r="E83">
        <v>407</v>
      </c>
      <c r="F83" s="7">
        <v>45031</v>
      </c>
      <c r="G83">
        <f t="shared" si="4"/>
        <v>2023</v>
      </c>
      <c r="H83" s="7" t="str">
        <f t="shared" si="5"/>
        <v>Апрель</v>
      </c>
      <c r="I83" t="s">
        <v>22</v>
      </c>
      <c r="J83">
        <v>64</v>
      </c>
      <c r="K83" t="s">
        <v>21</v>
      </c>
      <c r="L83">
        <v>1</v>
      </c>
      <c r="M83">
        <v>500</v>
      </c>
      <c r="N83" s="1">
        <f t="shared" si="6"/>
        <v>500</v>
      </c>
    </row>
    <row r="84" spans="5:14" x14ac:dyDescent="0.25">
      <c r="E84">
        <v>958</v>
      </c>
      <c r="F84" s="7">
        <v>45146</v>
      </c>
      <c r="G84">
        <f t="shared" si="4"/>
        <v>2023</v>
      </c>
      <c r="H84" s="7" t="str">
        <f t="shared" si="5"/>
        <v>Август</v>
      </c>
      <c r="I84" t="s">
        <v>20</v>
      </c>
      <c r="J84">
        <v>59</v>
      </c>
      <c r="K84" t="s">
        <v>23</v>
      </c>
      <c r="L84">
        <v>2</v>
      </c>
      <c r="M84">
        <v>30</v>
      </c>
      <c r="N84" s="1">
        <f t="shared" si="6"/>
        <v>60</v>
      </c>
    </row>
    <row r="85" spans="5:14" x14ac:dyDescent="0.25">
      <c r="E85">
        <v>1918</v>
      </c>
      <c r="F85" s="7">
        <v>45586</v>
      </c>
      <c r="G85">
        <f t="shared" si="4"/>
        <v>2024</v>
      </c>
      <c r="H85" s="7" t="str">
        <f t="shared" si="5"/>
        <v>Октябрь</v>
      </c>
      <c r="I85" t="s">
        <v>20</v>
      </c>
      <c r="J85">
        <v>62</v>
      </c>
      <c r="K85" t="s">
        <v>24</v>
      </c>
      <c r="L85">
        <v>3</v>
      </c>
      <c r="M85">
        <v>387</v>
      </c>
      <c r="N85" s="1">
        <f t="shared" si="6"/>
        <v>1161</v>
      </c>
    </row>
    <row r="86" spans="5:14" x14ac:dyDescent="0.25">
      <c r="E86">
        <v>1257</v>
      </c>
      <c r="F86" s="7">
        <v>45474</v>
      </c>
      <c r="G86">
        <f t="shared" si="4"/>
        <v>2024</v>
      </c>
      <c r="H86" s="7" t="str">
        <f t="shared" si="5"/>
        <v>Июль</v>
      </c>
      <c r="I86" t="s">
        <v>20</v>
      </c>
      <c r="J86">
        <v>21</v>
      </c>
      <c r="K86" t="s">
        <v>21</v>
      </c>
      <c r="L86">
        <v>1</v>
      </c>
      <c r="M86">
        <v>188</v>
      </c>
      <c r="N86" s="1">
        <f t="shared" si="6"/>
        <v>188</v>
      </c>
    </row>
    <row r="87" spans="5:14" x14ac:dyDescent="0.25">
      <c r="E87">
        <v>943</v>
      </c>
      <c r="F87" s="7">
        <v>44970</v>
      </c>
      <c r="G87">
        <f t="shared" si="4"/>
        <v>2023</v>
      </c>
      <c r="H87" s="7" t="str">
        <f t="shared" si="5"/>
        <v>Февраль</v>
      </c>
      <c r="I87" t="s">
        <v>20</v>
      </c>
      <c r="J87">
        <v>30</v>
      </c>
      <c r="K87" t="s">
        <v>21</v>
      </c>
      <c r="L87">
        <v>1</v>
      </c>
      <c r="M87">
        <v>25</v>
      </c>
      <c r="N87" s="1">
        <f t="shared" si="6"/>
        <v>25</v>
      </c>
    </row>
    <row r="88" spans="5:14" x14ac:dyDescent="0.25">
      <c r="E88">
        <v>1121</v>
      </c>
      <c r="F88" s="7">
        <v>45427</v>
      </c>
      <c r="G88">
        <f t="shared" si="4"/>
        <v>2024</v>
      </c>
      <c r="H88" s="7" t="str">
        <f t="shared" si="5"/>
        <v>Май</v>
      </c>
      <c r="I88" t="s">
        <v>22</v>
      </c>
      <c r="J88">
        <v>59</v>
      </c>
      <c r="K88" t="s">
        <v>24</v>
      </c>
      <c r="L88">
        <v>6</v>
      </c>
      <c r="M88">
        <v>443</v>
      </c>
      <c r="N88" s="1">
        <f t="shared" si="6"/>
        <v>2658</v>
      </c>
    </row>
    <row r="89" spans="5:14" x14ac:dyDescent="0.25">
      <c r="E89">
        <v>1106</v>
      </c>
      <c r="F89" s="7">
        <v>45401</v>
      </c>
      <c r="G89">
        <f t="shared" si="4"/>
        <v>2024</v>
      </c>
      <c r="H89" s="7" t="str">
        <f t="shared" si="5"/>
        <v>Апрель</v>
      </c>
      <c r="I89" t="s">
        <v>22</v>
      </c>
      <c r="J89">
        <v>25</v>
      </c>
      <c r="K89" t="s">
        <v>21</v>
      </c>
      <c r="L89">
        <v>6</v>
      </c>
      <c r="M89">
        <v>197</v>
      </c>
      <c r="N89" s="1">
        <f t="shared" si="6"/>
        <v>1182</v>
      </c>
    </row>
    <row r="90" spans="5:14" x14ac:dyDescent="0.25">
      <c r="E90">
        <v>692</v>
      </c>
      <c r="F90" s="7">
        <v>45066</v>
      </c>
      <c r="G90">
        <f t="shared" si="4"/>
        <v>2023</v>
      </c>
      <c r="H90" s="7" t="str">
        <f t="shared" si="5"/>
        <v>Май</v>
      </c>
      <c r="I90" t="s">
        <v>22</v>
      </c>
      <c r="J90">
        <v>39</v>
      </c>
      <c r="K90" t="s">
        <v>24</v>
      </c>
      <c r="L90">
        <v>2</v>
      </c>
      <c r="M90">
        <v>25</v>
      </c>
      <c r="N90" s="1">
        <f t="shared" si="6"/>
        <v>50</v>
      </c>
    </row>
    <row r="91" spans="5:14" x14ac:dyDescent="0.25">
      <c r="E91">
        <v>144</v>
      </c>
      <c r="F91" s="7">
        <v>45122</v>
      </c>
      <c r="G91">
        <f t="shared" si="4"/>
        <v>2023</v>
      </c>
      <c r="H91" s="7" t="str">
        <f t="shared" si="5"/>
        <v>Июль</v>
      </c>
      <c r="I91" t="s">
        <v>22</v>
      </c>
      <c r="J91">
        <v>59</v>
      </c>
      <c r="K91" t="s">
        <v>21</v>
      </c>
      <c r="L91">
        <v>3</v>
      </c>
      <c r="M91">
        <v>500</v>
      </c>
      <c r="N91" s="1">
        <f t="shared" si="6"/>
        <v>1500</v>
      </c>
    </row>
    <row r="92" spans="5:14" x14ac:dyDescent="0.25">
      <c r="E92">
        <v>636</v>
      </c>
      <c r="F92" s="7">
        <v>45170</v>
      </c>
      <c r="G92">
        <f t="shared" si="4"/>
        <v>2023</v>
      </c>
      <c r="H92" s="7" t="str">
        <f t="shared" si="5"/>
        <v>Сентябрь</v>
      </c>
      <c r="I92" t="s">
        <v>20</v>
      </c>
      <c r="J92">
        <v>43</v>
      </c>
      <c r="K92" t="s">
        <v>23</v>
      </c>
      <c r="L92">
        <v>2</v>
      </c>
      <c r="M92">
        <v>300</v>
      </c>
      <c r="N92" s="1">
        <f t="shared" si="6"/>
        <v>600</v>
      </c>
    </row>
    <row r="93" spans="5:14" x14ac:dyDescent="0.25">
      <c r="E93">
        <v>42</v>
      </c>
      <c r="F93" s="7">
        <v>44974</v>
      </c>
      <c r="G93">
        <f t="shared" si="4"/>
        <v>2023</v>
      </c>
      <c r="H93" s="7" t="str">
        <f t="shared" si="5"/>
        <v>Февраль</v>
      </c>
      <c r="I93" t="s">
        <v>20</v>
      </c>
      <c r="J93">
        <v>22</v>
      </c>
      <c r="K93" t="s">
        <v>23</v>
      </c>
      <c r="L93">
        <v>3</v>
      </c>
      <c r="M93">
        <v>300</v>
      </c>
      <c r="N93" s="1">
        <f t="shared" si="6"/>
        <v>900</v>
      </c>
    </row>
    <row r="94" spans="5:14" x14ac:dyDescent="0.25">
      <c r="E94">
        <v>424</v>
      </c>
      <c r="F94" s="7">
        <v>45061</v>
      </c>
      <c r="G94">
        <f t="shared" si="4"/>
        <v>2023</v>
      </c>
      <c r="H94" s="7" t="str">
        <f t="shared" si="5"/>
        <v>Май</v>
      </c>
      <c r="I94" t="s">
        <v>22</v>
      </c>
      <c r="J94">
        <v>55</v>
      </c>
      <c r="K94" t="s">
        <v>24</v>
      </c>
      <c r="L94">
        <v>4</v>
      </c>
      <c r="M94">
        <v>30</v>
      </c>
      <c r="N94" s="1">
        <f t="shared" si="6"/>
        <v>120</v>
      </c>
    </row>
    <row r="95" spans="5:14" x14ac:dyDescent="0.25">
      <c r="E95">
        <v>1885</v>
      </c>
      <c r="F95" s="7">
        <v>45567</v>
      </c>
      <c r="G95">
        <f t="shared" si="4"/>
        <v>2024</v>
      </c>
      <c r="H95" s="7" t="str">
        <f t="shared" si="5"/>
        <v>Октябрь</v>
      </c>
      <c r="I95" t="s">
        <v>22</v>
      </c>
      <c r="J95">
        <v>60</v>
      </c>
      <c r="K95" t="s">
        <v>24</v>
      </c>
      <c r="L95">
        <v>7</v>
      </c>
      <c r="M95">
        <v>267</v>
      </c>
      <c r="N95" s="1">
        <f t="shared" si="6"/>
        <v>1869</v>
      </c>
    </row>
    <row r="96" spans="5:14" x14ac:dyDescent="0.25">
      <c r="E96">
        <v>1300</v>
      </c>
      <c r="F96" s="7">
        <v>45293</v>
      </c>
      <c r="G96">
        <f t="shared" si="4"/>
        <v>2024</v>
      </c>
      <c r="H96" s="7" t="str">
        <f t="shared" si="5"/>
        <v>Январь</v>
      </c>
      <c r="I96" t="s">
        <v>20</v>
      </c>
      <c r="J96">
        <v>42</v>
      </c>
      <c r="K96" t="s">
        <v>24</v>
      </c>
      <c r="L96">
        <v>2</v>
      </c>
      <c r="M96">
        <v>171</v>
      </c>
      <c r="N96" s="1">
        <f t="shared" si="6"/>
        <v>342</v>
      </c>
    </row>
    <row r="97" spans="5:14" x14ac:dyDescent="0.25">
      <c r="E97">
        <v>240</v>
      </c>
      <c r="F97" s="7">
        <v>45190</v>
      </c>
      <c r="G97">
        <f t="shared" si="4"/>
        <v>2023</v>
      </c>
      <c r="H97" s="7" t="str">
        <f t="shared" si="5"/>
        <v>Сентябрь</v>
      </c>
      <c r="I97" t="s">
        <v>22</v>
      </c>
      <c r="J97">
        <v>23</v>
      </c>
      <c r="K97" t="s">
        <v>24</v>
      </c>
      <c r="L97">
        <v>3</v>
      </c>
      <c r="M97">
        <v>25</v>
      </c>
      <c r="N97" s="1">
        <f t="shared" si="6"/>
        <v>75</v>
      </c>
    </row>
    <row r="98" spans="5:14" x14ac:dyDescent="0.25">
      <c r="E98">
        <v>387</v>
      </c>
      <c r="F98" s="7">
        <v>45240</v>
      </c>
      <c r="G98">
        <f t="shared" si="4"/>
        <v>2023</v>
      </c>
      <c r="H98" s="7" t="str">
        <f t="shared" si="5"/>
        <v>Ноябрь</v>
      </c>
      <c r="I98" t="s">
        <v>20</v>
      </c>
      <c r="J98">
        <v>50</v>
      </c>
      <c r="K98" t="s">
        <v>24</v>
      </c>
      <c r="L98">
        <v>1</v>
      </c>
      <c r="M98">
        <v>25</v>
      </c>
      <c r="N98" s="1">
        <f t="shared" si="6"/>
        <v>25</v>
      </c>
    </row>
    <row r="99" spans="5:14" x14ac:dyDescent="0.25">
      <c r="E99">
        <v>1320</v>
      </c>
      <c r="F99" s="7">
        <v>45317</v>
      </c>
      <c r="G99">
        <f t="shared" si="4"/>
        <v>2024</v>
      </c>
      <c r="H99" s="7" t="str">
        <f t="shared" si="5"/>
        <v>Январь</v>
      </c>
      <c r="I99" t="s">
        <v>22</v>
      </c>
      <c r="J99">
        <v>56</v>
      </c>
      <c r="K99" t="s">
        <v>21</v>
      </c>
      <c r="L99">
        <v>6</v>
      </c>
      <c r="M99">
        <v>33</v>
      </c>
      <c r="N99" s="1">
        <f t="shared" si="6"/>
        <v>198</v>
      </c>
    </row>
    <row r="100" spans="5:14" x14ac:dyDescent="0.25">
      <c r="E100">
        <v>1634</v>
      </c>
      <c r="F100" s="7">
        <v>45536</v>
      </c>
      <c r="G100">
        <f t="shared" si="4"/>
        <v>2024</v>
      </c>
      <c r="H100" s="7" t="str">
        <f t="shared" si="5"/>
        <v>Сентябрь</v>
      </c>
      <c r="I100" t="s">
        <v>20</v>
      </c>
      <c r="J100">
        <v>31</v>
      </c>
      <c r="K100" t="s">
        <v>23</v>
      </c>
      <c r="L100">
        <v>7</v>
      </c>
      <c r="M100">
        <v>490</v>
      </c>
      <c r="N100" s="1">
        <f t="shared" si="6"/>
        <v>3430</v>
      </c>
    </row>
    <row r="101" spans="5:14" x14ac:dyDescent="0.25">
      <c r="E101">
        <v>44</v>
      </c>
      <c r="F101" s="7">
        <v>44976</v>
      </c>
      <c r="G101">
        <f t="shared" si="4"/>
        <v>2023</v>
      </c>
      <c r="H101" s="7" t="str">
        <f t="shared" si="5"/>
        <v>Февраль</v>
      </c>
      <c r="I101" t="s">
        <v>22</v>
      </c>
      <c r="J101">
        <v>22</v>
      </c>
      <c r="K101" t="s">
        <v>23</v>
      </c>
      <c r="L101">
        <v>1</v>
      </c>
      <c r="M101">
        <v>25</v>
      </c>
      <c r="N101" s="1">
        <f t="shared" si="6"/>
        <v>25</v>
      </c>
    </row>
    <row r="102" spans="5:14" x14ac:dyDescent="0.25">
      <c r="E102">
        <v>1183</v>
      </c>
      <c r="F102" s="7">
        <v>45349</v>
      </c>
      <c r="G102">
        <f t="shared" si="4"/>
        <v>2024</v>
      </c>
      <c r="H102" s="7" t="str">
        <f t="shared" si="5"/>
        <v>Февраль</v>
      </c>
      <c r="I102" t="s">
        <v>20</v>
      </c>
      <c r="J102">
        <v>50</v>
      </c>
      <c r="K102" t="s">
        <v>23</v>
      </c>
      <c r="L102">
        <v>6</v>
      </c>
      <c r="M102">
        <v>18</v>
      </c>
      <c r="N102" s="1">
        <f t="shared" si="6"/>
        <v>108</v>
      </c>
    </row>
    <row r="103" spans="5:14" x14ac:dyDescent="0.25">
      <c r="E103">
        <v>1488</v>
      </c>
      <c r="F103" s="7">
        <v>45435</v>
      </c>
      <c r="G103">
        <f t="shared" si="4"/>
        <v>2024</v>
      </c>
      <c r="H103" s="7" t="str">
        <f t="shared" si="5"/>
        <v>Май</v>
      </c>
      <c r="I103" t="s">
        <v>22</v>
      </c>
      <c r="J103">
        <v>19</v>
      </c>
      <c r="K103" t="s">
        <v>24</v>
      </c>
      <c r="L103">
        <v>6</v>
      </c>
      <c r="M103">
        <v>93</v>
      </c>
      <c r="N103" s="1">
        <f t="shared" si="6"/>
        <v>558</v>
      </c>
    </row>
    <row r="104" spans="5:14" x14ac:dyDescent="0.25">
      <c r="E104">
        <v>1787</v>
      </c>
      <c r="F104" s="7">
        <v>45631</v>
      </c>
      <c r="G104">
        <f t="shared" si="4"/>
        <v>2024</v>
      </c>
      <c r="H104" s="7" t="str">
        <f t="shared" si="5"/>
        <v>Декабрь</v>
      </c>
      <c r="I104" t="s">
        <v>22</v>
      </c>
      <c r="J104">
        <v>64</v>
      </c>
      <c r="K104" t="s">
        <v>21</v>
      </c>
      <c r="L104">
        <v>3</v>
      </c>
      <c r="M104">
        <v>404</v>
      </c>
      <c r="N104" s="1">
        <f t="shared" si="6"/>
        <v>1212</v>
      </c>
    </row>
    <row r="105" spans="5:14" x14ac:dyDescent="0.25">
      <c r="E105">
        <v>1407</v>
      </c>
      <c r="F105" s="7">
        <v>45617</v>
      </c>
      <c r="G105">
        <f t="shared" si="4"/>
        <v>2024</v>
      </c>
      <c r="H105" s="7" t="str">
        <f t="shared" si="5"/>
        <v>Ноябрь</v>
      </c>
      <c r="I105" t="s">
        <v>22</v>
      </c>
      <c r="J105">
        <v>59</v>
      </c>
      <c r="K105" t="s">
        <v>23</v>
      </c>
      <c r="L105">
        <v>2</v>
      </c>
      <c r="M105">
        <v>45</v>
      </c>
      <c r="N105" s="1">
        <f t="shared" si="6"/>
        <v>90</v>
      </c>
    </row>
    <row r="106" spans="5:14" x14ac:dyDescent="0.25">
      <c r="E106">
        <v>1210</v>
      </c>
      <c r="F106" s="7">
        <v>45497</v>
      </c>
      <c r="G106">
        <f t="shared" si="4"/>
        <v>2024</v>
      </c>
      <c r="H106" s="7" t="str">
        <f t="shared" si="5"/>
        <v>Июль</v>
      </c>
      <c r="I106" t="s">
        <v>20</v>
      </c>
      <c r="J106">
        <v>29</v>
      </c>
      <c r="K106" t="s">
        <v>21</v>
      </c>
      <c r="L106">
        <v>5</v>
      </c>
      <c r="M106">
        <v>308</v>
      </c>
      <c r="N106" s="1">
        <f t="shared" si="6"/>
        <v>1540</v>
      </c>
    </row>
    <row r="107" spans="5:14" x14ac:dyDescent="0.25">
      <c r="E107">
        <v>808</v>
      </c>
      <c r="F107" s="7">
        <v>45260</v>
      </c>
      <c r="G107">
        <f t="shared" si="4"/>
        <v>2023</v>
      </c>
      <c r="H107" s="7" t="str">
        <f t="shared" si="5"/>
        <v>Ноябрь</v>
      </c>
      <c r="I107" t="s">
        <v>20</v>
      </c>
      <c r="J107">
        <v>59</v>
      </c>
      <c r="K107" t="s">
        <v>24</v>
      </c>
      <c r="L107">
        <v>4</v>
      </c>
      <c r="M107">
        <v>25</v>
      </c>
      <c r="N107" s="1">
        <f t="shared" si="6"/>
        <v>100</v>
      </c>
    </row>
    <row r="108" spans="5:14" x14ac:dyDescent="0.25">
      <c r="E108">
        <v>1659</v>
      </c>
      <c r="F108" s="7">
        <v>45371</v>
      </c>
      <c r="G108">
        <f t="shared" si="4"/>
        <v>2024</v>
      </c>
      <c r="H108" s="7" t="str">
        <f t="shared" si="5"/>
        <v>Март</v>
      </c>
      <c r="I108" t="s">
        <v>20</v>
      </c>
      <c r="J108">
        <v>21</v>
      </c>
      <c r="K108" t="s">
        <v>23</v>
      </c>
      <c r="L108">
        <v>3</v>
      </c>
      <c r="M108">
        <v>347</v>
      </c>
      <c r="N108" s="1">
        <f t="shared" si="6"/>
        <v>1041</v>
      </c>
    </row>
    <row r="109" spans="5:14" x14ac:dyDescent="0.25">
      <c r="E109">
        <v>1391</v>
      </c>
      <c r="F109" s="7">
        <v>45446</v>
      </c>
      <c r="G109">
        <f t="shared" si="4"/>
        <v>2024</v>
      </c>
      <c r="H109" s="7" t="str">
        <f t="shared" si="5"/>
        <v>Июнь</v>
      </c>
      <c r="I109" t="s">
        <v>22</v>
      </c>
      <c r="J109">
        <v>52</v>
      </c>
      <c r="K109" t="s">
        <v>23</v>
      </c>
      <c r="L109">
        <v>5</v>
      </c>
      <c r="M109">
        <v>44</v>
      </c>
      <c r="N109" s="1">
        <f t="shared" si="6"/>
        <v>220</v>
      </c>
    </row>
    <row r="110" spans="5:14" x14ac:dyDescent="0.25">
      <c r="E110">
        <v>1080</v>
      </c>
      <c r="F110" s="7">
        <v>45652</v>
      </c>
      <c r="G110">
        <f t="shared" si="4"/>
        <v>2024</v>
      </c>
      <c r="H110" s="7" t="str">
        <f t="shared" si="5"/>
        <v>Декабрь</v>
      </c>
      <c r="I110" t="s">
        <v>22</v>
      </c>
      <c r="J110">
        <v>46</v>
      </c>
      <c r="K110" t="s">
        <v>21</v>
      </c>
      <c r="L110">
        <v>6</v>
      </c>
      <c r="M110">
        <v>143</v>
      </c>
      <c r="N110" s="1">
        <f t="shared" si="6"/>
        <v>858</v>
      </c>
    </row>
    <row r="111" spans="5:14" x14ac:dyDescent="0.25">
      <c r="E111">
        <v>412</v>
      </c>
      <c r="F111" s="7">
        <v>45177</v>
      </c>
      <c r="G111">
        <f t="shared" si="4"/>
        <v>2023</v>
      </c>
      <c r="H111" s="7" t="str">
        <f t="shared" si="5"/>
        <v>Сентябрь</v>
      </c>
      <c r="I111" t="s">
        <v>22</v>
      </c>
      <c r="J111">
        <v>44</v>
      </c>
      <c r="K111" t="s">
        <v>21</v>
      </c>
      <c r="L111">
        <v>3</v>
      </c>
      <c r="M111">
        <v>25</v>
      </c>
      <c r="N111" s="1">
        <f t="shared" si="6"/>
        <v>75</v>
      </c>
    </row>
    <row r="112" spans="5:14" x14ac:dyDescent="0.25">
      <c r="E112">
        <v>971</v>
      </c>
      <c r="F112" s="7">
        <v>45007</v>
      </c>
      <c r="G112">
        <f t="shared" si="4"/>
        <v>2023</v>
      </c>
      <c r="H112" s="7" t="str">
        <f t="shared" si="5"/>
        <v>Март</v>
      </c>
      <c r="I112" t="s">
        <v>20</v>
      </c>
      <c r="J112">
        <v>60</v>
      </c>
      <c r="K112" t="s">
        <v>23</v>
      </c>
      <c r="L112">
        <v>1</v>
      </c>
      <c r="M112">
        <v>50</v>
      </c>
      <c r="N112" s="1">
        <f t="shared" si="6"/>
        <v>50</v>
      </c>
    </row>
    <row r="113" spans="5:14" x14ac:dyDescent="0.25">
      <c r="E113">
        <v>657</v>
      </c>
      <c r="F113" s="7">
        <v>45004</v>
      </c>
      <c r="G113">
        <f t="shared" si="4"/>
        <v>2023</v>
      </c>
      <c r="H113" s="7" t="str">
        <f t="shared" si="5"/>
        <v>Март</v>
      </c>
      <c r="I113" t="s">
        <v>22</v>
      </c>
      <c r="J113">
        <v>39</v>
      </c>
      <c r="K113" t="s">
        <v>24</v>
      </c>
      <c r="L113">
        <v>1</v>
      </c>
      <c r="M113">
        <v>30</v>
      </c>
      <c r="N113" s="1">
        <f t="shared" si="6"/>
        <v>30</v>
      </c>
    </row>
    <row r="114" spans="5:14" x14ac:dyDescent="0.25">
      <c r="E114">
        <v>1174</v>
      </c>
      <c r="F114" s="7">
        <v>45484</v>
      </c>
      <c r="G114">
        <f t="shared" si="4"/>
        <v>2024</v>
      </c>
      <c r="H114" s="7" t="str">
        <f t="shared" si="5"/>
        <v>Июль</v>
      </c>
      <c r="I114" t="s">
        <v>22</v>
      </c>
      <c r="J114">
        <v>35</v>
      </c>
      <c r="K114" t="s">
        <v>21</v>
      </c>
      <c r="L114">
        <v>1</v>
      </c>
      <c r="M114">
        <v>431</v>
      </c>
      <c r="N114" s="1">
        <f t="shared" si="6"/>
        <v>431</v>
      </c>
    </row>
    <row r="115" spans="5:14" x14ac:dyDescent="0.25">
      <c r="E115">
        <v>1845</v>
      </c>
      <c r="F115" s="7">
        <v>45416</v>
      </c>
      <c r="G115">
        <f t="shared" si="4"/>
        <v>2024</v>
      </c>
      <c r="H115" s="7" t="str">
        <f t="shared" si="5"/>
        <v>Май</v>
      </c>
      <c r="I115" t="s">
        <v>20</v>
      </c>
      <c r="J115">
        <v>53</v>
      </c>
      <c r="K115" t="s">
        <v>23</v>
      </c>
      <c r="L115">
        <v>1</v>
      </c>
      <c r="M115">
        <v>359</v>
      </c>
      <c r="N115" s="1">
        <f t="shared" si="6"/>
        <v>359</v>
      </c>
    </row>
    <row r="116" spans="5:14" x14ac:dyDescent="0.25">
      <c r="E116">
        <v>508</v>
      </c>
      <c r="F116" s="7">
        <v>45103</v>
      </c>
      <c r="G116">
        <f t="shared" si="4"/>
        <v>2023</v>
      </c>
      <c r="H116" s="7" t="str">
        <f t="shared" si="5"/>
        <v>Июнь</v>
      </c>
      <c r="I116" t="s">
        <v>22</v>
      </c>
      <c r="J116">
        <v>37</v>
      </c>
      <c r="K116" t="s">
        <v>24</v>
      </c>
      <c r="L116">
        <v>3</v>
      </c>
      <c r="M116">
        <v>300</v>
      </c>
      <c r="N116" s="1">
        <f t="shared" si="6"/>
        <v>900</v>
      </c>
    </row>
    <row r="117" spans="5:14" x14ac:dyDescent="0.25">
      <c r="E117">
        <v>1953</v>
      </c>
      <c r="F117" s="7">
        <v>45519</v>
      </c>
      <c r="G117">
        <f t="shared" si="4"/>
        <v>2024</v>
      </c>
      <c r="H117" s="7" t="str">
        <f t="shared" si="5"/>
        <v>Август</v>
      </c>
      <c r="I117" t="s">
        <v>22</v>
      </c>
      <c r="J117">
        <v>42</v>
      </c>
      <c r="K117" t="s">
        <v>24</v>
      </c>
      <c r="L117">
        <v>5</v>
      </c>
      <c r="M117">
        <v>187</v>
      </c>
      <c r="N117" s="1">
        <f t="shared" si="6"/>
        <v>935</v>
      </c>
    </row>
    <row r="118" spans="5:14" x14ac:dyDescent="0.25">
      <c r="E118">
        <v>878</v>
      </c>
      <c r="F118" s="7">
        <v>45159</v>
      </c>
      <c r="G118">
        <f t="shared" si="4"/>
        <v>2023</v>
      </c>
      <c r="H118" s="7" t="str">
        <f t="shared" si="5"/>
        <v>Август</v>
      </c>
      <c r="I118" t="s">
        <v>20</v>
      </c>
      <c r="J118">
        <v>22</v>
      </c>
      <c r="K118" t="s">
        <v>21</v>
      </c>
      <c r="L118">
        <v>2</v>
      </c>
      <c r="M118">
        <v>500</v>
      </c>
      <c r="N118" s="1">
        <f t="shared" si="6"/>
        <v>1000</v>
      </c>
    </row>
    <row r="119" spans="5:14" x14ac:dyDescent="0.25">
      <c r="E119">
        <v>1229</v>
      </c>
      <c r="F119" s="7">
        <v>45328</v>
      </c>
      <c r="G119">
        <f t="shared" si="4"/>
        <v>2024</v>
      </c>
      <c r="H119" s="7" t="str">
        <f t="shared" si="5"/>
        <v>Февраль</v>
      </c>
      <c r="I119" t="s">
        <v>22</v>
      </c>
      <c r="J119">
        <v>23</v>
      </c>
      <c r="K119" t="s">
        <v>21</v>
      </c>
      <c r="L119">
        <v>3</v>
      </c>
      <c r="M119">
        <v>135</v>
      </c>
      <c r="N119" s="1">
        <f t="shared" si="6"/>
        <v>405</v>
      </c>
    </row>
    <row r="120" spans="5:14" x14ac:dyDescent="0.25">
      <c r="E120">
        <v>1679</v>
      </c>
      <c r="F120" s="7">
        <v>45295</v>
      </c>
      <c r="G120">
        <f t="shared" si="4"/>
        <v>2024</v>
      </c>
      <c r="H120" s="7" t="str">
        <f t="shared" si="5"/>
        <v>Январь</v>
      </c>
      <c r="I120" t="s">
        <v>20</v>
      </c>
      <c r="J120">
        <v>59</v>
      </c>
      <c r="K120" t="s">
        <v>21</v>
      </c>
      <c r="L120">
        <v>4</v>
      </c>
      <c r="M120">
        <v>435</v>
      </c>
      <c r="N120" s="1">
        <f t="shared" si="6"/>
        <v>1740</v>
      </c>
    </row>
    <row r="121" spans="5:14" x14ac:dyDescent="0.25">
      <c r="E121">
        <v>697</v>
      </c>
      <c r="F121" s="7">
        <v>45099</v>
      </c>
      <c r="G121">
        <f t="shared" si="4"/>
        <v>2023</v>
      </c>
      <c r="H121" s="7" t="str">
        <f t="shared" si="5"/>
        <v>Июнь</v>
      </c>
      <c r="I121" t="s">
        <v>22</v>
      </c>
      <c r="J121">
        <v>37</v>
      </c>
      <c r="K121" t="s">
        <v>23</v>
      </c>
      <c r="L121">
        <v>4</v>
      </c>
      <c r="M121">
        <v>30</v>
      </c>
      <c r="N121" s="1">
        <f t="shared" si="6"/>
        <v>120</v>
      </c>
    </row>
    <row r="122" spans="5:14" x14ac:dyDescent="0.25">
      <c r="E122">
        <v>1752</v>
      </c>
      <c r="F122" s="7">
        <v>45531</v>
      </c>
      <c r="G122">
        <f t="shared" si="4"/>
        <v>2024</v>
      </c>
      <c r="H122" s="7" t="str">
        <f t="shared" si="5"/>
        <v>Август</v>
      </c>
      <c r="I122" t="s">
        <v>22</v>
      </c>
      <c r="J122">
        <v>31</v>
      </c>
      <c r="K122" t="s">
        <v>24</v>
      </c>
      <c r="L122">
        <v>1</v>
      </c>
      <c r="M122">
        <v>121</v>
      </c>
      <c r="N122" s="1">
        <f t="shared" si="6"/>
        <v>121</v>
      </c>
    </row>
    <row r="123" spans="5:14" x14ac:dyDescent="0.25">
      <c r="E123">
        <v>617</v>
      </c>
      <c r="F123" s="7">
        <v>44952</v>
      </c>
      <c r="G123">
        <f t="shared" si="4"/>
        <v>2023</v>
      </c>
      <c r="H123" s="7" t="str">
        <f t="shared" si="5"/>
        <v>Январь</v>
      </c>
      <c r="I123" t="s">
        <v>22</v>
      </c>
      <c r="J123">
        <v>27</v>
      </c>
      <c r="K123" t="s">
        <v>21</v>
      </c>
      <c r="L123">
        <v>1</v>
      </c>
      <c r="M123">
        <v>50</v>
      </c>
      <c r="N123" s="1">
        <f t="shared" si="6"/>
        <v>50</v>
      </c>
    </row>
    <row r="124" spans="5:14" x14ac:dyDescent="0.25">
      <c r="E124">
        <v>1642</v>
      </c>
      <c r="F124" s="7">
        <v>45613</v>
      </c>
      <c r="G124">
        <f t="shared" si="4"/>
        <v>2024</v>
      </c>
      <c r="H124" s="7" t="str">
        <f t="shared" si="5"/>
        <v>Ноябрь</v>
      </c>
      <c r="I124" t="s">
        <v>22</v>
      </c>
      <c r="J124">
        <v>20</v>
      </c>
      <c r="K124" t="s">
        <v>24</v>
      </c>
      <c r="L124">
        <v>7</v>
      </c>
      <c r="M124">
        <v>375</v>
      </c>
      <c r="N124" s="1">
        <f t="shared" si="6"/>
        <v>2625</v>
      </c>
    </row>
    <row r="125" spans="5:14" x14ac:dyDescent="0.25">
      <c r="E125">
        <v>545</v>
      </c>
      <c r="F125" s="7">
        <v>45210</v>
      </c>
      <c r="G125">
        <f t="shared" si="4"/>
        <v>2023</v>
      </c>
      <c r="H125" s="7" t="str">
        <f t="shared" si="5"/>
        <v>Октябрь</v>
      </c>
      <c r="I125" t="s">
        <v>22</v>
      </c>
      <c r="J125">
        <v>36</v>
      </c>
      <c r="K125" t="s">
        <v>24</v>
      </c>
      <c r="L125">
        <v>4</v>
      </c>
      <c r="M125">
        <v>50</v>
      </c>
      <c r="N125" s="1">
        <f t="shared" si="6"/>
        <v>200</v>
      </c>
    </row>
    <row r="126" spans="5:14" x14ac:dyDescent="0.25">
      <c r="E126">
        <v>1779</v>
      </c>
      <c r="F126" s="7">
        <v>45643</v>
      </c>
      <c r="G126">
        <f t="shared" si="4"/>
        <v>2024</v>
      </c>
      <c r="H126" s="7" t="str">
        <f t="shared" si="5"/>
        <v>Декабрь</v>
      </c>
      <c r="I126" t="s">
        <v>22</v>
      </c>
      <c r="J126">
        <v>63</v>
      </c>
      <c r="K126" t="s">
        <v>23</v>
      </c>
      <c r="L126">
        <v>7</v>
      </c>
      <c r="M126">
        <v>54</v>
      </c>
      <c r="N126" s="1">
        <f t="shared" si="6"/>
        <v>378</v>
      </c>
    </row>
    <row r="127" spans="5:14" x14ac:dyDescent="0.25">
      <c r="E127">
        <v>523</v>
      </c>
      <c r="F127" s="7">
        <v>45202</v>
      </c>
      <c r="G127">
        <f t="shared" si="4"/>
        <v>2023</v>
      </c>
      <c r="H127" s="7" t="str">
        <f t="shared" si="5"/>
        <v>Октябрь</v>
      </c>
      <c r="I127" t="s">
        <v>20</v>
      </c>
      <c r="J127">
        <v>46</v>
      </c>
      <c r="K127" t="s">
        <v>21</v>
      </c>
      <c r="L127">
        <v>4</v>
      </c>
      <c r="M127">
        <v>300</v>
      </c>
      <c r="N127" s="1">
        <f t="shared" si="6"/>
        <v>1200</v>
      </c>
    </row>
    <row r="128" spans="5:14" x14ac:dyDescent="0.25">
      <c r="E128">
        <v>600</v>
      </c>
      <c r="F128" s="7">
        <v>45026</v>
      </c>
      <c r="G128">
        <f t="shared" si="4"/>
        <v>2023</v>
      </c>
      <c r="H128" s="7" t="str">
        <f t="shared" si="5"/>
        <v>Апрель</v>
      </c>
      <c r="I128" t="s">
        <v>20</v>
      </c>
      <c r="J128">
        <v>19</v>
      </c>
      <c r="K128" t="s">
        <v>23</v>
      </c>
      <c r="L128">
        <v>1</v>
      </c>
      <c r="M128">
        <v>30</v>
      </c>
      <c r="N128" s="1">
        <f t="shared" si="6"/>
        <v>30</v>
      </c>
    </row>
    <row r="129" spans="5:14" x14ac:dyDescent="0.25">
      <c r="E129">
        <v>790</v>
      </c>
      <c r="F129" s="7">
        <v>45116</v>
      </c>
      <c r="G129">
        <f t="shared" si="4"/>
        <v>2023</v>
      </c>
      <c r="H129" s="7" t="str">
        <f t="shared" si="5"/>
        <v>Июль</v>
      </c>
      <c r="I129" t="s">
        <v>22</v>
      </c>
      <c r="J129">
        <v>20</v>
      </c>
      <c r="K129" t="s">
        <v>21</v>
      </c>
      <c r="L129">
        <v>1</v>
      </c>
      <c r="M129">
        <v>50</v>
      </c>
      <c r="N129" s="1">
        <f t="shared" si="6"/>
        <v>50</v>
      </c>
    </row>
    <row r="130" spans="5:14" x14ac:dyDescent="0.25">
      <c r="E130">
        <v>1939</v>
      </c>
      <c r="F130" s="7">
        <v>45581</v>
      </c>
      <c r="G130">
        <f t="shared" si="4"/>
        <v>2024</v>
      </c>
      <c r="H130" s="7" t="str">
        <f t="shared" si="5"/>
        <v>Октябрь</v>
      </c>
      <c r="I130" t="s">
        <v>22</v>
      </c>
      <c r="J130">
        <v>52</v>
      </c>
      <c r="K130" t="s">
        <v>23</v>
      </c>
      <c r="L130">
        <v>5</v>
      </c>
      <c r="M130">
        <v>303</v>
      </c>
      <c r="N130" s="1">
        <f t="shared" si="6"/>
        <v>1515</v>
      </c>
    </row>
    <row r="131" spans="5:14" x14ac:dyDescent="0.25">
      <c r="E131">
        <v>1352</v>
      </c>
      <c r="F131" s="7">
        <v>45635</v>
      </c>
      <c r="G131">
        <f t="shared" si="4"/>
        <v>2024</v>
      </c>
      <c r="H131" s="7" t="str">
        <f t="shared" si="5"/>
        <v>Декабрь</v>
      </c>
      <c r="I131" t="s">
        <v>22</v>
      </c>
      <c r="J131">
        <v>65</v>
      </c>
      <c r="K131" t="s">
        <v>24</v>
      </c>
      <c r="L131">
        <v>7</v>
      </c>
      <c r="M131">
        <v>230</v>
      </c>
      <c r="N131" s="1">
        <f t="shared" si="6"/>
        <v>1610</v>
      </c>
    </row>
    <row r="132" spans="5:14" x14ac:dyDescent="0.25">
      <c r="E132">
        <v>225</v>
      </c>
      <c r="F132" s="7">
        <v>45228</v>
      </c>
      <c r="G132">
        <f t="shared" si="4"/>
        <v>2023</v>
      </c>
      <c r="H132" s="7" t="str">
        <f t="shared" si="5"/>
        <v>Октябрь</v>
      </c>
      <c r="I132" t="s">
        <v>22</v>
      </c>
      <c r="J132">
        <v>61</v>
      </c>
      <c r="K132" t="s">
        <v>23</v>
      </c>
      <c r="L132">
        <v>1</v>
      </c>
      <c r="M132">
        <v>50</v>
      </c>
      <c r="N132" s="1">
        <f t="shared" si="6"/>
        <v>50</v>
      </c>
    </row>
    <row r="133" spans="5:14" x14ac:dyDescent="0.25">
      <c r="E133">
        <v>1145</v>
      </c>
      <c r="F133" s="7">
        <v>45563</v>
      </c>
      <c r="G133">
        <f t="shared" si="4"/>
        <v>2024</v>
      </c>
      <c r="H133" s="7" t="str">
        <f t="shared" si="5"/>
        <v>Сентябрь</v>
      </c>
      <c r="I133" t="s">
        <v>20</v>
      </c>
      <c r="J133">
        <v>43</v>
      </c>
      <c r="K133" t="s">
        <v>24</v>
      </c>
      <c r="L133">
        <v>3</v>
      </c>
      <c r="M133">
        <v>221</v>
      </c>
      <c r="N133" s="1">
        <f t="shared" si="6"/>
        <v>663</v>
      </c>
    </row>
    <row r="134" spans="5:14" x14ac:dyDescent="0.25">
      <c r="E134">
        <v>1144</v>
      </c>
      <c r="F134" s="7">
        <v>45532</v>
      </c>
      <c r="G134">
        <f t="shared" si="4"/>
        <v>2024</v>
      </c>
      <c r="H134" s="7" t="str">
        <f t="shared" si="5"/>
        <v>Август</v>
      </c>
      <c r="I134" t="s">
        <v>20</v>
      </c>
      <c r="J134">
        <v>46</v>
      </c>
      <c r="K134" t="s">
        <v>23</v>
      </c>
      <c r="L134">
        <v>2</v>
      </c>
      <c r="M134">
        <v>186</v>
      </c>
      <c r="N134" s="1">
        <f t="shared" si="6"/>
        <v>372</v>
      </c>
    </row>
    <row r="135" spans="5:14" x14ac:dyDescent="0.25">
      <c r="E135">
        <v>492</v>
      </c>
      <c r="F135" s="7">
        <v>45255</v>
      </c>
      <c r="G135">
        <f t="shared" si="4"/>
        <v>2023</v>
      </c>
      <c r="H135" s="7" t="str">
        <f t="shared" si="5"/>
        <v>Ноябрь</v>
      </c>
      <c r="I135" t="s">
        <v>20</v>
      </c>
      <c r="J135">
        <v>41</v>
      </c>
      <c r="K135" t="s">
        <v>21</v>
      </c>
      <c r="L135">
        <v>2</v>
      </c>
      <c r="M135">
        <v>25</v>
      </c>
      <c r="N135" s="1">
        <f t="shared" si="6"/>
        <v>50</v>
      </c>
    </row>
    <row r="136" spans="5:14" x14ac:dyDescent="0.25">
      <c r="E136">
        <v>1219</v>
      </c>
      <c r="F136" s="7">
        <v>45408</v>
      </c>
      <c r="G136">
        <f t="shared" si="4"/>
        <v>2024</v>
      </c>
      <c r="H136" s="7" t="str">
        <f t="shared" si="5"/>
        <v>Апрель</v>
      </c>
      <c r="I136" t="s">
        <v>20</v>
      </c>
      <c r="J136">
        <v>45</v>
      </c>
      <c r="K136" t="s">
        <v>23</v>
      </c>
      <c r="L136">
        <v>4</v>
      </c>
      <c r="M136">
        <v>216</v>
      </c>
      <c r="N136" s="1">
        <f t="shared" si="6"/>
        <v>864</v>
      </c>
    </row>
    <row r="137" spans="5:14" x14ac:dyDescent="0.25">
      <c r="E137">
        <v>842</v>
      </c>
      <c r="F137" s="7">
        <v>45211</v>
      </c>
      <c r="G137">
        <f t="shared" si="4"/>
        <v>2023</v>
      </c>
      <c r="H137" s="7" t="str">
        <f t="shared" si="5"/>
        <v>Октябрь</v>
      </c>
      <c r="I137" t="s">
        <v>20</v>
      </c>
      <c r="J137">
        <v>35</v>
      </c>
      <c r="K137" t="s">
        <v>23</v>
      </c>
      <c r="L137">
        <v>3</v>
      </c>
      <c r="M137">
        <v>50</v>
      </c>
      <c r="N137" s="1">
        <f t="shared" si="6"/>
        <v>150</v>
      </c>
    </row>
    <row r="138" spans="5:14" x14ac:dyDescent="0.25">
      <c r="E138">
        <v>1338</v>
      </c>
      <c r="F138" s="7">
        <v>45419</v>
      </c>
      <c r="G138">
        <f t="shared" ref="G138:G201" si="7">YEAR(F138)</f>
        <v>2024</v>
      </c>
      <c r="H138" s="7" t="str">
        <f t="shared" ref="H138:H201" si="8">TEXT(F138,"ММММ")</f>
        <v>Май</v>
      </c>
      <c r="I138" t="s">
        <v>20</v>
      </c>
      <c r="J138">
        <v>20</v>
      </c>
      <c r="K138" t="s">
        <v>23</v>
      </c>
      <c r="L138">
        <v>5</v>
      </c>
      <c r="M138">
        <v>235</v>
      </c>
      <c r="N138" s="1">
        <f t="shared" ref="N138:N201" si="9">L138*M138</f>
        <v>1175</v>
      </c>
    </row>
    <row r="139" spans="5:14" x14ac:dyDescent="0.25">
      <c r="E139">
        <v>588</v>
      </c>
      <c r="F139" s="7">
        <v>45028</v>
      </c>
      <c r="G139">
        <f t="shared" si="7"/>
        <v>2023</v>
      </c>
      <c r="H139" s="7" t="str">
        <f t="shared" si="8"/>
        <v>Апрель</v>
      </c>
      <c r="I139" t="s">
        <v>22</v>
      </c>
      <c r="J139">
        <v>36</v>
      </c>
      <c r="K139" t="s">
        <v>21</v>
      </c>
      <c r="L139">
        <v>2</v>
      </c>
      <c r="M139">
        <v>500</v>
      </c>
      <c r="N139" s="1">
        <f t="shared" si="9"/>
        <v>1000</v>
      </c>
    </row>
    <row r="140" spans="5:14" x14ac:dyDescent="0.25">
      <c r="E140">
        <v>594</v>
      </c>
      <c r="F140" s="7">
        <v>45239</v>
      </c>
      <c r="G140">
        <f t="shared" si="7"/>
        <v>2023</v>
      </c>
      <c r="H140" s="7" t="str">
        <f t="shared" si="8"/>
        <v>Ноябрь</v>
      </c>
      <c r="I140" t="s">
        <v>22</v>
      </c>
      <c r="J140">
        <v>18</v>
      </c>
      <c r="K140" t="s">
        <v>23</v>
      </c>
      <c r="L140">
        <v>4</v>
      </c>
      <c r="M140">
        <v>500</v>
      </c>
      <c r="N140" s="1">
        <f t="shared" si="9"/>
        <v>2000</v>
      </c>
    </row>
    <row r="141" spans="5:14" x14ac:dyDescent="0.25">
      <c r="E141">
        <v>726</v>
      </c>
      <c r="F141" s="7">
        <v>45121</v>
      </c>
      <c r="G141">
        <f t="shared" si="7"/>
        <v>2023</v>
      </c>
      <c r="H141" s="7" t="str">
        <f t="shared" si="8"/>
        <v>Июль</v>
      </c>
      <c r="I141" t="s">
        <v>20</v>
      </c>
      <c r="J141">
        <v>51</v>
      </c>
      <c r="K141" t="s">
        <v>24</v>
      </c>
      <c r="L141">
        <v>3</v>
      </c>
      <c r="M141">
        <v>50</v>
      </c>
      <c r="N141" s="1">
        <f t="shared" si="9"/>
        <v>150</v>
      </c>
    </row>
    <row r="142" spans="5:14" x14ac:dyDescent="0.25">
      <c r="E142">
        <v>741</v>
      </c>
      <c r="F142" s="7">
        <v>44942</v>
      </c>
      <c r="G142">
        <f t="shared" si="7"/>
        <v>2023</v>
      </c>
      <c r="H142" s="7" t="str">
        <f t="shared" si="8"/>
        <v>Январь</v>
      </c>
      <c r="I142" t="s">
        <v>22</v>
      </c>
      <c r="J142">
        <v>34</v>
      </c>
      <c r="K142" t="s">
        <v>21</v>
      </c>
      <c r="L142">
        <v>4</v>
      </c>
      <c r="M142">
        <v>500</v>
      </c>
      <c r="N142" s="1">
        <f t="shared" si="9"/>
        <v>2000</v>
      </c>
    </row>
    <row r="143" spans="5:14" x14ac:dyDescent="0.25">
      <c r="E143">
        <v>1708</v>
      </c>
      <c r="F143" s="7">
        <v>45632</v>
      </c>
      <c r="G143">
        <f t="shared" si="7"/>
        <v>2024</v>
      </c>
      <c r="H143" s="7" t="str">
        <f t="shared" si="8"/>
        <v>Декабрь</v>
      </c>
      <c r="I143" t="s">
        <v>22</v>
      </c>
      <c r="J143">
        <v>42</v>
      </c>
      <c r="K143" t="s">
        <v>21</v>
      </c>
      <c r="L143">
        <v>3</v>
      </c>
      <c r="M143">
        <v>100</v>
      </c>
      <c r="N143" s="1">
        <f t="shared" si="9"/>
        <v>300</v>
      </c>
    </row>
    <row r="144" spans="5:14" x14ac:dyDescent="0.25">
      <c r="E144">
        <v>1572</v>
      </c>
      <c r="F144" s="7">
        <v>45379</v>
      </c>
      <c r="G144">
        <f t="shared" si="7"/>
        <v>2024</v>
      </c>
      <c r="H144" s="7" t="str">
        <f t="shared" si="8"/>
        <v>Март</v>
      </c>
      <c r="I144" t="s">
        <v>20</v>
      </c>
      <c r="J144">
        <v>23</v>
      </c>
      <c r="K144" t="s">
        <v>23</v>
      </c>
      <c r="L144">
        <v>6</v>
      </c>
      <c r="M144">
        <v>130</v>
      </c>
      <c r="N144" s="1">
        <f t="shared" si="9"/>
        <v>780</v>
      </c>
    </row>
    <row r="145" spans="5:14" x14ac:dyDescent="0.25">
      <c r="E145">
        <v>1156</v>
      </c>
      <c r="F145" s="7">
        <v>45349</v>
      </c>
      <c r="G145">
        <f t="shared" si="7"/>
        <v>2024</v>
      </c>
      <c r="H145" s="7" t="str">
        <f t="shared" si="8"/>
        <v>Февраль</v>
      </c>
      <c r="I145" t="s">
        <v>22</v>
      </c>
      <c r="J145">
        <v>28</v>
      </c>
      <c r="K145" t="s">
        <v>24</v>
      </c>
      <c r="L145">
        <v>3</v>
      </c>
      <c r="M145">
        <v>272</v>
      </c>
      <c r="N145" s="1">
        <f t="shared" si="9"/>
        <v>816</v>
      </c>
    </row>
    <row r="146" spans="5:14" x14ac:dyDescent="0.25">
      <c r="E146">
        <v>1853</v>
      </c>
      <c r="F146" s="7">
        <v>45657</v>
      </c>
      <c r="G146">
        <f t="shared" si="7"/>
        <v>2024</v>
      </c>
      <c r="H146" s="7" t="str">
        <f t="shared" si="8"/>
        <v>Декабрь</v>
      </c>
      <c r="I146" t="s">
        <v>20</v>
      </c>
      <c r="J146">
        <v>52</v>
      </c>
      <c r="K146" t="s">
        <v>24</v>
      </c>
      <c r="L146">
        <v>4</v>
      </c>
      <c r="M146">
        <v>111</v>
      </c>
      <c r="N146" s="1">
        <f t="shared" si="9"/>
        <v>444</v>
      </c>
    </row>
    <row r="147" spans="5:14" x14ac:dyDescent="0.25">
      <c r="E147">
        <v>1864</v>
      </c>
      <c r="F147" s="7">
        <v>45632</v>
      </c>
      <c r="G147">
        <f t="shared" si="7"/>
        <v>2024</v>
      </c>
      <c r="H147" s="7" t="str">
        <f t="shared" si="8"/>
        <v>Декабрь</v>
      </c>
      <c r="I147" t="s">
        <v>22</v>
      </c>
      <c r="J147">
        <v>37</v>
      </c>
      <c r="K147" t="s">
        <v>24</v>
      </c>
      <c r="L147">
        <v>3</v>
      </c>
      <c r="M147">
        <v>466</v>
      </c>
      <c r="N147" s="1">
        <f t="shared" si="9"/>
        <v>1398</v>
      </c>
    </row>
    <row r="148" spans="5:14" x14ac:dyDescent="0.25">
      <c r="E148">
        <v>1722</v>
      </c>
      <c r="F148" s="7">
        <v>45460</v>
      </c>
      <c r="G148">
        <f t="shared" si="7"/>
        <v>2024</v>
      </c>
      <c r="H148" s="7" t="str">
        <f t="shared" si="8"/>
        <v>Июнь</v>
      </c>
      <c r="I148" t="s">
        <v>20</v>
      </c>
      <c r="J148">
        <v>48</v>
      </c>
      <c r="K148" t="s">
        <v>23</v>
      </c>
      <c r="L148">
        <v>6</v>
      </c>
      <c r="M148">
        <v>139</v>
      </c>
      <c r="N148" s="1">
        <f t="shared" si="9"/>
        <v>834</v>
      </c>
    </row>
    <row r="149" spans="5:14" x14ac:dyDescent="0.25">
      <c r="E149">
        <v>746</v>
      </c>
      <c r="F149" s="7">
        <v>45005</v>
      </c>
      <c r="G149">
        <f t="shared" si="7"/>
        <v>2023</v>
      </c>
      <c r="H149" s="7" t="str">
        <f t="shared" si="8"/>
        <v>Март</v>
      </c>
      <c r="I149" t="s">
        <v>20</v>
      </c>
      <c r="J149">
        <v>25</v>
      </c>
      <c r="K149" t="s">
        <v>23</v>
      </c>
      <c r="L149">
        <v>3</v>
      </c>
      <c r="M149">
        <v>50</v>
      </c>
      <c r="N149" s="1">
        <f t="shared" si="9"/>
        <v>150</v>
      </c>
    </row>
    <row r="150" spans="5:14" x14ac:dyDescent="0.25">
      <c r="E150">
        <v>856</v>
      </c>
      <c r="F150" s="7">
        <v>45178</v>
      </c>
      <c r="G150">
        <f t="shared" si="7"/>
        <v>2023</v>
      </c>
      <c r="H150" s="7" t="str">
        <f t="shared" si="8"/>
        <v>Сентябрь</v>
      </c>
      <c r="I150" t="s">
        <v>20</v>
      </c>
      <c r="J150">
        <v>23</v>
      </c>
      <c r="K150" t="s">
        <v>24</v>
      </c>
      <c r="L150">
        <v>2</v>
      </c>
      <c r="M150">
        <v>50</v>
      </c>
      <c r="N150" s="1">
        <f t="shared" si="9"/>
        <v>100</v>
      </c>
    </row>
    <row r="151" spans="5:14" x14ac:dyDescent="0.25">
      <c r="E151">
        <v>434</v>
      </c>
      <c r="F151" s="7">
        <v>45280</v>
      </c>
      <c r="G151">
        <f t="shared" si="7"/>
        <v>2023</v>
      </c>
      <c r="H151" s="7" t="str">
        <f t="shared" si="8"/>
        <v>Декабрь</v>
      </c>
      <c r="I151" t="s">
        <v>22</v>
      </c>
      <c r="J151">
        <v>30</v>
      </c>
      <c r="K151" t="s">
        <v>21</v>
      </c>
      <c r="L151">
        <v>3</v>
      </c>
      <c r="M151">
        <v>300</v>
      </c>
      <c r="N151" s="1">
        <f t="shared" si="9"/>
        <v>900</v>
      </c>
    </row>
    <row r="152" spans="5:14" x14ac:dyDescent="0.25">
      <c r="E152">
        <v>676</v>
      </c>
      <c r="F152" s="7">
        <v>45283</v>
      </c>
      <c r="G152">
        <f t="shared" si="7"/>
        <v>2023</v>
      </c>
      <c r="H152" s="7" t="str">
        <f t="shared" si="8"/>
        <v>Декабрь</v>
      </c>
      <c r="I152" t="s">
        <v>22</v>
      </c>
      <c r="J152">
        <v>60</v>
      </c>
      <c r="K152" t="s">
        <v>24</v>
      </c>
      <c r="L152">
        <v>3</v>
      </c>
      <c r="M152">
        <v>300</v>
      </c>
      <c r="N152" s="1">
        <f t="shared" si="9"/>
        <v>900</v>
      </c>
    </row>
    <row r="153" spans="5:14" x14ac:dyDescent="0.25">
      <c r="E153">
        <v>1720</v>
      </c>
      <c r="F153" s="7">
        <v>45401</v>
      </c>
      <c r="G153">
        <f t="shared" si="7"/>
        <v>2024</v>
      </c>
      <c r="H153" s="7" t="str">
        <f t="shared" si="8"/>
        <v>Апрель</v>
      </c>
      <c r="I153" t="s">
        <v>20</v>
      </c>
      <c r="J153">
        <v>45</v>
      </c>
      <c r="K153" t="s">
        <v>23</v>
      </c>
      <c r="L153">
        <v>6</v>
      </c>
      <c r="M153">
        <v>357</v>
      </c>
      <c r="N153" s="1">
        <f t="shared" si="9"/>
        <v>2142</v>
      </c>
    </row>
    <row r="154" spans="5:14" x14ac:dyDescent="0.25">
      <c r="E154">
        <v>1793</v>
      </c>
      <c r="F154" s="7">
        <v>45298</v>
      </c>
      <c r="G154">
        <f t="shared" si="7"/>
        <v>2024</v>
      </c>
      <c r="H154" s="7" t="str">
        <f t="shared" si="8"/>
        <v>Январь</v>
      </c>
      <c r="I154" t="s">
        <v>20</v>
      </c>
      <c r="J154">
        <v>20</v>
      </c>
      <c r="K154" t="s">
        <v>23</v>
      </c>
      <c r="L154">
        <v>1</v>
      </c>
      <c r="M154">
        <v>491</v>
      </c>
      <c r="N154" s="1">
        <f t="shared" si="9"/>
        <v>491</v>
      </c>
    </row>
    <row r="155" spans="5:14" x14ac:dyDescent="0.25">
      <c r="E155">
        <v>183</v>
      </c>
      <c r="F155" s="7">
        <v>45177</v>
      </c>
      <c r="G155">
        <f t="shared" si="7"/>
        <v>2023</v>
      </c>
      <c r="H155" s="7" t="str">
        <f t="shared" si="8"/>
        <v>Сентябрь</v>
      </c>
      <c r="I155" t="s">
        <v>22</v>
      </c>
      <c r="J155">
        <v>43</v>
      </c>
      <c r="K155" t="s">
        <v>21</v>
      </c>
      <c r="L155">
        <v>3</v>
      </c>
      <c r="M155">
        <v>300</v>
      </c>
      <c r="N155" s="1">
        <f t="shared" si="9"/>
        <v>900</v>
      </c>
    </row>
    <row r="156" spans="5:14" x14ac:dyDescent="0.25">
      <c r="E156">
        <v>169</v>
      </c>
      <c r="F156" s="7">
        <v>45247</v>
      </c>
      <c r="G156">
        <f t="shared" si="7"/>
        <v>2023</v>
      </c>
      <c r="H156" s="7" t="str">
        <f t="shared" si="8"/>
        <v>Ноябрь</v>
      </c>
      <c r="I156" t="s">
        <v>20</v>
      </c>
      <c r="J156">
        <v>18</v>
      </c>
      <c r="K156" t="s">
        <v>21</v>
      </c>
      <c r="L156">
        <v>3</v>
      </c>
      <c r="M156">
        <v>500</v>
      </c>
      <c r="N156" s="1">
        <f t="shared" si="9"/>
        <v>1500</v>
      </c>
    </row>
    <row r="157" spans="5:14" x14ac:dyDescent="0.25">
      <c r="E157">
        <v>211</v>
      </c>
      <c r="F157" s="7">
        <v>45086</v>
      </c>
      <c r="G157">
        <f t="shared" si="7"/>
        <v>2023</v>
      </c>
      <c r="H157" s="7" t="str">
        <f t="shared" si="8"/>
        <v>Июнь</v>
      </c>
      <c r="I157" t="s">
        <v>20</v>
      </c>
      <c r="J157">
        <v>21</v>
      </c>
      <c r="K157" t="s">
        <v>23</v>
      </c>
      <c r="L157">
        <v>3</v>
      </c>
      <c r="M157">
        <v>500</v>
      </c>
      <c r="N157" s="1">
        <f t="shared" si="9"/>
        <v>1500</v>
      </c>
    </row>
    <row r="158" spans="5:14" x14ac:dyDescent="0.25">
      <c r="E158">
        <v>1263</v>
      </c>
      <c r="F158" s="7">
        <v>45627</v>
      </c>
      <c r="G158">
        <f t="shared" si="7"/>
        <v>2024</v>
      </c>
      <c r="H158" s="7" t="str">
        <f t="shared" si="8"/>
        <v>Декабрь</v>
      </c>
      <c r="I158" t="s">
        <v>22</v>
      </c>
      <c r="J158">
        <v>55</v>
      </c>
      <c r="K158" t="s">
        <v>24</v>
      </c>
      <c r="L158">
        <v>3</v>
      </c>
      <c r="M158">
        <v>233</v>
      </c>
      <c r="N158" s="1">
        <f t="shared" si="9"/>
        <v>699</v>
      </c>
    </row>
    <row r="159" spans="5:14" x14ac:dyDescent="0.25">
      <c r="E159">
        <v>1681</v>
      </c>
      <c r="F159" s="7">
        <v>45445</v>
      </c>
      <c r="G159">
        <f t="shared" si="7"/>
        <v>2024</v>
      </c>
      <c r="H159" s="7" t="str">
        <f t="shared" si="8"/>
        <v>Июнь</v>
      </c>
      <c r="I159" t="s">
        <v>20</v>
      </c>
      <c r="J159">
        <v>50</v>
      </c>
      <c r="K159" t="s">
        <v>24</v>
      </c>
      <c r="L159">
        <v>3</v>
      </c>
      <c r="M159">
        <v>26</v>
      </c>
      <c r="N159" s="1">
        <f t="shared" si="9"/>
        <v>78</v>
      </c>
    </row>
    <row r="160" spans="5:14" x14ac:dyDescent="0.25">
      <c r="E160">
        <v>1267</v>
      </c>
      <c r="F160" s="7">
        <v>45499</v>
      </c>
      <c r="G160">
        <f t="shared" si="7"/>
        <v>2024</v>
      </c>
      <c r="H160" s="7" t="str">
        <f t="shared" si="8"/>
        <v>Июль</v>
      </c>
      <c r="I160" t="s">
        <v>20</v>
      </c>
      <c r="J160">
        <v>25</v>
      </c>
      <c r="K160" t="s">
        <v>24</v>
      </c>
      <c r="L160">
        <v>1</v>
      </c>
      <c r="M160">
        <v>493</v>
      </c>
      <c r="N160" s="1">
        <f t="shared" si="9"/>
        <v>493</v>
      </c>
    </row>
    <row r="161" spans="5:14" x14ac:dyDescent="0.25">
      <c r="E161">
        <v>1876</v>
      </c>
      <c r="F161" s="7">
        <v>45525</v>
      </c>
      <c r="G161">
        <f t="shared" si="7"/>
        <v>2024</v>
      </c>
      <c r="H161" s="7" t="str">
        <f t="shared" si="8"/>
        <v>Август</v>
      </c>
      <c r="I161" t="s">
        <v>20</v>
      </c>
      <c r="J161">
        <v>63</v>
      </c>
      <c r="K161" t="s">
        <v>21</v>
      </c>
      <c r="L161">
        <v>4</v>
      </c>
      <c r="M161">
        <v>499</v>
      </c>
      <c r="N161" s="1">
        <f t="shared" si="9"/>
        <v>1996</v>
      </c>
    </row>
    <row r="162" spans="5:14" x14ac:dyDescent="0.25">
      <c r="E162">
        <v>379</v>
      </c>
      <c r="F162" s="7">
        <v>45052</v>
      </c>
      <c r="G162">
        <f t="shared" si="7"/>
        <v>2023</v>
      </c>
      <c r="H162" s="7" t="str">
        <f t="shared" si="8"/>
        <v>Май</v>
      </c>
      <c r="I162" t="s">
        <v>20</v>
      </c>
      <c r="J162">
        <v>56</v>
      </c>
      <c r="K162" t="s">
        <v>24</v>
      </c>
      <c r="L162">
        <v>2</v>
      </c>
      <c r="M162">
        <v>300</v>
      </c>
      <c r="N162" s="1">
        <f t="shared" si="9"/>
        <v>600</v>
      </c>
    </row>
    <row r="163" spans="5:14" x14ac:dyDescent="0.25">
      <c r="E163">
        <v>1294</v>
      </c>
      <c r="F163" s="7">
        <v>45539</v>
      </c>
      <c r="G163">
        <f t="shared" si="7"/>
        <v>2024</v>
      </c>
      <c r="H163" s="7" t="str">
        <f t="shared" si="8"/>
        <v>Сентябрь</v>
      </c>
      <c r="I163" t="s">
        <v>22</v>
      </c>
      <c r="J163">
        <v>60</v>
      </c>
      <c r="K163" t="s">
        <v>24</v>
      </c>
      <c r="L163">
        <v>1</v>
      </c>
      <c r="M163">
        <v>137</v>
      </c>
      <c r="N163" s="1">
        <f t="shared" si="9"/>
        <v>137</v>
      </c>
    </row>
    <row r="164" spans="5:14" x14ac:dyDescent="0.25">
      <c r="E164">
        <v>19</v>
      </c>
      <c r="F164" s="7">
        <v>45185</v>
      </c>
      <c r="G164">
        <f t="shared" si="7"/>
        <v>2023</v>
      </c>
      <c r="H164" s="7" t="str">
        <f t="shared" si="8"/>
        <v>Сентябрь</v>
      </c>
      <c r="I164" t="s">
        <v>22</v>
      </c>
      <c r="J164">
        <v>62</v>
      </c>
      <c r="K164" t="s">
        <v>23</v>
      </c>
      <c r="L164">
        <v>2</v>
      </c>
      <c r="M164">
        <v>25</v>
      </c>
      <c r="N164" s="1">
        <f t="shared" si="9"/>
        <v>50</v>
      </c>
    </row>
    <row r="165" spans="5:14" x14ac:dyDescent="0.25">
      <c r="E165">
        <v>867</v>
      </c>
      <c r="F165" s="7">
        <v>45224</v>
      </c>
      <c r="G165">
        <f t="shared" si="7"/>
        <v>2023</v>
      </c>
      <c r="H165" s="7" t="str">
        <f t="shared" si="8"/>
        <v>Октябрь</v>
      </c>
      <c r="I165" t="s">
        <v>20</v>
      </c>
      <c r="J165">
        <v>37</v>
      </c>
      <c r="K165" t="s">
        <v>21</v>
      </c>
      <c r="L165">
        <v>3</v>
      </c>
      <c r="M165">
        <v>500</v>
      </c>
      <c r="N165" s="1">
        <f t="shared" si="9"/>
        <v>1500</v>
      </c>
    </row>
    <row r="166" spans="5:14" x14ac:dyDescent="0.25">
      <c r="E166">
        <v>129</v>
      </c>
      <c r="F166" s="7">
        <v>45039</v>
      </c>
      <c r="G166">
        <f t="shared" si="7"/>
        <v>2023</v>
      </c>
      <c r="H166" s="7" t="str">
        <f t="shared" si="8"/>
        <v>Апрель</v>
      </c>
      <c r="I166" t="s">
        <v>22</v>
      </c>
      <c r="J166">
        <v>21</v>
      </c>
      <c r="K166" t="s">
        <v>21</v>
      </c>
      <c r="L166">
        <v>2</v>
      </c>
      <c r="M166">
        <v>300</v>
      </c>
      <c r="N166" s="1">
        <f t="shared" si="9"/>
        <v>600</v>
      </c>
    </row>
    <row r="167" spans="5:14" x14ac:dyDescent="0.25">
      <c r="E167">
        <v>72</v>
      </c>
      <c r="F167" s="7">
        <v>45069</v>
      </c>
      <c r="G167">
        <f t="shared" si="7"/>
        <v>2023</v>
      </c>
      <c r="H167" s="7" t="str">
        <f t="shared" si="8"/>
        <v>Май</v>
      </c>
      <c r="I167" t="s">
        <v>22</v>
      </c>
      <c r="J167">
        <v>20</v>
      </c>
      <c r="K167" t="s">
        <v>24</v>
      </c>
      <c r="L167">
        <v>4</v>
      </c>
      <c r="M167">
        <v>500</v>
      </c>
      <c r="N167" s="1">
        <f t="shared" si="9"/>
        <v>2000</v>
      </c>
    </row>
    <row r="168" spans="5:14" x14ac:dyDescent="0.25">
      <c r="E168">
        <v>1249</v>
      </c>
      <c r="F168" s="7">
        <v>45417</v>
      </c>
      <c r="G168">
        <f t="shared" si="7"/>
        <v>2024</v>
      </c>
      <c r="H168" s="7" t="str">
        <f t="shared" si="8"/>
        <v>Май</v>
      </c>
      <c r="I168" t="s">
        <v>20</v>
      </c>
      <c r="J168">
        <v>42</v>
      </c>
      <c r="K168" t="s">
        <v>24</v>
      </c>
      <c r="L168">
        <v>7</v>
      </c>
      <c r="M168">
        <v>389</v>
      </c>
      <c r="N168" s="1">
        <f t="shared" si="9"/>
        <v>2723</v>
      </c>
    </row>
    <row r="169" spans="5:14" x14ac:dyDescent="0.25">
      <c r="E169">
        <v>380</v>
      </c>
      <c r="F169" s="7">
        <v>45116</v>
      </c>
      <c r="G169">
        <f t="shared" si="7"/>
        <v>2023</v>
      </c>
      <c r="H169" s="7" t="str">
        <f t="shared" si="8"/>
        <v>Июль</v>
      </c>
      <c r="I169" t="s">
        <v>22</v>
      </c>
      <c r="J169">
        <v>44</v>
      </c>
      <c r="K169" t="s">
        <v>23</v>
      </c>
      <c r="L169">
        <v>4</v>
      </c>
      <c r="M169">
        <v>25</v>
      </c>
      <c r="N169" s="1">
        <f t="shared" si="9"/>
        <v>100</v>
      </c>
    </row>
    <row r="170" spans="5:14" x14ac:dyDescent="0.25">
      <c r="E170">
        <v>914</v>
      </c>
      <c r="F170" s="7">
        <v>45284</v>
      </c>
      <c r="G170">
        <f t="shared" si="7"/>
        <v>2023</v>
      </c>
      <c r="H170" s="7" t="str">
        <f t="shared" si="8"/>
        <v>Декабрь</v>
      </c>
      <c r="I170" t="s">
        <v>22</v>
      </c>
      <c r="J170">
        <v>32</v>
      </c>
      <c r="K170" t="s">
        <v>24</v>
      </c>
      <c r="L170">
        <v>1</v>
      </c>
      <c r="M170">
        <v>50</v>
      </c>
      <c r="N170" s="1">
        <f t="shared" si="9"/>
        <v>50</v>
      </c>
    </row>
    <row r="171" spans="5:14" x14ac:dyDescent="0.25">
      <c r="E171">
        <v>1731</v>
      </c>
      <c r="F171" s="7">
        <v>45569</v>
      </c>
      <c r="G171">
        <f t="shared" si="7"/>
        <v>2024</v>
      </c>
      <c r="H171" s="7" t="str">
        <f t="shared" si="8"/>
        <v>Октябрь</v>
      </c>
      <c r="I171" t="s">
        <v>22</v>
      </c>
      <c r="J171">
        <v>32</v>
      </c>
      <c r="K171" t="s">
        <v>23</v>
      </c>
      <c r="L171">
        <v>5</v>
      </c>
      <c r="M171">
        <v>124</v>
      </c>
      <c r="N171" s="1">
        <f t="shared" si="9"/>
        <v>620</v>
      </c>
    </row>
    <row r="172" spans="5:14" x14ac:dyDescent="0.25">
      <c r="E172">
        <v>725</v>
      </c>
      <c r="F172" s="7">
        <v>45099</v>
      </c>
      <c r="G172">
        <f t="shared" si="7"/>
        <v>2023</v>
      </c>
      <c r="H172" s="7" t="str">
        <f t="shared" si="8"/>
        <v>Июнь</v>
      </c>
      <c r="I172" t="s">
        <v>20</v>
      </c>
      <c r="J172">
        <v>55</v>
      </c>
      <c r="K172" t="s">
        <v>21</v>
      </c>
      <c r="L172">
        <v>3</v>
      </c>
      <c r="M172">
        <v>300</v>
      </c>
      <c r="N172" s="1">
        <f t="shared" si="9"/>
        <v>900</v>
      </c>
    </row>
    <row r="173" spans="5:14" x14ac:dyDescent="0.25">
      <c r="E173">
        <v>1540</v>
      </c>
      <c r="F173" s="7">
        <v>45499</v>
      </c>
      <c r="G173">
        <f t="shared" si="7"/>
        <v>2024</v>
      </c>
      <c r="H173" s="7" t="str">
        <f t="shared" si="8"/>
        <v>Июль</v>
      </c>
      <c r="I173" t="s">
        <v>20</v>
      </c>
      <c r="J173">
        <v>35</v>
      </c>
      <c r="K173" t="s">
        <v>21</v>
      </c>
      <c r="L173">
        <v>4</v>
      </c>
      <c r="M173">
        <v>343</v>
      </c>
      <c r="N173" s="1">
        <f t="shared" si="9"/>
        <v>1372</v>
      </c>
    </row>
    <row r="174" spans="5:14" x14ac:dyDescent="0.25">
      <c r="E174">
        <v>554</v>
      </c>
      <c r="F174" s="7">
        <v>45218</v>
      </c>
      <c r="G174">
        <f t="shared" si="7"/>
        <v>2023</v>
      </c>
      <c r="H174" s="7" t="str">
        <f t="shared" si="8"/>
        <v>Октябрь</v>
      </c>
      <c r="I174" t="s">
        <v>20</v>
      </c>
      <c r="J174">
        <v>25</v>
      </c>
      <c r="K174" t="s">
        <v>21</v>
      </c>
      <c r="L174">
        <v>1</v>
      </c>
      <c r="M174">
        <v>300</v>
      </c>
      <c r="N174" s="1">
        <f t="shared" si="9"/>
        <v>300</v>
      </c>
    </row>
    <row r="175" spans="5:14" x14ac:dyDescent="0.25">
      <c r="E175">
        <v>1444</v>
      </c>
      <c r="F175" s="7">
        <v>45479</v>
      </c>
      <c r="G175">
        <f t="shared" si="7"/>
        <v>2024</v>
      </c>
      <c r="H175" s="7" t="str">
        <f t="shared" si="8"/>
        <v>Июль</v>
      </c>
      <c r="I175" t="s">
        <v>20</v>
      </c>
      <c r="J175">
        <v>33</v>
      </c>
      <c r="K175" t="s">
        <v>21</v>
      </c>
      <c r="L175">
        <v>4</v>
      </c>
      <c r="M175">
        <v>235</v>
      </c>
      <c r="N175" s="1">
        <f t="shared" si="9"/>
        <v>940</v>
      </c>
    </row>
    <row r="176" spans="5:14" x14ac:dyDescent="0.25">
      <c r="E176">
        <v>1856</v>
      </c>
      <c r="F176" s="7">
        <v>45300</v>
      </c>
      <c r="G176">
        <f t="shared" si="7"/>
        <v>2024</v>
      </c>
      <c r="H176" s="7" t="str">
        <f t="shared" si="8"/>
        <v>Январь</v>
      </c>
      <c r="I176" t="s">
        <v>20</v>
      </c>
      <c r="J176">
        <v>44</v>
      </c>
      <c r="K176" t="s">
        <v>23</v>
      </c>
      <c r="L176">
        <v>2</v>
      </c>
      <c r="M176">
        <v>464</v>
      </c>
      <c r="N176" s="1">
        <f t="shared" si="9"/>
        <v>928</v>
      </c>
    </row>
    <row r="177" spans="5:14" x14ac:dyDescent="0.25">
      <c r="E177">
        <v>860</v>
      </c>
      <c r="F177" s="7">
        <v>45077</v>
      </c>
      <c r="G177">
        <f t="shared" si="7"/>
        <v>2023</v>
      </c>
      <c r="H177" s="7" t="str">
        <f t="shared" si="8"/>
        <v>Май</v>
      </c>
      <c r="I177" t="s">
        <v>20</v>
      </c>
      <c r="J177">
        <v>28</v>
      </c>
      <c r="K177" t="s">
        <v>24</v>
      </c>
      <c r="L177">
        <v>4</v>
      </c>
      <c r="M177">
        <v>300</v>
      </c>
      <c r="N177" s="1">
        <f t="shared" si="9"/>
        <v>1200</v>
      </c>
    </row>
    <row r="178" spans="5:14" x14ac:dyDescent="0.25">
      <c r="E178">
        <v>1832</v>
      </c>
      <c r="F178" s="7">
        <v>45401</v>
      </c>
      <c r="G178">
        <f t="shared" si="7"/>
        <v>2024</v>
      </c>
      <c r="H178" s="7" t="str">
        <f t="shared" si="8"/>
        <v>Апрель</v>
      </c>
      <c r="I178" t="s">
        <v>22</v>
      </c>
      <c r="J178">
        <v>46</v>
      </c>
      <c r="K178" t="s">
        <v>23</v>
      </c>
      <c r="L178">
        <v>1</v>
      </c>
      <c r="M178">
        <v>496</v>
      </c>
      <c r="N178" s="1">
        <f t="shared" si="9"/>
        <v>496</v>
      </c>
    </row>
    <row r="179" spans="5:14" x14ac:dyDescent="0.25">
      <c r="E179">
        <v>398</v>
      </c>
      <c r="F179" s="7">
        <v>44986</v>
      </c>
      <c r="G179">
        <f t="shared" si="7"/>
        <v>2023</v>
      </c>
      <c r="H179" s="7" t="str">
        <f t="shared" si="8"/>
        <v>Март</v>
      </c>
      <c r="I179" t="s">
        <v>22</v>
      </c>
      <c r="J179">
        <v>64</v>
      </c>
      <c r="K179" t="s">
        <v>21</v>
      </c>
      <c r="L179">
        <v>2</v>
      </c>
      <c r="M179">
        <v>30</v>
      </c>
      <c r="N179" s="1">
        <f t="shared" si="9"/>
        <v>60</v>
      </c>
    </row>
    <row r="180" spans="5:14" x14ac:dyDescent="0.25">
      <c r="E180">
        <v>173</v>
      </c>
      <c r="F180" s="7">
        <v>45238</v>
      </c>
      <c r="G180">
        <f t="shared" si="7"/>
        <v>2023</v>
      </c>
      <c r="H180" s="7" t="str">
        <f t="shared" si="8"/>
        <v>Ноябрь</v>
      </c>
      <c r="I180" t="s">
        <v>20</v>
      </c>
      <c r="J180">
        <v>64</v>
      </c>
      <c r="K180" t="s">
        <v>24</v>
      </c>
      <c r="L180">
        <v>4</v>
      </c>
      <c r="M180">
        <v>30</v>
      </c>
      <c r="N180" s="1">
        <f t="shared" si="9"/>
        <v>120</v>
      </c>
    </row>
    <row r="181" spans="5:14" x14ac:dyDescent="0.25">
      <c r="E181">
        <v>1054</v>
      </c>
      <c r="F181" s="7">
        <v>45443</v>
      </c>
      <c r="G181">
        <f t="shared" si="7"/>
        <v>2024</v>
      </c>
      <c r="H181" s="7" t="str">
        <f t="shared" si="8"/>
        <v>Май</v>
      </c>
      <c r="I181" t="s">
        <v>22</v>
      </c>
      <c r="J181">
        <v>42</v>
      </c>
      <c r="K181" t="s">
        <v>23</v>
      </c>
      <c r="L181">
        <v>2</v>
      </c>
      <c r="M181">
        <v>164</v>
      </c>
      <c r="N181" s="1">
        <f t="shared" si="9"/>
        <v>328</v>
      </c>
    </row>
    <row r="182" spans="5:14" x14ac:dyDescent="0.25">
      <c r="E182">
        <v>1426</v>
      </c>
      <c r="F182" s="7">
        <v>45654</v>
      </c>
      <c r="G182">
        <f t="shared" si="7"/>
        <v>2024</v>
      </c>
      <c r="H182" s="7" t="str">
        <f t="shared" si="8"/>
        <v>Декабрь</v>
      </c>
      <c r="I182" t="s">
        <v>20</v>
      </c>
      <c r="J182">
        <v>55</v>
      </c>
      <c r="K182" t="s">
        <v>24</v>
      </c>
      <c r="L182">
        <v>7</v>
      </c>
      <c r="M182">
        <v>399</v>
      </c>
      <c r="N182" s="1">
        <f t="shared" si="9"/>
        <v>2793</v>
      </c>
    </row>
    <row r="183" spans="5:14" x14ac:dyDescent="0.25">
      <c r="E183">
        <v>1778</v>
      </c>
      <c r="F183" s="7">
        <v>45447</v>
      </c>
      <c r="G183">
        <f t="shared" si="7"/>
        <v>2024</v>
      </c>
      <c r="H183" s="7" t="str">
        <f t="shared" si="8"/>
        <v>Июнь</v>
      </c>
      <c r="I183" t="s">
        <v>20</v>
      </c>
      <c r="J183">
        <v>60</v>
      </c>
      <c r="K183" t="s">
        <v>23</v>
      </c>
      <c r="L183">
        <v>5</v>
      </c>
      <c r="M183">
        <v>146</v>
      </c>
      <c r="N183" s="1">
        <f t="shared" si="9"/>
        <v>730</v>
      </c>
    </row>
    <row r="184" spans="5:14" x14ac:dyDescent="0.25">
      <c r="E184">
        <v>203</v>
      </c>
      <c r="F184" s="7">
        <v>45062</v>
      </c>
      <c r="G184">
        <f t="shared" si="7"/>
        <v>2023</v>
      </c>
      <c r="H184" s="7" t="str">
        <f t="shared" si="8"/>
        <v>Май</v>
      </c>
      <c r="I184" t="s">
        <v>20</v>
      </c>
      <c r="J184">
        <v>56</v>
      </c>
      <c r="K184" t="s">
        <v>23</v>
      </c>
      <c r="L184">
        <v>2</v>
      </c>
      <c r="M184">
        <v>500</v>
      </c>
      <c r="N184" s="1">
        <f t="shared" si="9"/>
        <v>1000</v>
      </c>
    </row>
    <row r="185" spans="5:14" x14ac:dyDescent="0.25">
      <c r="E185">
        <v>1616</v>
      </c>
      <c r="F185" s="7">
        <v>45578</v>
      </c>
      <c r="G185">
        <f t="shared" si="7"/>
        <v>2024</v>
      </c>
      <c r="H185" s="7" t="str">
        <f t="shared" si="8"/>
        <v>Октябрь</v>
      </c>
      <c r="I185" t="s">
        <v>20</v>
      </c>
      <c r="J185">
        <v>56</v>
      </c>
      <c r="K185" t="s">
        <v>24</v>
      </c>
      <c r="L185">
        <v>7</v>
      </c>
      <c r="M185">
        <v>249</v>
      </c>
      <c r="N185" s="1">
        <f t="shared" si="9"/>
        <v>1743</v>
      </c>
    </row>
    <row r="186" spans="5:14" x14ac:dyDescent="0.25">
      <c r="E186">
        <v>677</v>
      </c>
      <c r="F186" s="7">
        <v>44937</v>
      </c>
      <c r="G186">
        <f t="shared" si="7"/>
        <v>2023</v>
      </c>
      <c r="H186" s="7" t="str">
        <f t="shared" si="8"/>
        <v>Январь</v>
      </c>
      <c r="I186" t="s">
        <v>22</v>
      </c>
      <c r="J186">
        <v>18</v>
      </c>
      <c r="K186" t="s">
        <v>21</v>
      </c>
      <c r="L186">
        <v>3</v>
      </c>
      <c r="M186">
        <v>30</v>
      </c>
      <c r="N186" s="1">
        <f t="shared" si="9"/>
        <v>90</v>
      </c>
    </row>
    <row r="187" spans="5:14" x14ac:dyDescent="0.25">
      <c r="E187">
        <v>172</v>
      </c>
      <c r="F187" s="7">
        <v>45186</v>
      </c>
      <c r="G187">
        <f t="shared" si="7"/>
        <v>2023</v>
      </c>
      <c r="H187" s="7" t="str">
        <f t="shared" si="8"/>
        <v>Сентябрь</v>
      </c>
      <c r="I187" t="s">
        <v>20</v>
      </c>
      <c r="J187">
        <v>32</v>
      </c>
      <c r="K187" t="s">
        <v>21</v>
      </c>
      <c r="L187">
        <v>2</v>
      </c>
      <c r="M187">
        <v>25</v>
      </c>
      <c r="N187" s="1">
        <f t="shared" si="9"/>
        <v>50</v>
      </c>
    </row>
    <row r="188" spans="5:14" x14ac:dyDescent="0.25">
      <c r="E188">
        <v>198</v>
      </c>
      <c r="F188" s="7">
        <v>44992</v>
      </c>
      <c r="G188">
        <f t="shared" si="7"/>
        <v>2023</v>
      </c>
      <c r="H188" s="7" t="str">
        <f t="shared" si="8"/>
        <v>Март</v>
      </c>
      <c r="I188" t="s">
        <v>22</v>
      </c>
      <c r="J188">
        <v>54</v>
      </c>
      <c r="K188" t="s">
        <v>21</v>
      </c>
      <c r="L188">
        <v>3</v>
      </c>
      <c r="M188">
        <v>300</v>
      </c>
      <c r="N188" s="1">
        <f t="shared" si="9"/>
        <v>900</v>
      </c>
    </row>
    <row r="189" spans="5:14" x14ac:dyDescent="0.25">
      <c r="E189">
        <v>1957</v>
      </c>
      <c r="F189" s="7">
        <v>45449</v>
      </c>
      <c r="G189">
        <f t="shared" si="7"/>
        <v>2024</v>
      </c>
      <c r="H189" s="7" t="str">
        <f t="shared" si="8"/>
        <v>Июнь</v>
      </c>
      <c r="I189" t="s">
        <v>20</v>
      </c>
      <c r="J189">
        <v>56</v>
      </c>
      <c r="K189" t="s">
        <v>21</v>
      </c>
      <c r="L189">
        <v>5</v>
      </c>
      <c r="M189">
        <v>263</v>
      </c>
      <c r="N189" s="1">
        <f t="shared" si="9"/>
        <v>1315</v>
      </c>
    </row>
    <row r="190" spans="5:14" x14ac:dyDescent="0.25">
      <c r="E190">
        <v>599</v>
      </c>
      <c r="F190" s="7">
        <v>45221</v>
      </c>
      <c r="G190">
        <f t="shared" si="7"/>
        <v>2023</v>
      </c>
      <c r="H190" s="7" t="str">
        <f t="shared" si="8"/>
        <v>Октябрь</v>
      </c>
      <c r="I190" t="s">
        <v>22</v>
      </c>
      <c r="J190">
        <v>59</v>
      </c>
      <c r="K190" t="s">
        <v>21</v>
      </c>
      <c r="L190">
        <v>2</v>
      </c>
      <c r="M190">
        <v>500</v>
      </c>
      <c r="N190" s="1">
        <f t="shared" si="9"/>
        <v>1000</v>
      </c>
    </row>
    <row r="191" spans="5:14" x14ac:dyDescent="0.25">
      <c r="E191">
        <v>378</v>
      </c>
      <c r="F191" s="7">
        <v>44962</v>
      </c>
      <c r="G191">
        <f t="shared" si="7"/>
        <v>2023</v>
      </c>
      <c r="H191" s="7" t="str">
        <f t="shared" si="8"/>
        <v>Февраль</v>
      </c>
      <c r="I191" t="s">
        <v>22</v>
      </c>
      <c r="J191">
        <v>47</v>
      </c>
      <c r="K191" t="s">
        <v>23</v>
      </c>
      <c r="L191">
        <v>1</v>
      </c>
      <c r="M191">
        <v>25</v>
      </c>
      <c r="N191" s="1">
        <f t="shared" si="9"/>
        <v>25</v>
      </c>
    </row>
    <row r="192" spans="5:14" x14ac:dyDescent="0.25">
      <c r="E192">
        <v>281</v>
      </c>
      <c r="F192" s="7">
        <v>45163</v>
      </c>
      <c r="G192">
        <f t="shared" si="7"/>
        <v>2023</v>
      </c>
      <c r="H192" s="7" t="str">
        <f t="shared" si="8"/>
        <v>Август</v>
      </c>
      <c r="I192" t="s">
        <v>22</v>
      </c>
      <c r="J192">
        <v>64</v>
      </c>
      <c r="K192" t="s">
        <v>24</v>
      </c>
      <c r="L192">
        <v>4</v>
      </c>
      <c r="M192">
        <v>50</v>
      </c>
      <c r="N192" s="1">
        <f t="shared" si="9"/>
        <v>200</v>
      </c>
    </row>
    <row r="193" spans="5:14" x14ac:dyDescent="0.25">
      <c r="E193">
        <v>83</v>
      </c>
      <c r="F193" s="7">
        <v>45276</v>
      </c>
      <c r="G193">
        <f t="shared" si="7"/>
        <v>2023</v>
      </c>
      <c r="H193" s="7" t="str">
        <f t="shared" si="8"/>
        <v>Декабрь</v>
      </c>
      <c r="I193" t="s">
        <v>20</v>
      </c>
      <c r="J193">
        <v>54</v>
      </c>
      <c r="K193" t="s">
        <v>24</v>
      </c>
      <c r="L193">
        <v>2</v>
      </c>
      <c r="M193">
        <v>50</v>
      </c>
      <c r="N193" s="1">
        <f t="shared" si="9"/>
        <v>100</v>
      </c>
    </row>
    <row r="194" spans="5:14" x14ac:dyDescent="0.25">
      <c r="E194">
        <v>499</v>
      </c>
      <c r="F194" s="7">
        <v>44986</v>
      </c>
      <c r="G194">
        <f t="shared" si="7"/>
        <v>2023</v>
      </c>
      <c r="H194" s="7" t="str">
        <f t="shared" si="8"/>
        <v>Март</v>
      </c>
      <c r="I194" t="s">
        <v>22</v>
      </c>
      <c r="J194">
        <v>60</v>
      </c>
      <c r="K194" t="s">
        <v>21</v>
      </c>
      <c r="L194">
        <v>4</v>
      </c>
      <c r="M194">
        <v>25</v>
      </c>
      <c r="N194" s="1">
        <f t="shared" si="9"/>
        <v>100</v>
      </c>
    </row>
    <row r="195" spans="5:14" x14ac:dyDescent="0.25">
      <c r="E195">
        <v>722</v>
      </c>
      <c r="F195" s="7">
        <v>45035</v>
      </c>
      <c r="G195">
        <f t="shared" si="7"/>
        <v>2023</v>
      </c>
      <c r="H195" s="7" t="str">
        <f t="shared" si="8"/>
        <v>Апрель</v>
      </c>
      <c r="I195" t="s">
        <v>20</v>
      </c>
      <c r="J195">
        <v>61</v>
      </c>
      <c r="K195" t="s">
        <v>23</v>
      </c>
      <c r="L195">
        <v>3</v>
      </c>
      <c r="M195">
        <v>50</v>
      </c>
      <c r="N195" s="1">
        <f t="shared" si="9"/>
        <v>150</v>
      </c>
    </row>
    <row r="196" spans="5:14" x14ac:dyDescent="0.25">
      <c r="E196">
        <v>625</v>
      </c>
      <c r="F196" s="7">
        <v>45198</v>
      </c>
      <c r="G196">
        <f t="shared" si="7"/>
        <v>2023</v>
      </c>
      <c r="H196" s="7" t="str">
        <f t="shared" si="8"/>
        <v>Сентябрь</v>
      </c>
      <c r="I196" t="s">
        <v>22</v>
      </c>
      <c r="J196">
        <v>26</v>
      </c>
      <c r="K196" t="s">
        <v>23</v>
      </c>
      <c r="L196">
        <v>4</v>
      </c>
      <c r="M196">
        <v>500</v>
      </c>
      <c r="N196" s="1">
        <f t="shared" si="9"/>
        <v>2000</v>
      </c>
    </row>
    <row r="197" spans="5:14" x14ac:dyDescent="0.25">
      <c r="E197">
        <v>1647</v>
      </c>
      <c r="F197" s="7">
        <v>45439</v>
      </c>
      <c r="G197">
        <f t="shared" si="7"/>
        <v>2024</v>
      </c>
      <c r="H197" s="7" t="str">
        <f t="shared" si="8"/>
        <v>Май</v>
      </c>
      <c r="I197" t="s">
        <v>20</v>
      </c>
      <c r="J197">
        <v>18</v>
      </c>
      <c r="K197" t="s">
        <v>23</v>
      </c>
      <c r="L197">
        <v>1</v>
      </c>
      <c r="M197">
        <v>99</v>
      </c>
      <c r="N197" s="1">
        <f t="shared" si="9"/>
        <v>99</v>
      </c>
    </row>
    <row r="198" spans="5:14" x14ac:dyDescent="0.25">
      <c r="E198">
        <v>1402</v>
      </c>
      <c r="F198" s="7">
        <v>45602</v>
      </c>
      <c r="G198">
        <f t="shared" si="7"/>
        <v>2024</v>
      </c>
      <c r="H198" s="7" t="str">
        <f t="shared" si="8"/>
        <v>Ноябрь</v>
      </c>
      <c r="I198" t="s">
        <v>22</v>
      </c>
      <c r="J198">
        <v>61</v>
      </c>
      <c r="K198" t="s">
        <v>23</v>
      </c>
      <c r="L198">
        <v>3</v>
      </c>
      <c r="M198">
        <v>193</v>
      </c>
      <c r="N198" s="1">
        <f t="shared" si="9"/>
        <v>579</v>
      </c>
    </row>
    <row r="199" spans="5:14" x14ac:dyDescent="0.25">
      <c r="E199">
        <v>1691</v>
      </c>
      <c r="F199" s="7">
        <v>45516</v>
      </c>
      <c r="G199">
        <f t="shared" si="7"/>
        <v>2024</v>
      </c>
      <c r="H199" s="7" t="str">
        <f t="shared" si="8"/>
        <v>Август</v>
      </c>
      <c r="I199" t="s">
        <v>22</v>
      </c>
      <c r="J199">
        <v>20</v>
      </c>
      <c r="K199" t="s">
        <v>24</v>
      </c>
      <c r="L199">
        <v>7</v>
      </c>
      <c r="M199">
        <v>259</v>
      </c>
      <c r="N199" s="1">
        <f t="shared" si="9"/>
        <v>1813</v>
      </c>
    </row>
    <row r="200" spans="5:14" x14ac:dyDescent="0.25">
      <c r="E200">
        <v>804</v>
      </c>
      <c r="F200" s="7">
        <v>45005</v>
      </c>
      <c r="G200">
        <f t="shared" si="7"/>
        <v>2023</v>
      </c>
      <c r="H200" s="7" t="str">
        <f t="shared" si="8"/>
        <v>Март</v>
      </c>
      <c r="I200" t="s">
        <v>22</v>
      </c>
      <c r="J200">
        <v>35</v>
      </c>
      <c r="K200" t="s">
        <v>21</v>
      </c>
      <c r="L200">
        <v>3</v>
      </c>
      <c r="M200">
        <v>300</v>
      </c>
      <c r="N200" s="1">
        <f t="shared" si="9"/>
        <v>900</v>
      </c>
    </row>
    <row r="201" spans="5:14" x14ac:dyDescent="0.25">
      <c r="E201">
        <v>606</v>
      </c>
      <c r="F201" s="7">
        <v>45002</v>
      </c>
      <c r="G201">
        <f t="shared" si="7"/>
        <v>2023</v>
      </c>
      <c r="H201" s="7" t="str">
        <f t="shared" si="8"/>
        <v>Март</v>
      </c>
      <c r="I201" t="s">
        <v>20</v>
      </c>
      <c r="J201">
        <v>54</v>
      </c>
      <c r="K201" t="s">
        <v>23</v>
      </c>
      <c r="L201">
        <v>3</v>
      </c>
      <c r="M201">
        <v>25</v>
      </c>
      <c r="N201" s="1">
        <f t="shared" si="9"/>
        <v>75</v>
      </c>
    </row>
    <row r="202" spans="5:14" x14ac:dyDescent="0.25">
      <c r="E202">
        <v>582</v>
      </c>
      <c r="F202" s="7">
        <v>45098</v>
      </c>
      <c r="G202">
        <f t="shared" ref="G202:G265" si="10">YEAR(F202)</f>
        <v>2023</v>
      </c>
      <c r="H202" s="7" t="str">
        <f t="shared" ref="H202:H265" si="11">TEXT(F202,"ММММ")</f>
        <v>Июнь</v>
      </c>
      <c r="I202" t="s">
        <v>22</v>
      </c>
      <c r="J202">
        <v>24</v>
      </c>
      <c r="K202" t="s">
        <v>24</v>
      </c>
      <c r="L202">
        <v>4</v>
      </c>
      <c r="M202">
        <v>25</v>
      </c>
      <c r="N202" s="1">
        <f t="shared" ref="N202:N265" si="12">L202*M202</f>
        <v>100</v>
      </c>
    </row>
    <row r="203" spans="5:14" x14ac:dyDescent="0.25">
      <c r="E203">
        <v>1962</v>
      </c>
      <c r="F203" s="7">
        <v>45342</v>
      </c>
      <c r="G203">
        <f t="shared" si="10"/>
        <v>2024</v>
      </c>
      <c r="H203" s="7" t="str">
        <f t="shared" si="11"/>
        <v>Февраль</v>
      </c>
      <c r="I203" t="s">
        <v>20</v>
      </c>
      <c r="J203">
        <v>28</v>
      </c>
      <c r="K203" t="s">
        <v>24</v>
      </c>
      <c r="L203">
        <v>1</v>
      </c>
      <c r="M203">
        <v>483</v>
      </c>
      <c r="N203" s="1">
        <f t="shared" si="12"/>
        <v>483</v>
      </c>
    </row>
    <row r="204" spans="5:14" x14ac:dyDescent="0.25">
      <c r="E204">
        <v>1479</v>
      </c>
      <c r="F204" s="7">
        <v>45409</v>
      </c>
      <c r="G204">
        <f t="shared" si="10"/>
        <v>2024</v>
      </c>
      <c r="H204" s="7" t="str">
        <f t="shared" si="11"/>
        <v>Апрель</v>
      </c>
      <c r="I204" t="s">
        <v>22</v>
      </c>
      <c r="J204">
        <v>58</v>
      </c>
      <c r="K204" t="s">
        <v>23</v>
      </c>
      <c r="L204">
        <v>2</v>
      </c>
      <c r="M204">
        <v>374</v>
      </c>
      <c r="N204" s="1">
        <f t="shared" si="12"/>
        <v>748</v>
      </c>
    </row>
    <row r="205" spans="5:14" x14ac:dyDescent="0.25">
      <c r="E205">
        <v>417</v>
      </c>
      <c r="F205" s="7">
        <v>45143</v>
      </c>
      <c r="G205">
        <f t="shared" si="10"/>
        <v>2023</v>
      </c>
      <c r="H205" s="7" t="str">
        <f t="shared" si="11"/>
        <v>Август</v>
      </c>
      <c r="I205" t="s">
        <v>22</v>
      </c>
      <c r="J205">
        <v>60</v>
      </c>
      <c r="K205" t="s">
        <v>24</v>
      </c>
      <c r="L205">
        <v>2</v>
      </c>
      <c r="M205">
        <v>500</v>
      </c>
      <c r="N205" s="1">
        <f t="shared" si="12"/>
        <v>1000</v>
      </c>
    </row>
    <row r="206" spans="5:14" x14ac:dyDescent="0.25">
      <c r="E206">
        <v>85</v>
      </c>
      <c r="F206" s="7">
        <v>44963</v>
      </c>
      <c r="G206">
        <f t="shared" si="10"/>
        <v>2023</v>
      </c>
      <c r="H206" s="7" t="str">
        <f t="shared" si="11"/>
        <v>Февраль</v>
      </c>
      <c r="I206" t="s">
        <v>20</v>
      </c>
      <c r="J206">
        <v>31</v>
      </c>
      <c r="K206" t="s">
        <v>23</v>
      </c>
      <c r="L206">
        <v>3</v>
      </c>
      <c r="M206">
        <v>50</v>
      </c>
      <c r="N206" s="1">
        <f t="shared" si="12"/>
        <v>150</v>
      </c>
    </row>
    <row r="207" spans="5:14" x14ac:dyDescent="0.25">
      <c r="E207">
        <v>1160</v>
      </c>
      <c r="F207" s="7">
        <v>45525</v>
      </c>
      <c r="G207">
        <f t="shared" si="10"/>
        <v>2024</v>
      </c>
      <c r="H207" s="7" t="str">
        <f t="shared" si="11"/>
        <v>Август</v>
      </c>
      <c r="I207" t="s">
        <v>20</v>
      </c>
      <c r="J207">
        <v>48</v>
      </c>
      <c r="K207" t="s">
        <v>23</v>
      </c>
      <c r="L207">
        <v>3</v>
      </c>
      <c r="M207">
        <v>118</v>
      </c>
      <c r="N207" s="1">
        <f t="shared" si="12"/>
        <v>354</v>
      </c>
    </row>
    <row r="208" spans="5:14" x14ac:dyDescent="0.25">
      <c r="E208">
        <v>1596</v>
      </c>
      <c r="F208" s="7">
        <v>45615</v>
      </c>
      <c r="G208">
        <f t="shared" si="10"/>
        <v>2024</v>
      </c>
      <c r="H208" s="7" t="str">
        <f t="shared" si="11"/>
        <v>Ноябрь</v>
      </c>
      <c r="I208" t="s">
        <v>22</v>
      </c>
      <c r="J208">
        <v>32</v>
      </c>
      <c r="K208" t="s">
        <v>21</v>
      </c>
      <c r="L208">
        <v>5</v>
      </c>
      <c r="M208">
        <v>101</v>
      </c>
      <c r="N208" s="1">
        <f t="shared" si="12"/>
        <v>505</v>
      </c>
    </row>
    <row r="209" spans="5:14" x14ac:dyDescent="0.25">
      <c r="E209">
        <v>1955</v>
      </c>
      <c r="F209" s="7">
        <v>45594</v>
      </c>
      <c r="G209">
        <f t="shared" si="10"/>
        <v>2024</v>
      </c>
      <c r="H209" s="7" t="str">
        <f t="shared" si="11"/>
        <v>Октябрь</v>
      </c>
      <c r="I209" t="s">
        <v>22</v>
      </c>
      <c r="J209">
        <v>60</v>
      </c>
      <c r="K209" t="s">
        <v>24</v>
      </c>
      <c r="L209">
        <v>2</v>
      </c>
      <c r="M209">
        <v>64</v>
      </c>
      <c r="N209" s="1">
        <f t="shared" si="12"/>
        <v>128</v>
      </c>
    </row>
    <row r="210" spans="5:14" x14ac:dyDescent="0.25">
      <c r="E210">
        <v>110</v>
      </c>
      <c r="F210" s="7">
        <v>45088</v>
      </c>
      <c r="G210">
        <f t="shared" si="10"/>
        <v>2023</v>
      </c>
      <c r="H210" s="7" t="str">
        <f t="shared" si="11"/>
        <v>Июнь</v>
      </c>
      <c r="I210" t="s">
        <v>20</v>
      </c>
      <c r="J210">
        <v>27</v>
      </c>
      <c r="K210" t="s">
        <v>23</v>
      </c>
      <c r="L210">
        <v>3</v>
      </c>
      <c r="M210">
        <v>300</v>
      </c>
      <c r="N210" s="1">
        <f t="shared" si="12"/>
        <v>900</v>
      </c>
    </row>
    <row r="211" spans="5:14" x14ac:dyDescent="0.25">
      <c r="E211">
        <v>1846</v>
      </c>
      <c r="F211" s="7">
        <v>45501</v>
      </c>
      <c r="G211">
        <f t="shared" si="10"/>
        <v>2024</v>
      </c>
      <c r="H211" s="7" t="str">
        <f t="shared" si="11"/>
        <v>Июль</v>
      </c>
      <c r="I211" t="s">
        <v>22</v>
      </c>
      <c r="J211">
        <v>23</v>
      </c>
      <c r="K211" t="s">
        <v>21</v>
      </c>
      <c r="L211">
        <v>6</v>
      </c>
      <c r="M211">
        <v>138</v>
      </c>
      <c r="N211" s="1">
        <f t="shared" si="12"/>
        <v>828</v>
      </c>
    </row>
    <row r="212" spans="5:14" x14ac:dyDescent="0.25">
      <c r="E212">
        <v>989</v>
      </c>
      <c r="F212" s="7">
        <v>45286</v>
      </c>
      <c r="G212">
        <f t="shared" si="10"/>
        <v>2023</v>
      </c>
      <c r="H212" s="7" t="str">
        <f t="shared" si="11"/>
        <v>Декабрь</v>
      </c>
      <c r="I212" t="s">
        <v>22</v>
      </c>
      <c r="J212">
        <v>34</v>
      </c>
      <c r="K212" t="s">
        <v>23</v>
      </c>
      <c r="L212">
        <v>2</v>
      </c>
      <c r="M212">
        <v>50</v>
      </c>
      <c r="N212" s="1">
        <f t="shared" si="12"/>
        <v>100</v>
      </c>
    </row>
    <row r="213" spans="5:14" x14ac:dyDescent="0.25">
      <c r="E213">
        <v>1060</v>
      </c>
      <c r="F213" s="7">
        <v>45653</v>
      </c>
      <c r="G213">
        <f t="shared" si="10"/>
        <v>2024</v>
      </c>
      <c r="H213" s="7" t="str">
        <f t="shared" si="11"/>
        <v>Декабрь</v>
      </c>
      <c r="I213" t="s">
        <v>20</v>
      </c>
      <c r="J213">
        <v>49</v>
      </c>
      <c r="K213" t="s">
        <v>21</v>
      </c>
      <c r="L213">
        <v>1</v>
      </c>
      <c r="M213">
        <v>183</v>
      </c>
      <c r="N213" s="1">
        <f t="shared" si="12"/>
        <v>183</v>
      </c>
    </row>
    <row r="214" spans="5:14" x14ac:dyDescent="0.25">
      <c r="E214">
        <v>319</v>
      </c>
      <c r="F214" s="7">
        <v>44958</v>
      </c>
      <c r="G214">
        <f t="shared" si="10"/>
        <v>2023</v>
      </c>
      <c r="H214" s="7" t="str">
        <f t="shared" si="11"/>
        <v>Февраль</v>
      </c>
      <c r="I214" t="s">
        <v>22</v>
      </c>
      <c r="J214">
        <v>28</v>
      </c>
      <c r="K214" t="s">
        <v>24</v>
      </c>
      <c r="L214">
        <v>4</v>
      </c>
      <c r="M214">
        <v>300</v>
      </c>
      <c r="N214" s="1">
        <f t="shared" si="12"/>
        <v>1200</v>
      </c>
    </row>
    <row r="215" spans="5:14" x14ac:dyDescent="0.25">
      <c r="E215">
        <v>952</v>
      </c>
      <c r="F215" s="7">
        <v>45194</v>
      </c>
      <c r="G215">
        <f t="shared" si="10"/>
        <v>2023</v>
      </c>
      <c r="H215" s="7" t="str">
        <f t="shared" si="11"/>
        <v>Сентябрь</v>
      </c>
      <c r="I215" t="s">
        <v>22</v>
      </c>
      <c r="J215">
        <v>50</v>
      </c>
      <c r="K215" t="s">
        <v>24</v>
      </c>
      <c r="L215">
        <v>3</v>
      </c>
      <c r="M215">
        <v>300</v>
      </c>
      <c r="N215" s="1">
        <f t="shared" si="12"/>
        <v>900</v>
      </c>
    </row>
    <row r="216" spans="5:14" x14ac:dyDescent="0.25">
      <c r="E216">
        <v>1706</v>
      </c>
      <c r="F216" s="7">
        <v>45596</v>
      </c>
      <c r="G216">
        <f t="shared" si="10"/>
        <v>2024</v>
      </c>
      <c r="H216" s="7" t="str">
        <f t="shared" si="11"/>
        <v>Октябрь</v>
      </c>
      <c r="I216" t="s">
        <v>22</v>
      </c>
      <c r="J216">
        <v>63</v>
      </c>
      <c r="K216" t="s">
        <v>24</v>
      </c>
      <c r="L216">
        <v>6</v>
      </c>
      <c r="M216">
        <v>499</v>
      </c>
      <c r="N216" s="1">
        <f t="shared" si="12"/>
        <v>2994</v>
      </c>
    </row>
    <row r="217" spans="5:14" x14ac:dyDescent="0.25">
      <c r="E217">
        <v>147</v>
      </c>
      <c r="F217" s="7">
        <v>45197</v>
      </c>
      <c r="G217">
        <f t="shared" si="10"/>
        <v>2023</v>
      </c>
      <c r="H217" s="7" t="str">
        <f t="shared" si="11"/>
        <v>Сентябрь</v>
      </c>
      <c r="I217" t="s">
        <v>20</v>
      </c>
      <c r="J217">
        <v>23</v>
      </c>
      <c r="K217" t="s">
        <v>24</v>
      </c>
      <c r="L217">
        <v>1</v>
      </c>
      <c r="M217">
        <v>300</v>
      </c>
      <c r="N217" s="1">
        <f t="shared" si="12"/>
        <v>300</v>
      </c>
    </row>
    <row r="218" spans="5:14" x14ac:dyDescent="0.25">
      <c r="E218">
        <v>818</v>
      </c>
      <c r="F218" s="7">
        <v>45052</v>
      </c>
      <c r="G218">
        <f t="shared" si="10"/>
        <v>2023</v>
      </c>
      <c r="H218" s="7" t="str">
        <f t="shared" si="11"/>
        <v>Май</v>
      </c>
      <c r="I218" t="s">
        <v>20</v>
      </c>
      <c r="J218">
        <v>49</v>
      </c>
      <c r="K218" t="s">
        <v>24</v>
      </c>
      <c r="L218">
        <v>4</v>
      </c>
      <c r="M218">
        <v>50</v>
      </c>
      <c r="N218" s="1">
        <f t="shared" si="12"/>
        <v>200</v>
      </c>
    </row>
    <row r="219" spans="5:14" x14ac:dyDescent="0.25">
      <c r="E219">
        <v>844</v>
      </c>
      <c r="F219" s="7">
        <v>45191</v>
      </c>
      <c r="G219">
        <f t="shared" si="10"/>
        <v>2023</v>
      </c>
      <c r="H219" s="7" t="str">
        <f t="shared" si="11"/>
        <v>Сентябрь</v>
      </c>
      <c r="I219" t="s">
        <v>20</v>
      </c>
      <c r="J219">
        <v>42</v>
      </c>
      <c r="K219" t="s">
        <v>21</v>
      </c>
      <c r="L219">
        <v>1</v>
      </c>
      <c r="M219">
        <v>50</v>
      </c>
      <c r="N219" s="1">
        <f t="shared" si="12"/>
        <v>50</v>
      </c>
    </row>
    <row r="220" spans="5:14" x14ac:dyDescent="0.25">
      <c r="E220">
        <v>256</v>
      </c>
      <c r="F220" s="7">
        <v>44976</v>
      </c>
      <c r="G220">
        <f t="shared" si="10"/>
        <v>2023</v>
      </c>
      <c r="H220" s="7" t="str">
        <f t="shared" si="11"/>
        <v>Февраль</v>
      </c>
      <c r="I220" t="s">
        <v>20</v>
      </c>
      <c r="J220">
        <v>19</v>
      </c>
      <c r="K220" t="s">
        <v>21</v>
      </c>
      <c r="L220">
        <v>4</v>
      </c>
      <c r="M220">
        <v>500</v>
      </c>
      <c r="N220" s="1">
        <f t="shared" si="12"/>
        <v>2000</v>
      </c>
    </row>
    <row r="221" spans="5:14" x14ac:dyDescent="0.25">
      <c r="E221">
        <v>1625</v>
      </c>
      <c r="F221" s="7">
        <v>45597</v>
      </c>
      <c r="G221">
        <f t="shared" si="10"/>
        <v>2024</v>
      </c>
      <c r="H221" s="7" t="str">
        <f t="shared" si="11"/>
        <v>Ноябрь</v>
      </c>
      <c r="I221" t="s">
        <v>22</v>
      </c>
      <c r="J221">
        <v>62</v>
      </c>
      <c r="K221" t="s">
        <v>21</v>
      </c>
      <c r="L221">
        <v>6</v>
      </c>
      <c r="M221">
        <v>249</v>
      </c>
      <c r="N221" s="1">
        <f t="shared" si="12"/>
        <v>1494</v>
      </c>
    </row>
    <row r="222" spans="5:14" x14ac:dyDescent="0.25">
      <c r="E222">
        <v>1844</v>
      </c>
      <c r="F222" s="7">
        <v>45335</v>
      </c>
      <c r="G222">
        <f t="shared" si="10"/>
        <v>2024</v>
      </c>
      <c r="H222" s="7" t="str">
        <f t="shared" si="11"/>
        <v>Февраль</v>
      </c>
      <c r="I222" t="s">
        <v>22</v>
      </c>
      <c r="J222">
        <v>35</v>
      </c>
      <c r="K222" t="s">
        <v>23</v>
      </c>
      <c r="L222">
        <v>6</v>
      </c>
      <c r="M222">
        <v>321</v>
      </c>
      <c r="N222" s="1">
        <f t="shared" si="12"/>
        <v>1926</v>
      </c>
    </row>
    <row r="223" spans="5:14" x14ac:dyDescent="0.25">
      <c r="E223">
        <v>78</v>
      </c>
      <c r="F223" s="7">
        <v>45108</v>
      </c>
      <c r="G223">
        <f t="shared" si="10"/>
        <v>2023</v>
      </c>
      <c r="H223" s="7" t="str">
        <f t="shared" si="11"/>
        <v>Июль</v>
      </c>
      <c r="I223" t="s">
        <v>22</v>
      </c>
      <c r="J223">
        <v>47</v>
      </c>
      <c r="K223" t="s">
        <v>23</v>
      </c>
      <c r="L223">
        <v>3</v>
      </c>
      <c r="M223">
        <v>500</v>
      </c>
      <c r="N223" s="1">
        <f t="shared" si="12"/>
        <v>1500</v>
      </c>
    </row>
    <row r="224" spans="5:14" x14ac:dyDescent="0.25">
      <c r="E224">
        <v>248</v>
      </c>
      <c r="F224" s="7">
        <v>45219</v>
      </c>
      <c r="G224">
        <f t="shared" si="10"/>
        <v>2023</v>
      </c>
      <c r="H224" s="7" t="str">
        <f t="shared" si="11"/>
        <v>Октябрь</v>
      </c>
      <c r="I224" t="s">
        <v>20</v>
      </c>
      <c r="J224">
        <v>20</v>
      </c>
      <c r="K224" t="s">
        <v>23</v>
      </c>
      <c r="L224">
        <v>1</v>
      </c>
      <c r="M224">
        <v>50</v>
      </c>
      <c r="N224" s="1">
        <f t="shared" si="12"/>
        <v>50</v>
      </c>
    </row>
    <row r="225" spans="5:14" x14ac:dyDescent="0.25">
      <c r="E225">
        <v>634</v>
      </c>
      <c r="F225" s="7">
        <v>45155</v>
      </c>
      <c r="G225">
        <f t="shared" si="10"/>
        <v>2023</v>
      </c>
      <c r="H225" s="7" t="str">
        <f t="shared" si="11"/>
        <v>Август</v>
      </c>
      <c r="I225" t="s">
        <v>22</v>
      </c>
      <c r="J225">
        <v>63</v>
      </c>
      <c r="K225" t="s">
        <v>24</v>
      </c>
      <c r="L225">
        <v>3</v>
      </c>
      <c r="M225">
        <v>300</v>
      </c>
      <c r="N225" s="1">
        <f t="shared" si="12"/>
        <v>900</v>
      </c>
    </row>
    <row r="226" spans="5:14" x14ac:dyDescent="0.25">
      <c r="E226">
        <v>1403</v>
      </c>
      <c r="F226" s="7">
        <v>45400</v>
      </c>
      <c r="G226">
        <f t="shared" si="10"/>
        <v>2024</v>
      </c>
      <c r="H226" s="7" t="str">
        <f t="shared" si="11"/>
        <v>Апрель</v>
      </c>
      <c r="I226" t="s">
        <v>22</v>
      </c>
      <c r="J226">
        <v>35</v>
      </c>
      <c r="K226" t="s">
        <v>21</v>
      </c>
      <c r="L226">
        <v>1</v>
      </c>
      <c r="M226">
        <v>186</v>
      </c>
      <c r="N226" s="1">
        <f t="shared" si="12"/>
        <v>186</v>
      </c>
    </row>
    <row r="227" spans="5:14" x14ac:dyDescent="0.25">
      <c r="E227">
        <v>1297</v>
      </c>
      <c r="F227" s="7">
        <v>45322</v>
      </c>
      <c r="G227">
        <f t="shared" si="10"/>
        <v>2024</v>
      </c>
      <c r="H227" s="7" t="str">
        <f t="shared" si="11"/>
        <v>Январь</v>
      </c>
      <c r="I227" t="s">
        <v>22</v>
      </c>
      <c r="J227">
        <v>44</v>
      </c>
      <c r="K227" t="s">
        <v>24</v>
      </c>
      <c r="L227">
        <v>1</v>
      </c>
      <c r="M227">
        <v>176</v>
      </c>
      <c r="N227" s="1">
        <f t="shared" si="12"/>
        <v>176</v>
      </c>
    </row>
    <row r="228" spans="5:14" x14ac:dyDescent="0.25">
      <c r="E228">
        <v>960</v>
      </c>
      <c r="F228" s="7">
        <v>45218</v>
      </c>
      <c r="G228">
        <f t="shared" si="10"/>
        <v>2023</v>
      </c>
      <c r="H228" s="7" t="str">
        <f t="shared" si="11"/>
        <v>Октябрь</v>
      </c>
      <c r="I228" t="s">
        <v>20</v>
      </c>
      <c r="J228">
        <v>44</v>
      </c>
      <c r="K228" t="s">
        <v>23</v>
      </c>
      <c r="L228">
        <v>2</v>
      </c>
      <c r="M228">
        <v>30</v>
      </c>
      <c r="N228" s="1">
        <f t="shared" si="12"/>
        <v>60</v>
      </c>
    </row>
    <row r="229" spans="5:14" x14ac:dyDescent="0.25">
      <c r="E229">
        <v>1847</v>
      </c>
      <c r="F229" s="7">
        <v>45543</v>
      </c>
      <c r="G229">
        <f t="shared" si="10"/>
        <v>2024</v>
      </c>
      <c r="H229" s="7" t="str">
        <f t="shared" si="11"/>
        <v>Сентябрь</v>
      </c>
      <c r="I229" t="s">
        <v>20</v>
      </c>
      <c r="J229">
        <v>46</v>
      </c>
      <c r="K229" t="s">
        <v>24</v>
      </c>
      <c r="L229">
        <v>2</v>
      </c>
      <c r="M229">
        <v>419</v>
      </c>
      <c r="N229" s="1">
        <f t="shared" si="12"/>
        <v>838</v>
      </c>
    </row>
    <row r="230" spans="5:14" x14ac:dyDescent="0.25">
      <c r="E230">
        <v>1201</v>
      </c>
      <c r="F230" s="7">
        <v>45428</v>
      </c>
      <c r="G230">
        <f t="shared" si="10"/>
        <v>2024</v>
      </c>
      <c r="H230" s="7" t="str">
        <f t="shared" si="11"/>
        <v>Май</v>
      </c>
      <c r="I230" t="s">
        <v>20</v>
      </c>
      <c r="J230">
        <v>21</v>
      </c>
      <c r="K230" t="s">
        <v>23</v>
      </c>
      <c r="L230">
        <v>7</v>
      </c>
      <c r="M230">
        <v>335</v>
      </c>
      <c r="N230" s="1">
        <f t="shared" si="12"/>
        <v>2345</v>
      </c>
    </row>
    <row r="231" spans="5:14" x14ac:dyDescent="0.25">
      <c r="E231">
        <v>1333</v>
      </c>
      <c r="F231" s="7">
        <v>45638</v>
      </c>
      <c r="G231">
        <f t="shared" si="10"/>
        <v>2024</v>
      </c>
      <c r="H231" s="7" t="str">
        <f t="shared" si="11"/>
        <v>Декабрь</v>
      </c>
      <c r="I231" t="s">
        <v>22</v>
      </c>
      <c r="J231">
        <v>41</v>
      </c>
      <c r="K231" t="s">
        <v>21</v>
      </c>
      <c r="L231">
        <v>2</v>
      </c>
      <c r="M231">
        <v>80</v>
      </c>
      <c r="N231" s="1">
        <f t="shared" si="12"/>
        <v>160</v>
      </c>
    </row>
    <row r="232" spans="5:14" x14ac:dyDescent="0.25">
      <c r="E232">
        <v>920</v>
      </c>
      <c r="F232" s="7">
        <v>45220</v>
      </c>
      <c r="G232">
        <f t="shared" si="10"/>
        <v>2023</v>
      </c>
      <c r="H232" s="7" t="str">
        <f t="shared" si="11"/>
        <v>Октябрь</v>
      </c>
      <c r="I232" t="s">
        <v>20</v>
      </c>
      <c r="J232">
        <v>41</v>
      </c>
      <c r="K232" t="s">
        <v>24</v>
      </c>
      <c r="L232">
        <v>1</v>
      </c>
      <c r="M232">
        <v>50</v>
      </c>
      <c r="N232" s="1">
        <f t="shared" si="12"/>
        <v>50</v>
      </c>
    </row>
    <row r="233" spans="5:14" x14ac:dyDescent="0.25">
      <c r="E233">
        <v>1732</v>
      </c>
      <c r="F233" s="7">
        <v>45318</v>
      </c>
      <c r="G233">
        <f t="shared" si="10"/>
        <v>2024</v>
      </c>
      <c r="H233" s="7" t="str">
        <f t="shared" si="11"/>
        <v>Январь</v>
      </c>
      <c r="I233" t="s">
        <v>20</v>
      </c>
      <c r="J233">
        <v>46</v>
      </c>
      <c r="K233" t="s">
        <v>23</v>
      </c>
      <c r="L233">
        <v>2</v>
      </c>
      <c r="M233">
        <v>466</v>
      </c>
      <c r="N233" s="1">
        <f t="shared" si="12"/>
        <v>932</v>
      </c>
    </row>
    <row r="234" spans="5:14" x14ac:dyDescent="0.25">
      <c r="E234">
        <v>190</v>
      </c>
      <c r="F234" s="7">
        <v>45050</v>
      </c>
      <c r="G234">
        <f t="shared" si="10"/>
        <v>2023</v>
      </c>
      <c r="H234" s="7" t="str">
        <f t="shared" si="11"/>
        <v>Май</v>
      </c>
      <c r="I234" t="s">
        <v>22</v>
      </c>
      <c r="J234">
        <v>60</v>
      </c>
      <c r="K234" t="s">
        <v>21</v>
      </c>
      <c r="L234">
        <v>3</v>
      </c>
      <c r="M234">
        <v>30</v>
      </c>
      <c r="N234" s="1">
        <f t="shared" si="12"/>
        <v>90</v>
      </c>
    </row>
    <row r="235" spans="5:14" x14ac:dyDescent="0.25">
      <c r="E235">
        <v>992</v>
      </c>
      <c r="F235" s="7">
        <v>45278</v>
      </c>
      <c r="G235">
        <f t="shared" si="10"/>
        <v>2023</v>
      </c>
      <c r="H235" s="7" t="str">
        <f t="shared" si="11"/>
        <v>Декабрь</v>
      </c>
      <c r="I235" t="s">
        <v>22</v>
      </c>
      <c r="J235">
        <v>51</v>
      </c>
      <c r="K235" t="s">
        <v>21</v>
      </c>
      <c r="L235">
        <v>2</v>
      </c>
      <c r="M235">
        <v>500</v>
      </c>
      <c r="N235" s="1">
        <f t="shared" si="12"/>
        <v>1000</v>
      </c>
    </row>
    <row r="236" spans="5:14" x14ac:dyDescent="0.25">
      <c r="E236">
        <v>1592</v>
      </c>
      <c r="F236" s="7">
        <v>45605</v>
      </c>
      <c r="G236">
        <f t="shared" si="10"/>
        <v>2024</v>
      </c>
      <c r="H236" s="7" t="str">
        <f t="shared" si="11"/>
        <v>Ноябрь</v>
      </c>
      <c r="I236" t="s">
        <v>22</v>
      </c>
      <c r="J236">
        <v>49</v>
      </c>
      <c r="K236" t="s">
        <v>23</v>
      </c>
      <c r="L236">
        <v>6</v>
      </c>
      <c r="M236">
        <v>155</v>
      </c>
      <c r="N236" s="1">
        <f t="shared" si="12"/>
        <v>930</v>
      </c>
    </row>
    <row r="237" spans="5:14" x14ac:dyDescent="0.25">
      <c r="E237">
        <v>23</v>
      </c>
      <c r="F237" s="7">
        <v>45028</v>
      </c>
      <c r="G237">
        <f t="shared" si="10"/>
        <v>2023</v>
      </c>
      <c r="H237" s="7" t="str">
        <f t="shared" si="11"/>
        <v>Апрель</v>
      </c>
      <c r="I237" t="s">
        <v>22</v>
      </c>
      <c r="J237">
        <v>35</v>
      </c>
      <c r="K237" t="s">
        <v>23</v>
      </c>
      <c r="L237">
        <v>4</v>
      </c>
      <c r="M237">
        <v>30</v>
      </c>
      <c r="N237" s="1">
        <f t="shared" si="12"/>
        <v>120</v>
      </c>
    </row>
    <row r="238" spans="5:14" x14ac:dyDescent="0.25">
      <c r="E238">
        <v>855</v>
      </c>
      <c r="F238" s="7">
        <v>45291</v>
      </c>
      <c r="G238">
        <f t="shared" si="10"/>
        <v>2023</v>
      </c>
      <c r="H238" s="7" t="str">
        <f t="shared" si="11"/>
        <v>Декабрь</v>
      </c>
      <c r="I238" t="s">
        <v>20</v>
      </c>
      <c r="J238">
        <v>60</v>
      </c>
      <c r="K238" t="s">
        <v>24</v>
      </c>
      <c r="L238">
        <v>2</v>
      </c>
      <c r="M238">
        <v>25</v>
      </c>
      <c r="N238" s="1">
        <f t="shared" si="12"/>
        <v>50</v>
      </c>
    </row>
    <row r="239" spans="5:14" x14ac:dyDescent="0.25">
      <c r="E239">
        <v>1274</v>
      </c>
      <c r="F239" s="7">
        <v>45522</v>
      </c>
      <c r="G239">
        <f t="shared" si="10"/>
        <v>2024</v>
      </c>
      <c r="H239" s="7" t="str">
        <f t="shared" si="11"/>
        <v>Август</v>
      </c>
      <c r="I239" t="s">
        <v>20</v>
      </c>
      <c r="J239">
        <v>47</v>
      </c>
      <c r="K239" t="s">
        <v>23</v>
      </c>
      <c r="L239">
        <v>5</v>
      </c>
      <c r="M239">
        <v>154</v>
      </c>
      <c r="N239" s="1">
        <f t="shared" si="12"/>
        <v>770</v>
      </c>
    </row>
    <row r="240" spans="5:14" x14ac:dyDescent="0.25">
      <c r="E240">
        <v>1481</v>
      </c>
      <c r="F240" s="7">
        <v>45304</v>
      </c>
      <c r="G240">
        <f t="shared" si="10"/>
        <v>2024</v>
      </c>
      <c r="H240" s="7" t="str">
        <f t="shared" si="11"/>
        <v>Январь</v>
      </c>
      <c r="I240" t="s">
        <v>22</v>
      </c>
      <c r="J240">
        <v>63</v>
      </c>
      <c r="K240" t="s">
        <v>23</v>
      </c>
      <c r="L240">
        <v>2</v>
      </c>
      <c r="M240">
        <v>447</v>
      </c>
      <c r="N240" s="1">
        <f t="shared" si="12"/>
        <v>894</v>
      </c>
    </row>
    <row r="241" spans="5:14" x14ac:dyDescent="0.25">
      <c r="E241">
        <v>1204</v>
      </c>
      <c r="F241" s="7">
        <v>45509</v>
      </c>
      <c r="G241">
        <f t="shared" si="10"/>
        <v>2024</v>
      </c>
      <c r="H241" s="7" t="str">
        <f t="shared" si="11"/>
        <v>Август</v>
      </c>
      <c r="I241" t="s">
        <v>20</v>
      </c>
      <c r="J241">
        <v>28</v>
      </c>
      <c r="K241" t="s">
        <v>23</v>
      </c>
      <c r="L241">
        <v>7</v>
      </c>
      <c r="M241">
        <v>97</v>
      </c>
      <c r="N241" s="1">
        <f t="shared" si="12"/>
        <v>679</v>
      </c>
    </row>
    <row r="242" spans="5:14" x14ac:dyDescent="0.25">
      <c r="E242">
        <v>369</v>
      </c>
      <c r="F242" s="7">
        <v>45215</v>
      </c>
      <c r="G242">
        <f t="shared" si="10"/>
        <v>2023</v>
      </c>
      <c r="H242" s="7" t="str">
        <f t="shared" si="11"/>
        <v>Октябрь</v>
      </c>
      <c r="I242" t="s">
        <v>20</v>
      </c>
      <c r="J242">
        <v>23</v>
      </c>
      <c r="K242" t="s">
        <v>24</v>
      </c>
      <c r="L242">
        <v>2</v>
      </c>
      <c r="M242">
        <v>30</v>
      </c>
      <c r="N242" s="1">
        <f t="shared" si="12"/>
        <v>60</v>
      </c>
    </row>
    <row r="243" spans="5:14" x14ac:dyDescent="0.25">
      <c r="E243">
        <v>782</v>
      </c>
      <c r="F243" s="7">
        <v>45234</v>
      </c>
      <c r="G243">
        <f t="shared" si="10"/>
        <v>2023</v>
      </c>
      <c r="H243" s="7" t="str">
        <f t="shared" si="11"/>
        <v>Ноябрь</v>
      </c>
      <c r="I243" t="s">
        <v>22</v>
      </c>
      <c r="J243">
        <v>34</v>
      </c>
      <c r="K243" t="s">
        <v>24</v>
      </c>
      <c r="L243">
        <v>1</v>
      </c>
      <c r="M243">
        <v>500</v>
      </c>
      <c r="N243" s="1">
        <f t="shared" si="12"/>
        <v>500</v>
      </c>
    </row>
    <row r="244" spans="5:14" x14ac:dyDescent="0.25">
      <c r="E244">
        <v>1538</v>
      </c>
      <c r="F244" s="7">
        <v>45502</v>
      </c>
      <c r="G244">
        <f t="shared" si="10"/>
        <v>2024</v>
      </c>
      <c r="H244" s="7" t="str">
        <f t="shared" si="11"/>
        <v>Июль</v>
      </c>
      <c r="I244" t="s">
        <v>20</v>
      </c>
      <c r="J244">
        <v>47</v>
      </c>
      <c r="K244" t="s">
        <v>21</v>
      </c>
      <c r="L244">
        <v>4</v>
      </c>
      <c r="M244">
        <v>115</v>
      </c>
      <c r="N244" s="1">
        <f t="shared" si="12"/>
        <v>460</v>
      </c>
    </row>
    <row r="245" spans="5:14" x14ac:dyDescent="0.25">
      <c r="E245">
        <v>91</v>
      </c>
      <c r="F245" s="7">
        <v>45010</v>
      </c>
      <c r="G245">
        <f t="shared" si="10"/>
        <v>2023</v>
      </c>
      <c r="H245" s="7" t="str">
        <f t="shared" si="11"/>
        <v>Март</v>
      </c>
      <c r="I245" t="s">
        <v>22</v>
      </c>
      <c r="J245">
        <v>55</v>
      </c>
      <c r="K245" t="s">
        <v>24</v>
      </c>
      <c r="L245">
        <v>1</v>
      </c>
      <c r="M245">
        <v>500</v>
      </c>
      <c r="N245" s="1">
        <f t="shared" si="12"/>
        <v>500</v>
      </c>
    </row>
    <row r="246" spans="5:14" x14ac:dyDescent="0.25">
      <c r="E246">
        <v>605</v>
      </c>
      <c r="F246" s="7">
        <v>45051</v>
      </c>
      <c r="G246">
        <f t="shared" si="10"/>
        <v>2023</v>
      </c>
      <c r="H246" s="7" t="str">
        <f t="shared" si="11"/>
        <v>Май</v>
      </c>
      <c r="I246" t="s">
        <v>20</v>
      </c>
      <c r="J246">
        <v>22</v>
      </c>
      <c r="K246" t="s">
        <v>24</v>
      </c>
      <c r="L246">
        <v>1</v>
      </c>
      <c r="M246">
        <v>50</v>
      </c>
      <c r="N246" s="1">
        <f t="shared" si="12"/>
        <v>50</v>
      </c>
    </row>
    <row r="247" spans="5:14" x14ac:dyDescent="0.25">
      <c r="E247">
        <v>93</v>
      </c>
      <c r="F247" s="7">
        <v>45121</v>
      </c>
      <c r="G247">
        <f t="shared" si="10"/>
        <v>2023</v>
      </c>
      <c r="H247" s="7" t="str">
        <f t="shared" si="11"/>
        <v>Июль</v>
      </c>
      <c r="I247" t="s">
        <v>22</v>
      </c>
      <c r="J247">
        <v>35</v>
      </c>
      <c r="K247" t="s">
        <v>21</v>
      </c>
      <c r="L247">
        <v>4</v>
      </c>
      <c r="M247">
        <v>500</v>
      </c>
      <c r="N247" s="1">
        <f t="shared" si="12"/>
        <v>2000</v>
      </c>
    </row>
    <row r="248" spans="5:14" x14ac:dyDescent="0.25">
      <c r="E248">
        <v>6</v>
      </c>
      <c r="F248" s="7">
        <v>45041</v>
      </c>
      <c r="G248">
        <f t="shared" si="10"/>
        <v>2023</v>
      </c>
      <c r="H248" s="7" t="str">
        <f t="shared" si="11"/>
        <v>Апрель</v>
      </c>
      <c r="I248" t="s">
        <v>22</v>
      </c>
      <c r="J248">
        <v>45</v>
      </c>
      <c r="K248" t="s">
        <v>21</v>
      </c>
      <c r="L248">
        <v>1</v>
      </c>
      <c r="M248">
        <v>30</v>
      </c>
      <c r="N248" s="1">
        <f t="shared" si="12"/>
        <v>30</v>
      </c>
    </row>
    <row r="249" spans="5:14" x14ac:dyDescent="0.25">
      <c r="E249">
        <v>1412</v>
      </c>
      <c r="F249" s="7">
        <v>45318</v>
      </c>
      <c r="G249">
        <f t="shared" si="10"/>
        <v>2024</v>
      </c>
      <c r="H249" s="7" t="str">
        <f t="shared" si="11"/>
        <v>Январь</v>
      </c>
      <c r="I249" t="s">
        <v>20</v>
      </c>
      <c r="J249">
        <v>28</v>
      </c>
      <c r="K249" t="s">
        <v>23</v>
      </c>
      <c r="L249">
        <v>2</v>
      </c>
      <c r="M249">
        <v>351</v>
      </c>
      <c r="N249" s="1">
        <f t="shared" si="12"/>
        <v>702</v>
      </c>
    </row>
    <row r="250" spans="5:14" x14ac:dyDescent="0.25">
      <c r="E250">
        <v>70</v>
      </c>
      <c r="F250" s="7">
        <v>44978</v>
      </c>
      <c r="G250">
        <f t="shared" si="10"/>
        <v>2023</v>
      </c>
      <c r="H250" s="7" t="str">
        <f t="shared" si="11"/>
        <v>Февраль</v>
      </c>
      <c r="I250" t="s">
        <v>22</v>
      </c>
      <c r="J250">
        <v>43</v>
      </c>
      <c r="K250" t="s">
        <v>23</v>
      </c>
      <c r="L250">
        <v>1</v>
      </c>
      <c r="M250">
        <v>300</v>
      </c>
      <c r="N250" s="1">
        <f t="shared" si="12"/>
        <v>300</v>
      </c>
    </row>
    <row r="251" spans="5:14" x14ac:dyDescent="0.25">
      <c r="E251">
        <v>314</v>
      </c>
      <c r="F251" s="7">
        <v>45078</v>
      </c>
      <c r="G251">
        <f t="shared" si="10"/>
        <v>2023</v>
      </c>
      <c r="H251" s="7" t="str">
        <f t="shared" si="11"/>
        <v>Июнь</v>
      </c>
      <c r="I251" t="s">
        <v>20</v>
      </c>
      <c r="J251">
        <v>47</v>
      </c>
      <c r="K251" t="s">
        <v>23</v>
      </c>
      <c r="L251">
        <v>2</v>
      </c>
      <c r="M251">
        <v>30</v>
      </c>
      <c r="N251" s="1">
        <f t="shared" si="12"/>
        <v>60</v>
      </c>
    </row>
    <row r="252" spans="5:14" x14ac:dyDescent="0.25">
      <c r="E252">
        <v>1928</v>
      </c>
      <c r="F252" s="7">
        <v>45350</v>
      </c>
      <c r="G252">
        <f t="shared" si="10"/>
        <v>2024</v>
      </c>
      <c r="H252" s="7" t="str">
        <f t="shared" si="11"/>
        <v>Февраль</v>
      </c>
      <c r="I252" t="s">
        <v>22</v>
      </c>
      <c r="J252">
        <v>64</v>
      </c>
      <c r="K252" t="s">
        <v>21</v>
      </c>
      <c r="L252">
        <v>7</v>
      </c>
      <c r="M252">
        <v>112</v>
      </c>
      <c r="N252" s="1">
        <f t="shared" si="12"/>
        <v>784</v>
      </c>
    </row>
    <row r="253" spans="5:14" x14ac:dyDescent="0.25">
      <c r="E253">
        <v>1700</v>
      </c>
      <c r="F253" s="7">
        <v>45532</v>
      </c>
      <c r="G253">
        <f t="shared" si="10"/>
        <v>2024</v>
      </c>
      <c r="H253" s="7" t="str">
        <f t="shared" si="11"/>
        <v>Август</v>
      </c>
      <c r="I253" t="s">
        <v>22</v>
      </c>
      <c r="J253">
        <v>34</v>
      </c>
      <c r="K253" t="s">
        <v>23</v>
      </c>
      <c r="L253">
        <v>3</v>
      </c>
      <c r="M253">
        <v>254</v>
      </c>
      <c r="N253" s="1">
        <f t="shared" si="12"/>
        <v>762</v>
      </c>
    </row>
    <row r="254" spans="5:14" x14ac:dyDescent="0.25">
      <c r="E254">
        <v>260</v>
      </c>
      <c r="F254" s="7">
        <v>45143</v>
      </c>
      <c r="G254">
        <f t="shared" si="10"/>
        <v>2023</v>
      </c>
      <c r="H254" s="7" t="str">
        <f t="shared" si="11"/>
        <v>Август</v>
      </c>
      <c r="I254" t="s">
        <v>20</v>
      </c>
      <c r="J254">
        <v>21</v>
      </c>
      <c r="K254" t="s">
        <v>23</v>
      </c>
      <c r="L254">
        <v>2</v>
      </c>
      <c r="M254">
        <v>25</v>
      </c>
      <c r="N254" s="1">
        <f t="shared" si="12"/>
        <v>50</v>
      </c>
    </row>
    <row r="255" spans="5:14" x14ac:dyDescent="0.25">
      <c r="E255">
        <v>930</v>
      </c>
      <c r="F255" s="7">
        <v>44985</v>
      </c>
      <c r="G255">
        <f t="shared" si="10"/>
        <v>2023</v>
      </c>
      <c r="H255" s="7" t="str">
        <f t="shared" si="11"/>
        <v>Февраль</v>
      </c>
      <c r="I255" t="s">
        <v>22</v>
      </c>
      <c r="J255">
        <v>45</v>
      </c>
      <c r="K255" t="s">
        <v>21</v>
      </c>
      <c r="L255">
        <v>4</v>
      </c>
      <c r="M255">
        <v>25</v>
      </c>
      <c r="N255" s="1">
        <f t="shared" si="12"/>
        <v>100</v>
      </c>
    </row>
    <row r="256" spans="5:14" x14ac:dyDescent="0.25">
      <c r="E256">
        <v>1986</v>
      </c>
      <c r="F256" s="7">
        <v>45437</v>
      </c>
      <c r="G256">
        <f t="shared" si="10"/>
        <v>2024</v>
      </c>
      <c r="H256" s="7" t="str">
        <f t="shared" si="11"/>
        <v>Май</v>
      </c>
      <c r="I256" t="s">
        <v>22</v>
      </c>
      <c r="J256">
        <v>50</v>
      </c>
      <c r="K256" t="s">
        <v>21</v>
      </c>
      <c r="L256">
        <v>3</v>
      </c>
      <c r="M256">
        <v>109</v>
      </c>
      <c r="N256" s="1">
        <f t="shared" si="12"/>
        <v>327</v>
      </c>
    </row>
    <row r="257" spans="5:14" x14ac:dyDescent="0.25">
      <c r="E257">
        <v>619</v>
      </c>
      <c r="F257" s="7">
        <v>45054</v>
      </c>
      <c r="G257">
        <f t="shared" si="10"/>
        <v>2023</v>
      </c>
      <c r="H257" s="7" t="str">
        <f t="shared" si="11"/>
        <v>Май</v>
      </c>
      <c r="I257" t="s">
        <v>20</v>
      </c>
      <c r="J257">
        <v>63</v>
      </c>
      <c r="K257" t="s">
        <v>24</v>
      </c>
      <c r="L257">
        <v>3</v>
      </c>
      <c r="M257">
        <v>25</v>
      </c>
      <c r="N257" s="1">
        <f t="shared" si="12"/>
        <v>75</v>
      </c>
    </row>
    <row r="258" spans="5:14" x14ac:dyDescent="0.25">
      <c r="E258">
        <v>1433</v>
      </c>
      <c r="F258" s="7">
        <v>45369</v>
      </c>
      <c r="G258">
        <f t="shared" si="10"/>
        <v>2024</v>
      </c>
      <c r="H258" s="7" t="str">
        <f t="shared" si="11"/>
        <v>Март</v>
      </c>
      <c r="I258" t="s">
        <v>22</v>
      </c>
      <c r="J258">
        <v>49</v>
      </c>
      <c r="K258" t="s">
        <v>23</v>
      </c>
      <c r="L258">
        <v>7</v>
      </c>
      <c r="M258">
        <v>216</v>
      </c>
      <c r="N258" s="1">
        <f t="shared" si="12"/>
        <v>1512</v>
      </c>
    </row>
    <row r="259" spans="5:14" x14ac:dyDescent="0.25">
      <c r="E259">
        <v>227</v>
      </c>
      <c r="F259" s="7">
        <v>45044</v>
      </c>
      <c r="G259">
        <f t="shared" si="10"/>
        <v>2023</v>
      </c>
      <c r="H259" s="7" t="str">
        <f t="shared" si="11"/>
        <v>Апрель</v>
      </c>
      <c r="I259" t="s">
        <v>22</v>
      </c>
      <c r="J259">
        <v>59</v>
      </c>
      <c r="K259" t="s">
        <v>24</v>
      </c>
      <c r="L259">
        <v>2</v>
      </c>
      <c r="M259">
        <v>30</v>
      </c>
      <c r="N259" s="1">
        <f t="shared" si="12"/>
        <v>60</v>
      </c>
    </row>
    <row r="260" spans="5:14" x14ac:dyDescent="0.25">
      <c r="E260">
        <v>326</v>
      </c>
      <c r="F260" s="7">
        <v>45198</v>
      </c>
      <c r="G260">
        <f t="shared" si="10"/>
        <v>2023</v>
      </c>
      <c r="H260" s="7" t="str">
        <f t="shared" si="11"/>
        <v>Сентябрь</v>
      </c>
      <c r="I260" t="s">
        <v>20</v>
      </c>
      <c r="J260">
        <v>57</v>
      </c>
      <c r="K260" t="s">
        <v>24</v>
      </c>
      <c r="L260">
        <v>3</v>
      </c>
      <c r="M260">
        <v>50</v>
      </c>
      <c r="N260" s="1">
        <f t="shared" si="12"/>
        <v>150</v>
      </c>
    </row>
    <row r="261" spans="5:14" x14ac:dyDescent="0.25">
      <c r="E261">
        <v>477</v>
      </c>
      <c r="F261" s="7">
        <v>45029</v>
      </c>
      <c r="G261">
        <f t="shared" si="10"/>
        <v>2023</v>
      </c>
      <c r="H261" s="7" t="str">
        <f t="shared" si="11"/>
        <v>Апрель</v>
      </c>
      <c r="I261" t="s">
        <v>22</v>
      </c>
      <c r="J261">
        <v>58</v>
      </c>
      <c r="K261" t="s">
        <v>23</v>
      </c>
      <c r="L261">
        <v>2</v>
      </c>
      <c r="M261">
        <v>30</v>
      </c>
      <c r="N261" s="1">
        <f t="shared" si="12"/>
        <v>60</v>
      </c>
    </row>
    <row r="262" spans="5:14" x14ac:dyDescent="0.25">
      <c r="E262">
        <v>421</v>
      </c>
      <c r="F262" s="7">
        <v>45097</v>
      </c>
      <c r="G262">
        <f t="shared" si="10"/>
        <v>2023</v>
      </c>
      <c r="H262" s="7" t="str">
        <f t="shared" si="11"/>
        <v>Июнь</v>
      </c>
      <c r="I262" t="s">
        <v>22</v>
      </c>
      <c r="J262">
        <v>28</v>
      </c>
      <c r="K262" t="s">
        <v>23</v>
      </c>
      <c r="L262">
        <v>3</v>
      </c>
      <c r="M262">
        <v>30</v>
      </c>
      <c r="N262" s="1">
        <f t="shared" si="12"/>
        <v>90</v>
      </c>
    </row>
    <row r="263" spans="5:14" x14ac:dyDescent="0.25">
      <c r="E263">
        <v>1946</v>
      </c>
      <c r="F263" s="7">
        <v>45603</v>
      </c>
      <c r="G263">
        <f t="shared" si="10"/>
        <v>2024</v>
      </c>
      <c r="H263" s="7" t="str">
        <f t="shared" si="11"/>
        <v>Ноябрь</v>
      </c>
      <c r="I263" t="s">
        <v>20</v>
      </c>
      <c r="J263">
        <v>24</v>
      </c>
      <c r="K263" t="s">
        <v>23</v>
      </c>
      <c r="L263">
        <v>3</v>
      </c>
      <c r="M263">
        <v>272</v>
      </c>
      <c r="N263" s="1">
        <f t="shared" si="12"/>
        <v>816</v>
      </c>
    </row>
    <row r="264" spans="5:14" x14ac:dyDescent="0.25">
      <c r="E264">
        <v>538</v>
      </c>
      <c r="F264" s="7">
        <v>45085</v>
      </c>
      <c r="G264">
        <f t="shared" si="10"/>
        <v>2023</v>
      </c>
      <c r="H264" s="7" t="str">
        <f t="shared" si="11"/>
        <v>Июнь</v>
      </c>
      <c r="I264" t="s">
        <v>20</v>
      </c>
      <c r="J264">
        <v>25</v>
      </c>
      <c r="K264" t="s">
        <v>21</v>
      </c>
      <c r="L264">
        <v>1</v>
      </c>
      <c r="M264">
        <v>500</v>
      </c>
      <c r="N264" s="1">
        <f t="shared" si="12"/>
        <v>500</v>
      </c>
    </row>
    <row r="265" spans="5:14" x14ac:dyDescent="0.25">
      <c r="E265">
        <v>1883</v>
      </c>
      <c r="F265" s="7">
        <v>45454</v>
      </c>
      <c r="G265">
        <f t="shared" si="10"/>
        <v>2024</v>
      </c>
      <c r="H265" s="7" t="str">
        <f t="shared" si="11"/>
        <v>Июнь</v>
      </c>
      <c r="I265" t="s">
        <v>20</v>
      </c>
      <c r="J265">
        <v>29</v>
      </c>
      <c r="K265" t="s">
        <v>23</v>
      </c>
      <c r="L265">
        <v>2</v>
      </c>
      <c r="M265">
        <v>125</v>
      </c>
      <c r="N265" s="1">
        <f t="shared" si="12"/>
        <v>250</v>
      </c>
    </row>
    <row r="266" spans="5:14" x14ac:dyDescent="0.25">
      <c r="E266">
        <v>1725</v>
      </c>
      <c r="F266" s="7">
        <v>45435</v>
      </c>
      <c r="G266">
        <f t="shared" ref="G266:G329" si="13">YEAR(F266)</f>
        <v>2024</v>
      </c>
      <c r="H266" s="7" t="str">
        <f t="shared" ref="H266:H329" si="14">TEXT(F266,"ММММ")</f>
        <v>Май</v>
      </c>
      <c r="I266" t="s">
        <v>20</v>
      </c>
      <c r="J266">
        <v>23</v>
      </c>
      <c r="K266" t="s">
        <v>23</v>
      </c>
      <c r="L266">
        <v>5</v>
      </c>
      <c r="M266">
        <v>387</v>
      </c>
      <c r="N266" s="1">
        <f t="shared" ref="N266:N329" si="15">L266*M266</f>
        <v>1935</v>
      </c>
    </row>
    <row r="267" spans="5:14" x14ac:dyDescent="0.25">
      <c r="E267">
        <v>1594</v>
      </c>
      <c r="F267" s="7">
        <v>45526</v>
      </c>
      <c r="G267">
        <f t="shared" si="13"/>
        <v>2024</v>
      </c>
      <c r="H267" s="7" t="str">
        <f t="shared" si="14"/>
        <v>Август</v>
      </c>
      <c r="I267" t="s">
        <v>20</v>
      </c>
      <c r="J267">
        <v>50</v>
      </c>
      <c r="K267" t="s">
        <v>21</v>
      </c>
      <c r="L267">
        <v>3</v>
      </c>
      <c r="M267">
        <v>454</v>
      </c>
      <c r="N267" s="1">
        <f t="shared" si="15"/>
        <v>1362</v>
      </c>
    </row>
    <row r="268" spans="5:14" x14ac:dyDescent="0.25">
      <c r="E268">
        <v>65</v>
      </c>
      <c r="F268" s="7">
        <v>45265</v>
      </c>
      <c r="G268">
        <f t="shared" si="13"/>
        <v>2023</v>
      </c>
      <c r="H268" s="7" t="str">
        <f t="shared" si="14"/>
        <v>Декабрь</v>
      </c>
      <c r="I268" t="s">
        <v>20</v>
      </c>
      <c r="J268">
        <v>51</v>
      </c>
      <c r="K268" t="s">
        <v>24</v>
      </c>
      <c r="L268">
        <v>4</v>
      </c>
      <c r="M268">
        <v>500</v>
      </c>
      <c r="N268" s="1">
        <f t="shared" si="15"/>
        <v>2000</v>
      </c>
    </row>
    <row r="269" spans="5:14" x14ac:dyDescent="0.25">
      <c r="E269">
        <v>1867</v>
      </c>
      <c r="F269" s="7">
        <v>45535</v>
      </c>
      <c r="G269">
        <f t="shared" si="13"/>
        <v>2024</v>
      </c>
      <c r="H269" s="7" t="str">
        <f t="shared" si="14"/>
        <v>Август</v>
      </c>
      <c r="I269" t="s">
        <v>20</v>
      </c>
      <c r="J269">
        <v>23</v>
      </c>
      <c r="K269" t="s">
        <v>21</v>
      </c>
      <c r="L269">
        <v>2</v>
      </c>
      <c r="M269">
        <v>29</v>
      </c>
      <c r="N269" s="1">
        <f t="shared" si="15"/>
        <v>58</v>
      </c>
    </row>
    <row r="270" spans="5:14" x14ac:dyDescent="0.25">
      <c r="E270">
        <v>1723</v>
      </c>
      <c r="F270" s="7">
        <v>45465</v>
      </c>
      <c r="G270">
        <f t="shared" si="13"/>
        <v>2024</v>
      </c>
      <c r="H270" s="7" t="str">
        <f t="shared" si="14"/>
        <v>Июнь</v>
      </c>
      <c r="I270" t="s">
        <v>20</v>
      </c>
      <c r="J270">
        <v>60</v>
      </c>
      <c r="K270" t="s">
        <v>21</v>
      </c>
      <c r="L270">
        <v>4</v>
      </c>
      <c r="M270">
        <v>413</v>
      </c>
      <c r="N270" s="1">
        <f t="shared" si="15"/>
        <v>1652</v>
      </c>
    </row>
    <row r="271" spans="5:14" x14ac:dyDescent="0.25">
      <c r="E271">
        <v>1411</v>
      </c>
      <c r="F271" s="7">
        <v>45421</v>
      </c>
      <c r="G271">
        <f t="shared" si="13"/>
        <v>2024</v>
      </c>
      <c r="H271" s="7" t="str">
        <f t="shared" si="14"/>
        <v>Май</v>
      </c>
      <c r="I271" t="s">
        <v>20</v>
      </c>
      <c r="J271">
        <v>20</v>
      </c>
      <c r="K271" t="s">
        <v>21</v>
      </c>
      <c r="L271">
        <v>4</v>
      </c>
      <c r="M271">
        <v>20</v>
      </c>
      <c r="N271" s="1">
        <f t="shared" si="15"/>
        <v>80</v>
      </c>
    </row>
    <row r="272" spans="5:14" x14ac:dyDescent="0.25">
      <c r="E272">
        <v>1626</v>
      </c>
      <c r="F272" s="7">
        <v>45455</v>
      </c>
      <c r="G272">
        <f t="shared" si="13"/>
        <v>2024</v>
      </c>
      <c r="H272" s="7" t="str">
        <f t="shared" si="14"/>
        <v>Июнь</v>
      </c>
      <c r="I272" t="s">
        <v>20</v>
      </c>
      <c r="J272">
        <v>42</v>
      </c>
      <c r="K272" t="s">
        <v>24</v>
      </c>
      <c r="L272">
        <v>6</v>
      </c>
      <c r="M272">
        <v>261</v>
      </c>
      <c r="N272" s="1">
        <f t="shared" si="15"/>
        <v>1566</v>
      </c>
    </row>
    <row r="273" spans="5:14" x14ac:dyDescent="0.25">
      <c r="E273">
        <v>375</v>
      </c>
      <c r="F273" s="7">
        <v>45062</v>
      </c>
      <c r="G273">
        <f t="shared" si="13"/>
        <v>2023</v>
      </c>
      <c r="H273" s="7" t="str">
        <f t="shared" si="14"/>
        <v>Май</v>
      </c>
      <c r="I273" t="s">
        <v>22</v>
      </c>
      <c r="J273">
        <v>64</v>
      </c>
      <c r="K273" t="s">
        <v>21</v>
      </c>
      <c r="L273">
        <v>1</v>
      </c>
      <c r="M273">
        <v>30</v>
      </c>
      <c r="N273" s="1">
        <f t="shared" si="15"/>
        <v>30</v>
      </c>
    </row>
    <row r="274" spans="5:14" x14ac:dyDescent="0.25">
      <c r="E274">
        <v>1775</v>
      </c>
      <c r="F274" s="7">
        <v>45417</v>
      </c>
      <c r="G274">
        <f t="shared" si="13"/>
        <v>2024</v>
      </c>
      <c r="H274" s="7" t="str">
        <f t="shared" si="14"/>
        <v>Май</v>
      </c>
      <c r="I274" t="s">
        <v>22</v>
      </c>
      <c r="J274">
        <v>65</v>
      </c>
      <c r="K274" t="s">
        <v>24</v>
      </c>
      <c r="L274">
        <v>6</v>
      </c>
      <c r="M274">
        <v>466</v>
      </c>
      <c r="N274" s="1">
        <f t="shared" si="15"/>
        <v>2796</v>
      </c>
    </row>
    <row r="275" spans="5:14" x14ac:dyDescent="0.25">
      <c r="E275">
        <v>1996</v>
      </c>
      <c r="F275" s="7">
        <v>45394</v>
      </c>
      <c r="G275">
        <f t="shared" si="13"/>
        <v>2024</v>
      </c>
      <c r="H275" s="7" t="str">
        <f t="shared" si="14"/>
        <v>Апрель</v>
      </c>
      <c r="I275" t="s">
        <v>20</v>
      </c>
      <c r="J275">
        <v>34</v>
      </c>
      <c r="K275" t="s">
        <v>24</v>
      </c>
      <c r="L275">
        <v>3</v>
      </c>
      <c r="M275">
        <v>120</v>
      </c>
      <c r="N275" s="1">
        <f t="shared" si="15"/>
        <v>360</v>
      </c>
    </row>
    <row r="276" spans="5:14" x14ac:dyDescent="0.25">
      <c r="E276">
        <v>406</v>
      </c>
      <c r="F276" s="7">
        <v>45102</v>
      </c>
      <c r="G276">
        <f t="shared" si="13"/>
        <v>2023</v>
      </c>
      <c r="H276" s="7" t="str">
        <f t="shared" si="14"/>
        <v>Июнь</v>
      </c>
      <c r="I276" t="s">
        <v>22</v>
      </c>
      <c r="J276">
        <v>46</v>
      </c>
      <c r="K276" t="s">
        <v>24</v>
      </c>
      <c r="L276">
        <v>3</v>
      </c>
      <c r="M276">
        <v>300</v>
      </c>
      <c r="N276" s="1">
        <f t="shared" si="15"/>
        <v>900</v>
      </c>
    </row>
    <row r="277" spans="5:14" x14ac:dyDescent="0.25">
      <c r="E277">
        <v>55</v>
      </c>
      <c r="F277" s="7">
        <v>45209</v>
      </c>
      <c r="G277">
        <f t="shared" si="13"/>
        <v>2023</v>
      </c>
      <c r="H277" s="7" t="str">
        <f t="shared" si="14"/>
        <v>Октябрь</v>
      </c>
      <c r="I277" t="s">
        <v>20</v>
      </c>
      <c r="J277">
        <v>31</v>
      </c>
      <c r="K277" t="s">
        <v>21</v>
      </c>
      <c r="L277">
        <v>4</v>
      </c>
      <c r="M277">
        <v>30</v>
      </c>
      <c r="N277" s="1">
        <f t="shared" si="15"/>
        <v>120</v>
      </c>
    </row>
    <row r="278" spans="5:14" x14ac:dyDescent="0.25">
      <c r="E278">
        <v>1057</v>
      </c>
      <c r="F278" s="7">
        <v>45478</v>
      </c>
      <c r="G278">
        <f t="shared" si="13"/>
        <v>2024</v>
      </c>
      <c r="H278" s="7" t="str">
        <f t="shared" si="14"/>
        <v>Июль</v>
      </c>
      <c r="I278" t="s">
        <v>20</v>
      </c>
      <c r="J278">
        <v>33</v>
      </c>
      <c r="K278" t="s">
        <v>23</v>
      </c>
      <c r="L278">
        <v>5</v>
      </c>
      <c r="M278">
        <v>304</v>
      </c>
      <c r="N278" s="1">
        <f t="shared" si="15"/>
        <v>1520</v>
      </c>
    </row>
    <row r="279" spans="5:14" x14ac:dyDescent="0.25">
      <c r="E279">
        <v>1059</v>
      </c>
      <c r="F279" s="7">
        <v>45391</v>
      </c>
      <c r="G279">
        <f t="shared" si="13"/>
        <v>2024</v>
      </c>
      <c r="H279" s="7" t="str">
        <f t="shared" si="14"/>
        <v>Апрель</v>
      </c>
      <c r="I279" t="s">
        <v>20</v>
      </c>
      <c r="J279">
        <v>26</v>
      </c>
      <c r="K279" t="s">
        <v>21</v>
      </c>
      <c r="L279">
        <v>2</v>
      </c>
      <c r="M279">
        <v>198</v>
      </c>
      <c r="N279" s="1">
        <f t="shared" si="15"/>
        <v>396</v>
      </c>
    </row>
    <row r="280" spans="5:14" x14ac:dyDescent="0.25">
      <c r="E280">
        <v>11</v>
      </c>
      <c r="F280" s="7">
        <v>44971</v>
      </c>
      <c r="G280">
        <f t="shared" si="13"/>
        <v>2023</v>
      </c>
      <c r="H280" s="7" t="str">
        <f t="shared" si="14"/>
        <v>Февраль</v>
      </c>
      <c r="I280" t="s">
        <v>20</v>
      </c>
      <c r="J280">
        <v>23</v>
      </c>
      <c r="K280" t="s">
        <v>23</v>
      </c>
      <c r="L280">
        <v>2</v>
      </c>
      <c r="M280">
        <v>50</v>
      </c>
      <c r="N280" s="1">
        <f t="shared" si="15"/>
        <v>100</v>
      </c>
    </row>
    <row r="281" spans="5:14" x14ac:dyDescent="0.25">
      <c r="E281">
        <v>283</v>
      </c>
      <c r="F281" s="7">
        <v>44965</v>
      </c>
      <c r="G281">
        <f t="shared" si="13"/>
        <v>2023</v>
      </c>
      <c r="H281" s="7" t="str">
        <f t="shared" si="14"/>
        <v>Февраль</v>
      </c>
      <c r="I281" t="s">
        <v>20</v>
      </c>
      <c r="J281">
        <v>43</v>
      </c>
      <c r="K281" t="s">
        <v>23</v>
      </c>
      <c r="L281">
        <v>4</v>
      </c>
      <c r="M281">
        <v>50</v>
      </c>
      <c r="N281" s="1">
        <f t="shared" si="15"/>
        <v>200</v>
      </c>
    </row>
    <row r="282" spans="5:14" x14ac:dyDescent="0.25">
      <c r="E282">
        <v>1264</v>
      </c>
      <c r="F282" s="7">
        <v>45623</v>
      </c>
      <c r="G282">
        <f t="shared" si="13"/>
        <v>2024</v>
      </c>
      <c r="H282" s="7" t="str">
        <f t="shared" si="14"/>
        <v>Ноябрь</v>
      </c>
      <c r="I282" t="s">
        <v>22</v>
      </c>
      <c r="J282">
        <v>63</v>
      </c>
      <c r="K282" t="s">
        <v>21</v>
      </c>
      <c r="L282">
        <v>3</v>
      </c>
      <c r="M282">
        <v>43</v>
      </c>
      <c r="N282" s="1">
        <f t="shared" si="15"/>
        <v>129</v>
      </c>
    </row>
    <row r="283" spans="5:14" x14ac:dyDescent="0.25">
      <c r="E283">
        <v>609</v>
      </c>
      <c r="F283" s="7">
        <v>44929</v>
      </c>
      <c r="G283">
        <f t="shared" si="13"/>
        <v>2023</v>
      </c>
      <c r="H283" s="7" t="str">
        <f t="shared" si="14"/>
        <v>Январь</v>
      </c>
      <c r="I283" t="s">
        <v>22</v>
      </c>
      <c r="J283">
        <v>26</v>
      </c>
      <c r="K283" t="s">
        <v>21</v>
      </c>
      <c r="L283">
        <v>2</v>
      </c>
      <c r="M283">
        <v>300</v>
      </c>
      <c r="N283" s="1">
        <f t="shared" si="15"/>
        <v>600</v>
      </c>
    </row>
    <row r="284" spans="5:14" x14ac:dyDescent="0.25">
      <c r="E284">
        <v>1507</v>
      </c>
      <c r="F284" s="7">
        <v>45453</v>
      </c>
      <c r="G284">
        <f t="shared" si="13"/>
        <v>2024</v>
      </c>
      <c r="H284" s="7" t="str">
        <f t="shared" si="14"/>
        <v>Июнь</v>
      </c>
      <c r="I284" t="s">
        <v>22</v>
      </c>
      <c r="J284">
        <v>44</v>
      </c>
      <c r="K284" t="s">
        <v>21</v>
      </c>
      <c r="L284">
        <v>6</v>
      </c>
      <c r="M284">
        <v>303</v>
      </c>
      <c r="N284" s="1">
        <f t="shared" si="15"/>
        <v>1818</v>
      </c>
    </row>
    <row r="285" spans="5:14" x14ac:dyDescent="0.25">
      <c r="E285">
        <v>938</v>
      </c>
      <c r="F285" s="7">
        <v>44954</v>
      </c>
      <c r="G285">
        <f t="shared" si="13"/>
        <v>2023</v>
      </c>
      <c r="H285" s="7" t="str">
        <f t="shared" si="14"/>
        <v>Январь</v>
      </c>
      <c r="I285" t="s">
        <v>22</v>
      </c>
      <c r="J285">
        <v>20</v>
      </c>
      <c r="K285" t="s">
        <v>24</v>
      </c>
      <c r="L285">
        <v>1</v>
      </c>
      <c r="M285">
        <v>30</v>
      </c>
      <c r="N285" s="1">
        <f t="shared" si="15"/>
        <v>30</v>
      </c>
    </row>
    <row r="286" spans="5:14" x14ac:dyDescent="0.25">
      <c r="E286">
        <v>1474</v>
      </c>
      <c r="F286" s="7">
        <v>45406</v>
      </c>
      <c r="G286">
        <f t="shared" si="13"/>
        <v>2024</v>
      </c>
      <c r="H286" s="7" t="str">
        <f t="shared" si="14"/>
        <v>Апрель</v>
      </c>
      <c r="I286" t="s">
        <v>20</v>
      </c>
      <c r="J286">
        <v>55</v>
      </c>
      <c r="K286" t="s">
        <v>23</v>
      </c>
      <c r="L286">
        <v>1</v>
      </c>
      <c r="M286">
        <v>323</v>
      </c>
      <c r="N286" s="1">
        <f t="shared" si="15"/>
        <v>323</v>
      </c>
    </row>
    <row r="287" spans="5:14" x14ac:dyDescent="0.25">
      <c r="E287">
        <v>872</v>
      </c>
      <c r="F287" s="7">
        <v>45103</v>
      </c>
      <c r="G287">
        <f t="shared" si="13"/>
        <v>2023</v>
      </c>
      <c r="H287" s="7" t="str">
        <f t="shared" si="14"/>
        <v>Июнь</v>
      </c>
      <c r="I287" t="s">
        <v>20</v>
      </c>
      <c r="J287">
        <v>60</v>
      </c>
      <c r="K287" t="s">
        <v>21</v>
      </c>
      <c r="L287">
        <v>1</v>
      </c>
      <c r="M287">
        <v>30</v>
      </c>
      <c r="N287" s="1">
        <f t="shared" si="15"/>
        <v>30</v>
      </c>
    </row>
    <row r="288" spans="5:14" x14ac:dyDescent="0.25">
      <c r="E288">
        <v>1575</v>
      </c>
      <c r="F288" s="7">
        <v>45438</v>
      </c>
      <c r="G288">
        <f t="shared" si="13"/>
        <v>2024</v>
      </c>
      <c r="H288" s="7" t="str">
        <f t="shared" si="14"/>
        <v>Май</v>
      </c>
      <c r="I288" t="s">
        <v>22</v>
      </c>
      <c r="J288">
        <v>42</v>
      </c>
      <c r="K288" t="s">
        <v>23</v>
      </c>
      <c r="L288">
        <v>6</v>
      </c>
      <c r="M288">
        <v>190</v>
      </c>
      <c r="N288" s="1">
        <f t="shared" si="15"/>
        <v>1140</v>
      </c>
    </row>
    <row r="289" spans="5:14" x14ac:dyDescent="0.25">
      <c r="E289">
        <v>1648</v>
      </c>
      <c r="F289" s="7">
        <v>45413</v>
      </c>
      <c r="G289">
        <f t="shared" si="13"/>
        <v>2024</v>
      </c>
      <c r="H289" s="7" t="str">
        <f t="shared" si="14"/>
        <v>Май</v>
      </c>
      <c r="I289" t="s">
        <v>22</v>
      </c>
      <c r="J289">
        <v>22</v>
      </c>
      <c r="K289" t="s">
        <v>21</v>
      </c>
      <c r="L289">
        <v>6</v>
      </c>
      <c r="M289">
        <v>393</v>
      </c>
      <c r="N289" s="1">
        <f t="shared" si="15"/>
        <v>2358</v>
      </c>
    </row>
    <row r="290" spans="5:14" x14ac:dyDescent="0.25">
      <c r="E290">
        <v>1178</v>
      </c>
      <c r="F290" s="7">
        <v>45292</v>
      </c>
      <c r="G290">
        <f t="shared" si="13"/>
        <v>2024</v>
      </c>
      <c r="H290" s="7" t="str">
        <f t="shared" si="14"/>
        <v>Январь</v>
      </c>
      <c r="I290" t="s">
        <v>20</v>
      </c>
      <c r="J290">
        <v>49</v>
      </c>
      <c r="K290" t="s">
        <v>23</v>
      </c>
      <c r="L290">
        <v>1</v>
      </c>
      <c r="M290">
        <v>378</v>
      </c>
      <c r="N290" s="1">
        <f t="shared" si="15"/>
        <v>378</v>
      </c>
    </row>
    <row r="291" spans="5:14" x14ac:dyDescent="0.25">
      <c r="E291">
        <v>841</v>
      </c>
      <c r="F291" s="7">
        <v>45068</v>
      </c>
      <c r="G291">
        <f t="shared" si="13"/>
        <v>2023</v>
      </c>
      <c r="H291" s="7" t="str">
        <f t="shared" si="14"/>
        <v>Май</v>
      </c>
      <c r="I291" t="s">
        <v>20</v>
      </c>
      <c r="J291">
        <v>21</v>
      </c>
      <c r="K291" t="s">
        <v>21</v>
      </c>
      <c r="L291">
        <v>3</v>
      </c>
      <c r="M291">
        <v>500</v>
      </c>
      <c r="N291" s="1">
        <f t="shared" si="15"/>
        <v>1500</v>
      </c>
    </row>
    <row r="292" spans="5:14" x14ac:dyDescent="0.25">
      <c r="E292">
        <v>216</v>
      </c>
      <c r="F292" s="7">
        <v>45151</v>
      </c>
      <c r="G292">
        <f t="shared" si="13"/>
        <v>2023</v>
      </c>
      <c r="H292" s="7" t="str">
        <f t="shared" si="14"/>
        <v>Август</v>
      </c>
      <c r="I292" t="s">
        <v>22</v>
      </c>
      <c r="J292">
        <v>35</v>
      </c>
      <c r="K292" t="s">
        <v>24</v>
      </c>
      <c r="L292">
        <v>4</v>
      </c>
      <c r="M292">
        <v>50</v>
      </c>
      <c r="N292" s="1">
        <f t="shared" si="15"/>
        <v>200</v>
      </c>
    </row>
    <row r="293" spans="5:14" x14ac:dyDescent="0.25">
      <c r="E293">
        <v>171</v>
      </c>
      <c r="F293" s="7">
        <v>45254</v>
      </c>
      <c r="G293">
        <f t="shared" si="13"/>
        <v>2023</v>
      </c>
      <c r="H293" s="7" t="str">
        <f t="shared" si="14"/>
        <v>Ноябрь</v>
      </c>
      <c r="I293" t="s">
        <v>22</v>
      </c>
      <c r="J293">
        <v>52</v>
      </c>
      <c r="K293" t="s">
        <v>23</v>
      </c>
      <c r="L293">
        <v>3</v>
      </c>
      <c r="M293">
        <v>300</v>
      </c>
      <c r="N293" s="1">
        <f t="shared" si="15"/>
        <v>900</v>
      </c>
    </row>
    <row r="294" spans="5:14" x14ac:dyDescent="0.25">
      <c r="E294">
        <v>1226</v>
      </c>
      <c r="F294" s="7">
        <v>45594</v>
      </c>
      <c r="G294">
        <f t="shared" si="13"/>
        <v>2024</v>
      </c>
      <c r="H294" s="7" t="str">
        <f t="shared" si="14"/>
        <v>Октябрь</v>
      </c>
      <c r="I294" t="s">
        <v>20</v>
      </c>
      <c r="J294">
        <v>25</v>
      </c>
      <c r="K294" t="s">
        <v>21</v>
      </c>
      <c r="L294">
        <v>3</v>
      </c>
      <c r="M294">
        <v>491</v>
      </c>
      <c r="N294" s="1">
        <f t="shared" si="15"/>
        <v>1473</v>
      </c>
    </row>
    <row r="295" spans="5:14" x14ac:dyDescent="0.25">
      <c r="E295">
        <v>571</v>
      </c>
      <c r="F295" s="7">
        <v>45036</v>
      </c>
      <c r="G295">
        <f t="shared" si="13"/>
        <v>2023</v>
      </c>
      <c r="H295" s="7" t="str">
        <f t="shared" si="14"/>
        <v>Апрель</v>
      </c>
      <c r="I295" t="s">
        <v>20</v>
      </c>
      <c r="J295">
        <v>31</v>
      </c>
      <c r="K295" t="s">
        <v>23</v>
      </c>
      <c r="L295">
        <v>4</v>
      </c>
      <c r="M295">
        <v>500</v>
      </c>
      <c r="N295" s="1">
        <f t="shared" si="15"/>
        <v>2000</v>
      </c>
    </row>
    <row r="296" spans="5:14" x14ac:dyDescent="0.25">
      <c r="E296">
        <v>1646</v>
      </c>
      <c r="F296" s="7">
        <v>45331</v>
      </c>
      <c r="G296">
        <f t="shared" si="13"/>
        <v>2024</v>
      </c>
      <c r="H296" s="7" t="str">
        <f t="shared" si="14"/>
        <v>Февраль</v>
      </c>
      <c r="I296" t="s">
        <v>22</v>
      </c>
      <c r="J296">
        <v>30</v>
      </c>
      <c r="K296" t="s">
        <v>23</v>
      </c>
      <c r="L296">
        <v>2</v>
      </c>
      <c r="M296">
        <v>425</v>
      </c>
      <c r="N296" s="1">
        <f t="shared" si="15"/>
        <v>850</v>
      </c>
    </row>
    <row r="297" spans="5:14" x14ac:dyDescent="0.25">
      <c r="E297">
        <v>1576</v>
      </c>
      <c r="F297" s="7">
        <v>45556</v>
      </c>
      <c r="G297">
        <f t="shared" si="13"/>
        <v>2024</v>
      </c>
      <c r="H297" s="7" t="str">
        <f t="shared" si="14"/>
        <v>Сентябрь</v>
      </c>
      <c r="I297" t="s">
        <v>22</v>
      </c>
      <c r="J297">
        <v>58</v>
      </c>
      <c r="K297" t="s">
        <v>24</v>
      </c>
      <c r="L297">
        <v>5</v>
      </c>
      <c r="M297">
        <v>13</v>
      </c>
      <c r="N297" s="1">
        <f t="shared" si="15"/>
        <v>65</v>
      </c>
    </row>
    <row r="298" spans="5:14" x14ac:dyDescent="0.25">
      <c r="E298">
        <v>1020</v>
      </c>
      <c r="F298" s="7">
        <v>45580</v>
      </c>
      <c r="G298">
        <f t="shared" si="13"/>
        <v>2024</v>
      </c>
      <c r="H298" s="7" t="str">
        <f t="shared" si="14"/>
        <v>Октябрь</v>
      </c>
      <c r="I298" t="s">
        <v>20</v>
      </c>
      <c r="J298">
        <v>29</v>
      </c>
      <c r="K298" t="s">
        <v>23</v>
      </c>
      <c r="L298">
        <v>3</v>
      </c>
      <c r="M298">
        <v>262</v>
      </c>
      <c r="N298" s="1">
        <f t="shared" si="15"/>
        <v>786</v>
      </c>
    </row>
    <row r="299" spans="5:14" x14ac:dyDescent="0.25">
      <c r="E299">
        <v>1869</v>
      </c>
      <c r="F299" s="7">
        <v>45564</v>
      </c>
      <c r="G299">
        <f t="shared" si="13"/>
        <v>2024</v>
      </c>
      <c r="H299" s="7" t="str">
        <f t="shared" si="14"/>
        <v>Сентябрь</v>
      </c>
      <c r="I299" t="s">
        <v>22</v>
      </c>
      <c r="J299">
        <v>21</v>
      </c>
      <c r="K299" t="s">
        <v>24</v>
      </c>
      <c r="L299">
        <v>7</v>
      </c>
      <c r="M299">
        <v>315</v>
      </c>
      <c r="N299" s="1">
        <f t="shared" si="15"/>
        <v>2205</v>
      </c>
    </row>
    <row r="300" spans="5:14" x14ac:dyDescent="0.25">
      <c r="E300">
        <v>245</v>
      </c>
      <c r="F300" s="7">
        <v>45036</v>
      </c>
      <c r="G300">
        <f t="shared" si="13"/>
        <v>2023</v>
      </c>
      <c r="H300" s="7" t="str">
        <f t="shared" si="14"/>
        <v>Апрель</v>
      </c>
      <c r="I300" t="s">
        <v>22</v>
      </c>
      <c r="J300">
        <v>48</v>
      </c>
      <c r="K300" t="s">
        <v>24</v>
      </c>
      <c r="L300">
        <v>2</v>
      </c>
      <c r="M300">
        <v>25</v>
      </c>
      <c r="N300" s="1">
        <f t="shared" si="15"/>
        <v>50</v>
      </c>
    </row>
    <row r="301" spans="5:14" x14ac:dyDescent="0.25">
      <c r="E301">
        <v>940</v>
      </c>
      <c r="F301" s="7">
        <v>45003</v>
      </c>
      <c r="G301">
        <f t="shared" si="13"/>
        <v>2023</v>
      </c>
      <c r="H301" s="7" t="str">
        <f t="shared" si="14"/>
        <v>Март</v>
      </c>
      <c r="I301" t="s">
        <v>20</v>
      </c>
      <c r="J301">
        <v>51</v>
      </c>
      <c r="K301" t="s">
        <v>23</v>
      </c>
      <c r="L301">
        <v>3</v>
      </c>
      <c r="M301">
        <v>500</v>
      </c>
      <c r="N301" s="1">
        <f t="shared" si="15"/>
        <v>1500</v>
      </c>
    </row>
    <row r="302" spans="5:14" x14ac:dyDescent="0.25">
      <c r="E302">
        <v>74</v>
      </c>
      <c r="F302" s="7">
        <v>45252</v>
      </c>
      <c r="G302">
        <f t="shared" si="13"/>
        <v>2023</v>
      </c>
      <c r="H302" s="7" t="str">
        <f t="shared" si="14"/>
        <v>Ноябрь</v>
      </c>
      <c r="I302" t="s">
        <v>22</v>
      </c>
      <c r="J302">
        <v>18</v>
      </c>
      <c r="K302" t="s">
        <v>21</v>
      </c>
      <c r="L302">
        <v>4</v>
      </c>
      <c r="M302">
        <v>500</v>
      </c>
      <c r="N302" s="1">
        <f t="shared" si="15"/>
        <v>2000</v>
      </c>
    </row>
    <row r="303" spans="5:14" x14ac:dyDescent="0.25">
      <c r="E303">
        <v>143</v>
      </c>
      <c r="F303" s="7">
        <v>45124</v>
      </c>
      <c r="G303">
        <f t="shared" si="13"/>
        <v>2023</v>
      </c>
      <c r="H303" s="7" t="str">
        <f t="shared" si="14"/>
        <v>Июль</v>
      </c>
      <c r="I303" t="s">
        <v>22</v>
      </c>
      <c r="J303">
        <v>45</v>
      </c>
      <c r="K303" t="s">
        <v>23</v>
      </c>
      <c r="L303">
        <v>1</v>
      </c>
      <c r="M303">
        <v>50</v>
      </c>
      <c r="N303" s="1">
        <f t="shared" si="15"/>
        <v>50</v>
      </c>
    </row>
    <row r="304" spans="5:14" x14ac:dyDescent="0.25">
      <c r="E304">
        <v>978</v>
      </c>
      <c r="F304" s="7">
        <v>45136</v>
      </c>
      <c r="G304">
        <f t="shared" si="13"/>
        <v>2023</v>
      </c>
      <c r="H304" s="7" t="str">
        <f t="shared" si="14"/>
        <v>Июль</v>
      </c>
      <c r="I304" t="s">
        <v>22</v>
      </c>
      <c r="J304">
        <v>31</v>
      </c>
      <c r="K304" t="s">
        <v>24</v>
      </c>
      <c r="L304">
        <v>3</v>
      </c>
      <c r="M304">
        <v>25</v>
      </c>
      <c r="N304" s="1">
        <f t="shared" si="15"/>
        <v>75</v>
      </c>
    </row>
    <row r="305" spans="5:14" x14ac:dyDescent="0.25">
      <c r="E305">
        <v>786</v>
      </c>
      <c r="F305" s="7">
        <v>45104</v>
      </c>
      <c r="G305">
        <f t="shared" si="13"/>
        <v>2023</v>
      </c>
      <c r="H305" s="7" t="str">
        <f t="shared" si="14"/>
        <v>Июнь</v>
      </c>
      <c r="I305" t="s">
        <v>22</v>
      </c>
      <c r="J305">
        <v>52</v>
      </c>
      <c r="K305" t="s">
        <v>21</v>
      </c>
      <c r="L305">
        <v>3</v>
      </c>
      <c r="M305">
        <v>300</v>
      </c>
      <c r="N305" s="1">
        <f t="shared" si="15"/>
        <v>900</v>
      </c>
    </row>
    <row r="306" spans="5:14" x14ac:dyDescent="0.25">
      <c r="E306">
        <v>1835</v>
      </c>
      <c r="F306" s="7">
        <v>45467</v>
      </c>
      <c r="G306">
        <f t="shared" si="13"/>
        <v>2024</v>
      </c>
      <c r="H306" s="7" t="str">
        <f t="shared" si="14"/>
        <v>Июнь</v>
      </c>
      <c r="I306" t="s">
        <v>22</v>
      </c>
      <c r="J306">
        <v>49</v>
      </c>
      <c r="K306" t="s">
        <v>24</v>
      </c>
      <c r="L306">
        <v>4</v>
      </c>
      <c r="M306">
        <v>429</v>
      </c>
      <c r="N306" s="1">
        <f t="shared" si="15"/>
        <v>1716</v>
      </c>
    </row>
    <row r="307" spans="5:14" x14ac:dyDescent="0.25">
      <c r="E307">
        <v>1714</v>
      </c>
      <c r="F307" s="7">
        <v>45529</v>
      </c>
      <c r="G307">
        <f t="shared" si="13"/>
        <v>2024</v>
      </c>
      <c r="H307" s="7" t="str">
        <f t="shared" si="14"/>
        <v>Август</v>
      </c>
      <c r="I307" t="s">
        <v>22</v>
      </c>
      <c r="J307">
        <v>56</v>
      </c>
      <c r="K307" t="s">
        <v>21</v>
      </c>
      <c r="L307">
        <v>5</v>
      </c>
      <c r="M307">
        <v>95</v>
      </c>
      <c r="N307" s="1">
        <f t="shared" si="15"/>
        <v>475</v>
      </c>
    </row>
    <row r="308" spans="5:14" x14ac:dyDescent="0.25">
      <c r="E308">
        <v>1093</v>
      </c>
      <c r="F308" s="7">
        <v>45620</v>
      </c>
      <c r="G308">
        <f t="shared" si="13"/>
        <v>2024</v>
      </c>
      <c r="H308" s="7" t="str">
        <f t="shared" si="14"/>
        <v>Ноябрь</v>
      </c>
      <c r="I308" t="s">
        <v>22</v>
      </c>
      <c r="J308">
        <v>33</v>
      </c>
      <c r="K308" t="s">
        <v>23</v>
      </c>
      <c r="L308">
        <v>7</v>
      </c>
      <c r="M308">
        <v>201</v>
      </c>
      <c r="N308" s="1">
        <f t="shared" si="15"/>
        <v>1407</v>
      </c>
    </row>
    <row r="309" spans="5:14" x14ac:dyDescent="0.25">
      <c r="E309">
        <v>694</v>
      </c>
      <c r="F309" s="7">
        <v>45175</v>
      </c>
      <c r="G309">
        <f t="shared" si="13"/>
        <v>2023</v>
      </c>
      <c r="H309" s="7" t="str">
        <f t="shared" si="14"/>
        <v>Сентябрь</v>
      </c>
      <c r="I309" t="s">
        <v>22</v>
      </c>
      <c r="J309">
        <v>50</v>
      </c>
      <c r="K309" t="s">
        <v>23</v>
      </c>
      <c r="L309">
        <v>4</v>
      </c>
      <c r="M309">
        <v>50</v>
      </c>
      <c r="N309" s="1">
        <f t="shared" si="15"/>
        <v>200</v>
      </c>
    </row>
    <row r="310" spans="5:14" x14ac:dyDescent="0.25">
      <c r="E310">
        <v>303</v>
      </c>
      <c r="F310" s="7">
        <v>45126</v>
      </c>
      <c r="G310">
        <f t="shared" si="13"/>
        <v>2023</v>
      </c>
      <c r="H310" s="7" t="str">
        <f t="shared" si="14"/>
        <v>Июль</v>
      </c>
      <c r="I310" t="s">
        <v>22</v>
      </c>
      <c r="J310">
        <v>37</v>
      </c>
      <c r="K310" t="s">
        <v>24</v>
      </c>
      <c r="L310">
        <v>2</v>
      </c>
      <c r="M310">
        <v>30</v>
      </c>
      <c r="N310" s="1">
        <f t="shared" si="15"/>
        <v>60</v>
      </c>
    </row>
    <row r="311" spans="5:14" x14ac:dyDescent="0.25">
      <c r="E311">
        <v>563</v>
      </c>
      <c r="F311" s="7">
        <v>45223</v>
      </c>
      <c r="G311">
        <f t="shared" si="13"/>
        <v>2023</v>
      </c>
      <c r="H311" s="7" t="str">
        <f t="shared" si="14"/>
        <v>Октябрь</v>
      </c>
      <c r="I311" t="s">
        <v>20</v>
      </c>
      <c r="J311">
        <v>50</v>
      </c>
      <c r="K311" t="s">
        <v>24</v>
      </c>
      <c r="L311">
        <v>2</v>
      </c>
      <c r="M311">
        <v>50</v>
      </c>
      <c r="N311" s="1">
        <f t="shared" si="15"/>
        <v>100</v>
      </c>
    </row>
    <row r="312" spans="5:14" x14ac:dyDescent="0.25">
      <c r="E312">
        <v>34</v>
      </c>
      <c r="F312" s="7">
        <v>45284</v>
      </c>
      <c r="G312">
        <f t="shared" si="13"/>
        <v>2023</v>
      </c>
      <c r="H312" s="7" t="str">
        <f t="shared" si="14"/>
        <v>Декабрь</v>
      </c>
      <c r="I312" t="s">
        <v>22</v>
      </c>
      <c r="J312">
        <v>51</v>
      </c>
      <c r="K312" t="s">
        <v>23</v>
      </c>
      <c r="L312">
        <v>3</v>
      </c>
      <c r="M312">
        <v>50</v>
      </c>
      <c r="N312" s="1">
        <f t="shared" si="15"/>
        <v>150</v>
      </c>
    </row>
    <row r="313" spans="5:14" x14ac:dyDescent="0.25">
      <c r="E313">
        <v>1627</v>
      </c>
      <c r="F313" s="7">
        <v>45519</v>
      </c>
      <c r="G313">
        <f t="shared" si="13"/>
        <v>2024</v>
      </c>
      <c r="H313" s="7" t="str">
        <f t="shared" si="14"/>
        <v>Август</v>
      </c>
      <c r="I313" t="s">
        <v>20</v>
      </c>
      <c r="J313">
        <v>37</v>
      </c>
      <c r="K313" t="s">
        <v>23</v>
      </c>
      <c r="L313">
        <v>2</v>
      </c>
      <c r="M313">
        <v>452</v>
      </c>
      <c r="N313" s="1">
        <f t="shared" si="15"/>
        <v>904</v>
      </c>
    </row>
    <row r="314" spans="5:14" x14ac:dyDescent="0.25">
      <c r="E314">
        <v>1456</v>
      </c>
      <c r="F314" s="7">
        <v>45372</v>
      </c>
      <c r="G314">
        <f t="shared" si="13"/>
        <v>2024</v>
      </c>
      <c r="H314" s="7" t="str">
        <f t="shared" si="14"/>
        <v>Март</v>
      </c>
      <c r="I314" t="s">
        <v>20</v>
      </c>
      <c r="J314">
        <v>25</v>
      </c>
      <c r="K314" t="s">
        <v>23</v>
      </c>
      <c r="L314">
        <v>1</v>
      </c>
      <c r="M314">
        <v>195</v>
      </c>
      <c r="N314" s="1">
        <f t="shared" si="15"/>
        <v>195</v>
      </c>
    </row>
    <row r="315" spans="5:14" x14ac:dyDescent="0.25">
      <c r="E315">
        <v>762</v>
      </c>
      <c r="F315" s="7">
        <v>45010</v>
      </c>
      <c r="G315">
        <f t="shared" si="13"/>
        <v>2023</v>
      </c>
      <c r="H315" s="7" t="str">
        <f t="shared" si="14"/>
        <v>Март</v>
      </c>
      <c r="I315" t="s">
        <v>22</v>
      </c>
      <c r="J315">
        <v>40</v>
      </c>
      <c r="K315" t="s">
        <v>23</v>
      </c>
      <c r="L315">
        <v>1</v>
      </c>
      <c r="M315">
        <v>25</v>
      </c>
      <c r="N315" s="1">
        <f t="shared" si="15"/>
        <v>25</v>
      </c>
    </row>
    <row r="316" spans="5:14" x14ac:dyDescent="0.25">
      <c r="E316">
        <v>1970</v>
      </c>
      <c r="F316" s="7">
        <v>45415</v>
      </c>
      <c r="G316">
        <f t="shared" si="13"/>
        <v>2024</v>
      </c>
      <c r="H316" s="7" t="str">
        <f t="shared" si="14"/>
        <v>Май</v>
      </c>
      <c r="I316" t="s">
        <v>20</v>
      </c>
      <c r="J316">
        <v>46</v>
      </c>
      <c r="K316" t="s">
        <v>21</v>
      </c>
      <c r="L316">
        <v>1</v>
      </c>
      <c r="M316">
        <v>223</v>
      </c>
      <c r="N316" s="1">
        <f t="shared" si="15"/>
        <v>223</v>
      </c>
    </row>
    <row r="317" spans="5:14" x14ac:dyDescent="0.25">
      <c r="E317">
        <v>880</v>
      </c>
      <c r="F317" s="7">
        <v>45083</v>
      </c>
      <c r="G317">
        <f t="shared" si="13"/>
        <v>2023</v>
      </c>
      <c r="H317" s="7" t="str">
        <f t="shared" si="14"/>
        <v>Июнь</v>
      </c>
      <c r="I317" t="s">
        <v>22</v>
      </c>
      <c r="J317">
        <v>64</v>
      </c>
      <c r="K317" t="s">
        <v>24</v>
      </c>
      <c r="L317">
        <v>2</v>
      </c>
      <c r="M317">
        <v>25</v>
      </c>
      <c r="N317" s="1">
        <f t="shared" si="15"/>
        <v>50</v>
      </c>
    </row>
    <row r="318" spans="5:14" x14ac:dyDescent="0.25">
      <c r="E318">
        <v>486</v>
      </c>
      <c r="F318" s="7">
        <v>45131</v>
      </c>
      <c r="G318">
        <f t="shared" si="13"/>
        <v>2023</v>
      </c>
      <c r="H318" s="7" t="str">
        <f t="shared" si="14"/>
        <v>Июль</v>
      </c>
      <c r="I318" t="s">
        <v>20</v>
      </c>
      <c r="J318">
        <v>44</v>
      </c>
      <c r="K318" t="s">
        <v>23</v>
      </c>
      <c r="L318">
        <v>4</v>
      </c>
      <c r="M318">
        <v>500</v>
      </c>
      <c r="N318" s="1">
        <f t="shared" si="15"/>
        <v>2000</v>
      </c>
    </row>
    <row r="319" spans="5:14" x14ac:dyDescent="0.25">
      <c r="E319">
        <v>1721</v>
      </c>
      <c r="F319" s="7">
        <v>45525</v>
      </c>
      <c r="G319">
        <f t="shared" si="13"/>
        <v>2024</v>
      </c>
      <c r="H319" s="7" t="str">
        <f t="shared" si="14"/>
        <v>Август</v>
      </c>
      <c r="I319" t="s">
        <v>20</v>
      </c>
      <c r="J319">
        <v>31</v>
      </c>
      <c r="K319" t="s">
        <v>24</v>
      </c>
      <c r="L319">
        <v>5</v>
      </c>
      <c r="M319">
        <v>477</v>
      </c>
      <c r="N319" s="1">
        <f t="shared" si="15"/>
        <v>2385</v>
      </c>
    </row>
    <row r="320" spans="5:14" x14ac:dyDescent="0.25">
      <c r="E320">
        <v>1695</v>
      </c>
      <c r="F320" s="7">
        <v>45465</v>
      </c>
      <c r="G320">
        <f t="shared" si="13"/>
        <v>2024</v>
      </c>
      <c r="H320" s="7" t="str">
        <f t="shared" si="14"/>
        <v>Июнь</v>
      </c>
      <c r="I320" t="s">
        <v>22</v>
      </c>
      <c r="J320">
        <v>18</v>
      </c>
      <c r="K320" t="s">
        <v>23</v>
      </c>
      <c r="L320">
        <v>5</v>
      </c>
      <c r="M320">
        <v>457</v>
      </c>
      <c r="N320" s="1">
        <f t="shared" si="15"/>
        <v>2285</v>
      </c>
    </row>
    <row r="321" spans="5:14" x14ac:dyDescent="0.25">
      <c r="E321">
        <v>927</v>
      </c>
      <c r="F321" s="7">
        <v>44953</v>
      </c>
      <c r="G321">
        <f t="shared" si="13"/>
        <v>2023</v>
      </c>
      <c r="H321" s="7" t="str">
        <f t="shared" si="14"/>
        <v>Январь</v>
      </c>
      <c r="I321" t="s">
        <v>22</v>
      </c>
      <c r="J321">
        <v>23</v>
      </c>
      <c r="K321" t="s">
        <v>21</v>
      </c>
      <c r="L321">
        <v>3</v>
      </c>
      <c r="M321">
        <v>25</v>
      </c>
      <c r="N321" s="1">
        <f t="shared" si="15"/>
        <v>75</v>
      </c>
    </row>
    <row r="322" spans="5:14" x14ac:dyDescent="0.25">
      <c r="E322">
        <v>654</v>
      </c>
      <c r="F322" s="7">
        <v>45203</v>
      </c>
      <c r="G322">
        <f t="shared" si="13"/>
        <v>2023</v>
      </c>
      <c r="H322" s="7" t="str">
        <f t="shared" si="14"/>
        <v>Октябрь</v>
      </c>
      <c r="I322" t="s">
        <v>20</v>
      </c>
      <c r="J322">
        <v>29</v>
      </c>
      <c r="K322" t="s">
        <v>21</v>
      </c>
      <c r="L322">
        <v>3</v>
      </c>
      <c r="M322">
        <v>30</v>
      </c>
      <c r="N322" s="1">
        <f t="shared" si="15"/>
        <v>90</v>
      </c>
    </row>
    <row r="323" spans="5:14" x14ac:dyDescent="0.25">
      <c r="E323">
        <v>293</v>
      </c>
      <c r="F323" s="7">
        <v>45012</v>
      </c>
      <c r="G323">
        <f t="shared" si="13"/>
        <v>2023</v>
      </c>
      <c r="H323" s="7" t="str">
        <f t="shared" si="14"/>
        <v>Март</v>
      </c>
      <c r="I323" t="s">
        <v>22</v>
      </c>
      <c r="J323">
        <v>23</v>
      </c>
      <c r="K323" t="s">
        <v>23</v>
      </c>
      <c r="L323">
        <v>3</v>
      </c>
      <c r="M323">
        <v>30</v>
      </c>
      <c r="N323" s="1">
        <f t="shared" si="15"/>
        <v>90</v>
      </c>
    </row>
    <row r="324" spans="5:14" x14ac:dyDescent="0.25">
      <c r="E324">
        <v>12</v>
      </c>
      <c r="F324" s="7">
        <v>45229</v>
      </c>
      <c r="G324">
        <f t="shared" si="13"/>
        <v>2023</v>
      </c>
      <c r="H324" s="7" t="str">
        <f t="shared" si="14"/>
        <v>Октябрь</v>
      </c>
      <c r="I324" t="s">
        <v>20</v>
      </c>
      <c r="J324">
        <v>35</v>
      </c>
      <c r="K324" t="s">
        <v>21</v>
      </c>
      <c r="L324">
        <v>3</v>
      </c>
      <c r="M324">
        <v>25</v>
      </c>
      <c r="N324" s="1">
        <f t="shared" si="15"/>
        <v>75</v>
      </c>
    </row>
    <row r="325" spans="5:14" x14ac:dyDescent="0.25">
      <c r="E325">
        <v>97</v>
      </c>
      <c r="F325" s="7">
        <v>45212</v>
      </c>
      <c r="G325">
        <f t="shared" si="13"/>
        <v>2023</v>
      </c>
      <c r="H325" s="7" t="str">
        <f t="shared" si="14"/>
        <v>Октябрь</v>
      </c>
      <c r="I325" t="s">
        <v>22</v>
      </c>
      <c r="J325">
        <v>51</v>
      </c>
      <c r="K325" t="s">
        <v>21</v>
      </c>
      <c r="L325">
        <v>2</v>
      </c>
      <c r="M325">
        <v>500</v>
      </c>
      <c r="N325" s="1">
        <f t="shared" si="15"/>
        <v>1000</v>
      </c>
    </row>
    <row r="326" spans="5:14" x14ac:dyDescent="0.25">
      <c r="E326">
        <v>1442</v>
      </c>
      <c r="F326" s="7">
        <v>45313</v>
      </c>
      <c r="G326">
        <f t="shared" si="13"/>
        <v>2024</v>
      </c>
      <c r="H326" s="7" t="str">
        <f t="shared" si="14"/>
        <v>Январь</v>
      </c>
      <c r="I326" t="s">
        <v>22</v>
      </c>
      <c r="J326">
        <v>52</v>
      </c>
      <c r="K326" t="s">
        <v>24</v>
      </c>
      <c r="L326">
        <v>7</v>
      </c>
      <c r="M326">
        <v>370</v>
      </c>
      <c r="N326" s="1">
        <f t="shared" si="15"/>
        <v>2590</v>
      </c>
    </row>
    <row r="327" spans="5:14" x14ac:dyDescent="0.25">
      <c r="E327">
        <v>1888</v>
      </c>
      <c r="F327" s="7">
        <v>45391</v>
      </c>
      <c r="G327">
        <f t="shared" si="13"/>
        <v>2024</v>
      </c>
      <c r="H327" s="7" t="str">
        <f t="shared" si="14"/>
        <v>Апрель</v>
      </c>
      <c r="I327" t="s">
        <v>20</v>
      </c>
      <c r="J327">
        <v>33</v>
      </c>
      <c r="K327" t="s">
        <v>24</v>
      </c>
      <c r="L327">
        <v>5</v>
      </c>
      <c r="M327">
        <v>271</v>
      </c>
      <c r="N327" s="1">
        <f t="shared" si="15"/>
        <v>1355</v>
      </c>
    </row>
    <row r="328" spans="5:14" x14ac:dyDescent="0.25">
      <c r="E328">
        <v>366</v>
      </c>
      <c r="F328" s="7">
        <v>44931</v>
      </c>
      <c r="G328">
        <f t="shared" si="13"/>
        <v>2023</v>
      </c>
      <c r="H328" s="7" t="str">
        <f t="shared" si="14"/>
        <v>Январь</v>
      </c>
      <c r="I328" t="s">
        <v>22</v>
      </c>
      <c r="J328">
        <v>57</v>
      </c>
      <c r="K328" t="s">
        <v>24</v>
      </c>
      <c r="L328">
        <v>1</v>
      </c>
      <c r="M328">
        <v>50</v>
      </c>
      <c r="N328" s="1">
        <f t="shared" si="15"/>
        <v>50</v>
      </c>
    </row>
    <row r="329" spans="5:14" x14ac:dyDescent="0.25">
      <c r="E329">
        <v>214</v>
      </c>
      <c r="F329" s="7">
        <v>45259</v>
      </c>
      <c r="G329">
        <f t="shared" si="13"/>
        <v>2023</v>
      </c>
      <c r="H329" s="7" t="str">
        <f t="shared" si="14"/>
        <v>Ноябрь</v>
      </c>
      <c r="I329" t="s">
        <v>20</v>
      </c>
      <c r="J329">
        <v>58</v>
      </c>
      <c r="K329" t="s">
        <v>23</v>
      </c>
      <c r="L329">
        <v>3</v>
      </c>
      <c r="M329">
        <v>500</v>
      </c>
      <c r="N329" s="1">
        <f t="shared" si="15"/>
        <v>1500</v>
      </c>
    </row>
    <row r="330" spans="5:14" x14ac:dyDescent="0.25">
      <c r="E330">
        <v>907</v>
      </c>
      <c r="F330" s="7">
        <v>45200</v>
      </c>
      <c r="G330">
        <f t="shared" ref="G330:G393" si="16">YEAR(F330)</f>
        <v>2023</v>
      </c>
      <c r="H330" s="7" t="str">
        <f t="shared" ref="H330:H393" si="17">TEXT(F330,"ММММ")</f>
        <v>Октябрь</v>
      </c>
      <c r="I330" t="s">
        <v>20</v>
      </c>
      <c r="J330">
        <v>26</v>
      </c>
      <c r="K330" t="s">
        <v>24</v>
      </c>
      <c r="L330">
        <v>1</v>
      </c>
      <c r="M330">
        <v>300</v>
      </c>
      <c r="N330" s="1">
        <f t="shared" ref="N330:N393" si="18">L330*M330</f>
        <v>300</v>
      </c>
    </row>
    <row r="331" spans="5:14" x14ac:dyDescent="0.25">
      <c r="E331">
        <v>1677</v>
      </c>
      <c r="F331" s="7">
        <v>45487</v>
      </c>
      <c r="G331">
        <f t="shared" si="16"/>
        <v>2024</v>
      </c>
      <c r="H331" s="7" t="str">
        <f t="shared" si="17"/>
        <v>Июль</v>
      </c>
      <c r="I331" t="s">
        <v>22</v>
      </c>
      <c r="J331">
        <v>34</v>
      </c>
      <c r="K331" t="s">
        <v>24</v>
      </c>
      <c r="L331">
        <v>3</v>
      </c>
      <c r="M331">
        <v>217</v>
      </c>
      <c r="N331" s="1">
        <f t="shared" si="18"/>
        <v>651</v>
      </c>
    </row>
    <row r="332" spans="5:14" x14ac:dyDescent="0.25">
      <c r="E332">
        <v>1405</v>
      </c>
      <c r="F332" s="7">
        <v>45397</v>
      </c>
      <c r="G332">
        <f t="shared" si="16"/>
        <v>2024</v>
      </c>
      <c r="H332" s="7" t="str">
        <f t="shared" si="17"/>
        <v>Апрель</v>
      </c>
      <c r="I332" t="s">
        <v>22</v>
      </c>
      <c r="J332">
        <v>65</v>
      </c>
      <c r="K332" t="s">
        <v>21</v>
      </c>
      <c r="L332">
        <v>1</v>
      </c>
      <c r="M332">
        <v>169</v>
      </c>
      <c r="N332" s="1">
        <f t="shared" si="18"/>
        <v>169</v>
      </c>
    </row>
    <row r="333" spans="5:14" x14ac:dyDescent="0.25">
      <c r="E333">
        <v>1108</v>
      </c>
      <c r="F333" s="7">
        <v>45454</v>
      </c>
      <c r="G333">
        <f t="shared" si="16"/>
        <v>2024</v>
      </c>
      <c r="H333" s="7" t="str">
        <f t="shared" si="17"/>
        <v>Июнь</v>
      </c>
      <c r="I333" t="s">
        <v>20</v>
      </c>
      <c r="J333">
        <v>25</v>
      </c>
      <c r="K333" t="s">
        <v>23</v>
      </c>
      <c r="L333">
        <v>5</v>
      </c>
      <c r="M333">
        <v>438</v>
      </c>
      <c r="N333" s="1">
        <f t="shared" si="18"/>
        <v>2190</v>
      </c>
    </row>
    <row r="334" spans="5:14" x14ac:dyDescent="0.25">
      <c r="E334">
        <v>1607</v>
      </c>
      <c r="F334" s="7">
        <v>45294</v>
      </c>
      <c r="G334">
        <f t="shared" si="16"/>
        <v>2024</v>
      </c>
      <c r="H334" s="7" t="str">
        <f t="shared" si="17"/>
        <v>Январь</v>
      </c>
      <c r="I334" t="s">
        <v>22</v>
      </c>
      <c r="J334">
        <v>18</v>
      </c>
      <c r="K334" t="s">
        <v>21</v>
      </c>
      <c r="L334">
        <v>4</v>
      </c>
      <c r="M334">
        <v>401</v>
      </c>
      <c r="N334" s="1">
        <f t="shared" si="18"/>
        <v>1604</v>
      </c>
    </row>
    <row r="335" spans="5:14" x14ac:dyDescent="0.25">
      <c r="E335">
        <v>935</v>
      </c>
      <c r="F335" s="7">
        <v>45222</v>
      </c>
      <c r="G335">
        <f t="shared" si="16"/>
        <v>2023</v>
      </c>
      <c r="H335" s="7" t="str">
        <f t="shared" si="17"/>
        <v>Октябрь</v>
      </c>
      <c r="I335" t="s">
        <v>22</v>
      </c>
      <c r="J335">
        <v>62</v>
      </c>
      <c r="K335" t="s">
        <v>21</v>
      </c>
      <c r="L335">
        <v>1</v>
      </c>
      <c r="M335">
        <v>500</v>
      </c>
      <c r="N335" s="1">
        <f t="shared" si="18"/>
        <v>500</v>
      </c>
    </row>
    <row r="336" spans="5:14" x14ac:dyDescent="0.25">
      <c r="E336">
        <v>1058</v>
      </c>
      <c r="F336" s="7">
        <v>45588</v>
      </c>
      <c r="G336">
        <f t="shared" si="16"/>
        <v>2024</v>
      </c>
      <c r="H336" s="7" t="str">
        <f t="shared" si="17"/>
        <v>Октябрь</v>
      </c>
      <c r="I336" t="s">
        <v>20</v>
      </c>
      <c r="J336">
        <v>30</v>
      </c>
      <c r="K336" t="s">
        <v>21</v>
      </c>
      <c r="L336">
        <v>3</v>
      </c>
      <c r="M336">
        <v>422</v>
      </c>
      <c r="N336" s="1">
        <f t="shared" si="18"/>
        <v>1266</v>
      </c>
    </row>
    <row r="337" spans="5:14" x14ac:dyDescent="0.25">
      <c r="E337">
        <v>7</v>
      </c>
      <c r="F337" s="7">
        <v>44998</v>
      </c>
      <c r="G337">
        <f t="shared" si="16"/>
        <v>2023</v>
      </c>
      <c r="H337" s="7" t="str">
        <f t="shared" si="17"/>
        <v>Март</v>
      </c>
      <c r="I337" t="s">
        <v>20</v>
      </c>
      <c r="J337">
        <v>46</v>
      </c>
      <c r="K337" t="s">
        <v>23</v>
      </c>
      <c r="L337">
        <v>2</v>
      </c>
      <c r="M337">
        <v>25</v>
      </c>
      <c r="N337" s="1">
        <f t="shared" si="18"/>
        <v>50</v>
      </c>
    </row>
    <row r="338" spans="5:14" x14ac:dyDescent="0.25">
      <c r="E338">
        <v>1224</v>
      </c>
      <c r="F338" s="7">
        <v>45576</v>
      </c>
      <c r="G338">
        <f t="shared" si="16"/>
        <v>2024</v>
      </c>
      <c r="H338" s="7" t="str">
        <f t="shared" si="17"/>
        <v>Октябрь</v>
      </c>
      <c r="I338" t="s">
        <v>20</v>
      </c>
      <c r="J338">
        <v>30</v>
      </c>
      <c r="K338" t="s">
        <v>24</v>
      </c>
      <c r="L338">
        <v>1</v>
      </c>
      <c r="M338">
        <v>428</v>
      </c>
      <c r="N338" s="1">
        <f t="shared" si="18"/>
        <v>428</v>
      </c>
    </row>
    <row r="339" spans="5:14" x14ac:dyDescent="0.25">
      <c r="E339">
        <v>96</v>
      </c>
      <c r="F339" s="7">
        <v>45279</v>
      </c>
      <c r="G339">
        <f t="shared" si="16"/>
        <v>2023</v>
      </c>
      <c r="H339" s="7" t="str">
        <f t="shared" si="17"/>
        <v>Декабрь</v>
      </c>
      <c r="I339" t="s">
        <v>22</v>
      </c>
      <c r="J339">
        <v>44</v>
      </c>
      <c r="K339" t="s">
        <v>23</v>
      </c>
      <c r="L339">
        <v>2</v>
      </c>
      <c r="M339">
        <v>300</v>
      </c>
      <c r="N339" s="1">
        <f t="shared" si="18"/>
        <v>600</v>
      </c>
    </row>
    <row r="340" spans="5:14" x14ac:dyDescent="0.25">
      <c r="E340">
        <v>1496</v>
      </c>
      <c r="F340" s="7">
        <v>45306</v>
      </c>
      <c r="G340">
        <f t="shared" si="16"/>
        <v>2024</v>
      </c>
      <c r="H340" s="7" t="str">
        <f t="shared" si="17"/>
        <v>Январь</v>
      </c>
      <c r="I340" t="s">
        <v>20</v>
      </c>
      <c r="J340">
        <v>21</v>
      </c>
      <c r="K340" t="s">
        <v>21</v>
      </c>
      <c r="L340">
        <v>6</v>
      </c>
      <c r="M340">
        <v>44</v>
      </c>
      <c r="N340" s="1">
        <f t="shared" si="18"/>
        <v>264</v>
      </c>
    </row>
    <row r="341" spans="5:14" x14ac:dyDescent="0.25">
      <c r="E341">
        <v>979</v>
      </c>
      <c r="F341" s="7">
        <v>45157</v>
      </c>
      <c r="G341">
        <f t="shared" si="16"/>
        <v>2023</v>
      </c>
      <c r="H341" s="7" t="str">
        <f t="shared" si="17"/>
        <v>Август</v>
      </c>
      <c r="I341" t="s">
        <v>22</v>
      </c>
      <c r="J341">
        <v>30</v>
      </c>
      <c r="K341" t="s">
        <v>24</v>
      </c>
      <c r="L341">
        <v>2</v>
      </c>
      <c r="M341">
        <v>30</v>
      </c>
      <c r="N341" s="1">
        <f t="shared" si="18"/>
        <v>60</v>
      </c>
    </row>
    <row r="342" spans="5:14" x14ac:dyDescent="0.25">
      <c r="E342">
        <v>568</v>
      </c>
      <c r="F342" s="7">
        <v>45153</v>
      </c>
      <c r="G342">
        <f t="shared" si="16"/>
        <v>2023</v>
      </c>
      <c r="H342" s="7" t="str">
        <f t="shared" si="17"/>
        <v>Август</v>
      </c>
      <c r="I342" t="s">
        <v>20</v>
      </c>
      <c r="J342">
        <v>52</v>
      </c>
      <c r="K342" t="s">
        <v>24</v>
      </c>
      <c r="L342">
        <v>4</v>
      </c>
      <c r="M342">
        <v>50</v>
      </c>
      <c r="N342" s="1">
        <f t="shared" si="18"/>
        <v>200</v>
      </c>
    </row>
    <row r="343" spans="5:14" x14ac:dyDescent="0.25">
      <c r="E343">
        <v>531</v>
      </c>
      <c r="F343" s="7">
        <v>45096</v>
      </c>
      <c r="G343">
        <f t="shared" si="16"/>
        <v>2023</v>
      </c>
      <c r="H343" s="7" t="str">
        <f t="shared" si="17"/>
        <v>Июнь</v>
      </c>
      <c r="I343" t="s">
        <v>22</v>
      </c>
      <c r="J343">
        <v>64</v>
      </c>
      <c r="K343" t="s">
        <v>23</v>
      </c>
      <c r="L343">
        <v>4</v>
      </c>
      <c r="M343">
        <v>30</v>
      </c>
      <c r="N343" s="1">
        <f t="shared" si="18"/>
        <v>120</v>
      </c>
    </row>
    <row r="344" spans="5:14" x14ac:dyDescent="0.25">
      <c r="E344">
        <v>1137</v>
      </c>
      <c r="F344" s="7">
        <v>45641</v>
      </c>
      <c r="G344">
        <f t="shared" si="16"/>
        <v>2024</v>
      </c>
      <c r="H344" s="7" t="str">
        <f t="shared" si="17"/>
        <v>Декабрь</v>
      </c>
      <c r="I344" t="s">
        <v>20</v>
      </c>
      <c r="J344">
        <v>49</v>
      </c>
      <c r="K344" t="s">
        <v>21</v>
      </c>
      <c r="L344">
        <v>7</v>
      </c>
      <c r="M344">
        <v>244</v>
      </c>
      <c r="N344" s="1">
        <f t="shared" si="18"/>
        <v>1708</v>
      </c>
    </row>
    <row r="345" spans="5:14" x14ac:dyDescent="0.25">
      <c r="E345">
        <v>402</v>
      </c>
      <c r="F345" s="7">
        <v>45066</v>
      </c>
      <c r="G345">
        <f t="shared" si="16"/>
        <v>2023</v>
      </c>
      <c r="H345" s="7" t="str">
        <f t="shared" si="17"/>
        <v>Май</v>
      </c>
      <c r="I345" t="s">
        <v>20</v>
      </c>
      <c r="J345">
        <v>32</v>
      </c>
      <c r="K345" t="s">
        <v>23</v>
      </c>
      <c r="L345">
        <v>2</v>
      </c>
      <c r="M345">
        <v>300</v>
      </c>
      <c r="N345" s="1">
        <f t="shared" si="18"/>
        <v>600</v>
      </c>
    </row>
    <row r="346" spans="5:14" x14ac:dyDescent="0.25">
      <c r="E346">
        <v>548</v>
      </c>
      <c r="F346" s="7">
        <v>45142</v>
      </c>
      <c r="G346">
        <f t="shared" si="16"/>
        <v>2023</v>
      </c>
      <c r="H346" s="7" t="str">
        <f t="shared" si="17"/>
        <v>Август</v>
      </c>
      <c r="I346" t="s">
        <v>22</v>
      </c>
      <c r="J346">
        <v>50</v>
      </c>
      <c r="K346" t="s">
        <v>21</v>
      </c>
      <c r="L346">
        <v>2</v>
      </c>
      <c r="M346">
        <v>50</v>
      </c>
      <c r="N346" s="1">
        <f t="shared" si="18"/>
        <v>100</v>
      </c>
    </row>
    <row r="347" spans="5:14" x14ac:dyDescent="0.25">
      <c r="E347">
        <v>26</v>
      </c>
      <c r="F347" s="7">
        <v>45206</v>
      </c>
      <c r="G347">
        <f t="shared" si="16"/>
        <v>2023</v>
      </c>
      <c r="H347" s="7" t="str">
        <f t="shared" si="17"/>
        <v>Октябрь</v>
      </c>
      <c r="I347" t="s">
        <v>22</v>
      </c>
      <c r="J347">
        <v>28</v>
      </c>
      <c r="K347" t="s">
        <v>24</v>
      </c>
      <c r="L347">
        <v>2</v>
      </c>
      <c r="M347">
        <v>500</v>
      </c>
      <c r="N347" s="1">
        <f t="shared" si="18"/>
        <v>1000</v>
      </c>
    </row>
    <row r="348" spans="5:14" x14ac:dyDescent="0.25">
      <c r="E348">
        <v>1375</v>
      </c>
      <c r="F348" s="7">
        <v>45471</v>
      </c>
      <c r="G348">
        <f t="shared" si="16"/>
        <v>2024</v>
      </c>
      <c r="H348" s="7" t="str">
        <f t="shared" si="17"/>
        <v>Июнь</v>
      </c>
      <c r="I348" t="s">
        <v>20</v>
      </c>
      <c r="J348">
        <v>47</v>
      </c>
      <c r="K348" t="s">
        <v>21</v>
      </c>
      <c r="L348">
        <v>5</v>
      </c>
      <c r="M348">
        <v>143</v>
      </c>
      <c r="N348" s="1">
        <f t="shared" si="18"/>
        <v>715</v>
      </c>
    </row>
    <row r="349" spans="5:14" x14ac:dyDescent="0.25">
      <c r="E349">
        <v>438</v>
      </c>
      <c r="F349" s="7">
        <v>45116</v>
      </c>
      <c r="G349">
        <f t="shared" si="16"/>
        <v>2023</v>
      </c>
      <c r="H349" s="7" t="str">
        <f t="shared" si="17"/>
        <v>Июль</v>
      </c>
      <c r="I349" t="s">
        <v>20</v>
      </c>
      <c r="J349">
        <v>50</v>
      </c>
      <c r="K349" t="s">
        <v>23</v>
      </c>
      <c r="L349">
        <v>3</v>
      </c>
      <c r="M349">
        <v>25</v>
      </c>
      <c r="N349" s="1">
        <f t="shared" si="18"/>
        <v>75</v>
      </c>
    </row>
    <row r="350" spans="5:14" x14ac:dyDescent="0.25">
      <c r="E350">
        <v>1664</v>
      </c>
      <c r="F350" s="7">
        <v>45501</v>
      </c>
      <c r="G350">
        <f t="shared" si="16"/>
        <v>2024</v>
      </c>
      <c r="H350" s="7" t="str">
        <f t="shared" si="17"/>
        <v>Июль</v>
      </c>
      <c r="I350" t="s">
        <v>22</v>
      </c>
      <c r="J350">
        <v>24</v>
      </c>
      <c r="K350" t="s">
        <v>24</v>
      </c>
      <c r="L350">
        <v>4</v>
      </c>
      <c r="M350">
        <v>309</v>
      </c>
      <c r="N350" s="1">
        <f t="shared" si="18"/>
        <v>1236</v>
      </c>
    </row>
    <row r="351" spans="5:14" x14ac:dyDescent="0.25">
      <c r="E351">
        <v>1328</v>
      </c>
      <c r="F351" s="7">
        <v>45333</v>
      </c>
      <c r="G351">
        <f t="shared" si="16"/>
        <v>2024</v>
      </c>
      <c r="H351" s="7" t="str">
        <f t="shared" si="17"/>
        <v>Февраль</v>
      </c>
      <c r="I351" t="s">
        <v>20</v>
      </c>
      <c r="J351">
        <v>59</v>
      </c>
      <c r="K351" t="s">
        <v>24</v>
      </c>
      <c r="L351">
        <v>3</v>
      </c>
      <c r="M351">
        <v>319</v>
      </c>
      <c r="N351" s="1">
        <f t="shared" si="18"/>
        <v>957</v>
      </c>
    </row>
    <row r="352" spans="5:14" x14ac:dyDescent="0.25">
      <c r="E352">
        <v>243</v>
      </c>
      <c r="F352" s="7">
        <v>45269</v>
      </c>
      <c r="G352">
        <f t="shared" si="16"/>
        <v>2023</v>
      </c>
      <c r="H352" s="7" t="str">
        <f t="shared" si="17"/>
        <v>Декабрь</v>
      </c>
      <c r="I352" t="s">
        <v>20</v>
      </c>
      <c r="J352">
        <v>28</v>
      </c>
      <c r="K352" t="s">
        <v>21</v>
      </c>
      <c r="L352">
        <v>2</v>
      </c>
      <c r="M352">
        <v>50</v>
      </c>
      <c r="N352" s="1">
        <f t="shared" si="18"/>
        <v>100</v>
      </c>
    </row>
    <row r="353" spans="5:14" x14ac:dyDescent="0.25">
      <c r="E353">
        <v>891</v>
      </c>
      <c r="F353" s="7">
        <v>45037</v>
      </c>
      <c r="G353">
        <f t="shared" si="16"/>
        <v>2023</v>
      </c>
      <c r="H353" s="7" t="str">
        <f t="shared" si="17"/>
        <v>Апрель</v>
      </c>
      <c r="I353" t="s">
        <v>20</v>
      </c>
      <c r="J353">
        <v>49</v>
      </c>
      <c r="K353" t="s">
        <v>24</v>
      </c>
      <c r="L353">
        <v>1</v>
      </c>
      <c r="M353">
        <v>50</v>
      </c>
      <c r="N353" s="1">
        <f t="shared" si="18"/>
        <v>50</v>
      </c>
    </row>
    <row r="354" spans="5:14" x14ac:dyDescent="0.25">
      <c r="E354">
        <v>1230</v>
      </c>
      <c r="F354" s="7">
        <v>45655</v>
      </c>
      <c r="G354">
        <f t="shared" si="16"/>
        <v>2024</v>
      </c>
      <c r="H354" s="7" t="str">
        <f t="shared" si="17"/>
        <v>Декабрь</v>
      </c>
      <c r="I354" t="s">
        <v>22</v>
      </c>
      <c r="J354">
        <v>58</v>
      </c>
      <c r="K354" t="s">
        <v>21</v>
      </c>
      <c r="L354">
        <v>6</v>
      </c>
      <c r="M354">
        <v>133</v>
      </c>
      <c r="N354" s="1">
        <f t="shared" si="18"/>
        <v>798</v>
      </c>
    </row>
    <row r="355" spans="5:14" x14ac:dyDescent="0.25">
      <c r="E355">
        <v>1239</v>
      </c>
      <c r="F355" s="7">
        <v>45414</v>
      </c>
      <c r="G355">
        <f t="shared" si="16"/>
        <v>2024</v>
      </c>
      <c r="H355" s="7" t="str">
        <f t="shared" si="17"/>
        <v>Май</v>
      </c>
      <c r="I355" t="s">
        <v>20</v>
      </c>
      <c r="J355">
        <v>40</v>
      </c>
      <c r="K355" t="s">
        <v>23</v>
      </c>
      <c r="L355">
        <v>6</v>
      </c>
      <c r="M355">
        <v>359</v>
      </c>
      <c r="N355" s="1">
        <f t="shared" si="18"/>
        <v>2154</v>
      </c>
    </row>
    <row r="356" spans="5:14" x14ac:dyDescent="0.25">
      <c r="E356">
        <v>1194</v>
      </c>
      <c r="F356" s="7">
        <v>45565</v>
      </c>
      <c r="G356">
        <f t="shared" si="16"/>
        <v>2024</v>
      </c>
      <c r="H356" s="7" t="str">
        <f t="shared" si="17"/>
        <v>Сентябрь</v>
      </c>
      <c r="I356" t="s">
        <v>22</v>
      </c>
      <c r="J356">
        <v>56</v>
      </c>
      <c r="K356" t="s">
        <v>23</v>
      </c>
      <c r="L356">
        <v>2</v>
      </c>
      <c r="M356">
        <v>11</v>
      </c>
      <c r="N356" s="1">
        <f t="shared" si="18"/>
        <v>22</v>
      </c>
    </row>
    <row r="357" spans="5:14" x14ac:dyDescent="0.25">
      <c r="E357">
        <v>622</v>
      </c>
      <c r="F357" s="7">
        <v>44995</v>
      </c>
      <c r="G357">
        <f t="shared" si="16"/>
        <v>2023</v>
      </c>
      <c r="H357" s="7" t="str">
        <f t="shared" si="17"/>
        <v>Март</v>
      </c>
      <c r="I357" t="s">
        <v>20</v>
      </c>
      <c r="J357">
        <v>34</v>
      </c>
      <c r="K357" t="s">
        <v>23</v>
      </c>
      <c r="L357">
        <v>3</v>
      </c>
      <c r="M357">
        <v>50</v>
      </c>
      <c r="N357" s="1">
        <f t="shared" si="18"/>
        <v>150</v>
      </c>
    </row>
    <row r="358" spans="5:14" x14ac:dyDescent="0.25">
      <c r="E358">
        <v>1360</v>
      </c>
      <c r="F358" s="7">
        <v>45446</v>
      </c>
      <c r="G358">
        <f t="shared" si="16"/>
        <v>2024</v>
      </c>
      <c r="H358" s="7" t="str">
        <f t="shared" si="17"/>
        <v>Июнь</v>
      </c>
      <c r="I358" t="s">
        <v>20</v>
      </c>
      <c r="J358">
        <v>42</v>
      </c>
      <c r="K358" t="s">
        <v>21</v>
      </c>
      <c r="L358">
        <v>1</v>
      </c>
      <c r="M358">
        <v>435</v>
      </c>
      <c r="N358" s="1">
        <f t="shared" si="18"/>
        <v>435</v>
      </c>
    </row>
    <row r="359" spans="5:14" x14ac:dyDescent="0.25">
      <c r="E359">
        <v>758</v>
      </c>
      <c r="F359" s="7">
        <v>45012</v>
      </c>
      <c r="G359">
        <f t="shared" si="16"/>
        <v>2023</v>
      </c>
      <c r="H359" s="7" t="str">
        <f t="shared" si="17"/>
        <v>Март</v>
      </c>
      <c r="I359" t="s">
        <v>20</v>
      </c>
      <c r="J359">
        <v>27</v>
      </c>
      <c r="K359" t="s">
        <v>21</v>
      </c>
      <c r="L359">
        <v>1</v>
      </c>
      <c r="M359">
        <v>500</v>
      </c>
      <c r="N359" s="1">
        <f t="shared" si="18"/>
        <v>500</v>
      </c>
    </row>
    <row r="360" spans="5:14" x14ac:dyDescent="0.25">
      <c r="E360">
        <v>675</v>
      </c>
      <c r="F360" s="7">
        <v>45226</v>
      </c>
      <c r="G360">
        <f t="shared" si="16"/>
        <v>2023</v>
      </c>
      <c r="H360" s="7" t="str">
        <f t="shared" si="17"/>
        <v>Октябрь</v>
      </c>
      <c r="I360" t="s">
        <v>22</v>
      </c>
      <c r="J360">
        <v>19</v>
      </c>
      <c r="K360" t="s">
        <v>21</v>
      </c>
      <c r="L360">
        <v>3</v>
      </c>
      <c r="M360">
        <v>500</v>
      </c>
      <c r="N360" s="1">
        <f t="shared" si="18"/>
        <v>1500</v>
      </c>
    </row>
    <row r="361" spans="5:14" x14ac:dyDescent="0.25">
      <c r="E361">
        <v>564</v>
      </c>
      <c r="F361" s="7">
        <v>45237</v>
      </c>
      <c r="G361">
        <f t="shared" si="16"/>
        <v>2023</v>
      </c>
      <c r="H361" s="7" t="str">
        <f t="shared" si="17"/>
        <v>Ноябрь</v>
      </c>
      <c r="I361" t="s">
        <v>22</v>
      </c>
      <c r="J361">
        <v>45</v>
      </c>
      <c r="K361" t="s">
        <v>21</v>
      </c>
      <c r="L361">
        <v>2</v>
      </c>
      <c r="M361">
        <v>30</v>
      </c>
      <c r="N361" s="1">
        <f t="shared" si="18"/>
        <v>60</v>
      </c>
    </row>
    <row r="362" spans="5:14" x14ac:dyDescent="0.25">
      <c r="E362">
        <v>515</v>
      </c>
      <c r="F362" s="7">
        <v>45222</v>
      </c>
      <c r="G362">
        <f t="shared" si="16"/>
        <v>2023</v>
      </c>
      <c r="H362" s="7" t="str">
        <f t="shared" si="17"/>
        <v>Октябрь</v>
      </c>
      <c r="I362" t="s">
        <v>20</v>
      </c>
      <c r="J362">
        <v>30</v>
      </c>
      <c r="K362" t="s">
        <v>21</v>
      </c>
      <c r="L362">
        <v>4</v>
      </c>
      <c r="M362">
        <v>25</v>
      </c>
      <c r="N362" s="1">
        <f t="shared" si="18"/>
        <v>100</v>
      </c>
    </row>
    <row r="363" spans="5:14" x14ac:dyDescent="0.25">
      <c r="E363">
        <v>1334</v>
      </c>
      <c r="F363" s="7">
        <v>45413</v>
      </c>
      <c r="G363">
        <f t="shared" si="16"/>
        <v>2024</v>
      </c>
      <c r="H363" s="7" t="str">
        <f t="shared" si="17"/>
        <v>Май</v>
      </c>
      <c r="I363" t="s">
        <v>20</v>
      </c>
      <c r="J363">
        <v>28</v>
      </c>
      <c r="K363" t="s">
        <v>23</v>
      </c>
      <c r="L363">
        <v>1</v>
      </c>
      <c r="M363">
        <v>364</v>
      </c>
      <c r="N363" s="1">
        <f t="shared" si="18"/>
        <v>364</v>
      </c>
    </row>
    <row r="364" spans="5:14" x14ac:dyDescent="0.25">
      <c r="E364">
        <v>1123</v>
      </c>
      <c r="F364" s="7">
        <v>45512</v>
      </c>
      <c r="G364">
        <f t="shared" si="16"/>
        <v>2024</v>
      </c>
      <c r="H364" s="7" t="str">
        <f t="shared" si="17"/>
        <v>Август</v>
      </c>
      <c r="I364" t="s">
        <v>20</v>
      </c>
      <c r="J364">
        <v>49</v>
      </c>
      <c r="K364" t="s">
        <v>23</v>
      </c>
      <c r="L364">
        <v>3</v>
      </c>
      <c r="M364">
        <v>71</v>
      </c>
      <c r="N364" s="1">
        <f t="shared" si="18"/>
        <v>213</v>
      </c>
    </row>
    <row r="365" spans="5:14" x14ac:dyDescent="0.25">
      <c r="E365">
        <v>1812</v>
      </c>
      <c r="F365" s="7">
        <v>45516</v>
      </c>
      <c r="G365">
        <f t="shared" si="16"/>
        <v>2024</v>
      </c>
      <c r="H365" s="7" t="str">
        <f t="shared" si="17"/>
        <v>Август</v>
      </c>
      <c r="I365" t="s">
        <v>20</v>
      </c>
      <c r="J365">
        <v>22</v>
      </c>
      <c r="K365" t="s">
        <v>21</v>
      </c>
      <c r="L365">
        <v>4</v>
      </c>
      <c r="M365">
        <v>292</v>
      </c>
      <c r="N365" s="1">
        <f t="shared" si="18"/>
        <v>1168</v>
      </c>
    </row>
    <row r="366" spans="5:14" x14ac:dyDescent="0.25">
      <c r="E366">
        <v>1632</v>
      </c>
      <c r="F366" s="7">
        <v>45521</v>
      </c>
      <c r="G366">
        <f t="shared" si="16"/>
        <v>2024</v>
      </c>
      <c r="H366" s="7" t="str">
        <f t="shared" si="17"/>
        <v>Август</v>
      </c>
      <c r="I366" t="s">
        <v>22</v>
      </c>
      <c r="J366">
        <v>27</v>
      </c>
      <c r="K366" t="s">
        <v>24</v>
      </c>
      <c r="L366">
        <v>1</v>
      </c>
      <c r="M366">
        <v>168</v>
      </c>
      <c r="N366" s="1">
        <f t="shared" si="18"/>
        <v>168</v>
      </c>
    </row>
    <row r="367" spans="5:14" x14ac:dyDescent="0.25">
      <c r="E367">
        <v>1637</v>
      </c>
      <c r="F367" s="7">
        <v>45419</v>
      </c>
      <c r="G367">
        <f t="shared" si="16"/>
        <v>2024</v>
      </c>
      <c r="H367" s="7" t="str">
        <f t="shared" si="17"/>
        <v>Май</v>
      </c>
      <c r="I367" t="s">
        <v>22</v>
      </c>
      <c r="J367">
        <v>31</v>
      </c>
      <c r="K367" t="s">
        <v>24</v>
      </c>
      <c r="L367">
        <v>1</v>
      </c>
      <c r="M367">
        <v>198</v>
      </c>
      <c r="N367" s="1">
        <f t="shared" si="18"/>
        <v>198</v>
      </c>
    </row>
    <row r="368" spans="5:14" x14ac:dyDescent="0.25">
      <c r="E368">
        <v>1434</v>
      </c>
      <c r="F368" s="7">
        <v>45572</v>
      </c>
      <c r="G368">
        <f t="shared" si="16"/>
        <v>2024</v>
      </c>
      <c r="H368" s="7" t="str">
        <f t="shared" si="17"/>
        <v>Октябрь</v>
      </c>
      <c r="I368" t="s">
        <v>22</v>
      </c>
      <c r="J368">
        <v>42</v>
      </c>
      <c r="K368" t="s">
        <v>24</v>
      </c>
      <c r="L368">
        <v>6</v>
      </c>
      <c r="M368">
        <v>244</v>
      </c>
      <c r="N368" s="1">
        <f t="shared" si="18"/>
        <v>1464</v>
      </c>
    </row>
    <row r="369" spans="5:14" x14ac:dyDescent="0.25">
      <c r="E369">
        <v>414</v>
      </c>
      <c r="F369" s="7">
        <v>44953</v>
      </c>
      <c r="G369">
        <f t="shared" si="16"/>
        <v>2023</v>
      </c>
      <c r="H369" s="7" t="str">
        <f t="shared" si="17"/>
        <v>Январь</v>
      </c>
      <c r="I369" t="s">
        <v>20</v>
      </c>
      <c r="J369">
        <v>53</v>
      </c>
      <c r="K369" t="s">
        <v>23</v>
      </c>
      <c r="L369">
        <v>2</v>
      </c>
      <c r="M369">
        <v>30</v>
      </c>
      <c r="N369" s="1">
        <f t="shared" si="18"/>
        <v>60</v>
      </c>
    </row>
    <row r="370" spans="5:14" x14ac:dyDescent="0.25">
      <c r="E370">
        <v>931</v>
      </c>
      <c r="F370" s="7">
        <v>44960</v>
      </c>
      <c r="G370">
        <f t="shared" si="16"/>
        <v>2023</v>
      </c>
      <c r="H370" s="7" t="str">
        <f t="shared" si="17"/>
        <v>Февраль</v>
      </c>
      <c r="I370" t="s">
        <v>20</v>
      </c>
      <c r="J370">
        <v>22</v>
      </c>
      <c r="K370" t="s">
        <v>21</v>
      </c>
      <c r="L370">
        <v>1</v>
      </c>
      <c r="M370">
        <v>30</v>
      </c>
      <c r="N370" s="1">
        <f t="shared" si="18"/>
        <v>30</v>
      </c>
    </row>
    <row r="371" spans="5:14" x14ac:dyDescent="0.25">
      <c r="E371">
        <v>1023</v>
      </c>
      <c r="F371" s="7">
        <v>45652</v>
      </c>
      <c r="G371">
        <f t="shared" si="16"/>
        <v>2024</v>
      </c>
      <c r="H371" s="7" t="str">
        <f t="shared" si="17"/>
        <v>Декабрь</v>
      </c>
      <c r="I371" t="s">
        <v>22</v>
      </c>
      <c r="J371">
        <v>42</v>
      </c>
      <c r="K371" t="s">
        <v>21</v>
      </c>
      <c r="L371">
        <v>4</v>
      </c>
      <c r="M371">
        <v>73</v>
      </c>
      <c r="N371" s="1">
        <f t="shared" si="18"/>
        <v>292</v>
      </c>
    </row>
    <row r="372" spans="5:14" x14ac:dyDescent="0.25">
      <c r="E372">
        <v>496</v>
      </c>
      <c r="F372" s="7">
        <v>45201</v>
      </c>
      <c r="G372">
        <f t="shared" si="16"/>
        <v>2023</v>
      </c>
      <c r="H372" s="7" t="str">
        <f t="shared" si="17"/>
        <v>Октябрь</v>
      </c>
      <c r="I372" t="s">
        <v>20</v>
      </c>
      <c r="J372">
        <v>41</v>
      </c>
      <c r="K372" t="s">
        <v>23</v>
      </c>
      <c r="L372">
        <v>4</v>
      </c>
      <c r="M372">
        <v>30</v>
      </c>
      <c r="N372" s="1">
        <f t="shared" si="18"/>
        <v>120</v>
      </c>
    </row>
    <row r="373" spans="5:14" x14ac:dyDescent="0.25">
      <c r="E373">
        <v>57</v>
      </c>
      <c r="F373" s="7">
        <v>45248</v>
      </c>
      <c r="G373">
        <f t="shared" si="16"/>
        <v>2023</v>
      </c>
      <c r="H373" s="7" t="str">
        <f t="shared" si="17"/>
        <v>Ноябрь</v>
      </c>
      <c r="I373" t="s">
        <v>22</v>
      </c>
      <c r="J373">
        <v>63</v>
      </c>
      <c r="K373" t="s">
        <v>21</v>
      </c>
      <c r="L373">
        <v>1</v>
      </c>
      <c r="M373">
        <v>30</v>
      </c>
      <c r="N373" s="1">
        <f t="shared" si="18"/>
        <v>30</v>
      </c>
    </row>
    <row r="374" spans="5:14" x14ac:dyDescent="0.25">
      <c r="E374">
        <v>642</v>
      </c>
      <c r="F374" s="7">
        <v>45193</v>
      </c>
      <c r="G374">
        <f t="shared" si="16"/>
        <v>2023</v>
      </c>
      <c r="H374" s="7" t="str">
        <f t="shared" si="17"/>
        <v>Сентябрь</v>
      </c>
      <c r="I374" t="s">
        <v>22</v>
      </c>
      <c r="J374">
        <v>28</v>
      </c>
      <c r="K374" t="s">
        <v>24</v>
      </c>
      <c r="L374">
        <v>3</v>
      </c>
      <c r="M374">
        <v>30</v>
      </c>
      <c r="N374" s="1">
        <f t="shared" si="18"/>
        <v>90</v>
      </c>
    </row>
    <row r="375" spans="5:14" x14ac:dyDescent="0.25">
      <c r="E375">
        <v>1826</v>
      </c>
      <c r="F375" s="7">
        <v>45465</v>
      </c>
      <c r="G375">
        <f t="shared" si="16"/>
        <v>2024</v>
      </c>
      <c r="H375" s="7" t="str">
        <f t="shared" si="17"/>
        <v>Июнь</v>
      </c>
      <c r="I375" t="s">
        <v>22</v>
      </c>
      <c r="J375">
        <v>44</v>
      </c>
      <c r="K375" t="s">
        <v>23</v>
      </c>
      <c r="L375">
        <v>1</v>
      </c>
      <c r="M375">
        <v>408</v>
      </c>
      <c r="N375" s="1">
        <f t="shared" si="18"/>
        <v>408</v>
      </c>
    </row>
    <row r="376" spans="5:14" x14ac:dyDescent="0.25">
      <c r="E376">
        <v>1842</v>
      </c>
      <c r="F376" s="7">
        <v>45557</v>
      </c>
      <c r="G376">
        <f t="shared" si="16"/>
        <v>2024</v>
      </c>
      <c r="H376" s="7" t="str">
        <f t="shared" si="17"/>
        <v>Сентябрь</v>
      </c>
      <c r="I376" t="s">
        <v>20</v>
      </c>
      <c r="J376">
        <v>61</v>
      </c>
      <c r="K376" t="s">
        <v>21</v>
      </c>
      <c r="L376">
        <v>2</v>
      </c>
      <c r="M376">
        <v>369</v>
      </c>
      <c r="N376" s="1">
        <f t="shared" si="18"/>
        <v>738</v>
      </c>
    </row>
    <row r="377" spans="5:14" x14ac:dyDescent="0.25">
      <c r="E377">
        <v>1404</v>
      </c>
      <c r="F377" s="7">
        <v>45468</v>
      </c>
      <c r="G377">
        <f t="shared" si="16"/>
        <v>2024</v>
      </c>
      <c r="H377" s="7" t="str">
        <f t="shared" si="17"/>
        <v>Июнь</v>
      </c>
      <c r="I377" t="s">
        <v>22</v>
      </c>
      <c r="J377">
        <v>63</v>
      </c>
      <c r="K377" t="s">
        <v>24</v>
      </c>
      <c r="L377">
        <v>7</v>
      </c>
      <c r="M377">
        <v>190</v>
      </c>
      <c r="N377" s="1">
        <f t="shared" si="18"/>
        <v>1330</v>
      </c>
    </row>
    <row r="378" spans="5:14" x14ac:dyDescent="0.25">
      <c r="E378">
        <v>1452</v>
      </c>
      <c r="F378" s="7">
        <v>45474</v>
      </c>
      <c r="G378">
        <f t="shared" si="16"/>
        <v>2024</v>
      </c>
      <c r="H378" s="7" t="str">
        <f t="shared" si="17"/>
        <v>Июль</v>
      </c>
      <c r="I378" t="s">
        <v>20</v>
      </c>
      <c r="J378">
        <v>26</v>
      </c>
      <c r="K378" t="s">
        <v>24</v>
      </c>
      <c r="L378">
        <v>3</v>
      </c>
      <c r="M378">
        <v>339</v>
      </c>
      <c r="N378" s="1">
        <f t="shared" si="18"/>
        <v>1017</v>
      </c>
    </row>
    <row r="379" spans="5:14" x14ac:dyDescent="0.25">
      <c r="E379">
        <v>1836</v>
      </c>
      <c r="F379" s="7">
        <v>45436</v>
      </c>
      <c r="G379">
        <f t="shared" si="16"/>
        <v>2024</v>
      </c>
      <c r="H379" s="7" t="str">
        <f t="shared" si="17"/>
        <v>Май</v>
      </c>
      <c r="I379" t="s">
        <v>20</v>
      </c>
      <c r="J379">
        <v>58</v>
      </c>
      <c r="K379" t="s">
        <v>23</v>
      </c>
      <c r="L379">
        <v>6</v>
      </c>
      <c r="M379">
        <v>457</v>
      </c>
      <c r="N379" s="1">
        <f t="shared" si="18"/>
        <v>2742</v>
      </c>
    </row>
    <row r="380" spans="5:14" x14ac:dyDescent="0.25">
      <c r="E380">
        <v>656</v>
      </c>
      <c r="F380" s="7">
        <v>44997</v>
      </c>
      <c r="G380">
        <f t="shared" si="16"/>
        <v>2023</v>
      </c>
      <c r="H380" s="7" t="str">
        <f t="shared" si="17"/>
        <v>Март</v>
      </c>
      <c r="I380" t="s">
        <v>20</v>
      </c>
      <c r="J380">
        <v>59</v>
      </c>
      <c r="K380" t="s">
        <v>23</v>
      </c>
      <c r="L380">
        <v>1</v>
      </c>
      <c r="M380">
        <v>25</v>
      </c>
      <c r="N380" s="1">
        <f t="shared" si="18"/>
        <v>25</v>
      </c>
    </row>
    <row r="381" spans="5:14" x14ac:dyDescent="0.25">
      <c r="E381">
        <v>1947</v>
      </c>
      <c r="F381" s="7">
        <v>45598</v>
      </c>
      <c r="G381">
        <f t="shared" si="16"/>
        <v>2024</v>
      </c>
      <c r="H381" s="7" t="str">
        <f t="shared" si="17"/>
        <v>Ноябрь</v>
      </c>
      <c r="I381" t="s">
        <v>20</v>
      </c>
      <c r="J381">
        <v>44</v>
      </c>
      <c r="K381" t="s">
        <v>21</v>
      </c>
      <c r="L381">
        <v>7</v>
      </c>
      <c r="M381">
        <v>249</v>
      </c>
      <c r="N381" s="1">
        <f t="shared" si="18"/>
        <v>1743</v>
      </c>
    </row>
    <row r="382" spans="5:14" x14ac:dyDescent="0.25">
      <c r="E382">
        <v>1024</v>
      </c>
      <c r="F382" s="7">
        <v>45572</v>
      </c>
      <c r="G382">
        <f t="shared" si="16"/>
        <v>2024</v>
      </c>
      <c r="H382" s="7" t="str">
        <f t="shared" si="17"/>
        <v>Октябрь</v>
      </c>
      <c r="I382" t="s">
        <v>22</v>
      </c>
      <c r="J382">
        <v>63</v>
      </c>
      <c r="K382" t="s">
        <v>24</v>
      </c>
      <c r="L382">
        <v>5</v>
      </c>
      <c r="M382">
        <v>98</v>
      </c>
      <c r="N382" s="1">
        <f t="shared" si="18"/>
        <v>490</v>
      </c>
    </row>
    <row r="383" spans="5:14" x14ac:dyDescent="0.25">
      <c r="E383">
        <v>1800</v>
      </c>
      <c r="F383" s="7">
        <v>45528</v>
      </c>
      <c r="G383">
        <f t="shared" si="16"/>
        <v>2024</v>
      </c>
      <c r="H383" s="7" t="str">
        <f t="shared" si="17"/>
        <v>Август</v>
      </c>
      <c r="I383" t="s">
        <v>20</v>
      </c>
      <c r="J383">
        <v>22</v>
      </c>
      <c r="K383" t="s">
        <v>24</v>
      </c>
      <c r="L383">
        <v>7</v>
      </c>
      <c r="M383">
        <v>242</v>
      </c>
      <c r="N383" s="1">
        <f t="shared" si="18"/>
        <v>1694</v>
      </c>
    </row>
    <row r="384" spans="5:14" x14ac:dyDescent="0.25">
      <c r="E384">
        <v>82</v>
      </c>
      <c r="F384" s="7">
        <v>45286</v>
      </c>
      <c r="G384">
        <f t="shared" si="16"/>
        <v>2023</v>
      </c>
      <c r="H384" s="7" t="str">
        <f t="shared" si="17"/>
        <v>Декабрь</v>
      </c>
      <c r="I384" t="s">
        <v>22</v>
      </c>
      <c r="J384">
        <v>32</v>
      </c>
      <c r="K384" t="s">
        <v>21</v>
      </c>
      <c r="L384">
        <v>4</v>
      </c>
      <c r="M384">
        <v>50</v>
      </c>
      <c r="N384" s="1">
        <f t="shared" si="18"/>
        <v>200</v>
      </c>
    </row>
    <row r="385" spans="5:14" x14ac:dyDescent="0.25">
      <c r="E385">
        <v>1288</v>
      </c>
      <c r="F385" s="7">
        <v>45299</v>
      </c>
      <c r="G385">
        <f t="shared" si="16"/>
        <v>2024</v>
      </c>
      <c r="H385" s="7" t="str">
        <f t="shared" si="17"/>
        <v>Январь</v>
      </c>
      <c r="I385" t="s">
        <v>20</v>
      </c>
      <c r="J385">
        <v>55</v>
      </c>
      <c r="K385" t="s">
        <v>23</v>
      </c>
      <c r="L385">
        <v>4</v>
      </c>
      <c r="M385">
        <v>446</v>
      </c>
      <c r="N385" s="1">
        <f t="shared" si="18"/>
        <v>1784</v>
      </c>
    </row>
    <row r="386" spans="5:14" x14ac:dyDescent="0.25">
      <c r="E386">
        <v>763</v>
      </c>
      <c r="F386" s="7">
        <v>45086</v>
      </c>
      <c r="G386">
        <f t="shared" si="16"/>
        <v>2023</v>
      </c>
      <c r="H386" s="7" t="str">
        <f t="shared" si="17"/>
        <v>Июнь</v>
      </c>
      <c r="I386" t="s">
        <v>20</v>
      </c>
      <c r="J386">
        <v>43</v>
      </c>
      <c r="K386" t="s">
        <v>23</v>
      </c>
      <c r="L386">
        <v>4</v>
      </c>
      <c r="M386">
        <v>50</v>
      </c>
      <c r="N386" s="1">
        <f t="shared" si="18"/>
        <v>200</v>
      </c>
    </row>
    <row r="387" spans="5:14" x14ac:dyDescent="0.25">
      <c r="E387">
        <v>46</v>
      </c>
      <c r="F387" s="7">
        <v>45103</v>
      </c>
      <c r="G387">
        <f t="shared" si="16"/>
        <v>2023</v>
      </c>
      <c r="H387" s="7" t="str">
        <f t="shared" si="17"/>
        <v>Июнь</v>
      </c>
      <c r="I387" t="s">
        <v>22</v>
      </c>
      <c r="J387">
        <v>20</v>
      </c>
      <c r="K387" t="s">
        <v>24</v>
      </c>
      <c r="L387">
        <v>4</v>
      </c>
      <c r="M387">
        <v>300</v>
      </c>
      <c r="N387" s="1">
        <f t="shared" si="18"/>
        <v>1200</v>
      </c>
    </row>
    <row r="388" spans="5:14" x14ac:dyDescent="0.25">
      <c r="E388">
        <v>957</v>
      </c>
      <c r="F388" s="7">
        <v>45228</v>
      </c>
      <c r="G388">
        <f t="shared" si="16"/>
        <v>2023</v>
      </c>
      <c r="H388" s="7" t="str">
        <f t="shared" si="17"/>
        <v>Октябрь</v>
      </c>
      <c r="I388" t="s">
        <v>22</v>
      </c>
      <c r="J388">
        <v>42</v>
      </c>
      <c r="K388" t="s">
        <v>24</v>
      </c>
      <c r="L388">
        <v>2</v>
      </c>
      <c r="M388">
        <v>30</v>
      </c>
      <c r="N388" s="1">
        <f t="shared" si="18"/>
        <v>60</v>
      </c>
    </row>
    <row r="389" spans="5:14" x14ac:dyDescent="0.25">
      <c r="E389">
        <v>1969</v>
      </c>
      <c r="F389" s="7">
        <v>45373</v>
      </c>
      <c r="G389">
        <f t="shared" si="16"/>
        <v>2024</v>
      </c>
      <c r="H389" s="7" t="str">
        <f t="shared" si="17"/>
        <v>Март</v>
      </c>
      <c r="I389" t="s">
        <v>20</v>
      </c>
      <c r="J389">
        <v>58</v>
      </c>
      <c r="K389" t="s">
        <v>23</v>
      </c>
      <c r="L389">
        <v>7</v>
      </c>
      <c r="M389">
        <v>281</v>
      </c>
      <c r="N389" s="1">
        <f t="shared" si="18"/>
        <v>1967</v>
      </c>
    </row>
    <row r="390" spans="5:14" x14ac:dyDescent="0.25">
      <c r="E390">
        <v>464</v>
      </c>
      <c r="F390" s="7">
        <v>45018</v>
      </c>
      <c r="G390">
        <f t="shared" si="16"/>
        <v>2023</v>
      </c>
      <c r="H390" s="7" t="str">
        <f t="shared" si="17"/>
        <v>Апрель</v>
      </c>
      <c r="I390" t="s">
        <v>22</v>
      </c>
      <c r="J390">
        <v>43</v>
      </c>
      <c r="K390" t="s">
        <v>24</v>
      </c>
      <c r="L390">
        <v>3</v>
      </c>
      <c r="M390">
        <v>50</v>
      </c>
      <c r="N390" s="1">
        <f t="shared" si="18"/>
        <v>150</v>
      </c>
    </row>
    <row r="391" spans="5:14" x14ac:dyDescent="0.25">
      <c r="E391">
        <v>1046</v>
      </c>
      <c r="F391" s="7">
        <v>45428</v>
      </c>
      <c r="G391">
        <f t="shared" si="16"/>
        <v>2024</v>
      </c>
      <c r="H391" s="7" t="str">
        <f t="shared" si="17"/>
        <v>Май</v>
      </c>
      <c r="I391" t="s">
        <v>20</v>
      </c>
      <c r="J391">
        <v>21</v>
      </c>
      <c r="K391" t="s">
        <v>24</v>
      </c>
      <c r="L391">
        <v>2</v>
      </c>
      <c r="M391">
        <v>110</v>
      </c>
      <c r="N391" s="1">
        <f t="shared" si="18"/>
        <v>220</v>
      </c>
    </row>
    <row r="392" spans="5:14" x14ac:dyDescent="0.25">
      <c r="E392">
        <v>1987</v>
      </c>
      <c r="F392" s="7">
        <v>45652</v>
      </c>
      <c r="G392">
        <f t="shared" si="16"/>
        <v>2024</v>
      </c>
      <c r="H392" s="7" t="str">
        <f t="shared" si="17"/>
        <v>Декабрь</v>
      </c>
      <c r="I392" t="s">
        <v>22</v>
      </c>
      <c r="J392">
        <v>59</v>
      </c>
      <c r="K392" t="s">
        <v>23</v>
      </c>
      <c r="L392">
        <v>7</v>
      </c>
      <c r="M392">
        <v>418</v>
      </c>
      <c r="N392" s="1">
        <f t="shared" si="18"/>
        <v>2926</v>
      </c>
    </row>
    <row r="393" spans="5:14" x14ac:dyDescent="0.25">
      <c r="E393">
        <v>876</v>
      </c>
      <c r="F393" s="7">
        <v>45107</v>
      </c>
      <c r="G393">
        <f t="shared" si="16"/>
        <v>2023</v>
      </c>
      <c r="H393" s="7" t="str">
        <f t="shared" si="17"/>
        <v>Июнь</v>
      </c>
      <c r="I393" t="s">
        <v>22</v>
      </c>
      <c r="J393">
        <v>20</v>
      </c>
      <c r="K393" t="s">
        <v>23</v>
      </c>
      <c r="L393">
        <v>1</v>
      </c>
      <c r="M393">
        <v>30</v>
      </c>
      <c r="N393" s="1">
        <f t="shared" si="18"/>
        <v>30</v>
      </c>
    </row>
    <row r="394" spans="5:14" x14ac:dyDescent="0.25">
      <c r="E394">
        <v>1171</v>
      </c>
      <c r="F394" s="7">
        <v>45604</v>
      </c>
      <c r="G394">
        <f t="shared" ref="G394:G457" si="19">YEAR(F394)</f>
        <v>2024</v>
      </c>
      <c r="H394" s="7" t="str">
        <f t="shared" ref="H394:H457" si="20">TEXT(F394,"ММММ")</f>
        <v>Ноябрь</v>
      </c>
      <c r="I394" t="s">
        <v>20</v>
      </c>
      <c r="J394">
        <v>18</v>
      </c>
      <c r="K394" t="s">
        <v>24</v>
      </c>
      <c r="L394">
        <v>4</v>
      </c>
      <c r="M394">
        <v>339</v>
      </c>
      <c r="N394" s="1">
        <f t="shared" ref="N394:N457" si="21">L394*M394</f>
        <v>1356</v>
      </c>
    </row>
    <row r="395" spans="5:14" x14ac:dyDescent="0.25">
      <c r="E395">
        <v>1874</v>
      </c>
      <c r="F395" s="7">
        <v>45473</v>
      </c>
      <c r="G395">
        <f t="shared" si="19"/>
        <v>2024</v>
      </c>
      <c r="H395" s="7" t="str">
        <f t="shared" si="20"/>
        <v>Июнь</v>
      </c>
      <c r="I395" t="s">
        <v>22</v>
      </c>
      <c r="J395">
        <v>62</v>
      </c>
      <c r="K395" t="s">
        <v>23</v>
      </c>
      <c r="L395">
        <v>3</v>
      </c>
      <c r="M395">
        <v>339</v>
      </c>
      <c r="N395" s="1">
        <f t="shared" si="21"/>
        <v>1017</v>
      </c>
    </row>
    <row r="396" spans="5:14" x14ac:dyDescent="0.25">
      <c r="E396">
        <v>997</v>
      </c>
      <c r="F396" s="7">
        <v>45265</v>
      </c>
      <c r="G396">
        <f t="shared" si="19"/>
        <v>2023</v>
      </c>
      <c r="H396" s="7" t="str">
        <f t="shared" si="20"/>
        <v>Декабрь</v>
      </c>
      <c r="I396" t="s">
        <v>22</v>
      </c>
      <c r="J396">
        <v>36</v>
      </c>
      <c r="K396" t="s">
        <v>24</v>
      </c>
      <c r="L396">
        <v>3</v>
      </c>
      <c r="M396">
        <v>50</v>
      </c>
      <c r="N396" s="1">
        <f t="shared" si="21"/>
        <v>150</v>
      </c>
    </row>
    <row r="397" spans="5:14" x14ac:dyDescent="0.25">
      <c r="E397">
        <v>1705</v>
      </c>
      <c r="F397" s="7">
        <v>45494</v>
      </c>
      <c r="G397">
        <f t="shared" si="19"/>
        <v>2024</v>
      </c>
      <c r="H397" s="7" t="str">
        <f t="shared" si="20"/>
        <v>Июль</v>
      </c>
      <c r="I397" t="s">
        <v>22</v>
      </c>
      <c r="J397">
        <v>41</v>
      </c>
      <c r="K397" t="s">
        <v>24</v>
      </c>
      <c r="L397">
        <v>4</v>
      </c>
      <c r="M397">
        <v>78</v>
      </c>
      <c r="N397" s="1">
        <f t="shared" si="21"/>
        <v>312</v>
      </c>
    </row>
    <row r="398" spans="5:14" x14ac:dyDescent="0.25">
      <c r="E398">
        <v>1286</v>
      </c>
      <c r="F398" s="7">
        <v>45626</v>
      </c>
      <c r="G398">
        <f t="shared" si="19"/>
        <v>2024</v>
      </c>
      <c r="H398" s="7" t="str">
        <f t="shared" si="20"/>
        <v>Ноябрь</v>
      </c>
      <c r="I398" t="s">
        <v>20</v>
      </c>
      <c r="J398">
        <v>51</v>
      </c>
      <c r="K398" t="s">
        <v>24</v>
      </c>
      <c r="L398">
        <v>1</v>
      </c>
      <c r="M398">
        <v>432</v>
      </c>
      <c r="N398" s="1">
        <f t="shared" si="21"/>
        <v>432</v>
      </c>
    </row>
    <row r="399" spans="5:14" x14ac:dyDescent="0.25">
      <c r="E399">
        <v>550</v>
      </c>
      <c r="F399" s="7">
        <v>45121</v>
      </c>
      <c r="G399">
        <f t="shared" si="19"/>
        <v>2023</v>
      </c>
      <c r="H399" s="7" t="str">
        <f t="shared" si="20"/>
        <v>Июль</v>
      </c>
      <c r="I399" t="s">
        <v>20</v>
      </c>
      <c r="J399">
        <v>45</v>
      </c>
      <c r="K399" t="s">
        <v>24</v>
      </c>
      <c r="L399">
        <v>3</v>
      </c>
      <c r="M399">
        <v>300</v>
      </c>
      <c r="N399" s="1">
        <f t="shared" si="21"/>
        <v>900</v>
      </c>
    </row>
    <row r="400" spans="5:14" x14ac:dyDescent="0.25">
      <c r="E400">
        <v>1766</v>
      </c>
      <c r="F400" s="7">
        <v>45587</v>
      </c>
      <c r="G400">
        <f t="shared" si="19"/>
        <v>2024</v>
      </c>
      <c r="H400" s="7" t="str">
        <f t="shared" si="20"/>
        <v>Октябрь</v>
      </c>
      <c r="I400" t="s">
        <v>20</v>
      </c>
      <c r="J400">
        <v>65</v>
      </c>
      <c r="K400" t="s">
        <v>23</v>
      </c>
      <c r="L400">
        <v>1</v>
      </c>
      <c r="M400">
        <v>469</v>
      </c>
      <c r="N400" s="1">
        <f t="shared" si="21"/>
        <v>469</v>
      </c>
    </row>
    <row r="401" spans="5:14" x14ac:dyDescent="0.25">
      <c r="E401">
        <v>1304</v>
      </c>
      <c r="F401" s="7">
        <v>45439</v>
      </c>
      <c r="G401">
        <f t="shared" si="19"/>
        <v>2024</v>
      </c>
      <c r="H401" s="7" t="str">
        <f t="shared" si="20"/>
        <v>Май</v>
      </c>
      <c r="I401" t="s">
        <v>22</v>
      </c>
      <c r="J401">
        <v>42</v>
      </c>
      <c r="K401" t="s">
        <v>24</v>
      </c>
      <c r="L401">
        <v>2</v>
      </c>
      <c r="M401">
        <v>407</v>
      </c>
      <c r="N401" s="1">
        <f t="shared" si="21"/>
        <v>814</v>
      </c>
    </row>
    <row r="402" spans="5:14" x14ac:dyDescent="0.25">
      <c r="E402">
        <v>1934</v>
      </c>
      <c r="F402" s="7">
        <v>45615</v>
      </c>
      <c r="G402">
        <f t="shared" si="19"/>
        <v>2024</v>
      </c>
      <c r="H402" s="7" t="str">
        <f t="shared" si="20"/>
        <v>Ноябрь</v>
      </c>
      <c r="I402" t="s">
        <v>20</v>
      </c>
      <c r="J402">
        <v>42</v>
      </c>
      <c r="K402" t="s">
        <v>23</v>
      </c>
      <c r="L402">
        <v>6</v>
      </c>
      <c r="M402">
        <v>310</v>
      </c>
      <c r="N402" s="1">
        <f t="shared" si="21"/>
        <v>1860</v>
      </c>
    </row>
    <row r="403" spans="5:14" x14ac:dyDescent="0.25">
      <c r="E403">
        <v>1823</v>
      </c>
      <c r="F403" s="7">
        <v>45605</v>
      </c>
      <c r="G403">
        <f t="shared" si="19"/>
        <v>2024</v>
      </c>
      <c r="H403" s="7" t="str">
        <f t="shared" si="20"/>
        <v>Ноябрь</v>
      </c>
      <c r="I403" t="s">
        <v>20</v>
      </c>
      <c r="J403">
        <v>18</v>
      </c>
      <c r="K403" t="s">
        <v>21</v>
      </c>
      <c r="L403">
        <v>7</v>
      </c>
      <c r="M403">
        <v>271</v>
      </c>
      <c r="N403" s="1">
        <f t="shared" si="21"/>
        <v>1897</v>
      </c>
    </row>
    <row r="404" spans="5:14" x14ac:dyDescent="0.25">
      <c r="E404">
        <v>1035</v>
      </c>
      <c r="F404" s="7">
        <v>45435</v>
      </c>
      <c r="G404">
        <f t="shared" si="19"/>
        <v>2024</v>
      </c>
      <c r="H404" s="7" t="str">
        <f t="shared" si="20"/>
        <v>Май</v>
      </c>
      <c r="I404" t="s">
        <v>22</v>
      </c>
      <c r="J404">
        <v>55</v>
      </c>
      <c r="K404" t="s">
        <v>21</v>
      </c>
      <c r="L404">
        <v>7</v>
      </c>
      <c r="M404">
        <v>477</v>
      </c>
      <c r="N404" s="1">
        <f t="shared" si="21"/>
        <v>3339</v>
      </c>
    </row>
    <row r="405" spans="5:14" x14ac:dyDescent="0.25">
      <c r="E405">
        <v>1034</v>
      </c>
      <c r="F405" s="7">
        <v>45467</v>
      </c>
      <c r="G405">
        <f t="shared" si="19"/>
        <v>2024</v>
      </c>
      <c r="H405" s="7" t="str">
        <f t="shared" si="20"/>
        <v>Июнь</v>
      </c>
      <c r="I405" t="s">
        <v>20</v>
      </c>
      <c r="J405">
        <v>58</v>
      </c>
      <c r="K405" t="s">
        <v>21</v>
      </c>
      <c r="L405">
        <v>4</v>
      </c>
      <c r="M405">
        <v>395</v>
      </c>
      <c r="N405" s="1">
        <f t="shared" si="21"/>
        <v>1580</v>
      </c>
    </row>
    <row r="406" spans="5:14" x14ac:dyDescent="0.25">
      <c r="E406">
        <v>425</v>
      </c>
      <c r="F406" s="7">
        <v>45009</v>
      </c>
      <c r="G406">
        <f t="shared" si="19"/>
        <v>2023</v>
      </c>
      <c r="H406" s="7" t="str">
        <f t="shared" si="20"/>
        <v>Март</v>
      </c>
      <c r="I406" t="s">
        <v>20</v>
      </c>
      <c r="J406">
        <v>23</v>
      </c>
      <c r="K406" t="s">
        <v>24</v>
      </c>
      <c r="L406">
        <v>3</v>
      </c>
      <c r="M406">
        <v>50</v>
      </c>
      <c r="N406" s="1">
        <f t="shared" si="21"/>
        <v>150</v>
      </c>
    </row>
    <row r="407" spans="5:14" x14ac:dyDescent="0.25">
      <c r="E407">
        <v>1134</v>
      </c>
      <c r="F407" s="7">
        <v>45371</v>
      </c>
      <c r="G407">
        <f t="shared" si="19"/>
        <v>2024</v>
      </c>
      <c r="H407" s="7" t="str">
        <f t="shared" si="20"/>
        <v>Март</v>
      </c>
      <c r="I407" t="s">
        <v>20</v>
      </c>
      <c r="J407">
        <v>37</v>
      </c>
      <c r="K407" t="s">
        <v>24</v>
      </c>
      <c r="L407">
        <v>1</v>
      </c>
      <c r="M407">
        <v>197</v>
      </c>
      <c r="N407" s="1">
        <f t="shared" si="21"/>
        <v>197</v>
      </c>
    </row>
    <row r="408" spans="5:14" x14ac:dyDescent="0.25">
      <c r="E408">
        <v>613</v>
      </c>
      <c r="F408" s="7">
        <v>45017</v>
      </c>
      <c r="G408">
        <f t="shared" si="19"/>
        <v>2023</v>
      </c>
      <c r="H408" s="7" t="str">
        <f t="shared" si="20"/>
        <v>Апрель</v>
      </c>
      <c r="I408" t="s">
        <v>22</v>
      </c>
      <c r="J408">
        <v>39</v>
      </c>
      <c r="K408" t="s">
        <v>21</v>
      </c>
      <c r="L408">
        <v>4</v>
      </c>
      <c r="M408">
        <v>300</v>
      </c>
      <c r="N408" s="1">
        <f t="shared" si="21"/>
        <v>1200</v>
      </c>
    </row>
    <row r="409" spans="5:14" x14ac:dyDescent="0.25">
      <c r="E409">
        <v>1521</v>
      </c>
      <c r="F409" s="7">
        <v>45568</v>
      </c>
      <c r="G409">
        <f t="shared" si="19"/>
        <v>2024</v>
      </c>
      <c r="H409" s="7" t="str">
        <f t="shared" si="20"/>
        <v>Октябрь</v>
      </c>
      <c r="I409" t="s">
        <v>20</v>
      </c>
      <c r="J409">
        <v>59</v>
      </c>
      <c r="K409" t="s">
        <v>21</v>
      </c>
      <c r="L409">
        <v>1</v>
      </c>
      <c r="M409">
        <v>98</v>
      </c>
      <c r="N409" s="1">
        <f t="shared" si="21"/>
        <v>98</v>
      </c>
    </row>
    <row r="410" spans="5:14" x14ac:dyDescent="0.25">
      <c r="E410">
        <v>1208</v>
      </c>
      <c r="F410" s="7">
        <v>45395</v>
      </c>
      <c r="G410">
        <f t="shared" si="19"/>
        <v>2024</v>
      </c>
      <c r="H410" s="7" t="str">
        <f t="shared" si="20"/>
        <v>Апрель</v>
      </c>
      <c r="I410" t="s">
        <v>20</v>
      </c>
      <c r="J410">
        <v>22</v>
      </c>
      <c r="K410" t="s">
        <v>24</v>
      </c>
      <c r="L410">
        <v>1</v>
      </c>
      <c r="M410">
        <v>88</v>
      </c>
      <c r="N410" s="1">
        <f t="shared" si="21"/>
        <v>88</v>
      </c>
    </row>
    <row r="411" spans="5:14" x14ac:dyDescent="0.25">
      <c r="E411">
        <v>1914</v>
      </c>
      <c r="F411" s="7">
        <v>45619</v>
      </c>
      <c r="G411">
        <f t="shared" si="19"/>
        <v>2024</v>
      </c>
      <c r="H411" s="7" t="str">
        <f t="shared" si="20"/>
        <v>Ноябрь</v>
      </c>
      <c r="I411" t="s">
        <v>22</v>
      </c>
      <c r="J411">
        <v>59</v>
      </c>
      <c r="K411" t="s">
        <v>24</v>
      </c>
      <c r="L411">
        <v>3</v>
      </c>
      <c r="M411">
        <v>81</v>
      </c>
      <c r="N411" s="1">
        <f t="shared" si="21"/>
        <v>243</v>
      </c>
    </row>
    <row r="412" spans="5:14" x14ac:dyDescent="0.25">
      <c r="E412">
        <v>913</v>
      </c>
      <c r="F412" s="7">
        <v>45076</v>
      </c>
      <c r="G412">
        <f t="shared" si="19"/>
        <v>2023</v>
      </c>
      <c r="H412" s="7" t="str">
        <f t="shared" si="20"/>
        <v>Май</v>
      </c>
      <c r="I412" t="s">
        <v>22</v>
      </c>
      <c r="J412">
        <v>26</v>
      </c>
      <c r="K412" t="s">
        <v>21</v>
      </c>
      <c r="L412">
        <v>3</v>
      </c>
      <c r="M412">
        <v>30</v>
      </c>
      <c r="N412" s="1">
        <f t="shared" si="21"/>
        <v>90</v>
      </c>
    </row>
    <row r="413" spans="5:14" x14ac:dyDescent="0.25">
      <c r="E413">
        <v>1563</v>
      </c>
      <c r="F413" s="7">
        <v>45628</v>
      </c>
      <c r="G413">
        <f t="shared" si="19"/>
        <v>2024</v>
      </c>
      <c r="H413" s="7" t="str">
        <f t="shared" si="20"/>
        <v>Декабрь</v>
      </c>
      <c r="I413" t="s">
        <v>22</v>
      </c>
      <c r="J413">
        <v>30</v>
      </c>
      <c r="K413" t="s">
        <v>23</v>
      </c>
      <c r="L413">
        <v>6</v>
      </c>
      <c r="M413">
        <v>203</v>
      </c>
      <c r="N413" s="1">
        <f t="shared" si="21"/>
        <v>1218</v>
      </c>
    </row>
    <row r="414" spans="5:14" x14ac:dyDescent="0.25">
      <c r="E414">
        <v>187</v>
      </c>
      <c r="F414" s="7">
        <v>45084</v>
      </c>
      <c r="G414">
        <f t="shared" si="19"/>
        <v>2023</v>
      </c>
      <c r="H414" s="7" t="str">
        <f t="shared" si="20"/>
        <v>Июнь</v>
      </c>
      <c r="I414" t="s">
        <v>22</v>
      </c>
      <c r="J414">
        <v>64</v>
      </c>
      <c r="K414" t="s">
        <v>23</v>
      </c>
      <c r="L414">
        <v>2</v>
      </c>
      <c r="M414">
        <v>50</v>
      </c>
      <c r="N414" s="1">
        <f t="shared" si="21"/>
        <v>100</v>
      </c>
    </row>
    <row r="415" spans="5:14" x14ac:dyDescent="0.25">
      <c r="E415">
        <v>702</v>
      </c>
      <c r="F415" s="7">
        <v>45166</v>
      </c>
      <c r="G415">
        <f t="shared" si="19"/>
        <v>2023</v>
      </c>
      <c r="H415" s="7" t="str">
        <f t="shared" si="20"/>
        <v>Август</v>
      </c>
      <c r="I415" t="s">
        <v>22</v>
      </c>
      <c r="J415">
        <v>62</v>
      </c>
      <c r="K415" t="s">
        <v>23</v>
      </c>
      <c r="L415">
        <v>3</v>
      </c>
      <c r="M415">
        <v>30</v>
      </c>
      <c r="N415" s="1">
        <f t="shared" si="21"/>
        <v>90</v>
      </c>
    </row>
    <row r="416" spans="5:14" x14ac:dyDescent="0.25">
      <c r="E416">
        <v>756</v>
      </c>
      <c r="F416" s="7">
        <v>45058</v>
      </c>
      <c r="G416">
        <f t="shared" si="19"/>
        <v>2023</v>
      </c>
      <c r="H416" s="7" t="str">
        <f t="shared" si="20"/>
        <v>Май</v>
      </c>
      <c r="I416" t="s">
        <v>20</v>
      </c>
      <c r="J416">
        <v>64</v>
      </c>
      <c r="K416" t="s">
        <v>23</v>
      </c>
      <c r="L416">
        <v>4</v>
      </c>
      <c r="M416">
        <v>25</v>
      </c>
      <c r="N416" s="1">
        <f t="shared" si="21"/>
        <v>100</v>
      </c>
    </row>
    <row r="417" spans="5:14" x14ac:dyDescent="0.25">
      <c r="E417">
        <v>316</v>
      </c>
      <c r="F417" s="7">
        <v>44956</v>
      </c>
      <c r="G417">
        <f t="shared" si="19"/>
        <v>2023</v>
      </c>
      <c r="H417" s="7" t="str">
        <f t="shared" si="20"/>
        <v>Январь</v>
      </c>
      <c r="I417" t="s">
        <v>20</v>
      </c>
      <c r="J417">
        <v>22</v>
      </c>
      <c r="K417" t="s">
        <v>24</v>
      </c>
      <c r="L417">
        <v>3</v>
      </c>
      <c r="M417">
        <v>30</v>
      </c>
      <c r="N417" s="1">
        <f t="shared" si="21"/>
        <v>90</v>
      </c>
    </row>
    <row r="418" spans="5:14" x14ac:dyDescent="0.25">
      <c r="E418">
        <v>949</v>
      </c>
      <c r="F418" s="7">
        <v>45232</v>
      </c>
      <c r="G418">
        <f t="shared" si="19"/>
        <v>2023</v>
      </c>
      <c r="H418" s="7" t="str">
        <f t="shared" si="20"/>
        <v>Ноябрь</v>
      </c>
      <c r="I418" t="s">
        <v>20</v>
      </c>
      <c r="J418">
        <v>33</v>
      </c>
      <c r="K418" t="s">
        <v>21</v>
      </c>
      <c r="L418">
        <v>2</v>
      </c>
      <c r="M418">
        <v>50</v>
      </c>
      <c r="N418" s="1">
        <f t="shared" si="21"/>
        <v>100</v>
      </c>
    </row>
    <row r="419" spans="5:14" x14ac:dyDescent="0.25">
      <c r="E419">
        <v>1155</v>
      </c>
      <c r="F419" s="7">
        <v>45467</v>
      </c>
      <c r="G419">
        <f t="shared" si="19"/>
        <v>2024</v>
      </c>
      <c r="H419" s="7" t="str">
        <f t="shared" si="20"/>
        <v>Июнь</v>
      </c>
      <c r="I419" t="s">
        <v>20</v>
      </c>
      <c r="J419">
        <v>53</v>
      </c>
      <c r="K419" t="s">
        <v>24</v>
      </c>
      <c r="L419">
        <v>6</v>
      </c>
      <c r="M419">
        <v>59</v>
      </c>
      <c r="N419" s="1">
        <f t="shared" si="21"/>
        <v>354</v>
      </c>
    </row>
    <row r="420" spans="5:14" x14ac:dyDescent="0.25">
      <c r="E420">
        <v>362</v>
      </c>
      <c r="F420" s="7">
        <v>45080</v>
      </c>
      <c r="G420">
        <f t="shared" si="19"/>
        <v>2023</v>
      </c>
      <c r="H420" s="7" t="str">
        <f t="shared" si="20"/>
        <v>Июнь</v>
      </c>
      <c r="I420" t="s">
        <v>20</v>
      </c>
      <c r="J420">
        <v>64</v>
      </c>
      <c r="K420" t="s">
        <v>21</v>
      </c>
      <c r="L420">
        <v>1</v>
      </c>
      <c r="M420">
        <v>25</v>
      </c>
      <c r="N420" s="1">
        <f t="shared" si="21"/>
        <v>25</v>
      </c>
    </row>
    <row r="421" spans="5:14" x14ac:dyDescent="0.25">
      <c r="E421">
        <v>1242</v>
      </c>
      <c r="F421" s="7">
        <v>45541</v>
      </c>
      <c r="G421">
        <f t="shared" si="19"/>
        <v>2024</v>
      </c>
      <c r="H421" s="7" t="str">
        <f t="shared" si="20"/>
        <v>Сентябрь</v>
      </c>
      <c r="I421" t="s">
        <v>20</v>
      </c>
      <c r="J421">
        <v>39</v>
      </c>
      <c r="K421" t="s">
        <v>23</v>
      </c>
      <c r="L421">
        <v>1</v>
      </c>
      <c r="M421">
        <v>41</v>
      </c>
      <c r="N421" s="1">
        <f t="shared" si="21"/>
        <v>41</v>
      </c>
    </row>
    <row r="422" spans="5:14" x14ac:dyDescent="0.25">
      <c r="E422">
        <v>1340</v>
      </c>
      <c r="F422" s="7">
        <v>45597</v>
      </c>
      <c r="G422">
        <f t="shared" si="19"/>
        <v>2024</v>
      </c>
      <c r="H422" s="7" t="str">
        <f t="shared" si="20"/>
        <v>Ноябрь</v>
      </c>
      <c r="I422" t="s">
        <v>20</v>
      </c>
      <c r="J422">
        <v>47</v>
      </c>
      <c r="K422" t="s">
        <v>24</v>
      </c>
      <c r="L422">
        <v>6</v>
      </c>
      <c r="M422">
        <v>16</v>
      </c>
      <c r="N422" s="1">
        <f t="shared" si="21"/>
        <v>96</v>
      </c>
    </row>
    <row r="423" spans="5:14" x14ac:dyDescent="0.25">
      <c r="E423">
        <v>1022</v>
      </c>
      <c r="F423" s="7">
        <v>45625</v>
      </c>
      <c r="G423">
        <f t="shared" si="19"/>
        <v>2024</v>
      </c>
      <c r="H423" s="7" t="str">
        <f t="shared" si="20"/>
        <v>Ноябрь</v>
      </c>
      <c r="I423" t="s">
        <v>22</v>
      </c>
      <c r="J423">
        <v>61</v>
      </c>
      <c r="K423" t="s">
        <v>23</v>
      </c>
      <c r="L423">
        <v>7</v>
      </c>
      <c r="M423">
        <v>465</v>
      </c>
      <c r="N423" s="1">
        <f t="shared" si="21"/>
        <v>3255</v>
      </c>
    </row>
    <row r="424" spans="5:14" x14ac:dyDescent="0.25">
      <c r="E424">
        <v>996</v>
      </c>
      <c r="F424" s="7">
        <v>45228</v>
      </c>
      <c r="G424">
        <f t="shared" si="19"/>
        <v>2023</v>
      </c>
      <c r="H424" s="7" t="str">
        <f t="shared" si="20"/>
        <v>Октябрь</v>
      </c>
      <c r="I424" t="s">
        <v>22</v>
      </c>
      <c r="J424">
        <v>23</v>
      </c>
      <c r="K424" t="s">
        <v>21</v>
      </c>
      <c r="L424">
        <v>4</v>
      </c>
      <c r="M424">
        <v>25</v>
      </c>
      <c r="N424" s="1">
        <f t="shared" si="21"/>
        <v>100</v>
      </c>
    </row>
    <row r="425" spans="5:14" x14ac:dyDescent="0.25">
      <c r="E425">
        <v>1357</v>
      </c>
      <c r="F425" s="7">
        <v>45360</v>
      </c>
      <c r="G425">
        <f t="shared" si="19"/>
        <v>2024</v>
      </c>
      <c r="H425" s="7" t="str">
        <f t="shared" si="20"/>
        <v>Март</v>
      </c>
      <c r="I425" t="s">
        <v>20</v>
      </c>
      <c r="J425">
        <v>61</v>
      </c>
      <c r="K425" t="s">
        <v>23</v>
      </c>
      <c r="L425">
        <v>5</v>
      </c>
      <c r="M425">
        <v>167</v>
      </c>
      <c r="N425" s="1">
        <f t="shared" si="21"/>
        <v>835</v>
      </c>
    </row>
    <row r="426" spans="5:14" x14ac:dyDescent="0.25">
      <c r="E426">
        <v>1860</v>
      </c>
      <c r="F426" s="7">
        <v>45500</v>
      </c>
      <c r="G426">
        <f t="shared" si="19"/>
        <v>2024</v>
      </c>
      <c r="H426" s="7" t="str">
        <f t="shared" si="20"/>
        <v>Июль</v>
      </c>
      <c r="I426" t="s">
        <v>22</v>
      </c>
      <c r="J426">
        <v>22</v>
      </c>
      <c r="K426" t="s">
        <v>24</v>
      </c>
      <c r="L426">
        <v>4</v>
      </c>
      <c r="M426">
        <v>159</v>
      </c>
      <c r="N426" s="1">
        <f t="shared" si="21"/>
        <v>636</v>
      </c>
    </row>
    <row r="427" spans="5:14" x14ac:dyDescent="0.25">
      <c r="E427">
        <v>1185</v>
      </c>
      <c r="F427" s="7">
        <v>45450</v>
      </c>
      <c r="G427">
        <f t="shared" si="19"/>
        <v>2024</v>
      </c>
      <c r="H427" s="7" t="str">
        <f t="shared" si="20"/>
        <v>Июнь</v>
      </c>
      <c r="I427" t="s">
        <v>22</v>
      </c>
      <c r="J427">
        <v>59</v>
      </c>
      <c r="K427" t="s">
        <v>23</v>
      </c>
      <c r="L427">
        <v>5</v>
      </c>
      <c r="M427">
        <v>51</v>
      </c>
      <c r="N427" s="1">
        <f t="shared" si="21"/>
        <v>255</v>
      </c>
    </row>
    <row r="428" spans="5:14" x14ac:dyDescent="0.25">
      <c r="E428">
        <v>233</v>
      </c>
      <c r="F428" s="7">
        <v>45250</v>
      </c>
      <c r="G428">
        <f t="shared" si="19"/>
        <v>2023</v>
      </c>
      <c r="H428" s="7" t="str">
        <f t="shared" si="20"/>
        <v>Ноябрь</v>
      </c>
      <c r="I428" t="s">
        <v>22</v>
      </c>
      <c r="J428">
        <v>62</v>
      </c>
      <c r="K428" t="s">
        <v>24</v>
      </c>
      <c r="L428">
        <v>2</v>
      </c>
      <c r="M428">
        <v>25</v>
      </c>
      <c r="N428" s="1">
        <f t="shared" si="21"/>
        <v>50</v>
      </c>
    </row>
    <row r="429" spans="5:14" x14ac:dyDescent="0.25">
      <c r="E429">
        <v>1506</v>
      </c>
      <c r="F429" s="7">
        <v>45469</v>
      </c>
      <c r="G429">
        <f t="shared" si="19"/>
        <v>2024</v>
      </c>
      <c r="H429" s="7" t="str">
        <f t="shared" si="20"/>
        <v>Июнь</v>
      </c>
      <c r="I429" t="s">
        <v>22</v>
      </c>
      <c r="J429">
        <v>60</v>
      </c>
      <c r="K429" t="s">
        <v>24</v>
      </c>
      <c r="L429">
        <v>1</v>
      </c>
      <c r="M429">
        <v>153</v>
      </c>
      <c r="N429" s="1">
        <f t="shared" si="21"/>
        <v>153</v>
      </c>
    </row>
    <row r="430" spans="5:14" x14ac:dyDescent="0.25">
      <c r="E430">
        <v>1958</v>
      </c>
      <c r="F430" s="7">
        <v>45584</v>
      </c>
      <c r="G430">
        <f t="shared" si="19"/>
        <v>2024</v>
      </c>
      <c r="H430" s="7" t="str">
        <f t="shared" si="20"/>
        <v>Октябрь</v>
      </c>
      <c r="I430" t="s">
        <v>20</v>
      </c>
      <c r="J430">
        <v>36</v>
      </c>
      <c r="K430" t="s">
        <v>23</v>
      </c>
      <c r="L430">
        <v>5</v>
      </c>
      <c r="M430">
        <v>339</v>
      </c>
      <c r="N430" s="1">
        <f t="shared" si="21"/>
        <v>1695</v>
      </c>
    </row>
    <row r="431" spans="5:14" x14ac:dyDescent="0.25">
      <c r="E431">
        <v>389</v>
      </c>
      <c r="F431" s="7">
        <v>45197</v>
      </c>
      <c r="G431">
        <f t="shared" si="19"/>
        <v>2023</v>
      </c>
      <c r="H431" s="7" t="str">
        <f t="shared" si="20"/>
        <v>Сентябрь</v>
      </c>
      <c r="I431" t="s">
        <v>20</v>
      </c>
      <c r="J431">
        <v>39</v>
      </c>
      <c r="K431" t="s">
        <v>24</v>
      </c>
      <c r="L431">
        <v>2</v>
      </c>
      <c r="M431">
        <v>50</v>
      </c>
      <c r="N431" s="1">
        <f t="shared" si="21"/>
        <v>100</v>
      </c>
    </row>
    <row r="432" spans="5:14" x14ac:dyDescent="0.25">
      <c r="E432">
        <v>88</v>
      </c>
      <c r="F432" s="7">
        <v>45014</v>
      </c>
      <c r="G432">
        <f t="shared" si="19"/>
        <v>2023</v>
      </c>
      <c r="H432" s="7" t="str">
        <f t="shared" si="20"/>
        <v>Март</v>
      </c>
      <c r="I432" t="s">
        <v>20</v>
      </c>
      <c r="J432">
        <v>56</v>
      </c>
      <c r="K432" t="s">
        <v>23</v>
      </c>
      <c r="L432">
        <v>1</v>
      </c>
      <c r="M432">
        <v>500</v>
      </c>
      <c r="N432" s="1">
        <f t="shared" si="21"/>
        <v>500</v>
      </c>
    </row>
    <row r="433" spans="5:14" x14ac:dyDescent="0.25">
      <c r="E433">
        <v>1441</v>
      </c>
      <c r="F433" s="7">
        <v>45358</v>
      </c>
      <c r="G433">
        <f t="shared" si="19"/>
        <v>2024</v>
      </c>
      <c r="H433" s="7" t="str">
        <f t="shared" si="20"/>
        <v>Март</v>
      </c>
      <c r="I433" t="s">
        <v>22</v>
      </c>
      <c r="J433">
        <v>39</v>
      </c>
      <c r="K433" t="s">
        <v>23</v>
      </c>
      <c r="L433">
        <v>1</v>
      </c>
      <c r="M433">
        <v>290</v>
      </c>
      <c r="N433" s="1">
        <f t="shared" si="21"/>
        <v>290</v>
      </c>
    </row>
    <row r="434" spans="5:14" x14ac:dyDescent="0.25">
      <c r="E434">
        <v>475</v>
      </c>
      <c r="F434" s="7">
        <v>45167</v>
      </c>
      <c r="G434">
        <f t="shared" si="19"/>
        <v>2023</v>
      </c>
      <c r="H434" s="7" t="str">
        <f t="shared" si="20"/>
        <v>Август</v>
      </c>
      <c r="I434" t="s">
        <v>22</v>
      </c>
      <c r="J434">
        <v>27</v>
      </c>
      <c r="K434" t="s">
        <v>23</v>
      </c>
      <c r="L434">
        <v>4</v>
      </c>
      <c r="M434">
        <v>500</v>
      </c>
      <c r="N434" s="1">
        <f t="shared" si="21"/>
        <v>2000</v>
      </c>
    </row>
    <row r="435" spans="5:14" x14ac:dyDescent="0.25">
      <c r="E435">
        <v>933</v>
      </c>
      <c r="F435" s="7">
        <v>45178</v>
      </c>
      <c r="G435">
        <f t="shared" si="19"/>
        <v>2023</v>
      </c>
      <c r="H435" s="7" t="str">
        <f t="shared" si="20"/>
        <v>Сентябрь</v>
      </c>
      <c r="I435" t="s">
        <v>22</v>
      </c>
      <c r="J435">
        <v>34</v>
      </c>
      <c r="K435" t="s">
        <v>21</v>
      </c>
      <c r="L435">
        <v>1</v>
      </c>
      <c r="M435">
        <v>50</v>
      </c>
      <c r="N435" s="1">
        <f t="shared" si="21"/>
        <v>50</v>
      </c>
    </row>
    <row r="436" spans="5:14" x14ac:dyDescent="0.25">
      <c r="E436">
        <v>1051</v>
      </c>
      <c r="F436" s="7">
        <v>45486</v>
      </c>
      <c r="G436">
        <f t="shared" si="19"/>
        <v>2024</v>
      </c>
      <c r="H436" s="7" t="str">
        <f t="shared" si="20"/>
        <v>Июль</v>
      </c>
      <c r="I436" t="s">
        <v>20</v>
      </c>
      <c r="J436">
        <v>51</v>
      </c>
      <c r="K436" t="s">
        <v>24</v>
      </c>
      <c r="L436">
        <v>2</v>
      </c>
      <c r="M436">
        <v>160</v>
      </c>
      <c r="N436" s="1">
        <f t="shared" si="21"/>
        <v>320</v>
      </c>
    </row>
    <row r="437" spans="5:14" x14ac:dyDescent="0.25">
      <c r="E437">
        <v>397</v>
      </c>
      <c r="F437" s="7">
        <v>45062</v>
      </c>
      <c r="G437">
        <f t="shared" si="19"/>
        <v>2023</v>
      </c>
      <c r="H437" s="7" t="str">
        <f t="shared" si="20"/>
        <v>Май</v>
      </c>
      <c r="I437" t="s">
        <v>22</v>
      </c>
      <c r="J437">
        <v>48</v>
      </c>
      <c r="K437" t="s">
        <v>23</v>
      </c>
      <c r="L437">
        <v>2</v>
      </c>
      <c r="M437">
        <v>300</v>
      </c>
      <c r="N437" s="1">
        <f t="shared" si="21"/>
        <v>600</v>
      </c>
    </row>
    <row r="438" spans="5:14" x14ac:dyDescent="0.25">
      <c r="E438">
        <v>1676</v>
      </c>
      <c r="F438" s="7">
        <v>45587</v>
      </c>
      <c r="G438">
        <f t="shared" si="19"/>
        <v>2024</v>
      </c>
      <c r="H438" s="7" t="str">
        <f t="shared" si="20"/>
        <v>Октябрь</v>
      </c>
      <c r="I438" t="s">
        <v>22</v>
      </c>
      <c r="J438">
        <v>18</v>
      </c>
      <c r="K438" t="s">
        <v>23</v>
      </c>
      <c r="L438">
        <v>4</v>
      </c>
      <c r="M438">
        <v>297</v>
      </c>
      <c r="N438" s="1">
        <f t="shared" si="21"/>
        <v>1188</v>
      </c>
    </row>
    <row r="439" spans="5:14" x14ac:dyDescent="0.25">
      <c r="E439">
        <v>1275</v>
      </c>
      <c r="F439" s="7">
        <v>45364</v>
      </c>
      <c r="G439">
        <f t="shared" si="19"/>
        <v>2024</v>
      </c>
      <c r="H439" s="7" t="str">
        <f t="shared" si="20"/>
        <v>Март</v>
      </c>
      <c r="I439" t="s">
        <v>22</v>
      </c>
      <c r="J439">
        <v>65</v>
      </c>
      <c r="K439" t="s">
        <v>23</v>
      </c>
      <c r="L439">
        <v>3</v>
      </c>
      <c r="M439">
        <v>166</v>
      </c>
      <c r="N439" s="1">
        <f t="shared" si="21"/>
        <v>498</v>
      </c>
    </row>
    <row r="440" spans="5:14" x14ac:dyDescent="0.25">
      <c r="E440">
        <v>1765</v>
      </c>
      <c r="F440" s="7">
        <v>45452</v>
      </c>
      <c r="G440">
        <f t="shared" si="19"/>
        <v>2024</v>
      </c>
      <c r="H440" s="7" t="str">
        <f t="shared" si="20"/>
        <v>Июнь</v>
      </c>
      <c r="I440" t="s">
        <v>22</v>
      </c>
      <c r="J440">
        <v>20</v>
      </c>
      <c r="K440" t="s">
        <v>24</v>
      </c>
      <c r="L440">
        <v>1</v>
      </c>
      <c r="M440">
        <v>118</v>
      </c>
      <c r="N440" s="1">
        <f t="shared" si="21"/>
        <v>118</v>
      </c>
    </row>
    <row r="441" spans="5:14" x14ac:dyDescent="0.25">
      <c r="E441">
        <v>1582</v>
      </c>
      <c r="F441" s="7">
        <v>45413</v>
      </c>
      <c r="G441">
        <f t="shared" si="19"/>
        <v>2024</v>
      </c>
      <c r="H441" s="7" t="str">
        <f t="shared" si="20"/>
        <v>Май</v>
      </c>
      <c r="I441" t="s">
        <v>22</v>
      </c>
      <c r="J441">
        <v>23</v>
      </c>
      <c r="K441" t="s">
        <v>23</v>
      </c>
      <c r="L441">
        <v>3</v>
      </c>
      <c r="M441">
        <v>217</v>
      </c>
      <c r="N441" s="1">
        <f t="shared" si="21"/>
        <v>651</v>
      </c>
    </row>
    <row r="442" spans="5:14" x14ac:dyDescent="0.25">
      <c r="E442">
        <v>578</v>
      </c>
      <c r="F442" s="7">
        <v>45190</v>
      </c>
      <c r="G442">
        <f t="shared" si="19"/>
        <v>2023</v>
      </c>
      <c r="H442" s="7" t="str">
        <f t="shared" si="20"/>
        <v>Сентябрь</v>
      </c>
      <c r="I442" t="s">
        <v>22</v>
      </c>
      <c r="J442">
        <v>38</v>
      </c>
      <c r="K442" t="s">
        <v>24</v>
      </c>
      <c r="L442">
        <v>1</v>
      </c>
      <c r="M442">
        <v>30</v>
      </c>
      <c r="N442" s="1">
        <f t="shared" si="21"/>
        <v>30</v>
      </c>
    </row>
    <row r="443" spans="5:14" x14ac:dyDescent="0.25">
      <c r="E443">
        <v>1406</v>
      </c>
      <c r="F443" s="7">
        <v>45644</v>
      </c>
      <c r="G443">
        <f t="shared" si="19"/>
        <v>2024</v>
      </c>
      <c r="H443" s="7" t="str">
        <f t="shared" si="20"/>
        <v>Декабрь</v>
      </c>
      <c r="I443" t="s">
        <v>22</v>
      </c>
      <c r="J443">
        <v>52</v>
      </c>
      <c r="K443" t="s">
        <v>24</v>
      </c>
      <c r="L443">
        <v>5</v>
      </c>
      <c r="M443">
        <v>155</v>
      </c>
      <c r="N443" s="1">
        <f t="shared" si="21"/>
        <v>775</v>
      </c>
    </row>
    <row r="444" spans="5:14" x14ac:dyDescent="0.25">
      <c r="E444">
        <v>774</v>
      </c>
      <c r="F444" s="7">
        <v>45230</v>
      </c>
      <c r="G444">
        <f t="shared" si="19"/>
        <v>2023</v>
      </c>
      <c r="H444" s="7" t="str">
        <f t="shared" si="20"/>
        <v>Октябрь</v>
      </c>
      <c r="I444" t="s">
        <v>20</v>
      </c>
      <c r="J444">
        <v>35</v>
      </c>
      <c r="K444" t="s">
        <v>23</v>
      </c>
      <c r="L444">
        <v>3</v>
      </c>
      <c r="M444">
        <v>30</v>
      </c>
      <c r="N444" s="1">
        <f t="shared" si="21"/>
        <v>90</v>
      </c>
    </row>
    <row r="445" spans="5:14" x14ac:dyDescent="0.25">
      <c r="E445">
        <v>1534</v>
      </c>
      <c r="F445" s="7">
        <v>45446</v>
      </c>
      <c r="G445">
        <f t="shared" si="19"/>
        <v>2024</v>
      </c>
      <c r="H445" s="7" t="str">
        <f t="shared" si="20"/>
        <v>Июнь</v>
      </c>
      <c r="I445" t="s">
        <v>22</v>
      </c>
      <c r="J445">
        <v>22</v>
      </c>
      <c r="K445" t="s">
        <v>21</v>
      </c>
      <c r="L445">
        <v>5</v>
      </c>
      <c r="M445">
        <v>442</v>
      </c>
      <c r="N445" s="1">
        <f t="shared" si="21"/>
        <v>2210</v>
      </c>
    </row>
    <row r="446" spans="5:14" x14ac:dyDescent="0.25">
      <c r="E446">
        <v>322</v>
      </c>
      <c r="F446" s="7">
        <v>44952</v>
      </c>
      <c r="G446">
        <f t="shared" si="19"/>
        <v>2023</v>
      </c>
      <c r="H446" s="7" t="str">
        <f t="shared" si="20"/>
        <v>Январь</v>
      </c>
      <c r="I446" t="s">
        <v>22</v>
      </c>
      <c r="J446">
        <v>29</v>
      </c>
      <c r="K446" t="s">
        <v>21</v>
      </c>
      <c r="L446">
        <v>3</v>
      </c>
      <c r="M446">
        <v>300</v>
      </c>
      <c r="N446" s="1">
        <f t="shared" si="21"/>
        <v>900</v>
      </c>
    </row>
    <row r="447" spans="5:14" x14ac:dyDescent="0.25">
      <c r="E447">
        <v>1111</v>
      </c>
      <c r="F447" s="7">
        <v>45548</v>
      </c>
      <c r="G447">
        <f t="shared" si="19"/>
        <v>2024</v>
      </c>
      <c r="H447" s="7" t="str">
        <f t="shared" si="20"/>
        <v>Сентябрь</v>
      </c>
      <c r="I447" t="s">
        <v>22</v>
      </c>
      <c r="J447">
        <v>46</v>
      </c>
      <c r="K447" t="s">
        <v>24</v>
      </c>
      <c r="L447">
        <v>4</v>
      </c>
      <c r="M447">
        <v>485</v>
      </c>
      <c r="N447" s="1">
        <f t="shared" si="21"/>
        <v>1940</v>
      </c>
    </row>
    <row r="448" spans="5:14" x14ac:dyDescent="0.25">
      <c r="E448">
        <v>864</v>
      </c>
      <c r="F448" s="7">
        <v>45051</v>
      </c>
      <c r="G448">
        <f t="shared" si="19"/>
        <v>2023</v>
      </c>
      <c r="H448" s="7" t="str">
        <f t="shared" si="20"/>
        <v>Май</v>
      </c>
      <c r="I448" t="s">
        <v>20</v>
      </c>
      <c r="J448">
        <v>24</v>
      </c>
      <c r="K448" t="s">
        <v>24</v>
      </c>
      <c r="L448">
        <v>1</v>
      </c>
      <c r="M448">
        <v>50</v>
      </c>
      <c r="N448" s="1">
        <f t="shared" si="21"/>
        <v>50</v>
      </c>
    </row>
    <row r="449" spans="5:14" x14ac:dyDescent="0.25">
      <c r="E449">
        <v>934</v>
      </c>
      <c r="F449" s="7">
        <v>44964</v>
      </c>
      <c r="G449">
        <f t="shared" si="19"/>
        <v>2023</v>
      </c>
      <c r="H449" s="7" t="str">
        <f t="shared" si="20"/>
        <v>Февраль</v>
      </c>
      <c r="I449" t="s">
        <v>20</v>
      </c>
      <c r="J449">
        <v>57</v>
      </c>
      <c r="K449" t="s">
        <v>21</v>
      </c>
      <c r="L449">
        <v>4</v>
      </c>
      <c r="M449">
        <v>50</v>
      </c>
      <c r="N449" s="1">
        <f t="shared" si="21"/>
        <v>200</v>
      </c>
    </row>
    <row r="450" spans="5:14" x14ac:dyDescent="0.25">
      <c r="E450">
        <v>1509</v>
      </c>
      <c r="F450" s="7">
        <v>45603</v>
      </c>
      <c r="G450">
        <f t="shared" si="19"/>
        <v>2024</v>
      </c>
      <c r="H450" s="7" t="str">
        <f t="shared" si="20"/>
        <v>Ноябрь</v>
      </c>
      <c r="I450" t="s">
        <v>22</v>
      </c>
      <c r="J450">
        <v>50</v>
      </c>
      <c r="K450" t="s">
        <v>21</v>
      </c>
      <c r="L450">
        <v>7</v>
      </c>
      <c r="M450">
        <v>129</v>
      </c>
      <c r="N450" s="1">
        <f t="shared" si="21"/>
        <v>903</v>
      </c>
    </row>
    <row r="451" spans="5:14" x14ac:dyDescent="0.25">
      <c r="E451">
        <v>1604</v>
      </c>
      <c r="F451" s="7">
        <v>45368</v>
      </c>
      <c r="G451">
        <f t="shared" si="19"/>
        <v>2024</v>
      </c>
      <c r="H451" s="7" t="str">
        <f t="shared" si="20"/>
        <v>Март</v>
      </c>
      <c r="I451" t="s">
        <v>20</v>
      </c>
      <c r="J451">
        <v>38</v>
      </c>
      <c r="K451" t="s">
        <v>23</v>
      </c>
      <c r="L451">
        <v>1</v>
      </c>
      <c r="M451">
        <v>422</v>
      </c>
      <c r="N451" s="1">
        <f t="shared" si="21"/>
        <v>422</v>
      </c>
    </row>
    <row r="452" spans="5:14" x14ac:dyDescent="0.25">
      <c r="E452">
        <v>671</v>
      </c>
      <c r="F452" s="7">
        <v>44958</v>
      </c>
      <c r="G452">
        <f t="shared" si="19"/>
        <v>2023</v>
      </c>
      <c r="H452" s="7" t="str">
        <f t="shared" si="20"/>
        <v>Февраль</v>
      </c>
      <c r="I452" t="s">
        <v>22</v>
      </c>
      <c r="J452">
        <v>43</v>
      </c>
      <c r="K452" t="s">
        <v>23</v>
      </c>
      <c r="L452">
        <v>3</v>
      </c>
      <c r="M452">
        <v>500</v>
      </c>
      <c r="N452" s="1">
        <f t="shared" si="21"/>
        <v>1500</v>
      </c>
    </row>
    <row r="453" spans="5:14" x14ac:dyDescent="0.25">
      <c r="E453">
        <v>1745</v>
      </c>
      <c r="F453" s="7">
        <v>45415</v>
      </c>
      <c r="G453">
        <f t="shared" si="19"/>
        <v>2024</v>
      </c>
      <c r="H453" s="7" t="str">
        <f t="shared" si="20"/>
        <v>Май</v>
      </c>
      <c r="I453" t="s">
        <v>20</v>
      </c>
      <c r="J453">
        <v>38</v>
      </c>
      <c r="K453" t="s">
        <v>21</v>
      </c>
      <c r="L453">
        <v>7</v>
      </c>
      <c r="M453">
        <v>69</v>
      </c>
      <c r="N453" s="1">
        <f t="shared" si="21"/>
        <v>483</v>
      </c>
    </row>
    <row r="454" spans="5:14" x14ac:dyDescent="0.25">
      <c r="E454">
        <v>1963</v>
      </c>
      <c r="F454" s="7">
        <v>45399</v>
      </c>
      <c r="G454">
        <f t="shared" si="19"/>
        <v>2024</v>
      </c>
      <c r="H454" s="7" t="str">
        <f t="shared" si="20"/>
        <v>Апрель</v>
      </c>
      <c r="I454" t="s">
        <v>20</v>
      </c>
      <c r="J454">
        <v>50</v>
      </c>
      <c r="K454" t="s">
        <v>21</v>
      </c>
      <c r="L454">
        <v>3</v>
      </c>
      <c r="M454">
        <v>139</v>
      </c>
      <c r="N454" s="1">
        <f t="shared" si="21"/>
        <v>417</v>
      </c>
    </row>
    <row r="455" spans="5:14" x14ac:dyDescent="0.25">
      <c r="E455">
        <v>39</v>
      </c>
      <c r="F455" s="7">
        <v>45037</v>
      </c>
      <c r="G455">
        <f t="shared" si="19"/>
        <v>2023</v>
      </c>
      <c r="H455" s="7" t="str">
        <f t="shared" si="20"/>
        <v>Апрель</v>
      </c>
      <c r="I455" t="s">
        <v>20</v>
      </c>
      <c r="J455">
        <v>23</v>
      </c>
      <c r="K455" t="s">
        <v>23</v>
      </c>
      <c r="L455">
        <v>4</v>
      </c>
      <c r="M455">
        <v>30</v>
      </c>
      <c r="N455" s="1">
        <f t="shared" si="21"/>
        <v>120</v>
      </c>
    </row>
    <row r="456" spans="5:14" x14ac:dyDescent="0.25">
      <c r="E456">
        <v>401</v>
      </c>
      <c r="F456" s="7">
        <v>45006</v>
      </c>
      <c r="G456">
        <f t="shared" si="19"/>
        <v>2023</v>
      </c>
      <c r="H456" s="7" t="str">
        <f t="shared" si="20"/>
        <v>Март</v>
      </c>
      <c r="I456" t="s">
        <v>22</v>
      </c>
      <c r="J456">
        <v>41</v>
      </c>
      <c r="K456" t="s">
        <v>23</v>
      </c>
      <c r="L456">
        <v>2</v>
      </c>
      <c r="M456">
        <v>300</v>
      </c>
      <c r="N456" s="1">
        <f t="shared" si="21"/>
        <v>600</v>
      </c>
    </row>
    <row r="457" spans="5:14" x14ac:dyDescent="0.25">
      <c r="E457">
        <v>1683</v>
      </c>
      <c r="F457" s="7">
        <v>45507</v>
      </c>
      <c r="G457">
        <f t="shared" si="19"/>
        <v>2024</v>
      </c>
      <c r="H457" s="7" t="str">
        <f t="shared" si="20"/>
        <v>Август</v>
      </c>
      <c r="I457" t="s">
        <v>22</v>
      </c>
      <c r="J457">
        <v>30</v>
      </c>
      <c r="K457" t="s">
        <v>24</v>
      </c>
      <c r="L457">
        <v>5</v>
      </c>
      <c r="M457">
        <v>328</v>
      </c>
      <c r="N457" s="1">
        <f t="shared" si="21"/>
        <v>1640</v>
      </c>
    </row>
    <row r="458" spans="5:14" x14ac:dyDescent="0.25">
      <c r="E458">
        <v>1301</v>
      </c>
      <c r="F458" s="7">
        <v>45492</v>
      </c>
      <c r="G458">
        <f t="shared" ref="G458:G521" si="22">YEAR(F458)</f>
        <v>2024</v>
      </c>
      <c r="H458" s="7" t="str">
        <f t="shared" ref="H458:H521" si="23">TEXT(F458,"ММММ")</f>
        <v>Июль</v>
      </c>
      <c r="I458" t="s">
        <v>22</v>
      </c>
      <c r="J458">
        <v>26</v>
      </c>
      <c r="K458" t="s">
        <v>24</v>
      </c>
      <c r="L458">
        <v>6</v>
      </c>
      <c r="M458">
        <v>297</v>
      </c>
      <c r="N458" s="1">
        <f t="shared" ref="N458:N521" si="24">L458*M458</f>
        <v>1782</v>
      </c>
    </row>
    <row r="459" spans="5:14" x14ac:dyDescent="0.25">
      <c r="E459">
        <v>1593</v>
      </c>
      <c r="F459" s="7">
        <v>45329</v>
      </c>
      <c r="G459">
        <f t="shared" si="22"/>
        <v>2024</v>
      </c>
      <c r="H459" s="7" t="str">
        <f t="shared" si="23"/>
        <v>Февраль</v>
      </c>
      <c r="I459" t="s">
        <v>22</v>
      </c>
      <c r="J459">
        <v>62</v>
      </c>
      <c r="K459" t="s">
        <v>24</v>
      </c>
      <c r="L459">
        <v>5</v>
      </c>
      <c r="M459">
        <v>458</v>
      </c>
      <c r="N459" s="1">
        <f t="shared" si="24"/>
        <v>2290</v>
      </c>
    </row>
    <row r="460" spans="5:14" x14ac:dyDescent="0.25">
      <c r="E460">
        <v>1221</v>
      </c>
      <c r="F460" s="7">
        <v>45466</v>
      </c>
      <c r="G460">
        <f t="shared" si="22"/>
        <v>2024</v>
      </c>
      <c r="H460" s="7" t="str">
        <f t="shared" si="23"/>
        <v>Июнь</v>
      </c>
      <c r="I460" t="s">
        <v>22</v>
      </c>
      <c r="J460">
        <v>18</v>
      </c>
      <c r="K460" t="s">
        <v>23</v>
      </c>
      <c r="L460">
        <v>3</v>
      </c>
      <c r="M460">
        <v>184</v>
      </c>
      <c r="N460" s="1">
        <f t="shared" si="24"/>
        <v>552</v>
      </c>
    </row>
    <row r="461" spans="5:14" x14ac:dyDescent="0.25">
      <c r="E461">
        <v>1475</v>
      </c>
      <c r="F461" s="7">
        <v>45395</v>
      </c>
      <c r="G461">
        <f t="shared" si="22"/>
        <v>2024</v>
      </c>
      <c r="H461" s="7" t="str">
        <f t="shared" si="23"/>
        <v>Апрель</v>
      </c>
      <c r="I461" t="s">
        <v>22</v>
      </c>
      <c r="J461">
        <v>56</v>
      </c>
      <c r="K461" t="s">
        <v>23</v>
      </c>
      <c r="L461">
        <v>7</v>
      </c>
      <c r="M461">
        <v>146</v>
      </c>
      <c r="N461" s="1">
        <f t="shared" si="24"/>
        <v>1022</v>
      </c>
    </row>
    <row r="462" spans="5:14" x14ac:dyDescent="0.25">
      <c r="E462">
        <v>823</v>
      </c>
      <c r="F462" s="7">
        <v>45164</v>
      </c>
      <c r="G462">
        <f t="shared" si="22"/>
        <v>2023</v>
      </c>
      <c r="H462" s="7" t="str">
        <f t="shared" si="23"/>
        <v>Август</v>
      </c>
      <c r="I462" t="s">
        <v>22</v>
      </c>
      <c r="J462">
        <v>46</v>
      </c>
      <c r="K462" t="s">
        <v>21</v>
      </c>
      <c r="L462">
        <v>1</v>
      </c>
      <c r="M462">
        <v>25</v>
      </c>
      <c r="N462" s="1">
        <f t="shared" si="24"/>
        <v>25</v>
      </c>
    </row>
    <row r="463" spans="5:14" x14ac:dyDescent="0.25">
      <c r="E463">
        <v>1978</v>
      </c>
      <c r="F463" s="7">
        <v>45645</v>
      </c>
      <c r="G463">
        <f t="shared" si="22"/>
        <v>2024</v>
      </c>
      <c r="H463" s="7" t="str">
        <f t="shared" si="23"/>
        <v>Декабрь</v>
      </c>
      <c r="I463" t="s">
        <v>22</v>
      </c>
      <c r="J463">
        <v>19</v>
      </c>
      <c r="K463" t="s">
        <v>21</v>
      </c>
      <c r="L463">
        <v>7</v>
      </c>
      <c r="M463">
        <v>29</v>
      </c>
      <c r="N463" s="1">
        <f t="shared" si="24"/>
        <v>203</v>
      </c>
    </row>
    <row r="464" spans="5:14" x14ac:dyDescent="0.25">
      <c r="E464">
        <v>1418</v>
      </c>
      <c r="F464" s="7">
        <v>45293</v>
      </c>
      <c r="G464">
        <f t="shared" si="22"/>
        <v>2024</v>
      </c>
      <c r="H464" s="7" t="str">
        <f t="shared" si="23"/>
        <v>Январь</v>
      </c>
      <c r="I464" t="s">
        <v>22</v>
      </c>
      <c r="J464">
        <v>41</v>
      </c>
      <c r="K464" t="s">
        <v>23</v>
      </c>
      <c r="L464">
        <v>6</v>
      </c>
      <c r="M464">
        <v>127</v>
      </c>
      <c r="N464" s="1">
        <f t="shared" si="24"/>
        <v>762</v>
      </c>
    </row>
    <row r="465" spans="5:14" x14ac:dyDescent="0.25">
      <c r="E465">
        <v>641</v>
      </c>
      <c r="F465" s="7">
        <v>45068</v>
      </c>
      <c r="G465">
        <f t="shared" si="22"/>
        <v>2023</v>
      </c>
      <c r="H465" s="7" t="str">
        <f t="shared" si="23"/>
        <v>Май</v>
      </c>
      <c r="I465" t="s">
        <v>22</v>
      </c>
      <c r="J465">
        <v>54</v>
      </c>
      <c r="K465" t="s">
        <v>23</v>
      </c>
      <c r="L465">
        <v>4</v>
      </c>
      <c r="M465">
        <v>25</v>
      </c>
      <c r="N465" s="1">
        <f t="shared" si="24"/>
        <v>100</v>
      </c>
    </row>
    <row r="466" spans="5:14" x14ac:dyDescent="0.25">
      <c r="E466">
        <v>336</v>
      </c>
      <c r="F466" s="7">
        <v>45047</v>
      </c>
      <c r="G466">
        <f t="shared" si="22"/>
        <v>2023</v>
      </c>
      <c r="H466" s="7" t="str">
        <f t="shared" si="23"/>
        <v>Май</v>
      </c>
      <c r="I466" t="s">
        <v>20</v>
      </c>
      <c r="J466">
        <v>38</v>
      </c>
      <c r="K466" t="s">
        <v>23</v>
      </c>
      <c r="L466">
        <v>1</v>
      </c>
      <c r="M466">
        <v>500</v>
      </c>
      <c r="N466" s="1">
        <f t="shared" si="24"/>
        <v>500</v>
      </c>
    </row>
    <row r="467" spans="5:14" x14ac:dyDescent="0.25">
      <c r="E467">
        <v>576</v>
      </c>
      <c r="F467" s="7">
        <v>44970</v>
      </c>
      <c r="G467">
        <f t="shared" si="22"/>
        <v>2023</v>
      </c>
      <c r="H467" s="7" t="str">
        <f t="shared" si="23"/>
        <v>Февраль</v>
      </c>
      <c r="I467" t="s">
        <v>20</v>
      </c>
      <c r="J467">
        <v>21</v>
      </c>
      <c r="K467" t="s">
        <v>21</v>
      </c>
      <c r="L467">
        <v>4</v>
      </c>
      <c r="M467">
        <v>500</v>
      </c>
      <c r="N467" s="1">
        <f t="shared" si="24"/>
        <v>2000</v>
      </c>
    </row>
    <row r="468" spans="5:14" x14ac:dyDescent="0.25">
      <c r="E468">
        <v>1854</v>
      </c>
      <c r="F468" s="7">
        <v>45544</v>
      </c>
      <c r="G468">
        <f t="shared" si="22"/>
        <v>2024</v>
      </c>
      <c r="H468" s="7" t="str">
        <f t="shared" si="23"/>
        <v>Сентябрь</v>
      </c>
      <c r="I468" t="s">
        <v>20</v>
      </c>
      <c r="J468">
        <v>64</v>
      </c>
      <c r="K468" t="s">
        <v>24</v>
      </c>
      <c r="L468">
        <v>5</v>
      </c>
      <c r="M468">
        <v>329</v>
      </c>
      <c r="N468" s="1">
        <f t="shared" si="24"/>
        <v>1645</v>
      </c>
    </row>
    <row r="469" spans="5:14" x14ac:dyDescent="0.25">
      <c r="E469">
        <v>767</v>
      </c>
      <c r="F469" s="7">
        <v>45086</v>
      </c>
      <c r="G469">
        <f t="shared" si="22"/>
        <v>2023</v>
      </c>
      <c r="H469" s="7" t="str">
        <f t="shared" si="23"/>
        <v>Июнь</v>
      </c>
      <c r="I469" t="s">
        <v>22</v>
      </c>
      <c r="J469">
        <v>31</v>
      </c>
      <c r="K469" t="s">
        <v>24</v>
      </c>
      <c r="L469">
        <v>4</v>
      </c>
      <c r="M469">
        <v>30</v>
      </c>
      <c r="N469" s="1">
        <f t="shared" si="24"/>
        <v>120</v>
      </c>
    </row>
    <row r="470" spans="5:14" x14ac:dyDescent="0.25">
      <c r="E470">
        <v>174</v>
      </c>
      <c r="F470" s="7">
        <v>45028</v>
      </c>
      <c r="G470">
        <f t="shared" si="22"/>
        <v>2023</v>
      </c>
      <c r="H470" s="7" t="str">
        <f t="shared" si="23"/>
        <v>Апрель</v>
      </c>
      <c r="I470" t="s">
        <v>22</v>
      </c>
      <c r="J470">
        <v>39</v>
      </c>
      <c r="K470" t="s">
        <v>21</v>
      </c>
      <c r="L470">
        <v>1</v>
      </c>
      <c r="M470">
        <v>300</v>
      </c>
      <c r="N470" s="1">
        <f t="shared" si="24"/>
        <v>300</v>
      </c>
    </row>
    <row r="471" spans="5:14" x14ac:dyDescent="0.25">
      <c r="E471">
        <v>1606</v>
      </c>
      <c r="F471" s="7">
        <v>45645</v>
      </c>
      <c r="G471">
        <f t="shared" si="22"/>
        <v>2024</v>
      </c>
      <c r="H471" s="7" t="str">
        <f t="shared" si="23"/>
        <v>Декабрь</v>
      </c>
      <c r="I471" t="s">
        <v>22</v>
      </c>
      <c r="J471">
        <v>35</v>
      </c>
      <c r="K471" t="s">
        <v>23</v>
      </c>
      <c r="L471">
        <v>5</v>
      </c>
      <c r="M471">
        <v>236</v>
      </c>
      <c r="N471" s="1">
        <f t="shared" si="24"/>
        <v>1180</v>
      </c>
    </row>
    <row r="472" spans="5:14" x14ac:dyDescent="0.25">
      <c r="E472">
        <v>1599</v>
      </c>
      <c r="F472" s="7">
        <v>45649</v>
      </c>
      <c r="G472">
        <f t="shared" si="22"/>
        <v>2024</v>
      </c>
      <c r="H472" s="7" t="str">
        <f t="shared" si="23"/>
        <v>Декабрь</v>
      </c>
      <c r="I472" t="s">
        <v>22</v>
      </c>
      <c r="J472">
        <v>42</v>
      </c>
      <c r="K472" t="s">
        <v>24</v>
      </c>
      <c r="L472">
        <v>1</v>
      </c>
      <c r="M472">
        <v>53</v>
      </c>
      <c r="N472" s="1">
        <f t="shared" si="24"/>
        <v>53</v>
      </c>
    </row>
    <row r="473" spans="5:14" x14ac:dyDescent="0.25">
      <c r="E473">
        <v>521</v>
      </c>
      <c r="F473" s="7">
        <v>44927</v>
      </c>
      <c r="G473">
        <f t="shared" si="22"/>
        <v>2023</v>
      </c>
      <c r="H473" s="7" t="str">
        <f t="shared" si="23"/>
        <v>Январь</v>
      </c>
      <c r="I473" t="s">
        <v>20</v>
      </c>
      <c r="J473">
        <v>46</v>
      </c>
      <c r="K473" t="s">
        <v>21</v>
      </c>
      <c r="L473">
        <v>3</v>
      </c>
      <c r="M473">
        <v>500</v>
      </c>
      <c r="N473" s="1">
        <f t="shared" si="24"/>
        <v>1500</v>
      </c>
    </row>
    <row r="474" spans="5:14" x14ac:dyDescent="0.25">
      <c r="E474">
        <v>666</v>
      </c>
      <c r="F474" s="7">
        <v>45135</v>
      </c>
      <c r="G474">
        <f t="shared" si="22"/>
        <v>2023</v>
      </c>
      <c r="H474" s="7" t="str">
        <f t="shared" si="23"/>
        <v>Июль</v>
      </c>
      <c r="I474" t="s">
        <v>22</v>
      </c>
      <c r="J474">
        <v>62</v>
      </c>
      <c r="K474" t="s">
        <v>24</v>
      </c>
      <c r="L474">
        <v>3</v>
      </c>
      <c r="M474">
        <v>50</v>
      </c>
      <c r="N474" s="1">
        <f t="shared" si="24"/>
        <v>150</v>
      </c>
    </row>
    <row r="475" spans="5:14" x14ac:dyDescent="0.25">
      <c r="E475">
        <v>1073</v>
      </c>
      <c r="F475" s="7">
        <v>45479</v>
      </c>
      <c r="G475">
        <f t="shared" si="22"/>
        <v>2024</v>
      </c>
      <c r="H475" s="7" t="str">
        <f t="shared" si="23"/>
        <v>Июль</v>
      </c>
      <c r="I475" t="s">
        <v>20</v>
      </c>
      <c r="J475">
        <v>23</v>
      </c>
      <c r="K475" t="s">
        <v>21</v>
      </c>
      <c r="L475">
        <v>3</v>
      </c>
      <c r="M475">
        <v>247</v>
      </c>
      <c r="N475" s="1">
        <f t="shared" si="24"/>
        <v>741</v>
      </c>
    </row>
    <row r="476" spans="5:14" x14ac:dyDescent="0.25">
      <c r="E476">
        <v>1873</v>
      </c>
      <c r="F476" s="7">
        <v>45462</v>
      </c>
      <c r="G476">
        <f t="shared" si="22"/>
        <v>2024</v>
      </c>
      <c r="H476" s="7" t="str">
        <f t="shared" si="23"/>
        <v>Июнь</v>
      </c>
      <c r="I476" t="s">
        <v>22</v>
      </c>
      <c r="J476">
        <v>20</v>
      </c>
      <c r="K476" t="s">
        <v>23</v>
      </c>
      <c r="L476">
        <v>5</v>
      </c>
      <c r="M476">
        <v>75</v>
      </c>
      <c r="N476" s="1">
        <f t="shared" si="24"/>
        <v>375</v>
      </c>
    </row>
    <row r="477" spans="5:14" x14ac:dyDescent="0.25">
      <c r="E477">
        <v>948</v>
      </c>
      <c r="F477" s="7">
        <v>45237</v>
      </c>
      <c r="G477">
        <f t="shared" si="22"/>
        <v>2023</v>
      </c>
      <c r="H477" s="7" t="str">
        <f t="shared" si="23"/>
        <v>Ноябрь</v>
      </c>
      <c r="I477" t="s">
        <v>20</v>
      </c>
      <c r="J477">
        <v>36</v>
      </c>
      <c r="K477" t="s">
        <v>23</v>
      </c>
      <c r="L477">
        <v>3</v>
      </c>
      <c r="M477">
        <v>300</v>
      </c>
      <c r="N477" s="1">
        <f t="shared" si="24"/>
        <v>900</v>
      </c>
    </row>
    <row r="478" spans="5:14" x14ac:dyDescent="0.25">
      <c r="E478">
        <v>121</v>
      </c>
      <c r="F478" s="7">
        <v>45214</v>
      </c>
      <c r="G478">
        <f t="shared" si="22"/>
        <v>2023</v>
      </c>
      <c r="H478" s="7" t="str">
        <f t="shared" si="23"/>
        <v>Октябрь</v>
      </c>
      <c r="I478" t="s">
        <v>22</v>
      </c>
      <c r="J478">
        <v>28</v>
      </c>
      <c r="K478" t="s">
        <v>24</v>
      </c>
      <c r="L478">
        <v>4</v>
      </c>
      <c r="M478">
        <v>50</v>
      </c>
      <c r="N478" s="1">
        <f t="shared" si="24"/>
        <v>200</v>
      </c>
    </row>
    <row r="479" spans="5:14" x14ac:dyDescent="0.25">
      <c r="E479">
        <v>1003</v>
      </c>
      <c r="F479" s="7">
        <v>45418</v>
      </c>
      <c r="G479">
        <f t="shared" si="22"/>
        <v>2024</v>
      </c>
      <c r="H479" s="7" t="str">
        <f t="shared" si="23"/>
        <v>Май</v>
      </c>
      <c r="I479" t="s">
        <v>20</v>
      </c>
      <c r="J479">
        <v>46</v>
      </c>
      <c r="K479" t="s">
        <v>21</v>
      </c>
      <c r="L479">
        <v>2</v>
      </c>
      <c r="M479">
        <v>385</v>
      </c>
      <c r="N479" s="1">
        <f t="shared" si="24"/>
        <v>770</v>
      </c>
    </row>
    <row r="480" spans="5:14" x14ac:dyDescent="0.25">
      <c r="E480">
        <v>1188</v>
      </c>
      <c r="F480" s="7">
        <v>45416</v>
      </c>
      <c r="G480">
        <f t="shared" si="22"/>
        <v>2024</v>
      </c>
      <c r="H480" s="7" t="str">
        <f t="shared" si="23"/>
        <v>Май</v>
      </c>
      <c r="I480" t="s">
        <v>22</v>
      </c>
      <c r="J480">
        <v>28</v>
      </c>
      <c r="K480" t="s">
        <v>21</v>
      </c>
      <c r="L480">
        <v>5</v>
      </c>
      <c r="M480">
        <v>430</v>
      </c>
      <c r="N480" s="1">
        <f t="shared" si="24"/>
        <v>2150</v>
      </c>
    </row>
    <row r="481" spans="5:14" x14ac:dyDescent="0.25">
      <c r="E481">
        <v>583</v>
      </c>
      <c r="F481" s="7">
        <v>44974</v>
      </c>
      <c r="G481">
        <f t="shared" si="22"/>
        <v>2023</v>
      </c>
      <c r="H481" s="7" t="str">
        <f t="shared" si="23"/>
        <v>Февраль</v>
      </c>
      <c r="I481" t="s">
        <v>22</v>
      </c>
      <c r="J481">
        <v>27</v>
      </c>
      <c r="K481" t="s">
        <v>21</v>
      </c>
      <c r="L481">
        <v>4</v>
      </c>
      <c r="M481">
        <v>50</v>
      </c>
      <c r="N481" s="1">
        <f t="shared" si="24"/>
        <v>200</v>
      </c>
    </row>
    <row r="482" spans="5:14" x14ac:dyDescent="0.25">
      <c r="E482">
        <v>1737</v>
      </c>
      <c r="F482" s="7">
        <v>45626</v>
      </c>
      <c r="G482">
        <f t="shared" si="22"/>
        <v>2024</v>
      </c>
      <c r="H482" s="7" t="str">
        <f t="shared" si="23"/>
        <v>Ноябрь</v>
      </c>
      <c r="I482" t="s">
        <v>20</v>
      </c>
      <c r="J482">
        <v>30</v>
      </c>
      <c r="K482" t="s">
        <v>23</v>
      </c>
      <c r="L482">
        <v>7</v>
      </c>
      <c r="M482">
        <v>374</v>
      </c>
      <c r="N482" s="1">
        <f t="shared" si="24"/>
        <v>2618</v>
      </c>
    </row>
    <row r="483" spans="5:14" x14ac:dyDescent="0.25">
      <c r="E483">
        <v>1517</v>
      </c>
      <c r="F483" s="7">
        <v>45655</v>
      </c>
      <c r="G483">
        <f t="shared" si="22"/>
        <v>2024</v>
      </c>
      <c r="H483" s="7" t="str">
        <f t="shared" si="23"/>
        <v>Декабрь</v>
      </c>
      <c r="I483" t="s">
        <v>22</v>
      </c>
      <c r="J483">
        <v>28</v>
      </c>
      <c r="K483" t="s">
        <v>24</v>
      </c>
      <c r="L483">
        <v>7</v>
      </c>
      <c r="M483">
        <v>324</v>
      </c>
      <c r="N483" s="1">
        <f t="shared" si="24"/>
        <v>2268</v>
      </c>
    </row>
    <row r="484" spans="5:14" x14ac:dyDescent="0.25">
      <c r="E484">
        <v>1624</v>
      </c>
      <c r="F484" s="7">
        <v>45579</v>
      </c>
      <c r="G484">
        <f t="shared" si="22"/>
        <v>2024</v>
      </c>
      <c r="H484" s="7" t="str">
        <f t="shared" si="23"/>
        <v>Октябрь</v>
      </c>
      <c r="I484" t="s">
        <v>20</v>
      </c>
      <c r="J484">
        <v>25</v>
      </c>
      <c r="K484" t="s">
        <v>23</v>
      </c>
      <c r="L484">
        <v>4</v>
      </c>
      <c r="M484">
        <v>352</v>
      </c>
      <c r="N484" s="1">
        <f t="shared" si="24"/>
        <v>1408</v>
      </c>
    </row>
    <row r="485" spans="5:14" x14ac:dyDescent="0.25">
      <c r="E485">
        <v>668</v>
      </c>
      <c r="F485" s="7">
        <v>45204</v>
      </c>
      <c r="G485">
        <f t="shared" si="22"/>
        <v>2023</v>
      </c>
      <c r="H485" s="7" t="str">
        <f t="shared" si="23"/>
        <v>Октябрь</v>
      </c>
      <c r="I485" t="s">
        <v>20</v>
      </c>
      <c r="J485">
        <v>27</v>
      </c>
      <c r="K485" t="s">
        <v>21</v>
      </c>
      <c r="L485">
        <v>1</v>
      </c>
      <c r="M485">
        <v>30</v>
      </c>
      <c r="N485" s="1">
        <f t="shared" si="24"/>
        <v>30</v>
      </c>
    </row>
    <row r="486" spans="5:14" x14ac:dyDescent="0.25">
      <c r="E486">
        <v>272</v>
      </c>
      <c r="F486" s="7">
        <v>45054</v>
      </c>
      <c r="G486">
        <f t="shared" si="22"/>
        <v>2023</v>
      </c>
      <c r="H486" s="7" t="str">
        <f t="shared" si="23"/>
        <v>Май</v>
      </c>
      <c r="I486" t="s">
        <v>22</v>
      </c>
      <c r="J486">
        <v>22</v>
      </c>
      <c r="K486" t="s">
        <v>21</v>
      </c>
      <c r="L486">
        <v>1</v>
      </c>
      <c r="M486">
        <v>50</v>
      </c>
      <c r="N486" s="1">
        <f t="shared" si="24"/>
        <v>50</v>
      </c>
    </row>
    <row r="487" spans="5:14" x14ac:dyDescent="0.25">
      <c r="E487">
        <v>1925</v>
      </c>
      <c r="F487" s="7">
        <v>45318</v>
      </c>
      <c r="G487">
        <f t="shared" si="22"/>
        <v>2024</v>
      </c>
      <c r="H487" s="7" t="str">
        <f t="shared" si="23"/>
        <v>Январь</v>
      </c>
      <c r="I487" t="s">
        <v>22</v>
      </c>
      <c r="J487">
        <v>51</v>
      </c>
      <c r="K487" t="s">
        <v>21</v>
      </c>
      <c r="L487">
        <v>5</v>
      </c>
      <c r="M487">
        <v>350</v>
      </c>
      <c r="N487" s="1">
        <f t="shared" si="24"/>
        <v>1750</v>
      </c>
    </row>
    <row r="488" spans="5:14" x14ac:dyDescent="0.25">
      <c r="E488">
        <v>267</v>
      </c>
      <c r="F488" s="7">
        <v>44977</v>
      </c>
      <c r="G488">
        <f t="shared" si="22"/>
        <v>2023</v>
      </c>
      <c r="H488" s="7" t="str">
        <f t="shared" si="23"/>
        <v>Февраль</v>
      </c>
      <c r="I488" t="s">
        <v>22</v>
      </c>
      <c r="J488">
        <v>28</v>
      </c>
      <c r="K488" t="s">
        <v>24</v>
      </c>
      <c r="L488">
        <v>1</v>
      </c>
      <c r="M488">
        <v>30</v>
      </c>
      <c r="N488" s="1">
        <f t="shared" si="24"/>
        <v>30</v>
      </c>
    </row>
    <row r="489" spans="5:14" x14ac:dyDescent="0.25">
      <c r="E489">
        <v>1298</v>
      </c>
      <c r="F489" s="7">
        <v>45377</v>
      </c>
      <c r="G489">
        <f t="shared" si="22"/>
        <v>2024</v>
      </c>
      <c r="H489" s="7" t="str">
        <f t="shared" si="23"/>
        <v>Март</v>
      </c>
      <c r="I489" t="s">
        <v>20</v>
      </c>
      <c r="J489">
        <v>42</v>
      </c>
      <c r="K489" t="s">
        <v>23</v>
      </c>
      <c r="L489">
        <v>4</v>
      </c>
      <c r="M489">
        <v>187</v>
      </c>
      <c r="N489" s="1">
        <f t="shared" si="24"/>
        <v>748</v>
      </c>
    </row>
    <row r="490" spans="5:14" x14ac:dyDescent="0.25">
      <c r="E490">
        <v>1240</v>
      </c>
      <c r="F490" s="7">
        <v>45435</v>
      </c>
      <c r="G490">
        <f t="shared" si="22"/>
        <v>2024</v>
      </c>
      <c r="H490" s="7" t="str">
        <f t="shared" si="23"/>
        <v>Май</v>
      </c>
      <c r="I490" t="s">
        <v>22</v>
      </c>
      <c r="J490">
        <v>23</v>
      </c>
      <c r="K490" t="s">
        <v>24</v>
      </c>
      <c r="L490">
        <v>7</v>
      </c>
      <c r="M490">
        <v>268</v>
      </c>
      <c r="N490" s="1">
        <f t="shared" si="24"/>
        <v>1876</v>
      </c>
    </row>
    <row r="491" spans="5:14" x14ac:dyDescent="0.25">
      <c r="E491">
        <v>242</v>
      </c>
      <c r="F491" s="7">
        <v>45069</v>
      </c>
      <c r="G491">
        <f t="shared" si="22"/>
        <v>2023</v>
      </c>
      <c r="H491" s="7" t="str">
        <f t="shared" si="23"/>
        <v>Май</v>
      </c>
      <c r="I491" t="s">
        <v>22</v>
      </c>
      <c r="J491">
        <v>47</v>
      </c>
      <c r="K491" t="s">
        <v>24</v>
      </c>
      <c r="L491">
        <v>3</v>
      </c>
      <c r="M491">
        <v>300</v>
      </c>
      <c r="N491" s="1">
        <f t="shared" si="24"/>
        <v>900</v>
      </c>
    </row>
    <row r="492" spans="5:14" x14ac:dyDescent="0.25">
      <c r="E492">
        <v>572</v>
      </c>
      <c r="F492" s="7">
        <v>45188</v>
      </c>
      <c r="G492">
        <f t="shared" si="22"/>
        <v>2023</v>
      </c>
      <c r="H492" s="7" t="str">
        <f t="shared" si="23"/>
        <v>Сентябрь</v>
      </c>
      <c r="I492" t="s">
        <v>20</v>
      </c>
      <c r="J492">
        <v>49</v>
      </c>
      <c r="K492" t="s">
        <v>21</v>
      </c>
      <c r="L492">
        <v>2</v>
      </c>
      <c r="M492">
        <v>30</v>
      </c>
      <c r="N492" s="1">
        <f t="shared" si="24"/>
        <v>60</v>
      </c>
    </row>
    <row r="493" spans="5:14" x14ac:dyDescent="0.25">
      <c r="E493">
        <v>1309</v>
      </c>
      <c r="F493" s="7">
        <v>45542</v>
      </c>
      <c r="G493">
        <f t="shared" si="22"/>
        <v>2024</v>
      </c>
      <c r="H493" s="7" t="str">
        <f t="shared" si="23"/>
        <v>Сентябрь</v>
      </c>
      <c r="I493" t="s">
        <v>20</v>
      </c>
      <c r="J493">
        <v>61</v>
      </c>
      <c r="K493" t="s">
        <v>23</v>
      </c>
      <c r="L493">
        <v>3</v>
      </c>
      <c r="M493">
        <v>253</v>
      </c>
      <c r="N493" s="1">
        <f t="shared" si="24"/>
        <v>759</v>
      </c>
    </row>
    <row r="494" spans="5:14" x14ac:dyDescent="0.25">
      <c r="E494">
        <v>1673</v>
      </c>
      <c r="F494" s="7">
        <v>45592</v>
      </c>
      <c r="G494">
        <f t="shared" si="22"/>
        <v>2024</v>
      </c>
      <c r="H494" s="7" t="str">
        <f t="shared" si="23"/>
        <v>Октябрь</v>
      </c>
      <c r="I494" t="s">
        <v>22</v>
      </c>
      <c r="J494">
        <v>39</v>
      </c>
      <c r="K494" t="s">
        <v>21</v>
      </c>
      <c r="L494">
        <v>7</v>
      </c>
      <c r="M494">
        <v>255</v>
      </c>
      <c r="N494" s="1">
        <f t="shared" si="24"/>
        <v>1785</v>
      </c>
    </row>
    <row r="495" spans="5:14" x14ac:dyDescent="0.25">
      <c r="E495">
        <v>1341</v>
      </c>
      <c r="F495" s="7">
        <v>45312</v>
      </c>
      <c r="G495">
        <f t="shared" si="22"/>
        <v>2024</v>
      </c>
      <c r="H495" s="7" t="str">
        <f t="shared" si="23"/>
        <v>Январь</v>
      </c>
      <c r="I495" t="s">
        <v>22</v>
      </c>
      <c r="J495">
        <v>37</v>
      </c>
      <c r="K495" t="s">
        <v>21</v>
      </c>
      <c r="L495">
        <v>6</v>
      </c>
      <c r="M495">
        <v>370</v>
      </c>
      <c r="N495" s="1">
        <f t="shared" si="24"/>
        <v>2220</v>
      </c>
    </row>
    <row r="496" spans="5:14" x14ac:dyDescent="0.25">
      <c r="E496">
        <v>41</v>
      </c>
      <c r="F496" s="7">
        <v>44979</v>
      </c>
      <c r="G496">
        <f t="shared" si="22"/>
        <v>2023</v>
      </c>
      <c r="H496" s="7" t="str">
        <f t="shared" si="23"/>
        <v>Февраль</v>
      </c>
      <c r="I496" t="s">
        <v>20</v>
      </c>
      <c r="J496">
        <v>34</v>
      </c>
      <c r="K496" t="s">
        <v>23</v>
      </c>
      <c r="L496">
        <v>2</v>
      </c>
      <c r="M496">
        <v>25</v>
      </c>
      <c r="N496" s="1">
        <f t="shared" si="24"/>
        <v>50</v>
      </c>
    </row>
    <row r="497" spans="5:14" x14ac:dyDescent="0.25">
      <c r="E497">
        <v>1343</v>
      </c>
      <c r="F497" s="7">
        <v>45333</v>
      </c>
      <c r="G497">
        <f t="shared" si="22"/>
        <v>2024</v>
      </c>
      <c r="H497" s="7" t="str">
        <f t="shared" si="23"/>
        <v>Февраль</v>
      </c>
      <c r="I497" t="s">
        <v>20</v>
      </c>
      <c r="J497">
        <v>32</v>
      </c>
      <c r="K497" t="s">
        <v>23</v>
      </c>
      <c r="L497">
        <v>1</v>
      </c>
      <c r="M497">
        <v>311</v>
      </c>
      <c r="N497" s="1">
        <f t="shared" si="24"/>
        <v>311</v>
      </c>
    </row>
    <row r="498" spans="5:14" x14ac:dyDescent="0.25">
      <c r="E498">
        <v>1372</v>
      </c>
      <c r="F498" s="7">
        <v>45552</v>
      </c>
      <c r="G498">
        <f t="shared" si="22"/>
        <v>2024</v>
      </c>
      <c r="H498" s="7" t="str">
        <f t="shared" si="23"/>
        <v>Сентябрь</v>
      </c>
      <c r="I498" t="s">
        <v>20</v>
      </c>
      <c r="J498">
        <v>47</v>
      </c>
      <c r="K498" t="s">
        <v>23</v>
      </c>
      <c r="L498">
        <v>6</v>
      </c>
      <c r="M498">
        <v>121</v>
      </c>
      <c r="N498" s="1">
        <f t="shared" si="24"/>
        <v>726</v>
      </c>
    </row>
    <row r="499" spans="5:14" x14ac:dyDescent="0.25">
      <c r="E499">
        <v>218</v>
      </c>
      <c r="F499" s="7">
        <v>45158</v>
      </c>
      <c r="G499">
        <f t="shared" si="22"/>
        <v>2023</v>
      </c>
      <c r="H499" s="7" t="str">
        <f t="shared" si="23"/>
        <v>Август</v>
      </c>
      <c r="I499" t="s">
        <v>22</v>
      </c>
      <c r="J499">
        <v>53</v>
      </c>
      <c r="K499" t="s">
        <v>24</v>
      </c>
      <c r="L499">
        <v>3</v>
      </c>
      <c r="M499">
        <v>30</v>
      </c>
      <c r="N499" s="1">
        <f t="shared" si="24"/>
        <v>90</v>
      </c>
    </row>
    <row r="500" spans="5:14" x14ac:dyDescent="0.25">
      <c r="E500">
        <v>1435</v>
      </c>
      <c r="F500" s="7">
        <v>45310</v>
      </c>
      <c r="G500">
        <f t="shared" si="22"/>
        <v>2024</v>
      </c>
      <c r="H500" s="7" t="str">
        <f t="shared" si="23"/>
        <v>Январь</v>
      </c>
      <c r="I500" t="s">
        <v>22</v>
      </c>
      <c r="J500">
        <v>28</v>
      </c>
      <c r="K500" t="s">
        <v>23</v>
      </c>
      <c r="L500">
        <v>7</v>
      </c>
      <c r="M500">
        <v>231</v>
      </c>
      <c r="N500" s="1">
        <f t="shared" si="24"/>
        <v>1617</v>
      </c>
    </row>
    <row r="501" spans="5:14" x14ac:dyDescent="0.25">
      <c r="E501">
        <v>784</v>
      </c>
      <c r="F501" s="7">
        <v>45216</v>
      </c>
      <c r="G501">
        <f t="shared" si="22"/>
        <v>2023</v>
      </c>
      <c r="H501" s="7" t="str">
        <f t="shared" si="23"/>
        <v>Октябрь</v>
      </c>
      <c r="I501" t="s">
        <v>20</v>
      </c>
      <c r="J501">
        <v>48</v>
      </c>
      <c r="K501" t="s">
        <v>23</v>
      </c>
      <c r="L501">
        <v>4</v>
      </c>
      <c r="M501">
        <v>25</v>
      </c>
      <c r="N501" s="1">
        <f t="shared" si="24"/>
        <v>100</v>
      </c>
    </row>
    <row r="502" spans="5:14" x14ac:dyDescent="0.25">
      <c r="E502">
        <v>1377</v>
      </c>
      <c r="F502" s="7">
        <v>45418</v>
      </c>
      <c r="G502">
        <f t="shared" si="22"/>
        <v>2024</v>
      </c>
      <c r="H502" s="7" t="str">
        <f t="shared" si="23"/>
        <v>Май</v>
      </c>
      <c r="I502" t="s">
        <v>20</v>
      </c>
      <c r="J502">
        <v>43</v>
      </c>
      <c r="K502" t="s">
        <v>24</v>
      </c>
      <c r="L502">
        <v>3</v>
      </c>
      <c r="M502">
        <v>222</v>
      </c>
      <c r="N502" s="1">
        <f t="shared" si="24"/>
        <v>666</v>
      </c>
    </row>
    <row r="503" spans="5:14" x14ac:dyDescent="0.25">
      <c r="E503">
        <v>1977</v>
      </c>
      <c r="F503" s="7">
        <v>45523</v>
      </c>
      <c r="G503">
        <f t="shared" si="22"/>
        <v>2024</v>
      </c>
      <c r="H503" s="7" t="str">
        <f t="shared" si="23"/>
        <v>Август</v>
      </c>
      <c r="I503" t="s">
        <v>22</v>
      </c>
      <c r="J503">
        <v>26</v>
      </c>
      <c r="K503" t="s">
        <v>24</v>
      </c>
      <c r="L503">
        <v>5</v>
      </c>
      <c r="M503">
        <v>11</v>
      </c>
      <c r="N503" s="1">
        <f t="shared" si="24"/>
        <v>55</v>
      </c>
    </row>
    <row r="504" spans="5:14" x14ac:dyDescent="0.25">
      <c r="E504">
        <v>470</v>
      </c>
      <c r="F504" s="7">
        <v>45008</v>
      </c>
      <c r="G504">
        <f t="shared" si="22"/>
        <v>2023</v>
      </c>
      <c r="H504" s="7" t="str">
        <f t="shared" si="23"/>
        <v>Март</v>
      </c>
      <c r="I504" t="s">
        <v>20</v>
      </c>
      <c r="J504">
        <v>32</v>
      </c>
      <c r="K504" t="s">
        <v>23</v>
      </c>
      <c r="L504">
        <v>3</v>
      </c>
      <c r="M504">
        <v>50</v>
      </c>
      <c r="N504" s="1">
        <f t="shared" si="24"/>
        <v>150</v>
      </c>
    </row>
    <row r="505" spans="5:14" x14ac:dyDescent="0.25">
      <c r="E505">
        <v>1067</v>
      </c>
      <c r="F505" s="7">
        <v>45412</v>
      </c>
      <c r="G505">
        <f t="shared" si="22"/>
        <v>2024</v>
      </c>
      <c r="H505" s="7" t="str">
        <f t="shared" si="23"/>
        <v>Апрель</v>
      </c>
      <c r="I505" t="s">
        <v>22</v>
      </c>
      <c r="J505">
        <v>49</v>
      </c>
      <c r="K505" t="s">
        <v>21</v>
      </c>
      <c r="L505">
        <v>2</v>
      </c>
      <c r="M505">
        <v>448</v>
      </c>
      <c r="N505" s="1">
        <f t="shared" si="24"/>
        <v>896</v>
      </c>
    </row>
    <row r="506" spans="5:14" x14ac:dyDescent="0.25">
      <c r="E506">
        <v>94</v>
      </c>
      <c r="F506" s="7">
        <v>45065</v>
      </c>
      <c r="G506">
        <f t="shared" si="22"/>
        <v>2023</v>
      </c>
      <c r="H506" s="7" t="str">
        <f t="shared" si="23"/>
        <v>Май</v>
      </c>
      <c r="I506" t="s">
        <v>22</v>
      </c>
      <c r="J506">
        <v>47</v>
      </c>
      <c r="K506" t="s">
        <v>21</v>
      </c>
      <c r="L506">
        <v>2</v>
      </c>
      <c r="M506">
        <v>500</v>
      </c>
      <c r="N506" s="1">
        <f t="shared" si="24"/>
        <v>1000</v>
      </c>
    </row>
    <row r="507" spans="5:14" x14ac:dyDescent="0.25">
      <c r="E507">
        <v>1371</v>
      </c>
      <c r="F507" s="7">
        <v>45402</v>
      </c>
      <c r="G507">
        <f t="shared" si="22"/>
        <v>2024</v>
      </c>
      <c r="H507" s="7" t="str">
        <f t="shared" si="23"/>
        <v>Апрель</v>
      </c>
      <c r="I507" t="s">
        <v>22</v>
      </c>
      <c r="J507">
        <v>48</v>
      </c>
      <c r="K507" t="s">
        <v>21</v>
      </c>
      <c r="L507">
        <v>3</v>
      </c>
      <c r="M507">
        <v>469</v>
      </c>
      <c r="N507" s="1">
        <f t="shared" si="24"/>
        <v>1407</v>
      </c>
    </row>
    <row r="508" spans="5:14" x14ac:dyDescent="0.25">
      <c r="E508">
        <v>1938</v>
      </c>
      <c r="F508" s="7">
        <v>45369</v>
      </c>
      <c r="G508">
        <f t="shared" si="22"/>
        <v>2024</v>
      </c>
      <c r="H508" s="7" t="str">
        <f t="shared" si="23"/>
        <v>Март</v>
      </c>
      <c r="I508" t="s">
        <v>20</v>
      </c>
      <c r="J508">
        <v>31</v>
      </c>
      <c r="K508" t="s">
        <v>23</v>
      </c>
      <c r="L508">
        <v>2</v>
      </c>
      <c r="M508">
        <v>485</v>
      </c>
      <c r="N508" s="1">
        <f t="shared" si="24"/>
        <v>970</v>
      </c>
    </row>
    <row r="509" spans="5:14" x14ac:dyDescent="0.25">
      <c r="E509">
        <v>1696</v>
      </c>
      <c r="F509" s="7">
        <v>45635</v>
      </c>
      <c r="G509">
        <f t="shared" si="22"/>
        <v>2024</v>
      </c>
      <c r="H509" s="7" t="str">
        <f t="shared" si="23"/>
        <v>Декабрь</v>
      </c>
      <c r="I509" t="s">
        <v>20</v>
      </c>
      <c r="J509">
        <v>20</v>
      </c>
      <c r="K509" t="s">
        <v>24</v>
      </c>
      <c r="L509">
        <v>6</v>
      </c>
      <c r="M509">
        <v>435</v>
      </c>
      <c r="N509" s="1">
        <f t="shared" si="24"/>
        <v>2610</v>
      </c>
    </row>
    <row r="510" spans="5:14" x14ac:dyDescent="0.25">
      <c r="E510">
        <v>981</v>
      </c>
      <c r="F510" s="7">
        <v>45231</v>
      </c>
      <c r="G510">
        <f t="shared" si="22"/>
        <v>2023</v>
      </c>
      <c r="H510" s="7" t="str">
        <f t="shared" si="23"/>
        <v>Ноябрь</v>
      </c>
      <c r="I510" t="s">
        <v>22</v>
      </c>
      <c r="J510">
        <v>29</v>
      </c>
      <c r="K510" t="s">
        <v>23</v>
      </c>
      <c r="L510">
        <v>1</v>
      </c>
      <c r="M510">
        <v>300</v>
      </c>
      <c r="N510" s="1">
        <f t="shared" si="24"/>
        <v>300</v>
      </c>
    </row>
    <row r="511" spans="5:14" x14ac:dyDescent="0.25">
      <c r="E511">
        <v>244</v>
      </c>
      <c r="F511" s="7">
        <v>45175</v>
      </c>
      <c r="G511">
        <f t="shared" si="22"/>
        <v>2023</v>
      </c>
      <c r="H511" s="7" t="str">
        <f t="shared" si="23"/>
        <v>Сентябрь</v>
      </c>
      <c r="I511" t="s">
        <v>20</v>
      </c>
      <c r="J511">
        <v>47</v>
      </c>
      <c r="K511" t="s">
        <v>23</v>
      </c>
      <c r="L511">
        <v>3</v>
      </c>
      <c r="M511">
        <v>30</v>
      </c>
      <c r="N511" s="1">
        <f t="shared" si="24"/>
        <v>90</v>
      </c>
    </row>
    <row r="512" spans="5:14" x14ac:dyDescent="0.25">
      <c r="E512">
        <v>1852</v>
      </c>
      <c r="F512" s="7">
        <v>45623</v>
      </c>
      <c r="G512">
        <f t="shared" si="22"/>
        <v>2024</v>
      </c>
      <c r="H512" s="7" t="str">
        <f t="shared" si="23"/>
        <v>Ноябрь</v>
      </c>
      <c r="I512" t="s">
        <v>20</v>
      </c>
      <c r="J512">
        <v>26</v>
      </c>
      <c r="K512" t="s">
        <v>24</v>
      </c>
      <c r="L512">
        <v>1</v>
      </c>
      <c r="M512">
        <v>378</v>
      </c>
      <c r="N512" s="1">
        <f t="shared" si="24"/>
        <v>378</v>
      </c>
    </row>
    <row r="513" spans="5:14" x14ac:dyDescent="0.25">
      <c r="E513">
        <v>678</v>
      </c>
      <c r="F513" s="7">
        <v>45221</v>
      </c>
      <c r="G513">
        <f t="shared" si="22"/>
        <v>2023</v>
      </c>
      <c r="H513" s="7" t="str">
        <f t="shared" si="23"/>
        <v>Октябрь</v>
      </c>
      <c r="I513" t="s">
        <v>22</v>
      </c>
      <c r="J513">
        <v>53</v>
      </c>
      <c r="K513" t="s">
        <v>23</v>
      </c>
      <c r="L513">
        <v>3</v>
      </c>
      <c r="M513">
        <v>300</v>
      </c>
      <c r="N513" s="1">
        <f t="shared" si="24"/>
        <v>900</v>
      </c>
    </row>
    <row r="514" spans="5:14" x14ac:dyDescent="0.25">
      <c r="E514">
        <v>60</v>
      </c>
      <c r="F514" s="7">
        <v>45222</v>
      </c>
      <c r="G514">
        <f t="shared" si="22"/>
        <v>2023</v>
      </c>
      <c r="H514" s="7" t="str">
        <f t="shared" si="23"/>
        <v>Октябрь</v>
      </c>
      <c r="I514" t="s">
        <v>20</v>
      </c>
      <c r="J514">
        <v>30</v>
      </c>
      <c r="K514" t="s">
        <v>21</v>
      </c>
      <c r="L514">
        <v>3</v>
      </c>
      <c r="M514">
        <v>50</v>
      </c>
      <c r="N514" s="1">
        <f t="shared" si="24"/>
        <v>150</v>
      </c>
    </row>
    <row r="515" spans="5:14" x14ac:dyDescent="0.25">
      <c r="E515">
        <v>1820</v>
      </c>
      <c r="F515" s="7">
        <v>45417</v>
      </c>
      <c r="G515">
        <f t="shared" si="22"/>
        <v>2024</v>
      </c>
      <c r="H515" s="7" t="str">
        <f t="shared" si="23"/>
        <v>Май</v>
      </c>
      <c r="I515" t="s">
        <v>20</v>
      </c>
      <c r="J515">
        <v>22</v>
      </c>
      <c r="K515" t="s">
        <v>23</v>
      </c>
      <c r="L515">
        <v>4</v>
      </c>
      <c r="M515">
        <v>101</v>
      </c>
      <c r="N515" s="1">
        <f t="shared" si="24"/>
        <v>404</v>
      </c>
    </row>
    <row r="516" spans="5:14" x14ac:dyDescent="0.25">
      <c r="E516">
        <v>519</v>
      </c>
      <c r="F516" s="7">
        <v>45289</v>
      </c>
      <c r="G516">
        <f t="shared" si="22"/>
        <v>2023</v>
      </c>
      <c r="H516" s="7" t="str">
        <f t="shared" si="23"/>
        <v>Декабрь</v>
      </c>
      <c r="I516" t="s">
        <v>22</v>
      </c>
      <c r="J516">
        <v>49</v>
      </c>
      <c r="K516" t="s">
        <v>24</v>
      </c>
      <c r="L516">
        <v>4</v>
      </c>
      <c r="M516">
        <v>25</v>
      </c>
      <c r="N516" s="1">
        <f t="shared" si="24"/>
        <v>100</v>
      </c>
    </row>
    <row r="517" spans="5:14" x14ac:dyDescent="0.25">
      <c r="E517">
        <v>1795</v>
      </c>
      <c r="F517" s="7">
        <v>45543</v>
      </c>
      <c r="G517">
        <f t="shared" si="22"/>
        <v>2024</v>
      </c>
      <c r="H517" s="7" t="str">
        <f t="shared" si="23"/>
        <v>Сентябрь</v>
      </c>
      <c r="I517" t="s">
        <v>20</v>
      </c>
      <c r="J517">
        <v>25</v>
      </c>
      <c r="K517" t="s">
        <v>24</v>
      </c>
      <c r="L517">
        <v>1</v>
      </c>
      <c r="M517">
        <v>273</v>
      </c>
      <c r="N517" s="1">
        <f t="shared" si="24"/>
        <v>273</v>
      </c>
    </row>
    <row r="518" spans="5:14" x14ac:dyDescent="0.25">
      <c r="E518">
        <v>809</v>
      </c>
      <c r="F518" s="7">
        <v>45065</v>
      </c>
      <c r="G518">
        <f t="shared" si="22"/>
        <v>2023</v>
      </c>
      <c r="H518" s="7" t="str">
        <f t="shared" si="23"/>
        <v>Май</v>
      </c>
      <c r="I518" t="s">
        <v>20</v>
      </c>
      <c r="J518">
        <v>61</v>
      </c>
      <c r="K518" t="s">
        <v>21</v>
      </c>
      <c r="L518">
        <v>2</v>
      </c>
      <c r="M518">
        <v>25</v>
      </c>
      <c r="N518" s="1">
        <f t="shared" si="24"/>
        <v>50</v>
      </c>
    </row>
    <row r="519" spans="5:14" x14ac:dyDescent="0.25">
      <c r="E519">
        <v>941</v>
      </c>
      <c r="F519" s="7">
        <v>45215</v>
      </c>
      <c r="G519">
        <f t="shared" si="22"/>
        <v>2023</v>
      </c>
      <c r="H519" s="7" t="str">
        <f t="shared" si="23"/>
        <v>Октябрь</v>
      </c>
      <c r="I519" t="s">
        <v>22</v>
      </c>
      <c r="J519">
        <v>57</v>
      </c>
      <c r="K519" t="s">
        <v>23</v>
      </c>
      <c r="L519">
        <v>4</v>
      </c>
      <c r="M519">
        <v>300</v>
      </c>
      <c r="N519" s="1">
        <f t="shared" si="24"/>
        <v>1200</v>
      </c>
    </row>
    <row r="520" spans="5:14" x14ac:dyDescent="0.25">
      <c r="E520">
        <v>1483</v>
      </c>
      <c r="F520" s="7">
        <v>45391</v>
      </c>
      <c r="G520">
        <f t="shared" si="22"/>
        <v>2024</v>
      </c>
      <c r="H520" s="7" t="str">
        <f t="shared" si="23"/>
        <v>Апрель</v>
      </c>
      <c r="I520" t="s">
        <v>22</v>
      </c>
      <c r="J520">
        <v>55</v>
      </c>
      <c r="K520" t="s">
        <v>24</v>
      </c>
      <c r="L520">
        <v>7</v>
      </c>
      <c r="M520">
        <v>243</v>
      </c>
      <c r="N520" s="1">
        <f t="shared" si="24"/>
        <v>1701</v>
      </c>
    </row>
    <row r="521" spans="5:14" x14ac:dyDescent="0.25">
      <c r="E521">
        <v>1319</v>
      </c>
      <c r="F521" s="7">
        <v>45321</v>
      </c>
      <c r="G521">
        <f t="shared" si="22"/>
        <v>2024</v>
      </c>
      <c r="H521" s="7" t="str">
        <f t="shared" si="23"/>
        <v>Январь</v>
      </c>
      <c r="I521" t="s">
        <v>20</v>
      </c>
      <c r="J521">
        <v>46</v>
      </c>
      <c r="K521" t="s">
        <v>24</v>
      </c>
      <c r="L521">
        <v>3</v>
      </c>
      <c r="M521">
        <v>88</v>
      </c>
      <c r="N521" s="1">
        <f t="shared" si="24"/>
        <v>264</v>
      </c>
    </row>
    <row r="522" spans="5:14" x14ac:dyDescent="0.25">
      <c r="E522">
        <v>1792</v>
      </c>
      <c r="F522" s="7">
        <v>45467</v>
      </c>
      <c r="G522">
        <f t="shared" ref="G522:G585" si="25">YEAR(F522)</f>
        <v>2024</v>
      </c>
      <c r="H522" s="7" t="str">
        <f t="shared" ref="H522:H585" si="26">TEXT(F522,"ММММ")</f>
        <v>Июнь</v>
      </c>
      <c r="I522" t="s">
        <v>20</v>
      </c>
      <c r="J522">
        <v>47</v>
      </c>
      <c r="K522" t="s">
        <v>21</v>
      </c>
      <c r="L522">
        <v>2</v>
      </c>
      <c r="M522">
        <v>340</v>
      </c>
      <c r="N522" s="1">
        <f t="shared" ref="N522:N585" si="27">L522*M522</f>
        <v>680</v>
      </c>
    </row>
    <row r="523" spans="5:14" x14ac:dyDescent="0.25">
      <c r="E523">
        <v>1125</v>
      </c>
      <c r="F523" s="7">
        <v>45497</v>
      </c>
      <c r="G523">
        <f t="shared" si="25"/>
        <v>2024</v>
      </c>
      <c r="H523" s="7" t="str">
        <f t="shared" si="26"/>
        <v>Июль</v>
      </c>
      <c r="I523" t="s">
        <v>22</v>
      </c>
      <c r="J523">
        <v>34</v>
      </c>
      <c r="K523" t="s">
        <v>23</v>
      </c>
      <c r="L523">
        <v>7</v>
      </c>
      <c r="M523">
        <v>466</v>
      </c>
      <c r="N523" s="1">
        <f t="shared" si="27"/>
        <v>3262</v>
      </c>
    </row>
    <row r="524" spans="5:14" x14ac:dyDescent="0.25">
      <c r="E524">
        <v>1382</v>
      </c>
      <c r="F524" s="7">
        <v>45571</v>
      </c>
      <c r="G524">
        <f t="shared" si="25"/>
        <v>2024</v>
      </c>
      <c r="H524" s="7" t="str">
        <f t="shared" si="26"/>
        <v>Октябрь</v>
      </c>
      <c r="I524" t="s">
        <v>20</v>
      </c>
      <c r="J524">
        <v>19</v>
      </c>
      <c r="K524" t="s">
        <v>24</v>
      </c>
      <c r="L524">
        <v>1</v>
      </c>
      <c r="M524">
        <v>366</v>
      </c>
      <c r="N524" s="1">
        <f t="shared" si="27"/>
        <v>366</v>
      </c>
    </row>
    <row r="525" spans="5:14" x14ac:dyDescent="0.25">
      <c r="E525">
        <v>1203</v>
      </c>
      <c r="F525" s="7">
        <v>45603</v>
      </c>
      <c r="G525">
        <f t="shared" si="25"/>
        <v>2024</v>
      </c>
      <c r="H525" s="7" t="str">
        <f t="shared" si="26"/>
        <v>Ноябрь</v>
      </c>
      <c r="I525" t="s">
        <v>22</v>
      </c>
      <c r="J525">
        <v>55</v>
      </c>
      <c r="K525" t="s">
        <v>23</v>
      </c>
      <c r="L525">
        <v>1</v>
      </c>
      <c r="M525">
        <v>238</v>
      </c>
      <c r="N525" s="1">
        <f t="shared" si="27"/>
        <v>238</v>
      </c>
    </row>
    <row r="526" spans="5:14" x14ac:dyDescent="0.25">
      <c r="E526">
        <v>562</v>
      </c>
      <c r="F526" s="7">
        <v>45147</v>
      </c>
      <c r="G526">
        <f t="shared" si="25"/>
        <v>2023</v>
      </c>
      <c r="H526" s="7" t="str">
        <f t="shared" si="26"/>
        <v>Август</v>
      </c>
      <c r="I526" t="s">
        <v>20</v>
      </c>
      <c r="J526">
        <v>20</v>
      </c>
      <c r="K526" t="s">
        <v>23</v>
      </c>
      <c r="L526">
        <v>2</v>
      </c>
      <c r="M526">
        <v>30</v>
      </c>
      <c r="N526" s="1">
        <f t="shared" si="27"/>
        <v>60</v>
      </c>
    </row>
    <row r="527" spans="5:14" x14ac:dyDescent="0.25">
      <c r="E527">
        <v>852</v>
      </c>
      <c r="F527" s="7">
        <v>45280</v>
      </c>
      <c r="G527">
        <f t="shared" si="25"/>
        <v>2023</v>
      </c>
      <c r="H527" s="7" t="str">
        <f t="shared" si="26"/>
        <v>Декабрь</v>
      </c>
      <c r="I527" t="s">
        <v>20</v>
      </c>
      <c r="J527">
        <v>29</v>
      </c>
      <c r="K527" t="s">
        <v>23</v>
      </c>
      <c r="L527">
        <v>1</v>
      </c>
      <c r="M527">
        <v>50</v>
      </c>
      <c r="N527" s="1">
        <f t="shared" si="27"/>
        <v>50</v>
      </c>
    </row>
    <row r="528" spans="5:14" x14ac:dyDescent="0.25">
      <c r="E528">
        <v>1897</v>
      </c>
      <c r="F528" s="7">
        <v>45392</v>
      </c>
      <c r="G528">
        <f t="shared" si="25"/>
        <v>2024</v>
      </c>
      <c r="H528" s="7" t="str">
        <f t="shared" si="26"/>
        <v>Апрель</v>
      </c>
      <c r="I528" t="s">
        <v>20</v>
      </c>
      <c r="J528">
        <v>55</v>
      </c>
      <c r="K528" t="s">
        <v>24</v>
      </c>
      <c r="L528">
        <v>4</v>
      </c>
      <c r="M528">
        <v>286</v>
      </c>
      <c r="N528" s="1">
        <f t="shared" si="27"/>
        <v>1144</v>
      </c>
    </row>
    <row r="529" spans="5:14" x14ac:dyDescent="0.25">
      <c r="E529">
        <v>1362</v>
      </c>
      <c r="F529" s="7">
        <v>45454</v>
      </c>
      <c r="G529">
        <f t="shared" si="25"/>
        <v>2024</v>
      </c>
      <c r="H529" s="7" t="str">
        <f t="shared" si="26"/>
        <v>Июнь</v>
      </c>
      <c r="I529" t="s">
        <v>20</v>
      </c>
      <c r="J529">
        <v>51</v>
      </c>
      <c r="K529" t="s">
        <v>23</v>
      </c>
      <c r="L529">
        <v>5</v>
      </c>
      <c r="M529">
        <v>406</v>
      </c>
      <c r="N529" s="1">
        <f t="shared" si="27"/>
        <v>2030</v>
      </c>
    </row>
    <row r="530" spans="5:14" x14ac:dyDescent="0.25">
      <c r="E530">
        <v>556</v>
      </c>
      <c r="F530" s="7">
        <v>45134</v>
      </c>
      <c r="G530">
        <f t="shared" si="25"/>
        <v>2023</v>
      </c>
      <c r="H530" s="7" t="str">
        <f t="shared" si="26"/>
        <v>Июль</v>
      </c>
      <c r="I530" t="s">
        <v>22</v>
      </c>
      <c r="J530">
        <v>20</v>
      </c>
      <c r="K530" t="s">
        <v>21</v>
      </c>
      <c r="L530">
        <v>3</v>
      </c>
      <c r="M530">
        <v>30</v>
      </c>
      <c r="N530" s="1">
        <f t="shared" si="27"/>
        <v>90</v>
      </c>
    </row>
    <row r="531" spans="5:14" x14ac:dyDescent="0.25">
      <c r="E531">
        <v>1961</v>
      </c>
      <c r="F531" s="7">
        <v>45605</v>
      </c>
      <c r="G531">
        <f t="shared" si="25"/>
        <v>2024</v>
      </c>
      <c r="H531" s="7" t="str">
        <f t="shared" si="26"/>
        <v>Ноябрь</v>
      </c>
      <c r="I531" t="s">
        <v>20</v>
      </c>
      <c r="J531">
        <v>34</v>
      </c>
      <c r="K531" t="s">
        <v>23</v>
      </c>
      <c r="L531">
        <v>7</v>
      </c>
      <c r="M531">
        <v>496</v>
      </c>
      <c r="N531" s="1">
        <f t="shared" si="27"/>
        <v>3472</v>
      </c>
    </row>
    <row r="532" spans="5:14" x14ac:dyDescent="0.25">
      <c r="E532">
        <v>258</v>
      </c>
      <c r="F532" s="7">
        <v>45147</v>
      </c>
      <c r="G532">
        <f t="shared" si="25"/>
        <v>2023</v>
      </c>
      <c r="H532" s="7" t="str">
        <f t="shared" si="26"/>
        <v>Август</v>
      </c>
      <c r="I532" t="s">
        <v>22</v>
      </c>
      <c r="J532">
        <v>45</v>
      </c>
      <c r="K532" t="s">
        <v>23</v>
      </c>
      <c r="L532">
        <v>4</v>
      </c>
      <c r="M532">
        <v>50</v>
      </c>
      <c r="N532" s="1">
        <f t="shared" si="27"/>
        <v>200</v>
      </c>
    </row>
    <row r="533" spans="5:14" x14ac:dyDescent="0.25">
      <c r="E533">
        <v>988</v>
      </c>
      <c r="F533" s="7">
        <v>45071</v>
      </c>
      <c r="G533">
        <f t="shared" si="25"/>
        <v>2023</v>
      </c>
      <c r="H533" s="7" t="str">
        <f t="shared" si="26"/>
        <v>Май</v>
      </c>
      <c r="I533" t="s">
        <v>22</v>
      </c>
      <c r="J533">
        <v>58</v>
      </c>
      <c r="K533" t="s">
        <v>21</v>
      </c>
      <c r="L533">
        <v>2</v>
      </c>
      <c r="M533">
        <v>500</v>
      </c>
      <c r="N533" s="1">
        <f t="shared" si="27"/>
        <v>1000</v>
      </c>
    </row>
    <row r="534" spans="5:14" x14ac:dyDescent="0.25">
      <c r="E534">
        <v>1671</v>
      </c>
      <c r="F534" s="7">
        <v>45508</v>
      </c>
      <c r="G534">
        <f t="shared" si="25"/>
        <v>2024</v>
      </c>
      <c r="H534" s="7" t="str">
        <f t="shared" si="26"/>
        <v>Август</v>
      </c>
      <c r="I534" t="s">
        <v>22</v>
      </c>
      <c r="J534">
        <v>20</v>
      </c>
      <c r="K534" t="s">
        <v>23</v>
      </c>
      <c r="L534">
        <v>6</v>
      </c>
      <c r="M534">
        <v>93</v>
      </c>
      <c r="N534" s="1">
        <f t="shared" si="27"/>
        <v>558</v>
      </c>
    </row>
    <row r="535" spans="5:14" x14ac:dyDescent="0.25">
      <c r="E535">
        <v>1633</v>
      </c>
      <c r="F535" s="7">
        <v>45374</v>
      </c>
      <c r="G535">
        <f t="shared" si="25"/>
        <v>2024</v>
      </c>
      <c r="H535" s="7" t="str">
        <f t="shared" si="26"/>
        <v>Март</v>
      </c>
      <c r="I535" t="s">
        <v>22</v>
      </c>
      <c r="J535">
        <v>56</v>
      </c>
      <c r="K535" t="s">
        <v>21</v>
      </c>
      <c r="L535">
        <v>2</v>
      </c>
      <c r="M535">
        <v>384</v>
      </c>
      <c r="N535" s="1">
        <f t="shared" si="27"/>
        <v>768</v>
      </c>
    </row>
    <row r="536" spans="5:14" x14ac:dyDescent="0.25">
      <c r="E536">
        <v>308</v>
      </c>
      <c r="F536" s="7">
        <v>45283</v>
      </c>
      <c r="G536">
        <f t="shared" si="25"/>
        <v>2023</v>
      </c>
      <c r="H536" s="7" t="str">
        <f t="shared" si="26"/>
        <v>Декабрь</v>
      </c>
      <c r="I536" t="s">
        <v>22</v>
      </c>
      <c r="J536">
        <v>26</v>
      </c>
      <c r="K536" t="s">
        <v>21</v>
      </c>
      <c r="L536">
        <v>1</v>
      </c>
      <c r="M536">
        <v>25</v>
      </c>
      <c r="N536" s="1">
        <f t="shared" si="27"/>
        <v>25</v>
      </c>
    </row>
    <row r="537" spans="5:14" x14ac:dyDescent="0.25">
      <c r="E537">
        <v>681</v>
      </c>
      <c r="F537" s="7">
        <v>44930</v>
      </c>
      <c r="G537">
        <f t="shared" si="25"/>
        <v>2023</v>
      </c>
      <c r="H537" s="7" t="str">
        <f t="shared" si="26"/>
        <v>Январь</v>
      </c>
      <c r="I537" t="s">
        <v>20</v>
      </c>
      <c r="J537">
        <v>38</v>
      </c>
      <c r="K537" t="s">
        <v>21</v>
      </c>
      <c r="L537">
        <v>2</v>
      </c>
      <c r="M537">
        <v>500</v>
      </c>
      <c r="N537" s="1">
        <f t="shared" si="27"/>
        <v>1000</v>
      </c>
    </row>
    <row r="538" spans="5:14" x14ac:dyDescent="0.25">
      <c r="E538">
        <v>1570</v>
      </c>
      <c r="F538" s="7">
        <v>45554</v>
      </c>
      <c r="G538">
        <f t="shared" si="25"/>
        <v>2024</v>
      </c>
      <c r="H538" s="7" t="str">
        <f t="shared" si="26"/>
        <v>Сентябрь</v>
      </c>
      <c r="I538" t="s">
        <v>20</v>
      </c>
      <c r="J538">
        <v>23</v>
      </c>
      <c r="K538" t="s">
        <v>21</v>
      </c>
      <c r="L538">
        <v>4</v>
      </c>
      <c r="M538">
        <v>403</v>
      </c>
      <c r="N538" s="1">
        <f t="shared" si="27"/>
        <v>1612</v>
      </c>
    </row>
    <row r="539" spans="5:14" x14ac:dyDescent="0.25">
      <c r="E539">
        <v>1810</v>
      </c>
      <c r="F539" s="7">
        <v>45540</v>
      </c>
      <c r="G539">
        <f t="shared" si="25"/>
        <v>2024</v>
      </c>
      <c r="H539" s="7" t="str">
        <f t="shared" si="26"/>
        <v>Сентябрь</v>
      </c>
      <c r="I539" t="s">
        <v>22</v>
      </c>
      <c r="J539">
        <v>55</v>
      </c>
      <c r="K539" t="s">
        <v>23</v>
      </c>
      <c r="L539">
        <v>2</v>
      </c>
      <c r="M539">
        <v>113</v>
      </c>
      <c r="N539" s="1">
        <f t="shared" si="27"/>
        <v>226</v>
      </c>
    </row>
    <row r="540" spans="5:14" x14ac:dyDescent="0.25">
      <c r="E540">
        <v>897</v>
      </c>
      <c r="F540" s="7">
        <v>45071</v>
      </c>
      <c r="G540">
        <f t="shared" si="25"/>
        <v>2023</v>
      </c>
      <c r="H540" s="7" t="str">
        <f t="shared" si="26"/>
        <v>Май</v>
      </c>
      <c r="I540" t="s">
        <v>20</v>
      </c>
      <c r="J540">
        <v>26</v>
      </c>
      <c r="K540" t="s">
        <v>23</v>
      </c>
      <c r="L540">
        <v>2</v>
      </c>
      <c r="M540">
        <v>300</v>
      </c>
      <c r="N540" s="1">
        <f t="shared" si="27"/>
        <v>600</v>
      </c>
    </row>
    <row r="541" spans="5:14" x14ac:dyDescent="0.25">
      <c r="E541">
        <v>1044</v>
      </c>
      <c r="F541" s="7">
        <v>45469</v>
      </c>
      <c r="G541">
        <f t="shared" si="25"/>
        <v>2024</v>
      </c>
      <c r="H541" s="7" t="str">
        <f t="shared" si="26"/>
        <v>Июнь</v>
      </c>
      <c r="I541" t="s">
        <v>22</v>
      </c>
      <c r="J541">
        <v>34</v>
      </c>
      <c r="K541" t="s">
        <v>24</v>
      </c>
      <c r="L541">
        <v>7</v>
      </c>
      <c r="M541">
        <v>370</v>
      </c>
      <c r="N541" s="1">
        <f t="shared" si="27"/>
        <v>2590</v>
      </c>
    </row>
    <row r="542" spans="5:14" x14ac:dyDescent="0.25">
      <c r="E542">
        <v>953</v>
      </c>
      <c r="F542" s="7">
        <v>45121</v>
      </c>
      <c r="G542">
        <f t="shared" si="25"/>
        <v>2023</v>
      </c>
      <c r="H542" s="7" t="str">
        <f t="shared" si="26"/>
        <v>Июль</v>
      </c>
      <c r="I542" t="s">
        <v>20</v>
      </c>
      <c r="J542">
        <v>58</v>
      </c>
      <c r="K542" t="s">
        <v>23</v>
      </c>
      <c r="L542">
        <v>1</v>
      </c>
      <c r="M542">
        <v>25</v>
      </c>
      <c r="N542" s="1">
        <f t="shared" si="27"/>
        <v>25</v>
      </c>
    </row>
    <row r="543" spans="5:14" x14ac:dyDescent="0.25">
      <c r="E543">
        <v>787</v>
      </c>
      <c r="F543" s="7">
        <v>45199</v>
      </c>
      <c r="G543">
        <f t="shared" si="25"/>
        <v>2023</v>
      </c>
      <c r="H543" s="7" t="str">
        <f t="shared" si="26"/>
        <v>Сентябрь</v>
      </c>
      <c r="I543" t="s">
        <v>22</v>
      </c>
      <c r="J543">
        <v>61</v>
      </c>
      <c r="K543" t="s">
        <v>23</v>
      </c>
      <c r="L543">
        <v>4</v>
      </c>
      <c r="M543">
        <v>500</v>
      </c>
      <c r="N543" s="1">
        <f t="shared" si="27"/>
        <v>2000</v>
      </c>
    </row>
    <row r="544" spans="5:14" x14ac:dyDescent="0.25">
      <c r="E544">
        <v>1895</v>
      </c>
      <c r="F544" s="7">
        <v>45437</v>
      </c>
      <c r="G544">
        <f t="shared" si="25"/>
        <v>2024</v>
      </c>
      <c r="H544" s="7" t="str">
        <f t="shared" si="26"/>
        <v>Май</v>
      </c>
      <c r="I544" t="s">
        <v>20</v>
      </c>
      <c r="J544">
        <v>25</v>
      </c>
      <c r="K544" t="s">
        <v>23</v>
      </c>
      <c r="L544">
        <v>4</v>
      </c>
      <c r="M544">
        <v>473</v>
      </c>
      <c r="N544" s="1">
        <f t="shared" si="27"/>
        <v>1892</v>
      </c>
    </row>
    <row r="545" spans="5:14" x14ac:dyDescent="0.25">
      <c r="E545">
        <v>573</v>
      </c>
      <c r="F545" s="7">
        <v>45169</v>
      </c>
      <c r="G545">
        <f t="shared" si="25"/>
        <v>2023</v>
      </c>
      <c r="H545" s="7" t="str">
        <f t="shared" si="26"/>
        <v>Август</v>
      </c>
      <c r="I545" t="s">
        <v>22</v>
      </c>
      <c r="J545">
        <v>63</v>
      </c>
      <c r="K545" t="s">
        <v>24</v>
      </c>
      <c r="L545">
        <v>2</v>
      </c>
      <c r="M545">
        <v>25</v>
      </c>
      <c r="N545" s="1">
        <f t="shared" si="27"/>
        <v>50</v>
      </c>
    </row>
    <row r="546" spans="5:14" x14ac:dyDescent="0.25">
      <c r="E546">
        <v>887</v>
      </c>
      <c r="F546" s="7">
        <v>45201</v>
      </c>
      <c r="G546">
        <f t="shared" si="25"/>
        <v>2023</v>
      </c>
      <c r="H546" s="7" t="str">
        <f t="shared" si="26"/>
        <v>Октябрь</v>
      </c>
      <c r="I546" t="s">
        <v>22</v>
      </c>
      <c r="J546">
        <v>35</v>
      </c>
      <c r="K546" t="s">
        <v>24</v>
      </c>
      <c r="L546">
        <v>1</v>
      </c>
      <c r="M546">
        <v>50</v>
      </c>
      <c r="N546" s="1">
        <f t="shared" si="27"/>
        <v>50</v>
      </c>
    </row>
    <row r="547" spans="5:14" x14ac:dyDescent="0.25">
      <c r="E547">
        <v>1246</v>
      </c>
      <c r="F547" s="7">
        <v>45585</v>
      </c>
      <c r="G547">
        <f t="shared" si="25"/>
        <v>2024</v>
      </c>
      <c r="H547" s="7" t="str">
        <f t="shared" si="26"/>
        <v>Октябрь</v>
      </c>
      <c r="I547" t="s">
        <v>20</v>
      </c>
      <c r="J547">
        <v>63</v>
      </c>
      <c r="K547" t="s">
        <v>23</v>
      </c>
      <c r="L547">
        <v>5</v>
      </c>
      <c r="M547">
        <v>38</v>
      </c>
      <c r="N547" s="1">
        <f t="shared" si="27"/>
        <v>190</v>
      </c>
    </row>
    <row r="548" spans="5:14" x14ac:dyDescent="0.25">
      <c r="E548">
        <v>1422</v>
      </c>
      <c r="F548" s="7">
        <v>45427</v>
      </c>
      <c r="G548">
        <f t="shared" si="25"/>
        <v>2024</v>
      </c>
      <c r="H548" s="7" t="str">
        <f t="shared" si="26"/>
        <v>Май</v>
      </c>
      <c r="I548" t="s">
        <v>22</v>
      </c>
      <c r="J548">
        <v>42</v>
      </c>
      <c r="K548" t="s">
        <v>24</v>
      </c>
      <c r="L548">
        <v>2</v>
      </c>
      <c r="M548">
        <v>446</v>
      </c>
      <c r="N548" s="1">
        <f t="shared" si="27"/>
        <v>892</v>
      </c>
    </row>
    <row r="549" spans="5:14" x14ac:dyDescent="0.25">
      <c r="E549">
        <v>1153</v>
      </c>
      <c r="F549" s="7">
        <v>45429</v>
      </c>
      <c r="G549">
        <f t="shared" si="25"/>
        <v>2024</v>
      </c>
      <c r="H549" s="7" t="str">
        <f t="shared" si="26"/>
        <v>Май</v>
      </c>
      <c r="I549" t="s">
        <v>20</v>
      </c>
      <c r="J549">
        <v>19</v>
      </c>
      <c r="K549" t="s">
        <v>24</v>
      </c>
      <c r="L549">
        <v>1</v>
      </c>
      <c r="M549">
        <v>28</v>
      </c>
      <c r="N549" s="1">
        <f t="shared" si="27"/>
        <v>28</v>
      </c>
    </row>
    <row r="550" spans="5:14" x14ac:dyDescent="0.25">
      <c r="E550">
        <v>268</v>
      </c>
      <c r="F550" s="7">
        <v>44958</v>
      </c>
      <c r="G550">
        <f t="shared" si="25"/>
        <v>2023</v>
      </c>
      <c r="H550" s="7" t="str">
        <f t="shared" si="26"/>
        <v>Февраль</v>
      </c>
      <c r="I550" t="s">
        <v>20</v>
      </c>
      <c r="J550">
        <v>25</v>
      </c>
      <c r="K550" t="s">
        <v>23</v>
      </c>
      <c r="L550">
        <v>4</v>
      </c>
      <c r="M550">
        <v>500</v>
      </c>
      <c r="N550" s="1">
        <f t="shared" si="27"/>
        <v>2000</v>
      </c>
    </row>
    <row r="551" spans="5:14" x14ac:dyDescent="0.25">
      <c r="E551">
        <v>939</v>
      </c>
      <c r="F551" s="7">
        <v>45004</v>
      </c>
      <c r="G551">
        <f t="shared" si="25"/>
        <v>2023</v>
      </c>
      <c r="H551" s="7" t="str">
        <f t="shared" si="26"/>
        <v>Март</v>
      </c>
      <c r="I551" t="s">
        <v>22</v>
      </c>
      <c r="J551">
        <v>57</v>
      </c>
      <c r="K551" t="s">
        <v>23</v>
      </c>
      <c r="L551">
        <v>2</v>
      </c>
      <c r="M551">
        <v>25</v>
      </c>
      <c r="N551" s="1">
        <f t="shared" si="27"/>
        <v>50</v>
      </c>
    </row>
    <row r="552" spans="5:14" x14ac:dyDescent="0.25">
      <c r="E552">
        <v>1754</v>
      </c>
      <c r="F552" s="7">
        <v>45424</v>
      </c>
      <c r="G552">
        <f t="shared" si="25"/>
        <v>2024</v>
      </c>
      <c r="H552" s="7" t="str">
        <f t="shared" si="26"/>
        <v>Май</v>
      </c>
      <c r="I552" t="s">
        <v>20</v>
      </c>
      <c r="J552">
        <v>62</v>
      </c>
      <c r="K552" t="s">
        <v>23</v>
      </c>
      <c r="L552">
        <v>5</v>
      </c>
      <c r="M552">
        <v>373</v>
      </c>
      <c r="N552" s="1">
        <f t="shared" si="27"/>
        <v>1865</v>
      </c>
    </row>
    <row r="553" spans="5:14" x14ac:dyDescent="0.25">
      <c r="E553">
        <v>1321</v>
      </c>
      <c r="F553" s="7">
        <v>45592</v>
      </c>
      <c r="G553">
        <f t="shared" si="25"/>
        <v>2024</v>
      </c>
      <c r="H553" s="7" t="str">
        <f t="shared" si="26"/>
        <v>Октябрь</v>
      </c>
      <c r="I553" t="s">
        <v>22</v>
      </c>
      <c r="J553">
        <v>27</v>
      </c>
      <c r="K553" t="s">
        <v>24</v>
      </c>
      <c r="L553">
        <v>5</v>
      </c>
      <c r="M553">
        <v>395</v>
      </c>
      <c r="N553" s="1">
        <f t="shared" si="27"/>
        <v>1975</v>
      </c>
    </row>
    <row r="554" spans="5:14" x14ac:dyDescent="0.25">
      <c r="E554">
        <v>151</v>
      </c>
      <c r="F554" s="7">
        <v>45275</v>
      </c>
      <c r="G554">
        <f t="shared" si="25"/>
        <v>2023</v>
      </c>
      <c r="H554" s="7" t="str">
        <f t="shared" si="26"/>
        <v>Декабрь</v>
      </c>
      <c r="I554" t="s">
        <v>20</v>
      </c>
      <c r="J554">
        <v>29</v>
      </c>
      <c r="K554" t="s">
        <v>23</v>
      </c>
      <c r="L554">
        <v>1</v>
      </c>
      <c r="M554">
        <v>50</v>
      </c>
      <c r="N554" s="1">
        <f t="shared" si="27"/>
        <v>50</v>
      </c>
    </row>
    <row r="555" spans="5:14" x14ac:dyDescent="0.25">
      <c r="E555">
        <v>713</v>
      </c>
      <c r="F555" s="7">
        <v>45256</v>
      </c>
      <c r="G555">
        <f t="shared" si="25"/>
        <v>2023</v>
      </c>
      <c r="H555" s="7" t="str">
        <f t="shared" si="26"/>
        <v>Ноябрь</v>
      </c>
      <c r="I555" t="s">
        <v>22</v>
      </c>
      <c r="J555">
        <v>42</v>
      </c>
      <c r="K555" t="s">
        <v>21</v>
      </c>
      <c r="L555">
        <v>4</v>
      </c>
      <c r="M555">
        <v>25</v>
      </c>
      <c r="N555" s="1">
        <f t="shared" si="27"/>
        <v>100</v>
      </c>
    </row>
    <row r="556" spans="5:14" x14ac:dyDescent="0.25">
      <c r="E556">
        <v>812</v>
      </c>
      <c r="F556" s="7">
        <v>45174</v>
      </c>
      <c r="G556">
        <f t="shared" si="25"/>
        <v>2023</v>
      </c>
      <c r="H556" s="7" t="str">
        <f t="shared" si="26"/>
        <v>Сентябрь</v>
      </c>
      <c r="I556" t="s">
        <v>22</v>
      </c>
      <c r="J556">
        <v>59</v>
      </c>
      <c r="K556" t="s">
        <v>23</v>
      </c>
      <c r="L556">
        <v>1</v>
      </c>
      <c r="M556">
        <v>500</v>
      </c>
      <c r="N556" s="1">
        <f t="shared" si="27"/>
        <v>500</v>
      </c>
    </row>
    <row r="557" spans="5:14" x14ac:dyDescent="0.25">
      <c r="E557">
        <v>221</v>
      </c>
      <c r="F557" s="7">
        <v>45042</v>
      </c>
      <c r="G557">
        <f t="shared" si="25"/>
        <v>2023</v>
      </c>
      <c r="H557" s="7" t="str">
        <f t="shared" si="26"/>
        <v>Апрель</v>
      </c>
      <c r="I557" t="s">
        <v>20</v>
      </c>
      <c r="J557">
        <v>51</v>
      </c>
      <c r="K557" t="s">
        <v>23</v>
      </c>
      <c r="L557">
        <v>4</v>
      </c>
      <c r="M557">
        <v>30</v>
      </c>
      <c r="N557" s="1">
        <f t="shared" si="27"/>
        <v>120</v>
      </c>
    </row>
    <row r="558" spans="5:14" x14ac:dyDescent="0.25">
      <c r="E558">
        <v>1459</v>
      </c>
      <c r="F558" s="7">
        <v>45383</v>
      </c>
      <c r="G558">
        <f t="shared" si="25"/>
        <v>2024</v>
      </c>
      <c r="H558" s="7" t="str">
        <f t="shared" si="26"/>
        <v>Апрель</v>
      </c>
      <c r="I558" t="s">
        <v>20</v>
      </c>
      <c r="J558">
        <v>25</v>
      </c>
      <c r="K558" t="s">
        <v>24</v>
      </c>
      <c r="L558">
        <v>6</v>
      </c>
      <c r="M558">
        <v>162</v>
      </c>
      <c r="N558" s="1">
        <f t="shared" si="27"/>
        <v>972</v>
      </c>
    </row>
    <row r="559" spans="5:14" x14ac:dyDescent="0.25">
      <c r="E559">
        <v>664</v>
      </c>
      <c r="F559" s="7">
        <v>44959</v>
      </c>
      <c r="G559">
        <f t="shared" si="25"/>
        <v>2023</v>
      </c>
      <c r="H559" s="7" t="str">
        <f t="shared" si="26"/>
        <v>Февраль</v>
      </c>
      <c r="I559" t="s">
        <v>20</v>
      </c>
      <c r="J559">
        <v>51</v>
      </c>
      <c r="K559" t="s">
        <v>24</v>
      </c>
      <c r="L559">
        <v>3</v>
      </c>
      <c r="M559">
        <v>50</v>
      </c>
      <c r="N559" s="1">
        <f t="shared" si="27"/>
        <v>150</v>
      </c>
    </row>
    <row r="560" spans="5:14" x14ac:dyDescent="0.25">
      <c r="E560">
        <v>442</v>
      </c>
      <c r="F560" s="7">
        <v>45147</v>
      </c>
      <c r="G560">
        <f t="shared" si="25"/>
        <v>2023</v>
      </c>
      <c r="H560" s="7" t="str">
        <f t="shared" si="26"/>
        <v>Август</v>
      </c>
      <c r="I560" t="s">
        <v>20</v>
      </c>
      <c r="J560">
        <v>29</v>
      </c>
      <c r="K560" t="s">
        <v>23</v>
      </c>
      <c r="L560">
        <v>2</v>
      </c>
      <c r="M560">
        <v>300</v>
      </c>
      <c r="N560" s="1">
        <f t="shared" si="27"/>
        <v>600</v>
      </c>
    </row>
    <row r="561" spans="5:14" x14ac:dyDescent="0.25">
      <c r="E561">
        <v>430</v>
      </c>
      <c r="F561" s="7">
        <v>45214</v>
      </c>
      <c r="G561">
        <f t="shared" si="25"/>
        <v>2023</v>
      </c>
      <c r="H561" s="7" t="str">
        <f t="shared" si="26"/>
        <v>Октябрь</v>
      </c>
      <c r="I561" t="s">
        <v>20</v>
      </c>
      <c r="J561">
        <v>63</v>
      </c>
      <c r="K561" t="s">
        <v>24</v>
      </c>
      <c r="L561">
        <v>4</v>
      </c>
      <c r="M561">
        <v>300</v>
      </c>
      <c r="N561" s="1">
        <f t="shared" si="27"/>
        <v>1200</v>
      </c>
    </row>
    <row r="562" spans="5:14" x14ac:dyDescent="0.25">
      <c r="E562">
        <v>1595</v>
      </c>
      <c r="F562" s="7">
        <v>45505</v>
      </c>
      <c r="G562">
        <f t="shared" si="25"/>
        <v>2024</v>
      </c>
      <c r="H562" s="7" t="str">
        <f t="shared" si="26"/>
        <v>Август</v>
      </c>
      <c r="I562" t="s">
        <v>20</v>
      </c>
      <c r="J562">
        <v>55</v>
      </c>
      <c r="K562" t="s">
        <v>21</v>
      </c>
      <c r="L562">
        <v>6</v>
      </c>
      <c r="M562">
        <v>128</v>
      </c>
      <c r="N562" s="1">
        <f t="shared" si="27"/>
        <v>768</v>
      </c>
    </row>
    <row r="563" spans="5:14" x14ac:dyDescent="0.25">
      <c r="E563">
        <v>1099</v>
      </c>
      <c r="F563" s="7">
        <v>45320</v>
      </c>
      <c r="G563">
        <f t="shared" si="25"/>
        <v>2024</v>
      </c>
      <c r="H563" s="7" t="str">
        <f t="shared" si="26"/>
        <v>Январь</v>
      </c>
      <c r="I563" t="s">
        <v>20</v>
      </c>
      <c r="J563">
        <v>45</v>
      </c>
      <c r="K563" t="s">
        <v>23</v>
      </c>
      <c r="L563">
        <v>7</v>
      </c>
      <c r="M563">
        <v>395</v>
      </c>
      <c r="N563" s="1">
        <f t="shared" si="27"/>
        <v>2765</v>
      </c>
    </row>
    <row r="564" spans="5:14" x14ac:dyDescent="0.25">
      <c r="E564">
        <v>1515</v>
      </c>
      <c r="F564" s="7">
        <v>45423</v>
      </c>
      <c r="G564">
        <f t="shared" si="25"/>
        <v>2024</v>
      </c>
      <c r="H564" s="7" t="str">
        <f t="shared" si="26"/>
        <v>Май</v>
      </c>
      <c r="I564" t="s">
        <v>22</v>
      </c>
      <c r="J564">
        <v>48</v>
      </c>
      <c r="K564" t="s">
        <v>23</v>
      </c>
      <c r="L564">
        <v>2</v>
      </c>
      <c r="M564">
        <v>185</v>
      </c>
      <c r="N564" s="1">
        <f t="shared" si="27"/>
        <v>370</v>
      </c>
    </row>
    <row r="565" spans="5:14" x14ac:dyDescent="0.25">
      <c r="E565">
        <v>1135</v>
      </c>
      <c r="F565" s="7">
        <v>45614</v>
      </c>
      <c r="G565">
        <f t="shared" si="25"/>
        <v>2024</v>
      </c>
      <c r="H565" s="7" t="str">
        <f t="shared" si="26"/>
        <v>Ноябрь</v>
      </c>
      <c r="I565" t="s">
        <v>20</v>
      </c>
      <c r="J565">
        <v>33</v>
      </c>
      <c r="K565" t="s">
        <v>21</v>
      </c>
      <c r="L565">
        <v>2</v>
      </c>
      <c r="M565">
        <v>293</v>
      </c>
      <c r="N565" s="1">
        <f t="shared" si="27"/>
        <v>586</v>
      </c>
    </row>
    <row r="566" spans="5:14" x14ac:dyDescent="0.25">
      <c r="E566">
        <v>593</v>
      </c>
      <c r="F566" s="7">
        <v>45170</v>
      </c>
      <c r="G566">
        <f t="shared" si="25"/>
        <v>2023</v>
      </c>
      <c r="H566" s="7" t="str">
        <f t="shared" si="26"/>
        <v>Сентябрь</v>
      </c>
      <c r="I566" t="s">
        <v>22</v>
      </c>
      <c r="J566">
        <v>19</v>
      </c>
      <c r="K566" t="s">
        <v>24</v>
      </c>
      <c r="L566">
        <v>2</v>
      </c>
      <c r="M566">
        <v>300</v>
      </c>
      <c r="N566" s="1">
        <f t="shared" si="27"/>
        <v>600</v>
      </c>
    </row>
    <row r="567" spans="5:14" x14ac:dyDescent="0.25">
      <c r="E567">
        <v>484</v>
      </c>
      <c r="F567" s="7">
        <v>45264</v>
      </c>
      <c r="G567">
        <f t="shared" si="25"/>
        <v>2023</v>
      </c>
      <c r="H567" s="7" t="str">
        <f t="shared" si="26"/>
        <v>Декабрь</v>
      </c>
      <c r="I567" t="s">
        <v>20</v>
      </c>
      <c r="J567">
        <v>24</v>
      </c>
      <c r="K567" t="s">
        <v>24</v>
      </c>
      <c r="L567">
        <v>1</v>
      </c>
      <c r="M567">
        <v>30</v>
      </c>
      <c r="N567" s="1">
        <f t="shared" si="27"/>
        <v>30</v>
      </c>
    </row>
    <row r="568" spans="5:14" x14ac:dyDescent="0.25">
      <c r="E568">
        <v>493</v>
      </c>
      <c r="F568" s="7">
        <v>45187</v>
      </c>
      <c r="G568">
        <f t="shared" si="25"/>
        <v>2023</v>
      </c>
      <c r="H568" s="7" t="str">
        <f t="shared" si="26"/>
        <v>Сентябрь</v>
      </c>
      <c r="I568" t="s">
        <v>22</v>
      </c>
      <c r="J568">
        <v>42</v>
      </c>
      <c r="K568" t="s">
        <v>21</v>
      </c>
      <c r="L568">
        <v>4</v>
      </c>
      <c r="M568">
        <v>50</v>
      </c>
      <c r="N568" s="1">
        <f t="shared" si="27"/>
        <v>200</v>
      </c>
    </row>
    <row r="569" spans="5:14" x14ac:dyDescent="0.25">
      <c r="E569">
        <v>356</v>
      </c>
      <c r="F569" s="7">
        <v>45049</v>
      </c>
      <c r="G569">
        <f t="shared" si="25"/>
        <v>2023</v>
      </c>
      <c r="H569" s="7" t="str">
        <f t="shared" si="26"/>
        <v>Май</v>
      </c>
      <c r="I569" t="s">
        <v>22</v>
      </c>
      <c r="J569">
        <v>40</v>
      </c>
      <c r="K569" t="s">
        <v>24</v>
      </c>
      <c r="L569">
        <v>3</v>
      </c>
      <c r="M569">
        <v>25</v>
      </c>
      <c r="N569" s="1">
        <f t="shared" si="27"/>
        <v>75</v>
      </c>
    </row>
    <row r="570" spans="5:14" x14ac:dyDescent="0.25">
      <c r="E570">
        <v>1663</v>
      </c>
      <c r="F570" s="7">
        <v>45505</v>
      </c>
      <c r="G570">
        <f t="shared" si="25"/>
        <v>2024</v>
      </c>
      <c r="H570" s="7" t="str">
        <f t="shared" si="26"/>
        <v>Август</v>
      </c>
      <c r="I570" t="s">
        <v>22</v>
      </c>
      <c r="J570">
        <v>27</v>
      </c>
      <c r="K570" t="s">
        <v>24</v>
      </c>
      <c r="L570">
        <v>3</v>
      </c>
      <c r="M570">
        <v>349</v>
      </c>
      <c r="N570" s="1">
        <f t="shared" si="27"/>
        <v>1047</v>
      </c>
    </row>
    <row r="571" spans="5:14" x14ac:dyDescent="0.25">
      <c r="E571">
        <v>1138</v>
      </c>
      <c r="F571" s="7">
        <v>45509</v>
      </c>
      <c r="G571">
        <f t="shared" si="25"/>
        <v>2024</v>
      </c>
      <c r="H571" s="7" t="str">
        <f t="shared" si="26"/>
        <v>Август</v>
      </c>
      <c r="I571" t="s">
        <v>20</v>
      </c>
      <c r="J571">
        <v>24</v>
      </c>
      <c r="K571" t="s">
        <v>24</v>
      </c>
      <c r="L571">
        <v>3</v>
      </c>
      <c r="M571">
        <v>191</v>
      </c>
      <c r="N571" s="1">
        <f t="shared" si="27"/>
        <v>573</v>
      </c>
    </row>
    <row r="572" spans="5:14" x14ac:dyDescent="0.25">
      <c r="E572">
        <v>542</v>
      </c>
      <c r="F572" s="7">
        <v>45133</v>
      </c>
      <c r="G572">
        <f t="shared" si="25"/>
        <v>2023</v>
      </c>
      <c r="H572" s="7" t="str">
        <f t="shared" si="26"/>
        <v>Июль</v>
      </c>
      <c r="I572" t="s">
        <v>20</v>
      </c>
      <c r="J572">
        <v>49</v>
      </c>
      <c r="K572" t="s">
        <v>21</v>
      </c>
      <c r="L572">
        <v>2</v>
      </c>
      <c r="M572">
        <v>300</v>
      </c>
      <c r="N572" s="1">
        <f t="shared" si="27"/>
        <v>600</v>
      </c>
    </row>
    <row r="573" spans="5:14" x14ac:dyDescent="0.25">
      <c r="E573">
        <v>1445</v>
      </c>
      <c r="F573" s="7">
        <v>45312</v>
      </c>
      <c r="G573">
        <f t="shared" si="25"/>
        <v>2024</v>
      </c>
      <c r="H573" s="7" t="str">
        <f t="shared" si="26"/>
        <v>Январь</v>
      </c>
      <c r="I573" t="s">
        <v>22</v>
      </c>
      <c r="J573">
        <v>34</v>
      </c>
      <c r="K573" t="s">
        <v>21</v>
      </c>
      <c r="L573">
        <v>6</v>
      </c>
      <c r="M573">
        <v>260</v>
      </c>
      <c r="N573" s="1">
        <f t="shared" si="27"/>
        <v>1560</v>
      </c>
    </row>
    <row r="574" spans="5:14" x14ac:dyDescent="0.25">
      <c r="E574">
        <v>1470</v>
      </c>
      <c r="F574" s="7">
        <v>45347</v>
      </c>
      <c r="G574">
        <f t="shared" si="25"/>
        <v>2024</v>
      </c>
      <c r="H574" s="7" t="str">
        <f t="shared" si="26"/>
        <v>Февраль</v>
      </c>
      <c r="I574" t="s">
        <v>20</v>
      </c>
      <c r="J574">
        <v>55</v>
      </c>
      <c r="K574" t="s">
        <v>21</v>
      </c>
      <c r="L574">
        <v>1</v>
      </c>
      <c r="M574">
        <v>121</v>
      </c>
      <c r="N574" s="1">
        <f t="shared" si="27"/>
        <v>121</v>
      </c>
    </row>
    <row r="575" spans="5:14" x14ac:dyDescent="0.25">
      <c r="E575">
        <v>1167</v>
      </c>
      <c r="F575" s="7">
        <v>45613</v>
      </c>
      <c r="G575">
        <f t="shared" si="25"/>
        <v>2024</v>
      </c>
      <c r="H575" s="7" t="str">
        <f t="shared" si="26"/>
        <v>Ноябрь</v>
      </c>
      <c r="I575" t="s">
        <v>20</v>
      </c>
      <c r="J575">
        <v>64</v>
      </c>
      <c r="K575" t="s">
        <v>21</v>
      </c>
      <c r="L575">
        <v>6</v>
      </c>
      <c r="M575">
        <v>140</v>
      </c>
      <c r="N575" s="1">
        <f t="shared" si="27"/>
        <v>840</v>
      </c>
    </row>
    <row r="576" spans="5:14" x14ac:dyDescent="0.25">
      <c r="E576">
        <v>1118</v>
      </c>
      <c r="F576" s="7">
        <v>45419</v>
      </c>
      <c r="G576">
        <f t="shared" si="25"/>
        <v>2024</v>
      </c>
      <c r="H576" s="7" t="str">
        <f t="shared" si="26"/>
        <v>Май</v>
      </c>
      <c r="I576" t="s">
        <v>20</v>
      </c>
      <c r="J576">
        <v>18</v>
      </c>
      <c r="K576" t="s">
        <v>21</v>
      </c>
      <c r="L576">
        <v>6</v>
      </c>
      <c r="M576">
        <v>318</v>
      </c>
      <c r="N576" s="1">
        <f t="shared" si="27"/>
        <v>1908</v>
      </c>
    </row>
    <row r="577" spans="5:14" x14ac:dyDescent="0.25">
      <c r="E577">
        <v>785</v>
      </c>
      <c r="F577" s="7">
        <v>44948</v>
      </c>
      <c r="G577">
        <f t="shared" si="25"/>
        <v>2023</v>
      </c>
      <c r="H577" s="7" t="str">
        <f t="shared" si="26"/>
        <v>Январь</v>
      </c>
      <c r="I577" t="s">
        <v>20</v>
      </c>
      <c r="J577">
        <v>41</v>
      </c>
      <c r="K577" t="s">
        <v>24</v>
      </c>
      <c r="L577">
        <v>1</v>
      </c>
      <c r="M577">
        <v>25</v>
      </c>
      <c r="N577" s="1">
        <f t="shared" si="27"/>
        <v>25</v>
      </c>
    </row>
    <row r="578" spans="5:14" x14ac:dyDescent="0.25">
      <c r="E578">
        <v>1450</v>
      </c>
      <c r="F578" s="7">
        <v>45634</v>
      </c>
      <c r="G578">
        <f t="shared" si="25"/>
        <v>2024</v>
      </c>
      <c r="H578" s="7" t="str">
        <f t="shared" si="26"/>
        <v>Декабрь</v>
      </c>
      <c r="I578" t="s">
        <v>22</v>
      </c>
      <c r="J578">
        <v>18</v>
      </c>
      <c r="K578" t="s">
        <v>23</v>
      </c>
      <c r="L578">
        <v>3</v>
      </c>
      <c r="M578">
        <v>27</v>
      </c>
      <c r="N578" s="1">
        <f t="shared" si="27"/>
        <v>81</v>
      </c>
    </row>
    <row r="579" spans="5:14" x14ac:dyDescent="0.25">
      <c r="E579">
        <v>579</v>
      </c>
      <c r="F579" s="7">
        <v>45266</v>
      </c>
      <c r="G579">
        <f t="shared" si="25"/>
        <v>2023</v>
      </c>
      <c r="H579" s="7" t="str">
        <f t="shared" si="26"/>
        <v>Декабрь</v>
      </c>
      <c r="I579" t="s">
        <v>22</v>
      </c>
      <c r="J579">
        <v>31</v>
      </c>
      <c r="K579" t="s">
        <v>23</v>
      </c>
      <c r="L579">
        <v>3</v>
      </c>
      <c r="M579">
        <v>500</v>
      </c>
      <c r="N579" s="1">
        <f t="shared" si="27"/>
        <v>1500</v>
      </c>
    </row>
    <row r="580" spans="5:14" x14ac:dyDescent="0.25">
      <c r="E580">
        <v>1713</v>
      </c>
      <c r="F580" s="7">
        <v>45362</v>
      </c>
      <c r="G580">
        <f t="shared" si="25"/>
        <v>2024</v>
      </c>
      <c r="H580" s="7" t="str">
        <f t="shared" si="26"/>
        <v>Март</v>
      </c>
      <c r="I580" t="s">
        <v>20</v>
      </c>
      <c r="J580">
        <v>31</v>
      </c>
      <c r="K580" t="s">
        <v>23</v>
      </c>
      <c r="L580">
        <v>2</v>
      </c>
      <c r="M580">
        <v>346</v>
      </c>
      <c r="N580" s="1">
        <f t="shared" si="27"/>
        <v>692</v>
      </c>
    </row>
    <row r="581" spans="5:14" x14ac:dyDescent="0.25">
      <c r="E581">
        <v>1260</v>
      </c>
      <c r="F581" s="7">
        <v>45532</v>
      </c>
      <c r="G581">
        <f t="shared" si="25"/>
        <v>2024</v>
      </c>
      <c r="H581" s="7" t="str">
        <f t="shared" si="26"/>
        <v>Август</v>
      </c>
      <c r="I581" t="s">
        <v>20</v>
      </c>
      <c r="J581">
        <v>64</v>
      </c>
      <c r="K581" t="s">
        <v>21</v>
      </c>
      <c r="L581">
        <v>2</v>
      </c>
      <c r="M581">
        <v>308</v>
      </c>
      <c r="N581" s="1">
        <f t="shared" si="27"/>
        <v>616</v>
      </c>
    </row>
    <row r="582" spans="5:14" x14ac:dyDescent="0.25">
      <c r="E582">
        <v>454</v>
      </c>
      <c r="F582" s="7">
        <v>45108</v>
      </c>
      <c r="G582">
        <f t="shared" si="25"/>
        <v>2023</v>
      </c>
      <c r="H582" s="7" t="str">
        <f t="shared" si="26"/>
        <v>Июль</v>
      </c>
      <c r="I582" t="s">
        <v>20</v>
      </c>
      <c r="J582">
        <v>31</v>
      </c>
      <c r="K582" t="s">
        <v>24</v>
      </c>
      <c r="L582">
        <v>4</v>
      </c>
      <c r="M582">
        <v>25</v>
      </c>
      <c r="N582" s="1">
        <f t="shared" si="27"/>
        <v>100</v>
      </c>
    </row>
    <row r="583" spans="5:14" x14ac:dyDescent="0.25">
      <c r="E583">
        <v>1376</v>
      </c>
      <c r="F583" s="7">
        <v>45327</v>
      </c>
      <c r="G583">
        <f t="shared" si="25"/>
        <v>2024</v>
      </c>
      <c r="H583" s="7" t="str">
        <f t="shared" si="26"/>
        <v>Февраль</v>
      </c>
      <c r="I583" t="s">
        <v>22</v>
      </c>
      <c r="J583">
        <v>50</v>
      </c>
      <c r="K583" t="s">
        <v>23</v>
      </c>
      <c r="L583">
        <v>6</v>
      </c>
      <c r="M583">
        <v>33</v>
      </c>
      <c r="N583" s="1">
        <f t="shared" si="27"/>
        <v>198</v>
      </c>
    </row>
    <row r="584" spans="5:14" x14ac:dyDescent="0.25">
      <c r="E584">
        <v>1050</v>
      </c>
      <c r="F584" s="7">
        <v>45356</v>
      </c>
      <c r="G584">
        <f t="shared" si="25"/>
        <v>2024</v>
      </c>
      <c r="H584" s="7" t="str">
        <f t="shared" si="26"/>
        <v>Март</v>
      </c>
      <c r="I584" t="s">
        <v>22</v>
      </c>
      <c r="J584">
        <v>57</v>
      </c>
      <c r="K584" t="s">
        <v>21</v>
      </c>
      <c r="L584">
        <v>1</v>
      </c>
      <c r="M584">
        <v>423</v>
      </c>
      <c r="N584" s="1">
        <f t="shared" si="27"/>
        <v>423</v>
      </c>
    </row>
    <row r="585" spans="5:14" x14ac:dyDescent="0.25">
      <c r="E585">
        <v>1568</v>
      </c>
      <c r="F585" s="7">
        <v>45638</v>
      </c>
      <c r="G585">
        <f t="shared" si="25"/>
        <v>2024</v>
      </c>
      <c r="H585" s="7" t="str">
        <f t="shared" si="26"/>
        <v>Декабрь</v>
      </c>
      <c r="I585" t="s">
        <v>22</v>
      </c>
      <c r="J585">
        <v>43</v>
      </c>
      <c r="K585" t="s">
        <v>24</v>
      </c>
      <c r="L585">
        <v>5</v>
      </c>
      <c r="M585">
        <v>288</v>
      </c>
      <c r="N585" s="1">
        <f t="shared" si="27"/>
        <v>1440</v>
      </c>
    </row>
    <row r="586" spans="5:14" x14ac:dyDescent="0.25">
      <c r="E586">
        <v>148</v>
      </c>
      <c r="F586" s="7">
        <v>45055</v>
      </c>
      <c r="G586">
        <f t="shared" ref="G586:G649" si="28">YEAR(F586)</f>
        <v>2023</v>
      </c>
      <c r="H586" s="7" t="str">
        <f t="shared" ref="H586:H649" si="29">TEXT(F586,"ММММ")</f>
        <v>Май</v>
      </c>
      <c r="I586" t="s">
        <v>20</v>
      </c>
      <c r="J586">
        <v>18</v>
      </c>
      <c r="K586" t="s">
        <v>23</v>
      </c>
      <c r="L586">
        <v>2</v>
      </c>
      <c r="M586">
        <v>30</v>
      </c>
      <c r="N586" s="1">
        <f t="shared" ref="N586:N649" si="30">L586*M586</f>
        <v>60</v>
      </c>
    </row>
    <row r="587" spans="5:14" x14ac:dyDescent="0.25">
      <c r="E587">
        <v>863</v>
      </c>
      <c r="F587" s="7">
        <v>45281</v>
      </c>
      <c r="G587">
        <f t="shared" si="28"/>
        <v>2023</v>
      </c>
      <c r="H587" s="7" t="str">
        <f t="shared" si="29"/>
        <v>Декабрь</v>
      </c>
      <c r="I587" t="s">
        <v>22</v>
      </c>
      <c r="J587">
        <v>42</v>
      </c>
      <c r="K587" t="s">
        <v>23</v>
      </c>
      <c r="L587">
        <v>1</v>
      </c>
      <c r="M587">
        <v>300</v>
      </c>
      <c r="N587" s="1">
        <f t="shared" si="30"/>
        <v>300</v>
      </c>
    </row>
    <row r="588" spans="5:14" x14ac:dyDescent="0.25">
      <c r="E588">
        <v>1202</v>
      </c>
      <c r="F588" s="7">
        <v>45563</v>
      </c>
      <c r="G588">
        <f t="shared" si="28"/>
        <v>2024</v>
      </c>
      <c r="H588" s="7" t="str">
        <f t="shared" si="29"/>
        <v>Сентябрь</v>
      </c>
      <c r="I588" t="s">
        <v>20</v>
      </c>
      <c r="J588">
        <v>51</v>
      </c>
      <c r="K588" t="s">
        <v>21</v>
      </c>
      <c r="L588">
        <v>2</v>
      </c>
      <c r="M588">
        <v>486</v>
      </c>
      <c r="N588" s="1">
        <f t="shared" si="30"/>
        <v>972</v>
      </c>
    </row>
    <row r="589" spans="5:14" x14ac:dyDescent="0.25">
      <c r="E589">
        <v>1522</v>
      </c>
      <c r="F589" s="7">
        <v>45644</v>
      </c>
      <c r="G589">
        <f t="shared" si="28"/>
        <v>2024</v>
      </c>
      <c r="H589" s="7" t="str">
        <f t="shared" si="29"/>
        <v>Декабрь</v>
      </c>
      <c r="I589" t="s">
        <v>22</v>
      </c>
      <c r="J589">
        <v>20</v>
      </c>
      <c r="K589" t="s">
        <v>21</v>
      </c>
      <c r="L589">
        <v>6</v>
      </c>
      <c r="M589">
        <v>482</v>
      </c>
      <c r="N589" s="1">
        <f t="shared" si="30"/>
        <v>2892</v>
      </c>
    </row>
    <row r="590" spans="5:14" x14ac:dyDescent="0.25">
      <c r="E590">
        <v>604</v>
      </c>
      <c r="F590" s="7">
        <v>45131</v>
      </c>
      <c r="G590">
        <f t="shared" si="28"/>
        <v>2023</v>
      </c>
      <c r="H590" s="7" t="str">
        <f t="shared" si="29"/>
        <v>Июль</v>
      </c>
      <c r="I590" t="s">
        <v>20</v>
      </c>
      <c r="J590">
        <v>37</v>
      </c>
      <c r="K590" t="s">
        <v>24</v>
      </c>
      <c r="L590">
        <v>2</v>
      </c>
      <c r="M590">
        <v>500</v>
      </c>
      <c r="N590" s="1">
        <f t="shared" si="30"/>
        <v>1000</v>
      </c>
    </row>
    <row r="591" spans="5:14" x14ac:dyDescent="0.25">
      <c r="E591">
        <v>1675</v>
      </c>
      <c r="F591" s="7">
        <v>45302</v>
      </c>
      <c r="G591">
        <f t="shared" si="28"/>
        <v>2024</v>
      </c>
      <c r="H591" s="7" t="str">
        <f t="shared" si="29"/>
        <v>Январь</v>
      </c>
      <c r="I591" t="s">
        <v>22</v>
      </c>
      <c r="J591">
        <v>33</v>
      </c>
      <c r="K591" t="s">
        <v>21</v>
      </c>
      <c r="L591">
        <v>3</v>
      </c>
      <c r="M591">
        <v>290</v>
      </c>
      <c r="N591" s="1">
        <f t="shared" si="30"/>
        <v>870</v>
      </c>
    </row>
    <row r="592" spans="5:14" x14ac:dyDescent="0.25">
      <c r="E592">
        <v>363</v>
      </c>
      <c r="F592" s="7">
        <v>45161</v>
      </c>
      <c r="G592">
        <f t="shared" si="28"/>
        <v>2023</v>
      </c>
      <c r="H592" s="7" t="str">
        <f t="shared" si="29"/>
        <v>Август</v>
      </c>
      <c r="I592" t="s">
        <v>22</v>
      </c>
      <c r="J592">
        <v>19</v>
      </c>
      <c r="K592" t="s">
        <v>21</v>
      </c>
      <c r="L592">
        <v>1</v>
      </c>
      <c r="M592">
        <v>500</v>
      </c>
      <c r="N592" s="1">
        <f t="shared" si="30"/>
        <v>500</v>
      </c>
    </row>
    <row r="593" spans="5:14" x14ac:dyDescent="0.25">
      <c r="E593">
        <v>1692</v>
      </c>
      <c r="F593" s="7">
        <v>45541</v>
      </c>
      <c r="G593">
        <f t="shared" si="28"/>
        <v>2024</v>
      </c>
      <c r="H593" s="7" t="str">
        <f t="shared" si="29"/>
        <v>Сентябрь</v>
      </c>
      <c r="I593" t="s">
        <v>22</v>
      </c>
      <c r="J593">
        <v>61</v>
      </c>
      <c r="K593" t="s">
        <v>23</v>
      </c>
      <c r="L593">
        <v>2</v>
      </c>
      <c r="M593">
        <v>230</v>
      </c>
      <c r="N593" s="1">
        <f t="shared" si="30"/>
        <v>460</v>
      </c>
    </row>
    <row r="594" spans="5:14" x14ac:dyDescent="0.25">
      <c r="E594">
        <v>1911</v>
      </c>
      <c r="F594" s="7">
        <v>45442</v>
      </c>
      <c r="G594">
        <f t="shared" si="28"/>
        <v>2024</v>
      </c>
      <c r="H594" s="7" t="str">
        <f t="shared" si="29"/>
        <v>Май</v>
      </c>
      <c r="I594" t="s">
        <v>22</v>
      </c>
      <c r="J594">
        <v>64</v>
      </c>
      <c r="K594" t="s">
        <v>21</v>
      </c>
      <c r="L594">
        <v>6</v>
      </c>
      <c r="M594">
        <v>101</v>
      </c>
      <c r="N594" s="1">
        <f t="shared" si="30"/>
        <v>606</v>
      </c>
    </row>
    <row r="595" spans="5:14" x14ac:dyDescent="0.25">
      <c r="E595">
        <v>700</v>
      </c>
      <c r="F595" s="7">
        <v>45134</v>
      </c>
      <c r="G595">
        <f t="shared" si="28"/>
        <v>2023</v>
      </c>
      <c r="H595" s="7" t="str">
        <f t="shared" si="29"/>
        <v>Июль</v>
      </c>
      <c r="I595" t="s">
        <v>22</v>
      </c>
      <c r="J595">
        <v>60</v>
      </c>
      <c r="K595" t="s">
        <v>23</v>
      </c>
      <c r="L595">
        <v>2</v>
      </c>
      <c r="M595">
        <v>300</v>
      </c>
      <c r="N595" s="1">
        <f t="shared" si="30"/>
        <v>600</v>
      </c>
    </row>
    <row r="596" spans="5:14" x14ac:dyDescent="0.25">
      <c r="E596">
        <v>1367</v>
      </c>
      <c r="F596" s="7">
        <v>45581</v>
      </c>
      <c r="G596">
        <f t="shared" si="28"/>
        <v>2024</v>
      </c>
      <c r="H596" s="7" t="str">
        <f t="shared" si="29"/>
        <v>Октябрь</v>
      </c>
      <c r="I596" t="s">
        <v>20</v>
      </c>
      <c r="J596">
        <v>47</v>
      </c>
      <c r="K596" t="s">
        <v>24</v>
      </c>
      <c r="L596">
        <v>7</v>
      </c>
      <c r="M596">
        <v>340</v>
      </c>
      <c r="N596" s="1">
        <f t="shared" si="30"/>
        <v>2380</v>
      </c>
    </row>
    <row r="597" spans="5:14" x14ac:dyDescent="0.25">
      <c r="E597">
        <v>643</v>
      </c>
      <c r="F597" s="7">
        <v>45175</v>
      </c>
      <c r="G597">
        <f t="shared" si="28"/>
        <v>2023</v>
      </c>
      <c r="H597" s="7" t="str">
        <f t="shared" si="29"/>
        <v>Сентябрь</v>
      </c>
      <c r="I597" t="s">
        <v>20</v>
      </c>
      <c r="J597">
        <v>23</v>
      </c>
      <c r="K597" t="s">
        <v>21</v>
      </c>
      <c r="L597">
        <v>3</v>
      </c>
      <c r="M597">
        <v>25</v>
      </c>
      <c r="N597" s="1">
        <f t="shared" si="30"/>
        <v>75</v>
      </c>
    </row>
    <row r="598" spans="5:14" x14ac:dyDescent="0.25">
      <c r="E598">
        <v>1348</v>
      </c>
      <c r="F598" s="7">
        <v>45560</v>
      </c>
      <c r="G598">
        <f t="shared" si="28"/>
        <v>2024</v>
      </c>
      <c r="H598" s="7" t="str">
        <f t="shared" si="29"/>
        <v>Сентябрь</v>
      </c>
      <c r="I598" t="s">
        <v>22</v>
      </c>
      <c r="J598">
        <v>38</v>
      </c>
      <c r="K598" t="s">
        <v>23</v>
      </c>
      <c r="L598">
        <v>1</v>
      </c>
      <c r="M598">
        <v>239</v>
      </c>
      <c r="N598" s="1">
        <f t="shared" si="30"/>
        <v>239</v>
      </c>
    </row>
    <row r="599" spans="5:14" x14ac:dyDescent="0.25">
      <c r="E599">
        <v>795</v>
      </c>
      <c r="F599" s="7">
        <v>44933</v>
      </c>
      <c r="G599">
        <f t="shared" si="28"/>
        <v>2023</v>
      </c>
      <c r="H599" s="7" t="str">
        <f t="shared" si="29"/>
        <v>Январь</v>
      </c>
      <c r="I599" t="s">
        <v>20</v>
      </c>
      <c r="J599">
        <v>40</v>
      </c>
      <c r="K599" t="s">
        <v>23</v>
      </c>
      <c r="L599">
        <v>3</v>
      </c>
      <c r="M599">
        <v>25</v>
      </c>
      <c r="N599" s="1">
        <f t="shared" si="30"/>
        <v>75</v>
      </c>
    </row>
    <row r="600" spans="5:14" x14ac:dyDescent="0.25">
      <c r="E600">
        <v>577</v>
      </c>
      <c r="F600" s="7">
        <v>45072</v>
      </c>
      <c r="G600">
        <f t="shared" si="28"/>
        <v>2023</v>
      </c>
      <c r="H600" s="7" t="str">
        <f t="shared" si="29"/>
        <v>Май</v>
      </c>
      <c r="I600" t="s">
        <v>22</v>
      </c>
      <c r="J600">
        <v>54</v>
      </c>
      <c r="K600" t="s">
        <v>23</v>
      </c>
      <c r="L600">
        <v>4</v>
      </c>
      <c r="M600">
        <v>30</v>
      </c>
      <c r="N600" s="1">
        <f t="shared" si="30"/>
        <v>120</v>
      </c>
    </row>
    <row r="601" spans="5:14" x14ac:dyDescent="0.25">
      <c r="E601">
        <v>1499</v>
      </c>
      <c r="F601" s="7">
        <v>45384</v>
      </c>
      <c r="G601">
        <f t="shared" si="28"/>
        <v>2024</v>
      </c>
      <c r="H601" s="7" t="str">
        <f t="shared" si="29"/>
        <v>Апрель</v>
      </c>
      <c r="I601" t="s">
        <v>20</v>
      </c>
      <c r="J601">
        <v>53</v>
      </c>
      <c r="K601" t="s">
        <v>24</v>
      </c>
      <c r="L601">
        <v>1</v>
      </c>
      <c r="M601">
        <v>309</v>
      </c>
      <c r="N601" s="1">
        <f t="shared" si="30"/>
        <v>309</v>
      </c>
    </row>
    <row r="602" spans="5:14" x14ac:dyDescent="0.25">
      <c r="E602">
        <v>1291</v>
      </c>
      <c r="F602" s="7">
        <v>45378</v>
      </c>
      <c r="G602">
        <f t="shared" si="28"/>
        <v>2024</v>
      </c>
      <c r="H602" s="7" t="str">
        <f t="shared" si="29"/>
        <v>Март</v>
      </c>
      <c r="I602" t="s">
        <v>22</v>
      </c>
      <c r="J602">
        <v>40</v>
      </c>
      <c r="K602" t="s">
        <v>23</v>
      </c>
      <c r="L602">
        <v>1</v>
      </c>
      <c r="M602">
        <v>173</v>
      </c>
      <c r="N602" s="1">
        <f t="shared" si="30"/>
        <v>173</v>
      </c>
    </row>
    <row r="603" spans="5:14" x14ac:dyDescent="0.25">
      <c r="E603">
        <v>1702</v>
      </c>
      <c r="F603" s="7">
        <v>45611</v>
      </c>
      <c r="G603">
        <f t="shared" si="28"/>
        <v>2024</v>
      </c>
      <c r="H603" s="7" t="str">
        <f t="shared" si="29"/>
        <v>Ноябрь</v>
      </c>
      <c r="I603" t="s">
        <v>20</v>
      </c>
      <c r="J603">
        <v>54</v>
      </c>
      <c r="K603" t="s">
        <v>24</v>
      </c>
      <c r="L603">
        <v>7</v>
      </c>
      <c r="M603">
        <v>295</v>
      </c>
      <c r="N603" s="1">
        <f t="shared" si="30"/>
        <v>2065</v>
      </c>
    </row>
    <row r="604" spans="5:14" x14ac:dyDescent="0.25">
      <c r="E604">
        <v>439</v>
      </c>
      <c r="F604" s="7">
        <v>45225</v>
      </c>
      <c r="G604">
        <f t="shared" si="28"/>
        <v>2023</v>
      </c>
      <c r="H604" s="7" t="str">
        <f t="shared" si="29"/>
        <v>Октябрь</v>
      </c>
      <c r="I604" t="s">
        <v>20</v>
      </c>
      <c r="J604">
        <v>64</v>
      </c>
      <c r="K604" t="s">
        <v>23</v>
      </c>
      <c r="L604">
        <v>2</v>
      </c>
      <c r="M604">
        <v>300</v>
      </c>
      <c r="N604" s="1">
        <f t="shared" si="30"/>
        <v>600</v>
      </c>
    </row>
    <row r="605" spans="5:14" x14ac:dyDescent="0.25">
      <c r="E605">
        <v>1013</v>
      </c>
      <c r="F605" s="7">
        <v>45307</v>
      </c>
      <c r="G605">
        <f t="shared" si="28"/>
        <v>2024</v>
      </c>
      <c r="H605" s="7" t="str">
        <f t="shared" si="29"/>
        <v>Январь</v>
      </c>
      <c r="I605" t="s">
        <v>22</v>
      </c>
      <c r="J605">
        <v>25</v>
      </c>
      <c r="K605" t="s">
        <v>24</v>
      </c>
      <c r="L605">
        <v>7</v>
      </c>
      <c r="M605">
        <v>311</v>
      </c>
      <c r="N605" s="1">
        <f t="shared" si="30"/>
        <v>2177</v>
      </c>
    </row>
    <row r="606" spans="5:14" x14ac:dyDescent="0.25">
      <c r="E606">
        <v>616</v>
      </c>
      <c r="F606" s="7">
        <v>45164</v>
      </c>
      <c r="G606">
        <f t="shared" si="28"/>
        <v>2023</v>
      </c>
      <c r="H606" s="7" t="str">
        <f t="shared" si="29"/>
        <v>Август</v>
      </c>
      <c r="I606" t="s">
        <v>20</v>
      </c>
      <c r="J606">
        <v>34</v>
      </c>
      <c r="K606" t="s">
        <v>24</v>
      </c>
      <c r="L606">
        <v>1</v>
      </c>
      <c r="M606">
        <v>30</v>
      </c>
      <c r="N606" s="1">
        <f t="shared" si="30"/>
        <v>30</v>
      </c>
    </row>
    <row r="607" spans="5:14" x14ac:dyDescent="0.25">
      <c r="E607">
        <v>1465</v>
      </c>
      <c r="F607" s="7">
        <v>45635</v>
      </c>
      <c r="G607">
        <f t="shared" si="28"/>
        <v>2024</v>
      </c>
      <c r="H607" s="7" t="str">
        <f t="shared" si="29"/>
        <v>Декабрь</v>
      </c>
      <c r="I607" t="s">
        <v>20</v>
      </c>
      <c r="J607">
        <v>34</v>
      </c>
      <c r="K607" t="s">
        <v>24</v>
      </c>
      <c r="L607">
        <v>6</v>
      </c>
      <c r="M607">
        <v>363</v>
      </c>
      <c r="N607" s="1">
        <f t="shared" si="30"/>
        <v>2178</v>
      </c>
    </row>
    <row r="608" spans="5:14" x14ac:dyDescent="0.25">
      <c r="E608">
        <v>1982</v>
      </c>
      <c r="F608" s="7">
        <v>45308</v>
      </c>
      <c r="G608">
        <f t="shared" si="28"/>
        <v>2024</v>
      </c>
      <c r="H608" s="7" t="str">
        <f t="shared" si="29"/>
        <v>Январь</v>
      </c>
      <c r="I608" t="s">
        <v>22</v>
      </c>
      <c r="J608">
        <v>27</v>
      </c>
      <c r="K608" t="s">
        <v>23</v>
      </c>
      <c r="L608">
        <v>6</v>
      </c>
      <c r="M608">
        <v>406</v>
      </c>
      <c r="N608" s="1">
        <f t="shared" si="30"/>
        <v>2436</v>
      </c>
    </row>
    <row r="609" spans="5:14" x14ac:dyDescent="0.25">
      <c r="E609">
        <v>1142</v>
      </c>
      <c r="F609" s="7">
        <v>45488</v>
      </c>
      <c r="G609">
        <f t="shared" si="28"/>
        <v>2024</v>
      </c>
      <c r="H609" s="7" t="str">
        <f t="shared" si="29"/>
        <v>Июль</v>
      </c>
      <c r="I609" t="s">
        <v>22</v>
      </c>
      <c r="J609">
        <v>41</v>
      </c>
      <c r="K609" t="s">
        <v>21</v>
      </c>
      <c r="L609">
        <v>2</v>
      </c>
      <c r="M609">
        <v>436</v>
      </c>
      <c r="N609" s="1">
        <f t="shared" si="30"/>
        <v>872</v>
      </c>
    </row>
    <row r="610" spans="5:14" x14ac:dyDescent="0.25">
      <c r="E610">
        <v>621</v>
      </c>
      <c r="F610" s="7">
        <v>45160</v>
      </c>
      <c r="G610">
        <f t="shared" si="28"/>
        <v>2023</v>
      </c>
      <c r="H610" s="7" t="str">
        <f t="shared" si="29"/>
        <v>Август</v>
      </c>
      <c r="I610" t="s">
        <v>22</v>
      </c>
      <c r="J610">
        <v>49</v>
      </c>
      <c r="K610" t="s">
        <v>21</v>
      </c>
      <c r="L610">
        <v>3</v>
      </c>
      <c r="M610">
        <v>25</v>
      </c>
      <c r="N610" s="1">
        <f t="shared" si="30"/>
        <v>75</v>
      </c>
    </row>
    <row r="611" spans="5:14" x14ac:dyDescent="0.25">
      <c r="E611">
        <v>1271</v>
      </c>
      <c r="F611" s="7">
        <v>45391</v>
      </c>
      <c r="G611">
        <f t="shared" si="28"/>
        <v>2024</v>
      </c>
      <c r="H611" s="7" t="str">
        <f t="shared" si="29"/>
        <v>Апрель</v>
      </c>
      <c r="I611" t="s">
        <v>22</v>
      </c>
      <c r="J611">
        <v>55</v>
      </c>
      <c r="K611" t="s">
        <v>23</v>
      </c>
      <c r="L611">
        <v>4</v>
      </c>
      <c r="M611">
        <v>415</v>
      </c>
      <c r="N611" s="1">
        <f t="shared" si="30"/>
        <v>1660</v>
      </c>
    </row>
    <row r="612" spans="5:14" x14ac:dyDescent="0.25">
      <c r="E612">
        <v>1868</v>
      </c>
      <c r="F612" s="7">
        <v>45576</v>
      </c>
      <c r="G612">
        <f t="shared" si="28"/>
        <v>2024</v>
      </c>
      <c r="H612" s="7" t="str">
        <f t="shared" si="29"/>
        <v>Октябрь</v>
      </c>
      <c r="I612" t="s">
        <v>22</v>
      </c>
      <c r="J612">
        <v>42</v>
      </c>
      <c r="K612" t="s">
        <v>21</v>
      </c>
      <c r="L612">
        <v>3</v>
      </c>
      <c r="M612">
        <v>352</v>
      </c>
      <c r="N612" s="1">
        <f t="shared" si="30"/>
        <v>1056</v>
      </c>
    </row>
    <row r="613" spans="5:14" x14ac:dyDescent="0.25">
      <c r="E613">
        <v>1259</v>
      </c>
      <c r="F613" s="7">
        <v>45503</v>
      </c>
      <c r="G613">
        <f t="shared" si="28"/>
        <v>2024</v>
      </c>
      <c r="H613" s="7" t="str">
        <f t="shared" si="29"/>
        <v>Июль</v>
      </c>
      <c r="I613" t="s">
        <v>22</v>
      </c>
      <c r="J613">
        <v>42</v>
      </c>
      <c r="K613" t="s">
        <v>21</v>
      </c>
      <c r="L613">
        <v>5</v>
      </c>
      <c r="M613">
        <v>55</v>
      </c>
      <c r="N613" s="1">
        <f t="shared" si="30"/>
        <v>275</v>
      </c>
    </row>
    <row r="614" spans="5:14" x14ac:dyDescent="0.25">
      <c r="E614">
        <v>448</v>
      </c>
      <c r="F614" s="7">
        <v>45110</v>
      </c>
      <c r="G614">
        <f t="shared" si="28"/>
        <v>2023</v>
      </c>
      <c r="H614" s="7" t="str">
        <f t="shared" si="29"/>
        <v>Июль</v>
      </c>
      <c r="I614" t="s">
        <v>20</v>
      </c>
      <c r="J614">
        <v>25</v>
      </c>
      <c r="K614" t="s">
        <v>24</v>
      </c>
      <c r="L614">
        <v>4</v>
      </c>
      <c r="M614">
        <v>50</v>
      </c>
      <c r="N614" s="1">
        <f t="shared" si="30"/>
        <v>200</v>
      </c>
    </row>
    <row r="615" spans="5:14" x14ac:dyDescent="0.25">
      <c r="E615">
        <v>1743</v>
      </c>
      <c r="F615" s="7">
        <v>45611</v>
      </c>
      <c r="G615">
        <f t="shared" si="28"/>
        <v>2024</v>
      </c>
      <c r="H615" s="7" t="str">
        <f t="shared" si="29"/>
        <v>Ноябрь</v>
      </c>
      <c r="I615" t="s">
        <v>20</v>
      </c>
      <c r="J615">
        <v>50</v>
      </c>
      <c r="K615" t="s">
        <v>21</v>
      </c>
      <c r="L615">
        <v>3</v>
      </c>
      <c r="M615">
        <v>224</v>
      </c>
      <c r="N615" s="1">
        <f t="shared" si="30"/>
        <v>672</v>
      </c>
    </row>
    <row r="616" spans="5:14" x14ac:dyDescent="0.25">
      <c r="E616">
        <v>612</v>
      </c>
      <c r="F616" s="7">
        <v>45039</v>
      </c>
      <c r="G616">
        <f t="shared" si="28"/>
        <v>2023</v>
      </c>
      <c r="H616" s="7" t="str">
        <f t="shared" si="29"/>
        <v>Апрель</v>
      </c>
      <c r="I616" t="s">
        <v>22</v>
      </c>
      <c r="J616">
        <v>52</v>
      </c>
      <c r="K616" t="s">
        <v>23</v>
      </c>
      <c r="L616">
        <v>3</v>
      </c>
      <c r="M616">
        <v>30</v>
      </c>
      <c r="N616" s="1">
        <f t="shared" si="30"/>
        <v>90</v>
      </c>
    </row>
    <row r="617" spans="5:14" x14ac:dyDescent="0.25">
      <c r="E617">
        <v>333</v>
      </c>
      <c r="F617" s="7">
        <v>45231</v>
      </c>
      <c r="G617">
        <f t="shared" si="28"/>
        <v>2023</v>
      </c>
      <c r="H617" s="7" t="str">
        <f t="shared" si="29"/>
        <v>Ноябрь</v>
      </c>
      <c r="I617" t="s">
        <v>20</v>
      </c>
      <c r="J617">
        <v>31</v>
      </c>
      <c r="K617" t="s">
        <v>24</v>
      </c>
      <c r="L617">
        <v>3</v>
      </c>
      <c r="M617">
        <v>300</v>
      </c>
      <c r="N617" s="1">
        <f t="shared" si="30"/>
        <v>900</v>
      </c>
    </row>
    <row r="618" spans="5:14" x14ac:dyDescent="0.25">
      <c r="E618">
        <v>1335</v>
      </c>
      <c r="F618" s="7">
        <v>45499</v>
      </c>
      <c r="G618">
        <f t="shared" si="28"/>
        <v>2024</v>
      </c>
      <c r="H618" s="7" t="str">
        <f t="shared" si="29"/>
        <v>Июль</v>
      </c>
      <c r="I618" t="s">
        <v>20</v>
      </c>
      <c r="J618">
        <v>43</v>
      </c>
      <c r="K618" t="s">
        <v>21</v>
      </c>
      <c r="L618">
        <v>6</v>
      </c>
      <c r="M618">
        <v>20</v>
      </c>
      <c r="N618" s="1">
        <f t="shared" si="30"/>
        <v>120</v>
      </c>
    </row>
    <row r="619" spans="5:14" x14ac:dyDescent="0.25">
      <c r="E619">
        <v>460</v>
      </c>
      <c r="F619" s="7">
        <v>45010</v>
      </c>
      <c r="G619">
        <f t="shared" si="28"/>
        <v>2023</v>
      </c>
      <c r="H619" s="7" t="str">
        <f t="shared" si="29"/>
        <v>Март</v>
      </c>
      <c r="I619" t="s">
        <v>22</v>
      </c>
      <c r="J619">
        <v>18</v>
      </c>
      <c r="K619" t="s">
        <v>21</v>
      </c>
      <c r="L619">
        <v>2</v>
      </c>
      <c r="M619">
        <v>500</v>
      </c>
      <c r="N619" s="1">
        <f t="shared" si="30"/>
        <v>1000</v>
      </c>
    </row>
    <row r="620" spans="5:14" x14ac:dyDescent="0.25">
      <c r="E620">
        <v>1326</v>
      </c>
      <c r="F620" s="7">
        <v>45321</v>
      </c>
      <c r="G620">
        <f t="shared" si="28"/>
        <v>2024</v>
      </c>
      <c r="H620" s="7" t="str">
        <f t="shared" si="29"/>
        <v>Январь</v>
      </c>
      <c r="I620" t="s">
        <v>22</v>
      </c>
      <c r="J620">
        <v>26</v>
      </c>
      <c r="K620" t="s">
        <v>24</v>
      </c>
      <c r="L620">
        <v>3</v>
      </c>
      <c r="M620">
        <v>460</v>
      </c>
      <c r="N620" s="1">
        <f t="shared" si="30"/>
        <v>1380</v>
      </c>
    </row>
    <row r="621" spans="5:14" x14ac:dyDescent="0.25">
      <c r="E621">
        <v>998</v>
      </c>
      <c r="F621" s="7">
        <v>45028</v>
      </c>
      <c r="G621">
        <f t="shared" si="28"/>
        <v>2023</v>
      </c>
      <c r="H621" s="7" t="str">
        <f t="shared" si="29"/>
        <v>Апрель</v>
      </c>
      <c r="I621" t="s">
        <v>20</v>
      </c>
      <c r="J621">
        <v>47</v>
      </c>
      <c r="K621" t="s">
        <v>24</v>
      </c>
      <c r="L621">
        <v>4</v>
      </c>
      <c r="M621">
        <v>30</v>
      </c>
      <c r="N621" s="1">
        <f t="shared" si="30"/>
        <v>120</v>
      </c>
    </row>
    <row r="622" spans="5:14" x14ac:dyDescent="0.25">
      <c r="E622">
        <v>332</v>
      </c>
      <c r="F622" s="7">
        <v>44962</v>
      </c>
      <c r="G622">
        <f t="shared" si="28"/>
        <v>2023</v>
      </c>
      <c r="H622" s="7" t="str">
        <f t="shared" si="29"/>
        <v>Февраль</v>
      </c>
      <c r="I622" t="s">
        <v>22</v>
      </c>
      <c r="J622">
        <v>54</v>
      </c>
      <c r="K622" t="s">
        <v>24</v>
      </c>
      <c r="L622">
        <v>4</v>
      </c>
      <c r="M622">
        <v>300</v>
      </c>
      <c r="N622" s="1">
        <f t="shared" si="30"/>
        <v>1200</v>
      </c>
    </row>
    <row r="623" spans="5:14" x14ac:dyDescent="0.25">
      <c r="E623">
        <v>87</v>
      </c>
      <c r="F623" s="7">
        <v>45252</v>
      </c>
      <c r="G623">
        <f t="shared" si="28"/>
        <v>2023</v>
      </c>
      <c r="H623" s="7" t="str">
        <f t="shared" si="29"/>
        <v>Ноябрь</v>
      </c>
      <c r="I623" t="s">
        <v>22</v>
      </c>
      <c r="J623">
        <v>28</v>
      </c>
      <c r="K623" t="s">
        <v>21</v>
      </c>
      <c r="L623">
        <v>2</v>
      </c>
      <c r="M623">
        <v>50</v>
      </c>
      <c r="N623" s="1">
        <f t="shared" si="30"/>
        <v>100</v>
      </c>
    </row>
    <row r="624" spans="5:14" x14ac:dyDescent="0.25">
      <c r="E624">
        <v>533</v>
      </c>
      <c r="F624" s="7">
        <v>45087</v>
      </c>
      <c r="G624">
        <f t="shared" si="28"/>
        <v>2023</v>
      </c>
      <c r="H624" s="7" t="str">
        <f t="shared" si="29"/>
        <v>Июнь</v>
      </c>
      <c r="I624" t="s">
        <v>20</v>
      </c>
      <c r="J624">
        <v>45</v>
      </c>
      <c r="K624" t="s">
        <v>23</v>
      </c>
      <c r="L624">
        <v>2</v>
      </c>
      <c r="M624">
        <v>500</v>
      </c>
      <c r="N624" s="1">
        <f t="shared" si="30"/>
        <v>1000</v>
      </c>
    </row>
    <row r="625" spans="5:14" x14ac:dyDescent="0.25">
      <c r="E625">
        <v>645</v>
      </c>
      <c r="F625" s="7">
        <v>45049</v>
      </c>
      <c r="G625">
        <f t="shared" si="28"/>
        <v>2023</v>
      </c>
      <c r="H625" s="7" t="str">
        <f t="shared" si="29"/>
        <v>Май</v>
      </c>
      <c r="I625" t="s">
        <v>20</v>
      </c>
      <c r="J625">
        <v>38</v>
      </c>
      <c r="K625" t="s">
        <v>23</v>
      </c>
      <c r="L625">
        <v>3</v>
      </c>
      <c r="M625">
        <v>30</v>
      </c>
      <c r="N625" s="1">
        <f t="shared" si="30"/>
        <v>90</v>
      </c>
    </row>
    <row r="626" spans="5:14" x14ac:dyDescent="0.25">
      <c r="E626">
        <v>90</v>
      </c>
      <c r="F626" s="7">
        <v>45052</v>
      </c>
      <c r="G626">
        <f t="shared" si="28"/>
        <v>2023</v>
      </c>
      <c r="H626" s="7" t="str">
        <f t="shared" si="29"/>
        <v>Май</v>
      </c>
      <c r="I626" t="s">
        <v>22</v>
      </c>
      <c r="J626">
        <v>51</v>
      </c>
      <c r="K626" t="s">
        <v>24</v>
      </c>
      <c r="L626">
        <v>1</v>
      </c>
      <c r="M626">
        <v>30</v>
      </c>
      <c r="N626" s="1">
        <f t="shared" si="30"/>
        <v>30</v>
      </c>
    </row>
    <row r="627" spans="5:14" x14ac:dyDescent="0.25">
      <c r="E627">
        <v>1217</v>
      </c>
      <c r="F627" s="7">
        <v>45354</v>
      </c>
      <c r="G627">
        <f t="shared" si="28"/>
        <v>2024</v>
      </c>
      <c r="H627" s="7" t="str">
        <f t="shared" si="29"/>
        <v>Март</v>
      </c>
      <c r="I627" t="s">
        <v>20</v>
      </c>
      <c r="J627">
        <v>24</v>
      </c>
      <c r="K627" t="s">
        <v>21</v>
      </c>
      <c r="L627">
        <v>2</v>
      </c>
      <c r="M627">
        <v>131</v>
      </c>
      <c r="N627" s="1">
        <f t="shared" si="30"/>
        <v>262</v>
      </c>
    </row>
    <row r="628" spans="5:14" x14ac:dyDescent="0.25">
      <c r="E628">
        <v>193</v>
      </c>
      <c r="F628" s="7">
        <v>44970</v>
      </c>
      <c r="G628">
        <f t="shared" si="28"/>
        <v>2023</v>
      </c>
      <c r="H628" s="7" t="str">
        <f t="shared" si="29"/>
        <v>Февраль</v>
      </c>
      <c r="I628" t="s">
        <v>20</v>
      </c>
      <c r="J628">
        <v>35</v>
      </c>
      <c r="K628" t="s">
        <v>21</v>
      </c>
      <c r="L628">
        <v>3</v>
      </c>
      <c r="M628">
        <v>500</v>
      </c>
      <c r="N628" s="1">
        <f t="shared" si="30"/>
        <v>1500</v>
      </c>
    </row>
    <row r="629" spans="5:14" x14ac:dyDescent="0.25">
      <c r="E629">
        <v>1124</v>
      </c>
      <c r="F629" s="7">
        <v>45591</v>
      </c>
      <c r="G629">
        <f t="shared" si="28"/>
        <v>2024</v>
      </c>
      <c r="H629" s="7" t="str">
        <f t="shared" si="29"/>
        <v>Октябрь</v>
      </c>
      <c r="I629" t="s">
        <v>22</v>
      </c>
      <c r="J629">
        <v>26</v>
      </c>
      <c r="K629" t="s">
        <v>23</v>
      </c>
      <c r="L629">
        <v>7</v>
      </c>
      <c r="M629">
        <v>238</v>
      </c>
      <c r="N629" s="1">
        <f t="shared" si="30"/>
        <v>1666</v>
      </c>
    </row>
    <row r="630" spans="5:14" x14ac:dyDescent="0.25">
      <c r="E630">
        <v>104</v>
      </c>
      <c r="F630" s="7">
        <v>45088</v>
      </c>
      <c r="G630">
        <f t="shared" si="28"/>
        <v>2023</v>
      </c>
      <c r="H630" s="7" t="str">
        <f t="shared" si="29"/>
        <v>Июнь</v>
      </c>
      <c r="I630" t="s">
        <v>22</v>
      </c>
      <c r="J630">
        <v>34</v>
      </c>
      <c r="K630" t="s">
        <v>21</v>
      </c>
      <c r="L630">
        <v>2</v>
      </c>
      <c r="M630">
        <v>500</v>
      </c>
      <c r="N630" s="1">
        <f t="shared" si="30"/>
        <v>1000</v>
      </c>
    </row>
    <row r="631" spans="5:14" x14ac:dyDescent="0.25">
      <c r="E631">
        <v>495</v>
      </c>
      <c r="F631" s="7">
        <v>45274</v>
      </c>
      <c r="G631">
        <f t="shared" si="28"/>
        <v>2023</v>
      </c>
      <c r="H631" s="7" t="str">
        <f t="shared" si="29"/>
        <v>Декабрь</v>
      </c>
      <c r="I631" t="s">
        <v>20</v>
      </c>
      <c r="J631">
        <v>23</v>
      </c>
      <c r="K631" t="s">
        <v>23</v>
      </c>
      <c r="L631">
        <v>2</v>
      </c>
      <c r="M631">
        <v>300</v>
      </c>
      <c r="N631" s="1">
        <f t="shared" si="30"/>
        <v>600</v>
      </c>
    </row>
    <row r="632" spans="5:14" x14ac:dyDescent="0.25">
      <c r="E632">
        <v>1975</v>
      </c>
      <c r="F632" s="7">
        <v>45293</v>
      </c>
      <c r="G632">
        <f t="shared" si="28"/>
        <v>2024</v>
      </c>
      <c r="H632" s="7" t="str">
        <f t="shared" si="29"/>
        <v>Январь</v>
      </c>
      <c r="I632" t="s">
        <v>22</v>
      </c>
      <c r="J632">
        <v>51</v>
      </c>
      <c r="K632" t="s">
        <v>21</v>
      </c>
      <c r="L632">
        <v>7</v>
      </c>
      <c r="M632">
        <v>143</v>
      </c>
      <c r="N632" s="1">
        <f t="shared" si="30"/>
        <v>1001</v>
      </c>
    </row>
    <row r="633" spans="5:14" x14ac:dyDescent="0.25">
      <c r="E633">
        <v>1247</v>
      </c>
      <c r="F633" s="7">
        <v>45588</v>
      </c>
      <c r="G633">
        <f t="shared" si="28"/>
        <v>2024</v>
      </c>
      <c r="H633" s="7" t="str">
        <f t="shared" si="29"/>
        <v>Октябрь</v>
      </c>
      <c r="I633" t="s">
        <v>20</v>
      </c>
      <c r="J633">
        <v>49</v>
      </c>
      <c r="K633" t="s">
        <v>24</v>
      </c>
      <c r="L633">
        <v>7</v>
      </c>
      <c r="M633">
        <v>382</v>
      </c>
      <c r="N633" s="1">
        <f t="shared" si="30"/>
        <v>2674</v>
      </c>
    </row>
    <row r="634" spans="5:14" x14ac:dyDescent="0.25">
      <c r="E634">
        <v>1839</v>
      </c>
      <c r="F634" s="7">
        <v>45434</v>
      </c>
      <c r="G634">
        <f t="shared" si="28"/>
        <v>2024</v>
      </c>
      <c r="H634" s="7" t="str">
        <f t="shared" si="29"/>
        <v>Май</v>
      </c>
      <c r="I634" t="s">
        <v>20</v>
      </c>
      <c r="J634">
        <v>43</v>
      </c>
      <c r="K634" t="s">
        <v>21</v>
      </c>
      <c r="L634">
        <v>4</v>
      </c>
      <c r="M634">
        <v>308</v>
      </c>
      <c r="N634" s="1">
        <f t="shared" si="30"/>
        <v>1232</v>
      </c>
    </row>
    <row r="635" spans="5:14" x14ac:dyDescent="0.25">
      <c r="E635">
        <v>1243</v>
      </c>
      <c r="F635" s="7">
        <v>45402</v>
      </c>
      <c r="G635">
        <f t="shared" si="28"/>
        <v>2024</v>
      </c>
      <c r="H635" s="7" t="str">
        <f t="shared" si="29"/>
        <v>Апрель</v>
      </c>
      <c r="I635" t="s">
        <v>22</v>
      </c>
      <c r="J635">
        <v>47</v>
      </c>
      <c r="K635" t="s">
        <v>24</v>
      </c>
      <c r="L635">
        <v>3</v>
      </c>
      <c r="M635">
        <v>469</v>
      </c>
      <c r="N635" s="1">
        <f t="shared" si="30"/>
        <v>1407</v>
      </c>
    </row>
    <row r="636" spans="5:14" x14ac:dyDescent="0.25">
      <c r="E636">
        <v>45</v>
      </c>
      <c r="F636" s="7">
        <v>45110</v>
      </c>
      <c r="G636">
        <f t="shared" si="28"/>
        <v>2023</v>
      </c>
      <c r="H636" s="7" t="str">
        <f t="shared" si="29"/>
        <v>Июль</v>
      </c>
      <c r="I636" t="s">
        <v>22</v>
      </c>
      <c r="J636">
        <v>55</v>
      </c>
      <c r="K636" t="s">
        <v>24</v>
      </c>
      <c r="L636">
        <v>1</v>
      </c>
      <c r="M636">
        <v>30</v>
      </c>
      <c r="N636" s="1">
        <f t="shared" si="30"/>
        <v>30</v>
      </c>
    </row>
    <row r="637" spans="5:14" x14ac:dyDescent="0.25">
      <c r="E637">
        <v>1742</v>
      </c>
      <c r="F637" s="7">
        <v>45302</v>
      </c>
      <c r="G637">
        <f t="shared" si="28"/>
        <v>2024</v>
      </c>
      <c r="H637" s="7" t="str">
        <f t="shared" si="29"/>
        <v>Январь</v>
      </c>
      <c r="I637" t="s">
        <v>22</v>
      </c>
      <c r="J637">
        <v>58</v>
      </c>
      <c r="K637" t="s">
        <v>23</v>
      </c>
      <c r="L637">
        <v>3</v>
      </c>
      <c r="M637">
        <v>337</v>
      </c>
      <c r="N637" s="1">
        <f t="shared" si="30"/>
        <v>1011</v>
      </c>
    </row>
    <row r="638" spans="5:14" x14ac:dyDescent="0.25">
      <c r="E638">
        <v>1011</v>
      </c>
      <c r="F638" s="7">
        <v>45509</v>
      </c>
      <c r="G638">
        <f t="shared" si="28"/>
        <v>2024</v>
      </c>
      <c r="H638" s="7" t="str">
        <f t="shared" si="29"/>
        <v>Август</v>
      </c>
      <c r="I638" t="s">
        <v>20</v>
      </c>
      <c r="J638">
        <v>34</v>
      </c>
      <c r="K638" t="s">
        <v>24</v>
      </c>
      <c r="L638">
        <v>5</v>
      </c>
      <c r="M638">
        <v>299</v>
      </c>
      <c r="N638" s="1">
        <f t="shared" si="30"/>
        <v>1495</v>
      </c>
    </row>
    <row r="639" spans="5:14" x14ac:dyDescent="0.25">
      <c r="E639">
        <v>1154</v>
      </c>
      <c r="F639" s="7">
        <v>45621</v>
      </c>
      <c r="G639">
        <f t="shared" si="28"/>
        <v>2024</v>
      </c>
      <c r="H639" s="7" t="str">
        <f t="shared" si="29"/>
        <v>Ноябрь</v>
      </c>
      <c r="I639" t="s">
        <v>22</v>
      </c>
      <c r="J639">
        <v>37</v>
      </c>
      <c r="K639" t="s">
        <v>23</v>
      </c>
      <c r="L639">
        <v>5</v>
      </c>
      <c r="M639">
        <v>498</v>
      </c>
      <c r="N639" s="1">
        <f t="shared" si="30"/>
        <v>2490</v>
      </c>
    </row>
    <row r="640" spans="5:14" x14ac:dyDescent="0.25">
      <c r="E640">
        <v>1670</v>
      </c>
      <c r="F640" s="7">
        <v>45398</v>
      </c>
      <c r="G640">
        <f t="shared" si="28"/>
        <v>2024</v>
      </c>
      <c r="H640" s="7" t="str">
        <f t="shared" si="29"/>
        <v>Апрель</v>
      </c>
      <c r="I640" t="s">
        <v>22</v>
      </c>
      <c r="J640">
        <v>33</v>
      </c>
      <c r="K640" t="s">
        <v>23</v>
      </c>
      <c r="L640">
        <v>4</v>
      </c>
      <c r="M640">
        <v>198</v>
      </c>
      <c r="N640" s="1">
        <f t="shared" si="30"/>
        <v>792</v>
      </c>
    </row>
    <row r="641" spans="5:14" x14ac:dyDescent="0.25">
      <c r="E641">
        <v>776</v>
      </c>
      <c r="F641" s="7">
        <v>45248</v>
      </c>
      <c r="G641">
        <f t="shared" si="28"/>
        <v>2023</v>
      </c>
      <c r="H641" s="7" t="str">
        <f t="shared" si="29"/>
        <v>Ноябрь</v>
      </c>
      <c r="I641" t="s">
        <v>22</v>
      </c>
      <c r="J641">
        <v>47</v>
      </c>
      <c r="K641" t="s">
        <v>21</v>
      </c>
      <c r="L641">
        <v>4</v>
      </c>
      <c r="M641">
        <v>25</v>
      </c>
      <c r="N641" s="1">
        <f t="shared" si="30"/>
        <v>100</v>
      </c>
    </row>
    <row r="642" spans="5:14" x14ac:dyDescent="0.25">
      <c r="E642">
        <v>1490</v>
      </c>
      <c r="F642" s="7">
        <v>45621</v>
      </c>
      <c r="G642">
        <f t="shared" si="28"/>
        <v>2024</v>
      </c>
      <c r="H642" s="7" t="str">
        <f t="shared" si="29"/>
        <v>Ноябрь</v>
      </c>
      <c r="I642" t="s">
        <v>20</v>
      </c>
      <c r="J642">
        <v>49</v>
      </c>
      <c r="K642" t="s">
        <v>21</v>
      </c>
      <c r="L642">
        <v>7</v>
      </c>
      <c r="M642">
        <v>314</v>
      </c>
      <c r="N642" s="1">
        <f t="shared" si="30"/>
        <v>2198</v>
      </c>
    </row>
    <row r="643" spans="5:14" x14ac:dyDescent="0.25">
      <c r="E643">
        <v>339</v>
      </c>
      <c r="F643" s="7">
        <v>45218</v>
      </c>
      <c r="G643">
        <f t="shared" si="28"/>
        <v>2023</v>
      </c>
      <c r="H643" s="7" t="str">
        <f t="shared" si="29"/>
        <v>Октябрь</v>
      </c>
      <c r="I643" t="s">
        <v>22</v>
      </c>
      <c r="J643">
        <v>36</v>
      </c>
      <c r="K643" t="s">
        <v>23</v>
      </c>
      <c r="L643">
        <v>4</v>
      </c>
      <c r="M643">
        <v>300</v>
      </c>
      <c r="N643" s="1">
        <f t="shared" si="30"/>
        <v>1200</v>
      </c>
    </row>
    <row r="644" spans="5:14" x14ac:dyDescent="0.25">
      <c r="E644">
        <v>449</v>
      </c>
      <c r="F644" s="7">
        <v>45034</v>
      </c>
      <c r="G644">
        <f t="shared" si="28"/>
        <v>2023</v>
      </c>
      <c r="H644" s="7" t="str">
        <f t="shared" si="29"/>
        <v>Апрель</v>
      </c>
      <c r="I644" t="s">
        <v>22</v>
      </c>
      <c r="J644">
        <v>59</v>
      </c>
      <c r="K644" t="s">
        <v>21</v>
      </c>
      <c r="L644">
        <v>2</v>
      </c>
      <c r="M644">
        <v>25</v>
      </c>
      <c r="N644" s="1">
        <f t="shared" si="30"/>
        <v>50</v>
      </c>
    </row>
    <row r="645" spans="5:14" x14ac:dyDescent="0.25">
      <c r="E645">
        <v>1733</v>
      </c>
      <c r="F645" s="7">
        <v>45472</v>
      </c>
      <c r="G645">
        <f t="shared" si="28"/>
        <v>2024</v>
      </c>
      <c r="H645" s="7" t="str">
        <f t="shared" si="29"/>
        <v>Июнь</v>
      </c>
      <c r="I645" t="s">
        <v>22</v>
      </c>
      <c r="J645">
        <v>18</v>
      </c>
      <c r="K645" t="s">
        <v>23</v>
      </c>
      <c r="L645">
        <v>4</v>
      </c>
      <c r="M645">
        <v>292</v>
      </c>
      <c r="N645" s="1">
        <f t="shared" si="30"/>
        <v>1168</v>
      </c>
    </row>
    <row r="646" spans="5:14" x14ac:dyDescent="0.25">
      <c r="E646">
        <v>340</v>
      </c>
      <c r="F646" s="7">
        <v>45053</v>
      </c>
      <c r="G646">
        <f t="shared" si="28"/>
        <v>2023</v>
      </c>
      <c r="H646" s="7" t="str">
        <f t="shared" si="29"/>
        <v>Май</v>
      </c>
      <c r="I646" t="s">
        <v>20</v>
      </c>
      <c r="J646">
        <v>31</v>
      </c>
      <c r="K646" t="s">
        <v>23</v>
      </c>
      <c r="L646">
        <v>4</v>
      </c>
      <c r="M646">
        <v>50</v>
      </c>
      <c r="N646" s="1">
        <f t="shared" si="30"/>
        <v>200</v>
      </c>
    </row>
    <row r="647" spans="5:14" x14ac:dyDescent="0.25">
      <c r="E647">
        <v>5</v>
      </c>
      <c r="F647" s="7">
        <v>45052</v>
      </c>
      <c r="G647">
        <f t="shared" si="28"/>
        <v>2023</v>
      </c>
      <c r="H647" s="7" t="str">
        <f t="shared" si="29"/>
        <v>Май</v>
      </c>
      <c r="I647" t="s">
        <v>20</v>
      </c>
      <c r="J647">
        <v>30</v>
      </c>
      <c r="K647" t="s">
        <v>21</v>
      </c>
      <c r="L647">
        <v>2</v>
      </c>
      <c r="M647">
        <v>50</v>
      </c>
      <c r="N647" s="1">
        <f t="shared" si="30"/>
        <v>100</v>
      </c>
    </row>
    <row r="648" spans="5:14" x14ac:dyDescent="0.25">
      <c r="E648">
        <v>1038</v>
      </c>
      <c r="F648" s="7">
        <v>45465</v>
      </c>
      <c r="G648">
        <f t="shared" si="28"/>
        <v>2024</v>
      </c>
      <c r="H648" s="7" t="str">
        <f t="shared" si="29"/>
        <v>Июнь</v>
      </c>
      <c r="I648" t="s">
        <v>20</v>
      </c>
      <c r="J648">
        <v>22</v>
      </c>
      <c r="K648" t="s">
        <v>21</v>
      </c>
      <c r="L648">
        <v>7</v>
      </c>
      <c r="M648">
        <v>55</v>
      </c>
      <c r="N648" s="1">
        <f t="shared" si="30"/>
        <v>385</v>
      </c>
    </row>
    <row r="649" spans="5:14" x14ac:dyDescent="0.25">
      <c r="E649">
        <v>86</v>
      </c>
      <c r="F649" s="7">
        <v>45238</v>
      </c>
      <c r="G649">
        <f t="shared" si="28"/>
        <v>2023</v>
      </c>
      <c r="H649" s="7" t="str">
        <f t="shared" si="29"/>
        <v>Ноябрь</v>
      </c>
      <c r="I649" t="s">
        <v>20</v>
      </c>
      <c r="J649">
        <v>19</v>
      </c>
      <c r="K649" t="s">
        <v>21</v>
      </c>
      <c r="L649">
        <v>3</v>
      </c>
      <c r="M649">
        <v>30</v>
      </c>
      <c r="N649" s="1">
        <f t="shared" si="30"/>
        <v>90</v>
      </c>
    </row>
    <row r="650" spans="5:14" x14ac:dyDescent="0.25">
      <c r="E650">
        <v>1813</v>
      </c>
      <c r="F650" s="7">
        <v>45596</v>
      </c>
      <c r="G650">
        <f t="shared" ref="G650:G713" si="31">YEAR(F650)</f>
        <v>2024</v>
      </c>
      <c r="H650" s="7" t="str">
        <f t="shared" ref="H650:H713" si="32">TEXT(F650,"ММММ")</f>
        <v>Октябрь</v>
      </c>
      <c r="I650" t="s">
        <v>20</v>
      </c>
      <c r="J650">
        <v>65</v>
      </c>
      <c r="K650" t="s">
        <v>21</v>
      </c>
      <c r="L650">
        <v>6</v>
      </c>
      <c r="M650">
        <v>398</v>
      </c>
      <c r="N650" s="1">
        <f t="shared" ref="N650:N713" si="33">L650*M650</f>
        <v>2388</v>
      </c>
    </row>
    <row r="651" spans="5:14" x14ac:dyDescent="0.25">
      <c r="E651">
        <v>1917</v>
      </c>
      <c r="F651" s="7">
        <v>45298</v>
      </c>
      <c r="G651">
        <f t="shared" si="31"/>
        <v>2024</v>
      </c>
      <c r="H651" s="7" t="str">
        <f t="shared" si="32"/>
        <v>Январь</v>
      </c>
      <c r="I651" t="s">
        <v>20</v>
      </c>
      <c r="J651">
        <v>30</v>
      </c>
      <c r="K651" t="s">
        <v>24</v>
      </c>
      <c r="L651">
        <v>6</v>
      </c>
      <c r="M651">
        <v>489</v>
      </c>
      <c r="N651" s="1">
        <f t="shared" si="33"/>
        <v>2934</v>
      </c>
    </row>
    <row r="652" spans="5:14" x14ac:dyDescent="0.25">
      <c r="E652">
        <v>1550</v>
      </c>
      <c r="F652" s="7">
        <v>45382</v>
      </c>
      <c r="G652">
        <f t="shared" si="31"/>
        <v>2024</v>
      </c>
      <c r="H652" s="7" t="str">
        <f t="shared" si="32"/>
        <v>Март</v>
      </c>
      <c r="I652" t="s">
        <v>20</v>
      </c>
      <c r="J652">
        <v>53</v>
      </c>
      <c r="K652" t="s">
        <v>23</v>
      </c>
      <c r="L652">
        <v>4</v>
      </c>
      <c r="M652">
        <v>268</v>
      </c>
      <c r="N652" s="1">
        <f t="shared" si="33"/>
        <v>1072</v>
      </c>
    </row>
    <row r="653" spans="5:14" x14ac:dyDescent="0.25">
      <c r="E653">
        <v>262</v>
      </c>
      <c r="F653" s="7">
        <v>45166</v>
      </c>
      <c r="G653">
        <f t="shared" si="31"/>
        <v>2023</v>
      </c>
      <c r="H653" s="7" t="str">
        <f t="shared" si="32"/>
        <v>Август</v>
      </c>
      <c r="I653" t="s">
        <v>20</v>
      </c>
      <c r="J653">
        <v>23</v>
      </c>
      <c r="K653" t="s">
        <v>21</v>
      </c>
      <c r="L653">
        <v>2</v>
      </c>
      <c r="M653">
        <v>30</v>
      </c>
      <c r="N653" s="1">
        <f t="shared" si="33"/>
        <v>60</v>
      </c>
    </row>
    <row r="654" spans="5:14" x14ac:dyDescent="0.25">
      <c r="E654">
        <v>1583</v>
      </c>
      <c r="F654" s="7">
        <v>45637</v>
      </c>
      <c r="G654">
        <f t="shared" si="31"/>
        <v>2024</v>
      </c>
      <c r="H654" s="7" t="str">
        <f t="shared" si="32"/>
        <v>Декабрь</v>
      </c>
      <c r="I654" t="s">
        <v>20</v>
      </c>
      <c r="J654">
        <v>25</v>
      </c>
      <c r="K654" t="s">
        <v>24</v>
      </c>
      <c r="L654">
        <v>3</v>
      </c>
      <c r="M654">
        <v>115</v>
      </c>
      <c r="N654" s="1">
        <f t="shared" si="33"/>
        <v>345</v>
      </c>
    </row>
    <row r="655" spans="5:14" x14ac:dyDescent="0.25">
      <c r="E655">
        <v>815</v>
      </c>
      <c r="F655" s="7">
        <v>45230</v>
      </c>
      <c r="G655">
        <f t="shared" si="31"/>
        <v>2023</v>
      </c>
      <c r="H655" s="7" t="str">
        <f t="shared" si="32"/>
        <v>Октябрь</v>
      </c>
      <c r="I655" t="s">
        <v>20</v>
      </c>
      <c r="J655">
        <v>30</v>
      </c>
      <c r="K655" t="s">
        <v>21</v>
      </c>
      <c r="L655">
        <v>4</v>
      </c>
      <c r="M655">
        <v>50</v>
      </c>
      <c r="N655" s="1">
        <f t="shared" si="33"/>
        <v>200</v>
      </c>
    </row>
    <row r="656" spans="5:14" x14ac:dyDescent="0.25">
      <c r="E656">
        <v>1115</v>
      </c>
      <c r="F656" s="7">
        <v>45366</v>
      </c>
      <c r="G656">
        <f t="shared" si="31"/>
        <v>2024</v>
      </c>
      <c r="H656" s="7" t="str">
        <f t="shared" si="32"/>
        <v>Март</v>
      </c>
      <c r="I656" t="s">
        <v>20</v>
      </c>
      <c r="J656">
        <v>38</v>
      </c>
      <c r="K656" t="s">
        <v>24</v>
      </c>
      <c r="L656">
        <v>4</v>
      </c>
      <c r="M656">
        <v>43</v>
      </c>
      <c r="N656" s="1">
        <f t="shared" si="33"/>
        <v>172</v>
      </c>
    </row>
    <row r="657" spans="5:14" x14ac:dyDescent="0.25">
      <c r="E657">
        <v>995</v>
      </c>
      <c r="F657" s="7">
        <v>45247</v>
      </c>
      <c r="G657">
        <f t="shared" si="31"/>
        <v>2023</v>
      </c>
      <c r="H657" s="7" t="str">
        <f t="shared" si="32"/>
        <v>Ноябрь</v>
      </c>
      <c r="I657" t="s">
        <v>20</v>
      </c>
      <c r="J657">
        <v>52</v>
      </c>
      <c r="K657" t="s">
        <v>21</v>
      </c>
      <c r="L657">
        <v>3</v>
      </c>
      <c r="M657">
        <v>30</v>
      </c>
      <c r="N657" s="1">
        <f t="shared" si="33"/>
        <v>90</v>
      </c>
    </row>
    <row r="658" spans="5:14" x14ac:dyDescent="0.25">
      <c r="E658">
        <v>899</v>
      </c>
      <c r="F658" s="7">
        <v>45026</v>
      </c>
      <c r="G658">
        <f t="shared" si="31"/>
        <v>2023</v>
      </c>
      <c r="H658" s="7" t="str">
        <f t="shared" si="32"/>
        <v>Апрель</v>
      </c>
      <c r="I658" t="s">
        <v>20</v>
      </c>
      <c r="J658">
        <v>31</v>
      </c>
      <c r="K658" t="s">
        <v>24</v>
      </c>
      <c r="L658">
        <v>1</v>
      </c>
      <c r="M658">
        <v>30</v>
      </c>
      <c r="N658" s="1">
        <f t="shared" si="33"/>
        <v>30</v>
      </c>
    </row>
    <row r="659" spans="5:14" x14ac:dyDescent="0.25">
      <c r="E659">
        <v>1591</v>
      </c>
      <c r="F659" s="7">
        <v>45536</v>
      </c>
      <c r="G659">
        <f t="shared" si="31"/>
        <v>2024</v>
      </c>
      <c r="H659" s="7" t="str">
        <f t="shared" si="32"/>
        <v>Сентябрь</v>
      </c>
      <c r="I659" t="s">
        <v>22</v>
      </c>
      <c r="J659">
        <v>26</v>
      </c>
      <c r="K659" t="s">
        <v>24</v>
      </c>
      <c r="L659">
        <v>5</v>
      </c>
      <c r="M659">
        <v>211</v>
      </c>
      <c r="N659" s="1">
        <f t="shared" si="33"/>
        <v>1055</v>
      </c>
    </row>
    <row r="660" spans="5:14" x14ac:dyDescent="0.25">
      <c r="E660">
        <v>345</v>
      </c>
      <c r="F660" s="7">
        <v>44968</v>
      </c>
      <c r="G660">
        <f t="shared" si="31"/>
        <v>2023</v>
      </c>
      <c r="H660" s="7" t="str">
        <f t="shared" si="32"/>
        <v>Февраль</v>
      </c>
      <c r="I660" t="s">
        <v>20</v>
      </c>
      <c r="J660">
        <v>59</v>
      </c>
      <c r="K660" t="s">
        <v>23</v>
      </c>
      <c r="L660">
        <v>2</v>
      </c>
      <c r="M660">
        <v>500</v>
      </c>
      <c r="N660" s="1">
        <f t="shared" si="33"/>
        <v>1000</v>
      </c>
    </row>
    <row r="661" spans="5:14" x14ac:dyDescent="0.25">
      <c r="E661">
        <v>1652</v>
      </c>
      <c r="F661" s="7">
        <v>45569</v>
      </c>
      <c r="G661">
        <f t="shared" si="31"/>
        <v>2024</v>
      </c>
      <c r="H661" s="7" t="str">
        <f t="shared" si="32"/>
        <v>Октябрь</v>
      </c>
      <c r="I661" t="s">
        <v>20</v>
      </c>
      <c r="J661">
        <v>36</v>
      </c>
      <c r="K661" t="s">
        <v>21</v>
      </c>
      <c r="L661">
        <v>4</v>
      </c>
      <c r="M661">
        <v>495</v>
      </c>
      <c r="N661" s="1">
        <f t="shared" si="33"/>
        <v>1980</v>
      </c>
    </row>
    <row r="662" spans="5:14" x14ac:dyDescent="0.25">
      <c r="E662">
        <v>883</v>
      </c>
      <c r="F662" s="7">
        <v>44988</v>
      </c>
      <c r="G662">
        <f t="shared" si="31"/>
        <v>2023</v>
      </c>
      <c r="H662" s="7" t="str">
        <f t="shared" si="32"/>
        <v>Март</v>
      </c>
      <c r="I662" t="s">
        <v>22</v>
      </c>
      <c r="J662">
        <v>52</v>
      </c>
      <c r="K662" t="s">
        <v>23</v>
      </c>
      <c r="L662">
        <v>4</v>
      </c>
      <c r="M662">
        <v>30</v>
      </c>
      <c r="N662" s="1">
        <f t="shared" si="33"/>
        <v>120</v>
      </c>
    </row>
    <row r="663" spans="5:14" x14ac:dyDescent="0.25">
      <c r="E663">
        <v>1287</v>
      </c>
      <c r="F663" s="7">
        <v>45569</v>
      </c>
      <c r="G663">
        <f t="shared" si="31"/>
        <v>2024</v>
      </c>
      <c r="H663" s="7" t="str">
        <f t="shared" si="32"/>
        <v>Октябрь</v>
      </c>
      <c r="I663" t="s">
        <v>22</v>
      </c>
      <c r="J663">
        <v>45</v>
      </c>
      <c r="K663" t="s">
        <v>21</v>
      </c>
      <c r="L663">
        <v>1</v>
      </c>
      <c r="M663">
        <v>260</v>
      </c>
      <c r="N663" s="1">
        <f t="shared" si="33"/>
        <v>260</v>
      </c>
    </row>
    <row r="664" spans="5:14" x14ac:dyDescent="0.25">
      <c r="E664">
        <v>1228</v>
      </c>
      <c r="F664" s="7">
        <v>45295</v>
      </c>
      <c r="G664">
        <f t="shared" si="31"/>
        <v>2024</v>
      </c>
      <c r="H664" s="7" t="str">
        <f t="shared" si="32"/>
        <v>Январь</v>
      </c>
      <c r="I664" t="s">
        <v>22</v>
      </c>
      <c r="J664">
        <v>27</v>
      </c>
      <c r="K664" t="s">
        <v>23</v>
      </c>
      <c r="L664">
        <v>1</v>
      </c>
      <c r="M664">
        <v>247</v>
      </c>
      <c r="N664" s="1">
        <f t="shared" si="33"/>
        <v>247</v>
      </c>
    </row>
    <row r="665" spans="5:14" x14ac:dyDescent="0.25">
      <c r="E665">
        <v>915</v>
      </c>
      <c r="F665" s="7">
        <v>44991</v>
      </c>
      <c r="G665">
        <f t="shared" si="31"/>
        <v>2023</v>
      </c>
      <c r="H665" s="7" t="str">
        <f t="shared" si="32"/>
        <v>Март</v>
      </c>
      <c r="I665" t="s">
        <v>22</v>
      </c>
      <c r="J665">
        <v>57</v>
      </c>
      <c r="K665" t="s">
        <v>24</v>
      </c>
      <c r="L665">
        <v>4</v>
      </c>
      <c r="M665">
        <v>50</v>
      </c>
      <c r="N665" s="1">
        <f t="shared" si="33"/>
        <v>200</v>
      </c>
    </row>
    <row r="666" spans="5:14" x14ac:dyDescent="0.25">
      <c r="E666">
        <v>185</v>
      </c>
      <c r="F666" s="7">
        <v>44984</v>
      </c>
      <c r="G666">
        <f t="shared" si="31"/>
        <v>2023</v>
      </c>
      <c r="H666" s="7" t="str">
        <f t="shared" si="32"/>
        <v>Февраль</v>
      </c>
      <c r="I666" t="s">
        <v>20</v>
      </c>
      <c r="J666">
        <v>24</v>
      </c>
      <c r="K666" t="s">
        <v>23</v>
      </c>
      <c r="L666">
        <v>1</v>
      </c>
      <c r="M666">
        <v>25</v>
      </c>
      <c r="N666" s="1">
        <f t="shared" si="33"/>
        <v>25</v>
      </c>
    </row>
    <row r="667" spans="5:14" x14ac:dyDescent="0.25">
      <c r="E667">
        <v>615</v>
      </c>
      <c r="F667" s="7">
        <v>45192</v>
      </c>
      <c r="G667">
        <f t="shared" si="31"/>
        <v>2023</v>
      </c>
      <c r="H667" s="7" t="str">
        <f t="shared" si="32"/>
        <v>Сентябрь</v>
      </c>
      <c r="I667" t="s">
        <v>20</v>
      </c>
      <c r="J667">
        <v>41</v>
      </c>
      <c r="K667" t="s">
        <v>23</v>
      </c>
      <c r="L667">
        <v>2</v>
      </c>
      <c r="M667">
        <v>50</v>
      </c>
      <c r="N667" s="1">
        <f t="shared" si="33"/>
        <v>100</v>
      </c>
    </row>
    <row r="668" spans="5:14" x14ac:dyDescent="0.25">
      <c r="E668">
        <v>1019</v>
      </c>
      <c r="F668" s="7">
        <v>45305</v>
      </c>
      <c r="G668">
        <f t="shared" si="31"/>
        <v>2024</v>
      </c>
      <c r="H668" s="7" t="str">
        <f t="shared" si="32"/>
        <v>Январь</v>
      </c>
      <c r="I668" t="s">
        <v>22</v>
      </c>
      <c r="J668">
        <v>49</v>
      </c>
      <c r="K668" t="s">
        <v>21</v>
      </c>
      <c r="L668">
        <v>2</v>
      </c>
      <c r="M668">
        <v>150</v>
      </c>
      <c r="N668" s="1">
        <f t="shared" si="33"/>
        <v>300</v>
      </c>
    </row>
    <row r="669" spans="5:14" x14ac:dyDescent="0.25">
      <c r="E669">
        <v>969</v>
      </c>
      <c r="F669" s="7">
        <v>45265</v>
      </c>
      <c r="G669">
        <f t="shared" si="31"/>
        <v>2023</v>
      </c>
      <c r="H669" s="7" t="str">
        <f t="shared" si="32"/>
        <v>Декабрь</v>
      </c>
      <c r="I669" t="s">
        <v>22</v>
      </c>
      <c r="J669">
        <v>27</v>
      </c>
      <c r="K669" t="s">
        <v>24</v>
      </c>
      <c r="L669">
        <v>4</v>
      </c>
      <c r="M669">
        <v>50</v>
      </c>
      <c r="N669" s="1">
        <f t="shared" si="33"/>
        <v>200</v>
      </c>
    </row>
    <row r="670" spans="5:14" x14ac:dyDescent="0.25">
      <c r="E670">
        <v>238</v>
      </c>
      <c r="F670" s="7">
        <v>45096</v>
      </c>
      <c r="G670">
        <f t="shared" si="31"/>
        <v>2023</v>
      </c>
      <c r="H670" s="7" t="str">
        <f t="shared" si="32"/>
        <v>Июнь</v>
      </c>
      <c r="I670" t="s">
        <v>20</v>
      </c>
      <c r="J670">
        <v>38</v>
      </c>
      <c r="K670" t="s">
        <v>24</v>
      </c>
      <c r="L670">
        <v>3</v>
      </c>
      <c r="M670">
        <v>500</v>
      </c>
      <c r="N670" s="1">
        <f t="shared" si="33"/>
        <v>1500</v>
      </c>
    </row>
    <row r="671" spans="5:14" x14ac:dyDescent="0.25">
      <c r="E671">
        <v>252</v>
      </c>
      <c r="F671" s="7">
        <v>45169</v>
      </c>
      <c r="G671">
        <f t="shared" si="31"/>
        <v>2023</v>
      </c>
      <c r="H671" s="7" t="str">
        <f t="shared" si="32"/>
        <v>Август</v>
      </c>
      <c r="I671" t="s">
        <v>22</v>
      </c>
      <c r="J671">
        <v>53</v>
      </c>
      <c r="K671" t="s">
        <v>23</v>
      </c>
      <c r="L671">
        <v>4</v>
      </c>
      <c r="M671">
        <v>500</v>
      </c>
      <c r="N671" s="1">
        <f t="shared" si="33"/>
        <v>2000</v>
      </c>
    </row>
    <row r="672" spans="5:14" x14ac:dyDescent="0.25">
      <c r="E672">
        <v>534</v>
      </c>
      <c r="F672" s="7">
        <v>45266</v>
      </c>
      <c r="G672">
        <f t="shared" si="31"/>
        <v>2023</v>
      </c>
      <c r="H672" s="7" t="str">
        <f t="shared" si="32"/>
        <v>Декабрь</v>
      </c>
      <c r="I672" t="s">
        <v>20</v>
      </c>
      <c r="J672">
        <v>47</v>
      </c>
      <c r="K672" t="s">
        <v>21</v>
      </c>
      <c r="L672">
        <v>3</v>
      </c>
      <c r="M672">
        <v>30</v>
      </c>
      <c r="N672" s="1">
        <f t="shared" si="33"/>
        <v>90</v>
      </c>
    </row>
    <row r="673" spans="5:14" x14ac:dyDescent="0.25">
      <c r="E673">
        <v>1510</v>
      </c>
      <c r="F673" s="7">
        <v>45554</v>
      </c>
      <c r="G673">
        <f t="shared" si="31"/>
        <v>2024</v>
      </c>
      <c r="H673" s="7" t="str">
        <f t="shared" si="32"/>
        <v>Сентябрь</v>
      </c>
      <c r="I673" t="s">
        <v>20</v>
      </c>
      <c r="J673">
        <v>45</v>
      </c>
      <c r="K673" t="s">
        <v>24</v>
      </c>
      <c r="L673">
        <v>2</v>
      </c>
      <c r="M673">
        <v>330</v>
      </c>
      <c r="N673" s="1">
        <f t="shared" si="33"/>
        <v>660</v>
      </c>
    </row>
    <row r="674" spans="5:14" x14ac:dyDescent="0.25">
      <c r="E674">
        <v>1322</v>
      </c>
      <c r="F674" s="7">
        <v>45537</v>
      </c>
      <c r="G674">
        <f t="shared" si="31"/>
        <v>2024</v>
      </c>
      <c r="H674" s="7" t="str">
        <f t="shared" si="32"/>
        <v>Сентябрь</v>
      </c>
      <c r="I674" t="s">
        <v>22</v>
      </c>
      <c r="J674">
        <v>63</v>
      </c>
      <c r="K674" t="s">
        <v>24</v>
      </c>
      <c r="L674">
        <v>6</v>
      </c>
      <c r="M674">
        <v>77</v>
      </c>
      <c r="N674" s="1">
        <f t="shared" si="33"/>
        <v>462</v>
      </c>
    </row>
    <row r="675" spans="5:14" x14ac:dyDescent="0.25">
      <c r="E675">
        <v>1941</v>
      </c>
      <c r="F675" s="7">
        <v>45335</v>
      </c>
      <c r="G675">
        <f t="shared" si="31"/>
        <v>2024</v>
      </c>
      <c r="H675" s="7" t="str">
        <f t="shared" si="32"/>
        <v>Февраль</v>
      </c>
      <c r="I675" t="s">
        <v>20</v>
      </c>
      <c r="J675">
        <v>61</v>
      </c>
      <c r="K675" t="s">
        <v>21</v>
      </c>
      <c r="L675">
        <v>6</v>
      </c>
      <c r="M675">
        <v>448</v>
      </c>
      <c r="N675" s="1">
        <f t="shared" si="33"/>
        <v>2688</v>
      </c>
    </row>
    <row r="676" spans="5:14" x14ac:dyDescent="0.25">
      <c r="E676">
        <v>1192</v>
      </c>
      <c r="F676" s="7">
        <v>45541</v>
      </c>
      <c r="G676">
        <f t="shared" si="31"/>
        <v>2024</v>
      </c>
      <c r="H676" s="7" t="str">
        <f t="shared" si="32"/>
        <v>Сентябрь</v>
      </c>
      <c r="I676" t="s">
        <v>20</v>
      </c>
      <c r="J676">
        <v>26</v>
      </c>
      <c r="K676" t="s">
        <v>23</v>
      </c>
      <c r="L676">
        <v>5</v>
      </c>
      <c r="M676">
        <v>328</v>
      </c>
      <c r="N676" s="1">
        <f t="shared" si="33"/>
        <v>1640</v>
      </c>
    </row>
    <row r="677" spans="5:14" x14ac:dyDescent="0.25">
      <c r="E677">
        <v>126</v>
      </c>
      <c r="F677" s="7">
        <v>45225</v>
      </c>
      <c r="G677">
        <f t="shared" si="31"/>
        <v>2023</v>
      </c>
      <c r="H677" s="7" t="str">
        <f t="shared" si="32"/>
        <v>Октябрь</v>
      </c>
      <c r="I677" t="s">
        <v>22</v>
      </c>
      <c r="J677">
        <v>28</v>
      </c>
      <c r="K677" t="s">
        <v>23</v>
      </c>
      <c r="L677">
        <v>3</v>
      </c>
      <c r="M677">
        <v>30</v>
      </c>
      <c r="N677" s="1">
        <f t="shared" si="33"/>
        <v>90</v>
      </c>
    </row>
    <row r="678" spans="5:14" x14ac:dyDescent="0.25">
      <c r="E678">
        <v>1031</v>
      </c>
      <c r="F678" s="7">
        <v>45374</v>
      </c>
      <c r="G678">
        <f t="shared" si="31"/>
        <v>2024</v>
      </c>
      <c r="H678" s="7" t="str">
        <f t="shared" si="32"/>
        <v>Март</v>
      </c>
      <c r="I678" t="s">
        <v>22</v>
      </c>
      <c r="J678">
        <v>31</v>
      </c>
      <c r="K678" t="s">
        <v>24</v>
      </c>
      <c r="L678">
        <v>1</v>
      </c>
      <c r="M678">
        <v>296</v>
      </c>
      <c r="N678" s="1">
        <f t="shared" si="33"/>
        <v>296</v>
      </c>
    </row>
    <row r="679" spans="5:14" x14ac:dyDescent="0.25">
      <c r="E679">
        <v>388</v>
      </c>
      <c r="F679" s="7">
        <v>45261</v>
      </c>
      <c r="G679">
        <f t="shared" si="31"/>
        <v>2023</v>
      </c>
      <c r="H679" s="7" t="str">
        <f t="shared" si="32"/>
        <v>Декабрь</v>
      </c>
      <c r="I679" t="s">
        <v>20</v>
      </c>
      <c r="J679">
        <v>21</v>
      </c>
      <c r="K679" t="s">
        <v>23</v>
      </c>
      <c r="L679">
        <v>2</v>
      </c>
      <c r="M679">
        <v>25</v>
      </c>
      <c r="N679" s="1">
        <f t="shared" si="33"/>
        <v>50</v>
      </c>
    </row>
    <row r="680" spans="5:14" x14ac:dyDescent="0.25">
      <c r="E680">
        <v>1359</v>
      </c>
      <c r="F680" s="7">
        <v>45623</v>
      </c>
      <c r="G680">
        <f t="shared" si="31"/>
        <v>2024</v>
      </c>
      <c r="H680" s="7" t="str">
        <f t="shared" si="32"/>
        <v>Ноябрь</v>
      </c>
      <c r="I680" t="s">
        <v>20</v>
      </c>
      <c r="J680">
        <v>51</v>
      </c>
      <c r="K680" t="s">
        <v>23</v>
      </c>
      <c r="L680">
        <v>4</v>
      </c>
      <c r="M680">
        <v>53</v>
      </c>
      <c r="N680" s="1">
        <f t="shared" si="33"/>
        <v>212</v>
      </c>
    </row>
    <row r="681" spans="5:14" x14ac:dyDescent="0.25">
      <c r="E681">
        <v>1132</v>
      </c>
      <c r="F681" s="7">
        <v>45316</v>
      </c>
      <c r="G681">
        <f t="shared" si="31"/>
        <v>2024</v>
      </c>
      <c r="H681" s="7" t="str">
        <f t="shared" si="32"/>
        <v>Январь</v>
      </c>
      <c r="I681" t="s">
        <v>20</v>
      </c>
      <c r="J681">
        <v>30</v>
      </c>
      <c r="K681" t="s">
        <v>24</v>
      </c>
      <c r="L681">
        <v>5</v>
      </c>
      <c r="M681">
        <v>450</v>
      </c>
      <c r="N681" s="1">
        <f t="shared" si="33"/>
        <v>2250</v>
      </c>
    </row>
    <row r="682" spans="5:14" x14ac:dyDescent="0.25">
      <c r="E682">
        <v>1580</v>
      </c>
      <c r="F682" s="7">
        <v>45464</v>
      </c>
      <c r="G682">
        <f t="shared" si="31"/>
        <v>2024</v>
      </c>
      <c r="H682" s="7" t="str">
        <f t="shared" si="32"/>
        <v>Июнь</v>
      </c>
      <c r="I682" t="s">
        <v>22</v>
      </c>
      <c r="J682">
        <v>56</v>
      </c>
      <c r="K682" t="s">
        <v>24</v>
      </c>
      <c r="L682">
        <v>5</v>
      </c>
      <c r="M682">
        <v>431</v>
      </c>
      <c r="N682" s="1">
        <f t="shared" si="33"/>
        <v>2155</v>
      </c>
    </row>
    <row r="683" spans="5:14" x14ac:dyDescent="0.25">
      <c r="E683">
        <v>833</v>
      </c>
      <c r="F683" s="7">
        <v>45176</v>
      </c>
      <c r="G683">
        <f t="shared" si="31"/>
        <v>2023</v>
      </c>
      <c r="H683" s="7" t="str">
        <f t="shared" si="32"/>
        <v>Сентябрь</v>
      </c>
      <c r="I683" t="s">
        <v>20</v>
      </c>
      <c r="J683">
        <v>37</v>
      </c>
      <c r="K683" t="s">
        <v>23</v>
      </c>
      <c r="L683">
        <v>4</v>
      </c>
      <c r="M683">
        <v>50</v>
      </c>
      <c r="N683" s="1">
        <f t="shared" si="33"/>
        <v>200</v>
      </c>
    </row>
    <row r="684" spans="5:14" x14ac:dyDescent="0.25">
      <c r="E684">
        <v>182</v>
      </c>
      <c r="F684" s="7">
        <v>45092</v>
      </c>
      <c r="G684">
        <f t="shared" si="31"/>
        <v>2023</v>
      </c>
      <c r="H684" s="7" t="str">
        <f t="shared" si="32"/>
        <v>Июнь</v>
      </c>
      <c r="I684" t="s">
        <v>20</v>
      </c>
      <c r="J684">
        <v>62</v>
      </c>
      <c r="K684" t="s">
        <v>21</v>
      </c>
      <c r="L684">
        <v>4</v>
      </c>
      <c r="M684">
        <v>30</v>
      </c>
      <c r="N684" s="1">
        <f t="shared" si="33"/>
        <v>120</v>
      </c>
    </row>
    <row r="685" spans="5:14" x14ac:dyDescent="0.25">
      <c r="E685">
        <v>1323</v>
      </c>
      <c r="F685" s="7">
        <v>45550</v>
      </c>
      <c r="G685">
        <f t="shared" si="31"/>
        <v>2024</v>
      </c>
      <c r="H685" s="7" t="str">
        <f t="shared" si="32"/>
        <v>Сентябрь</v>
      </c>
      <c r="I685" t="s">
        <v>22</v>
      </c>
      <c r="J685">
        <v>53</v>
      </c>
      <c r="K685" t="s">
        <v>23</v>
      </c>
      <c r="L685">
        <v>6</v>
      </c>
      <c r="M685">
        <v>205</v>
      </c>
      <c r="N685" s="1">
        <f t="shared" si="33"/>
        <v>1230</v>
      </c>
    </row>
    <row r="686" spans="5:14" x14ac:dyDescent="0.25">
      <c r="E686">
        <v>158</v>
      </c>
      <c r="F686" s="7">
        <v>44984</v>
      </c>
      <c r="G686">
        <f t="shared" si="31"/>
        <v>2023</v>
      </c>
      <c r="H686" s="7" t="str">
        <f t="shared" si="32"/>
        <v>Февраль</v>
      </c>
      <c r="I686" t="s">
        <v>22</v>
      </c>
      <c r="J686">
        <v>44</v>
      </c>
      <c r="K686" t="s">
        <v>24</v>
      </c>
      <c r="L686">
        <v>2</v>
      </c>
      <c r="M686">
        <v>300</v>
      </c>
      <c r="N686" s="1">
        <f t="shared" si="33"/>
        <v>600</v>
      </c>
    </row>
    <row r="687" spans="5:14" x14ac:dyDescent="0.25">
      <c r="E687">
        <v>1157</v>
      </c>
      <c r="F687" s="7">
        <v>45443</v>
      </c>
      <c r="G687">
        <f t="shared" si="31"/>
        <v>2024</v>
      </c>
      <c r="H687" s="7" t="str">
        <f t="shared" si="32"/>
        <v>Май</v>
      </c>
      <c r="I687" t="s">
        <v>20</v>
      </c>
      <c r="J687">
        <v>23</v>
      </c>
      <c r="K687" t="s">
        <v>23</v>
      </c>
      <c r="L687">
        <v>3</v>
      </c>
      <c r="M687">
        <v>239</v>
      </c>
      <c r="N687" s="1">
        <f t="shared" si="33"/>
        <v>717</v>
      </c>
    </row>
    <row r="688" spans="5:14" x14ac:dyDescent="0.25">
      <c r="E688">
        <v>1764</v>
      </c>
      <c r="F688" s="7">
        <v>45305</v>
      </c>
      <c r="G688">
        <f t="shared" si="31"/>
        <v>2024</v>
      </c>
      <c r="H688" s="7" t="str">
        <f t="shared" si="32"/>
        <v>Январь</v>
      </c>
      <c r="I688" t="s">
        <v>22</v>
      </c>
      <c r="J688">
        <v>44</v>
      </c>
      <c r="K688" t="s">
        <v>21</v>
      </c>
      <c r="L688">
        <v>1</v>
      </c>
      <c r="M688">
        <v>499</v>
      </c>
      <c r="N688" s="1">
        <f t="shared" si="33"/>
        <v>499</v>
      </c>
    </row>
    <row r="689" spans="5:14" x14ac:dyDescent="0.25">
      <c r="E689">
        <v>1690</v>
      </c>
      <c r="F689" s="7">
        <v>45432</v>
      </c>
      <c r="G689">
        <f t="shared" si="31"/>
        <v>2024</v>
      </c>
      <c r="H689" s="7" t="str">
        <f t="shared" si="32"/>
        <v>Май</v>
      </c>
      <c r="I689" t="s">
        <v>22</v>
      </c>
      <c r="J689">
        <v>27</v>
      </c>
      <c r="K689" t="s">
        <v>24</v>
      </c>
      <c r="L689">
        <v>7</v>
      </c>
      <c r="M689">
        <v>144</v>
      </c>
      <c r="N689" s="1">
        <f t="shared" si="33"/>
        <v>1008</v>
      </c>
    </row>
    <row r="690" spans="5:14" x14ac:dyDescent="0.25">
      <c r="E690">
        <v>805</v>
      </c>
      <c r="F690" s="7">
        <v>45149</v>
      </c>
      <c r="G690">
        <f t="shared" si="31"/>
        <v>2023</v>
      </c>
      <c r="H690" s="7" t="str">
        <f t="shared" si="32"/>
        <v>Август</v>
      </c>
      <c r="I690" t="s">
        <v>22</v>
      </c>
      <c r="J690">
        <v>50</v>
      </c>
      <c r="K690" t="s">
        <v>24</v>
      </c>
      <c r="L690">
        <v>4</v>
      </c>
      <c r="M690">
        <v>50</v>
      </c>
      <c r="N690" s="1">
        <f t="shared" si="33"/>
        <v>200</v>
      </c>
    </row>
    <row r="691" spans="5:14" x14ac:dyDescent="0.25">
      <c r="E691">
        <v>1597</v>
      </c>
      <c r="F691" s="7">
        <v>45587</v>
      </c>
      <c r="G691">
        <f t="shared" si="31"/>
        <v>2024</v>
      </c>
      <c r="H691" s="7" t="str">
        <f t="shared" si="32"/>
        <v>Октябрь</v>
      </c>
      <c r="I691" t="s">
        <v>22</v>
      </c>
      <c r="J691">
        <v>59</v>
      </c>
      <c r="K691" t="s">
        <v>21</v>
      </c>
      <c r="L691">
        <v>6</v>
      </c>
      <c r="M691">
        <v>500</v>
      </c>
      <c r="N691" s="1">
        <f t="shared" si="33"/>
        <v>3000</v>
      </c>
    </row>
    <row r="692" spans="5:14" x14ac:dyDescent="0.25">
      <c r="E692">
        <v>769</v>
      </c>
      <c r="F692" s="7">
        <v>45273</v>
      </c>
      <c r="G692">
        <f t="shared" si="31"/>
        <v>2023</v>
      </c>
      <c r="H692" s="7" t="str">
        <f t="shared" si="32"/>
        <v>Декабрь</v>
      </c>
      <c r="I692" t="s">
        <v>20</v>
      </c>
      <c r="J692">
        <v>24</v>
      </c>
      <c r="K692" t="s">
        <v>24</v>
      </c>
      <c r="L692">
        <v>2</v>
      </c>
      <c r="M692">
        <v>25</v>
      </c>
      <c r="N692" s="1">
        <f t="shared" si="33"/>
        <v>50</v>
      </c>
    </row>
    <row r="693" spans="5:14" x14ac:dyDescent="0.25">
      <c r="E693">
        <v>1497</v>
      </c>
      <c r="F693" s="7">
        <v>45352</v>
      </c>
      <c r="G693">
        <f t="shared" si="31"/>
        <v>2024</v>
      </c>
      <c r="H693" s="7" t="str">
        <f t="shared" si="32"/>
        <v>Март</v>
      </c>
      <c r="I693" t="s">
        <v>22</v>
      </c>
      <c r="J693">
        <v>18</v>
      </c>
      <c r="K693" t="s">
        <v>21</v>
      </c>
      <c r="L693">
        <v>2</v>
      </c>
      <c r="M693">
        <v>449</v>
      </c>
      <c r="N693" s="1">
        <f t="shared" si="33"/>
        <v>898</v>
      </c>
    </row>
    <row r="694" spans="5:14" x14ac:dyDescent="0.25">
      <c r="E694">
        <v>1097</v>
      </c>
      <c r="F694" s="7">
        <v>45643</v>
      </c>
      <c r="G694">
        <f t="shared" si="31"/>
        <v>2024</v>
      </c>
      <c r="H694" s="7" t="str">
        <f t="shared" si="32"/>
        <v>Декабрь</v>
      </c>
      <c r="I694" t="s">
        <v>22</v>
      </c>
      <c r="J694">
        <v>27</v>
      </c>
      <c r="K694" t="s">
        <v>24</v>
      </c>
      <c r="L694">
        <v>6</v>
      </c>
      <c r="M694">
        <v>319</v>
      </c>
      <c r="N694" s="1">
        <f t="shared" si="33"/>
        <v>1914</v>
      </c>
    </row>
    <row r="695" spans="5:14" x14ac:dyDescent="0.25">
      <c r="E695">
        <v>916</v>
      </c>
      <c r="F695" s="7">
        <v>45253</v>
      </c>
      <c r="G695">
        <f t="shared" si="31"/>
        <v>2023</v>
      </c>
      <c r="H695" s="7" t="str">
        <f t="shared" si="32"/>
        <v>Ноябрь</v>
      </c>
      <c r="I695" t="s">
        <v>22</v>
      </c>
      <c r="J695">
        <v>42</v>
      </c>
      <c r="K695" t="s">
        <v>24</v>
      </c>
      <c r="L695">
        <v>3</v>
      </c>
      <c r="M695">
        <v>30</v>
      </c>
      <c r="N695" s="1">
        <f t="shared" si="33"/>
        <v>90</v>
      </c>
    </row>
    <row r="696" spans="5:14" x14ac:dyDescent="0.25">
      <c r="E696">
        <v>742</v>
      </c>
      <c r="F696" s="7">
        <v>45053</v>
      </c>
      <c r="G696">
        <f t="shared" si="31"/>
        <v>2023</v>
      </c>
      <c r="H696" s="7" t="str">
        <f t="shared" si="32"/>
        <v>Май</v>
      </c>
      <c r="I696" t="s">
        <v>20</v>
      </c>
      <c r="J696">
        <v>40</v>
      </c>
      <c r="K696" t="s">
        <v>24</v>
      </c>
      <c r="L696">
        <v>1</v>
      </c>
      <c r="M696">
        <v>25</v>
      </c>
      <c r="N696" s="1">
        <f t="shared" si="33"/>
        <v>25</v>
      </c>
    </row>
    <row r="697" spans="5:14" x14ac:dyDescent="0.25">
      <c r="E697">
        <v>1281</v>
      </c>
      <c r="F697" s="7">
        <v>45330</v>
      </c>
      <c r="G697">
        <f t="shared" si="31"/>
        <v>2024</v>
      </c>
      <c r="H697" s="7" t="str">
        <f t="shared" si="32"/>
        <v>Февраль</v>
      </c>
      <c r="I697" t="s">
        <v>20</v>
      </c>
      <c r="J697">
        <v>24</v>
      </c>
      <c r="K697" t="s">
        <v>23</v>
      </c>
      <c r="L697">
        <v>5</v>
      </c>
      <c r="M697">
        <v>261</v>
      </c>
      <c r="N697" s="1">
        <f t="shared" si="33"/>
        <v>1305</v>
      </c>
    </row>
    <row r="698" spans="5:14" x14ac:dyDescent="0.25">
      <c r="E698">
        <v>827</v>
      </c>
      <c r="F698" s="7">
        <v>45121</v>
      </c>
      <c r="G698">
        <f t="shared" si="31"/>
        <v>2023</v>
      </c>
      <c r="H698" s="7" t="str">
        <f t="shared" si="32"/>
        <v>Июль</v>
      </c>
      <c r="I698" t="s">
        <v>20</v>
      </c>
      <c r="J698">
        <v>61</v>
      </c>
      <c r="K698" t="s">
        <v>21</v>
      </c>
      <c r="L698">
        <v>3</v>
      </c>
      <c r="M698">
        <v>30</v>
      </c>
      <c r="N698" s="1">
        <f t="shared" si="33"/>
        <v>90</v>
      </c>
    </row>
    <row r="699" spans="5:14" x14ac:dyDescent="0.25">
      <c r="E699">
        <v>1746</v>
      </c>
      <c r="F699" s="7">
        <v>45357</v>
      </c>
      <c r="G699">
        <f t="shared" si="31"/>
        <v>2024</v>
      </c>
      <c r="H699" s="7" t="str">
        <f t="shared" si="32"/>
        <v>Март</v>
      </c>
      <c r="I699" t="s">
        <v>22</v>
      </c>
      <c r="J699">
        <v>38</v>
      </c>
      <c r="K699" t="s">
        <v>23</v>
      </c>
      <c r="L699">
        <v>5</v>
      </c>
      <c r="M699">
        <v>340</v>
      </c>
      <c r="N699" s="1">
        <f t="shared" si="33"/>
        <v>1700</v>
      </c>
    </row>
    <row r="700" spans="5:14" x14ac:dyDescent="0.25">
      <c r="E700">
        <v>1285</v>
      </c>
      <c r="F700" s="7">
        <v>45317</v>
      </c>
      <c r="G700">
        <f t="shared" si="31"/>
        <v>2024</v>
      </c>
      <c r="H700" s="7" t="str">
        <f t="shared" si="32"/>
        <v>Январь</v>
      </c>
      <c r="I700" t="s">
        <v>20</v>
      </c>
      <c r="J700">
        <v>61</v>
      </c>
      <c r="K700" t="s">
        <v>23</v>
      </c>
      <c r="L700">
        <v>6</v>
      </c>
      <c r="M700">
        <v>289</v>
      </c>
      <c r="N700" s="1">
        <f t="shared" si="33"/>
        <v>1734</v>
      </c>
    </row>
    <row r="701" spans="5:14" x14ac:dyDescent="0.25">
      <c r="E701">
        <v>455</v>
      </c>
      <c r="F701" s="7">
        <v>45213</v>
      </c>
      <c r="G701">
        <f t="shared" si="31"/>
        <v>2023</v>
      </c>
      <c r="H701" s="7" t="str">
        <f t="shared" si="32"/>
        <v>Октябрь</v>
      </c>
      <c r="I701" t="s">
        <v>20</v>
      </c>
      <c r="J701">
        <v>57</v>
      </c>
      <c r="K701" t="s">
        <v>24</v>
      </c>
      <c r="L701">
        <v>2</v>
      </c>
      <c r="M701">
        <v>30</v>
      </c>
      <c r="N701" s="1">
        <f t="shared" si="33"/>
        <v>60</v>
      </c>
    </row>
    <row r="702" spans="5:14" x14ac:dyDescent="0.25">
      <c r="E702">
        <v>1573</v>
      </c>
      <c r="F702" s="7">
        <v>45630</v>
      </c>
      <c r="G702">
        <f t="shared" si="31"/>
        <v>2024</v>
      </c>
      <c r="H702" s="7" t="str">
        <f t="shared" si="32"/>
        <v>Декабрь</v>
      </c>
      <c r="I702" t="s">
        <v>22</v>
      </c>
      <c r="J702">
        <v>31</v>
      </c>
      <c r="K702" t="s">
        <v>21</v>
      </c>
      <c r="L702">
        <v>6</v>
      </c>
      <c r="M702">
        <v>250</v>
      </c>
      <c r="N702" s="1">
        <f t="shared" si="33"/>
        <v>1500</v>
      </c>
    </row>
    <row r="703" spans="5:14" x14ac:dyDescent="0.25">
      <c r="E703">
        <v>1169</v>
      </c>
      <c r="F703" s="7">
        <v>45620</v>
      </c>
      <c r="G703">
        <f t="shared" si="31"/>
        <v>2024</v>
      </c>
      <c r="H703" s="7" t="str">
        <f t="shared" si="32"/>
        <v>Ноябрь</v>
      </c>
      <c r="I703" t="s">
        <v>22</v>
      </c>
      <c r="J703">
        <v>57</v>
      </c>
      <c r="K703" t="s">
        <v>23</v>
      </c>
      <c r="L703">
        <v>7</v>
      </c>
      <c r="M703">
        <v>217</v>
      </c>
      <c r="N703" s="1">
        <f t="shared" si="33"/>
        <v>1519</v>
      </c>
    </row>
    <row r="704" spans="5:14" x14ac:dyDescent="0.25">
      <c r="E704">
        <v>184</v>
      </c>
      <c r="F704" s="7">
        <v>44936</v>
      </c>
      <c r="G704">
        <f t="shared" si="31"/>
        <v>2023</v>
      </c>
      <c r="H704" s="7" t="str">
        <f t="shared" si="32"/>
        <v>Январь</v>
      </c>
      <c r="I704" t="s">
        <v>20</v>
      </c>
      <c r="J704">
        <v>31</v>
      </c>
      <c r="K704" t="s">
        <v>24</v>
      </c>
      <c r="L704">
        <v>4</v>
      </c>
      <c r="M704">
        <v>50</v>
      </c>
      <c r="N704" s="1">
        <f t="shared" si="33"/>
        <v>200</v>
      </c>
    </row>
    <row r="705" spans="5:14" x14ac:dyDescent="0.25">
      <c r="E705">
        <v>67</v>
      </c>
      <c r="F705" s="7">
        <v>45075</v>
      </c>
      <c r="G705">
        <f t="shared" si="31"/>
        <v>2023</v>
      </c>
      <c r="H705" s="7" t="str">
        <f t="shared" si="32"/>
        <v>Май</v>
      </c>
      <c r="I705" t="s">
        <v>22</v>
      </c>
      <c r="J705">
        <v>48</v>
      </c>
      <c r="K705" t="s">
        <v>21</v>
      </c>
      <c r="L705">
        <v>4</v>
      </c>
      <c r="M705">
        <v>300</v>
      </c>
      <c r="N705" s="1">
        <f t="shared" si="33"/>
        <v>1200</v>
      </c>
    </row>
    <row r="706" spans="5:14" x14ac:dyDescent="0.25">
      <c r="E706">
        <v>618</v>
      </c>
      <c r="F706" s="7">
        <v>45212</v>
      </c>
      <c r="G706">
        <f t="shared" si="31"/>
        <v>2023</v>
      </c>
      <c r="H706" s="7" t="str">
        <f t="shared" si="32"/>
        <v>Октябрь</v>
      </c>
      <c r="I706" t="s">
        <v>20</v>
      </c>
      <c r="J706">
        <v>47</v>
      </c>
      <c r="K706" t="s">
        <v>24</v>
      </c>
      <c r="L706">
        <v>4</v>
      </c>
      <c r="M706">
        <v>25</v>
      </c>
      <c r="N706" s="1">
        <f t="shared" si="33"/>
        <v>100</v>
      </c>
    </row>
    <row r="707" spans="5:14" x14ac:dyDescent="0.25">
      <c r="E707">
        <v>1220</v>
      </c>
      <c r="F707" s="7">
        <v>45324</v>
      </c>
      <c r="G707">
        <f t="shared" si="31"/>
        <v>2024</v>
      </c>
      <c r="H707" s="7" t="str">
        <f t="shared" si="32"/>
        <v>Февраль</v>
      </c>
      <c r="I707" t="s">
        <v>22</v>
      </c>
      <c r="J707">
        <v>31</v>
      </c>
      <c r="K707" t="s">
        <v>23</v>
      </c>
      <c r="L707">
        <v>4</v>
      </c>
      <c r="M707">
        <v>281</v>
      </c>
      <c r="N707" s="1">
        <f t="shared" si="33"/>
        <v>1124</v>
      </c>
    </row>
    <row r="708" spans="5:14" x14ac:dyDescent="0.25">
      <c r="E708">
        <v>1579</v>
      </c>
      <c r="F708" s="7">
        <v>45610</v>
      </c>
      <c r="G708">
        <f t="shared" si="31"/>
        <v>2024</v>
      </c>
      <c r="H708" s="7" t="str">
        <f t="shared" si="32"/>
        <v>Ноябрь</v>
      </c>
      <c r="I708" t="s">
        <v>20</v>
      </c>
      <c r="J708">
        <v>41</v>
      </c>
      <c r="K708" t="s">
        <v>23</v>
      </c>
      <c r="L708">
        <v>4</v>
      </c>
      <c r="M708">
        <v>248</v>
      </c>
      <c r="N708" s="1">
        <f t="shared" si="33"/>
        <v>992</v>
      </c>
    </row>
    <row r="709" spans="5:14" x14ac:dyDescent="0.25">
      <c r="E709">
        <v>1993</v>
      </c>
      <c r="F709" s="7">
        <v>45613</v>
      </c>
      <c r="G709">
        <f t="shared" si="31"/>
        <v>2024</v>
      </c>
      <c r="H709" s="7" t="str">
        <f t="shared" si="32"/>
        <v>Ноябрь</v>
      </c>
      <c r="I709" t="s">
        <v>20</v>
      </c>
      <c r="J709">
        <v>56</v>
      </c>
      <c r="K709" t="s">
        <v>21</v>
      </c>
      <c r="L709">
        <v>3</v>
      </c>
      <c r="M709">
        <v>417</v>
      </c>
      <c r="N709" s="1">
        <f t="shared" si="33"/>
        <v>1251</v>
      </c>
    </row>
    <row r="710" spans="5:14" x14ac:dyDescent="0.25">
      <c r="E710">
        <v>687</v>
      </c>
      <c r="F710" s="7">
        <v>45206</v>
      </c>
      <c r="G710">
        <f t="shared" si="31"/>
        <v>2023</v>
      </c>
      <c r="H710" s="7" t="str">
        <f t="shared" si="32"/>
        <v>Октябрь</v>
      </c>
      <c r="I710" t="s">
        <v>20</v>
      </c>
      <c r="J710">
        <v>57</v>
      </c>
      <c r="K710" t="s">
        <v>24</v>
      </c>
      <c r="L710">
        <v>2</v>
      </c>
      <c r="M710">
        <v>50</v>
      </c>
      <c r="N710" s="1">
        <f t="shared" si="33"/>
        <v>100</v>
      </c>
    </row>
    <row r="711" spans="5:14" x14ac:dyDescent="0.25">
      <c r="E711">
        <v>396</v>
      </c>
      <c r="F711" s="7">
        <v>44995</v>
      </c>
      <c r="G711">
        <f t="shared" si="31"/>
        <v>2023</v>
      </c>
      <c r="H711" s="7" t="str">
        <f t="shared" si="32"/>
        <v>Март</v>
      </c>
      <c r="I711" t="s">
        <v>22</v>
      </c>
      <c r="J711">
        <v>30</v>
      </c>
      <c r="K711" t="s">
        <v>21</v>
      </c>
      <c r="L711">
        <v>1</v>
      </c>
      <c r="M711">
        <v>25</v>
      </c>
      <c r="N711" s="1">
        <f t="shared" si="33"/>
        <v>25</v>
      </c>
    </row>
    <row r="712" spans="5:14" x14ac:dyDescent="0.25">
      <c r="E712">
        <v>911</v>
      </c>
      <c r="F712" s="7">
        <v>44954</v>
      </c>
      <c r="G712">
        <f t="shared" si="31"/>
        <v>2023</v>
      </c>
      <c r="H712" s="7" t="str">
        <f t="shared" si="32"/>
        <v>Январь</v>
      </c>
      <c r="I712" t="s">
        <v>20</v>
      </c>
      <c r="J712">
        <v>29</v>
      </c>
      <c r="K712" t="s">
        <v>24</v>
      </c>
      <c r="L712">
        <v>3</v>
      </c>
      <c r="M712">
        <v>30</v>
      </c>
      <c r="N712" s="1">
        <f t="shared" si="33"/>
        <v>90</v>
      </c>
    </row>
    <row r="713" spans="5:14" x14ac:dyDescent="0.25">
      <c r="E713">
        <v>461</v>
      </c>
      <c r="F713" s="7">
        <v>45017</v>
      </c>
      <c r="G713">
        <f t="shared" si="31"/>
        <v>2023</v>
      </c>
      <c r="H713" s="7" t="str">
        <f t="shared" si="32"/>
        <v>Апрель</v>
      </c>
      <c r="I713" t="s">
        <v>20</v>
      </c>
      <c r="J713">
        <v>63</v>
      </c>
      <c r="K713" t="s">
        <v>24</v>
      </c>
      <c r="L713">
        <v>4</v>
      </c>
      <c r="M713">
        <v>300</v>
      </c>
      <c r="N713" s="1">
        <f t="shared" si="33"/>
        <v>1200</v>
      </c>
    </row>
    <row r="714" spans="5:14" x14ac:dyDescent="0.25">
      <c r="E714">
        <v>155</v>
      </c>
      <c r="F714" s="7">
        <v>45063</v>
      </c>
      <c r="G714">
        <f t="shared" ref="G714:G777" si="34">YEAR(F714)</f>
        <v>2023</v>
      </c>
      <c r="H714" s="7" t="str">
        <f t="shared" ref="H714:H777" si="35">TEXT(F714,"ММММ")</f>
        <v>Май</v>
      </c>
      <c r="I714" t="s">
        <v>20</v>
      </c>
      <c r="J714">
        <v>31</v>
      </c>
      <c r="K714" t="s">
        <v>24</v>
      </c>
      <c r="L714">
        <v>4</v>
      </c>
      <c r="M714">
        <v>500</v>
      </c>
      <c r="N714" s="1">
        <f t="shared" ref="N714:N777" si="36">L714*M714</f>
        <v>2000</v>
      </c>
    </row>
    <row r="715" spans="5:14" x14ac:dyDescent="0.25">
      <c r="E715">
        <v>693</v>
      </c>
      <c r="F715" s="7">
        <v>45150</v>
      </c>
      <c r="G715">
        <f t="shared" si="34"/>
        <v>2023</v>
      </c>
      <c r="H715" s="7" t="str">
        <f t="shared" si="35"/>
        <v>Август</v>
      </c>
      <c r="I715" t="s">
        <v>22</v>
      </c>
      <c r="J715">
        <v>22</v>
      </c>
      <c r="K715" t="s">
        <v>24</v>
      </c>
      <c r="L715">
        <v>3</v>
      </c>
      <c r="M715">
        <v>50</v>
      </c>
      <c r="N715" s="1">
        <f t="shared" si="36"/>
        <v>150</v>
      </c>
    </row>
    <row r="716" spans="5:14" x14ac:dyDescent="0.25">
      <c r="E716">
        <v>1744</v>
      </c>
      <c r="F716" s="7">
        <v>45371</v>
      </c>
      <c r="G716">
        <f t="shared" si="34"/>
        <v>2024</v>
      </c>
      <c r="H716" s="7" t="str">
        <f t="shared" si="35"/>
        <v>Март</v>
      </c>
      <c r="I716" t="s">
        <v>20</v>
      </c>
      <c r="J716">
        <v>52</v>
      </c>
      <c r="K716" t="s">
        <v>23</v>
      </c>
      <c r="L716">
        <v>4</v>
      </c>
      <c r="M716">
        <v>96</v>
      </c>
      <c r="N716" s="1">
        <f t="shared" si="36"/>
        <v>384</v>
      </c>
    </row>
    <row r="717" spans="5:14" x14ac:dyDescent="0.25">
      <c r="E717">
        <v>307</v>
      </c>
      <c r="F717" s="7">
        <v>45143</v>
      </c>
      <c r="G717">
        <f t="shared" si="34"/>
        <v>2023</v>
      </c>
      <c r="H717" s="7" t="str">
        <f t="shared" si="35"/>
        <v>Август</v>
      </c>
      <c r="I717" t="s">
        <v>22</v>
      </c>
      <c r="J717">
        <v>34</v>
      </c>
      <c r="K717" t="s">
        <v>21</v>
      </c>
      <c r="L717">
        <v>4</v>
      </c>
      <c r="M717">
        <v>300</v>
      </c>
      <c r="N717" s="1">
        <f t="shared" si="36"/>
        <v>1200</v>
      </c>
    </row>
    <row r="718" spans="5:14" x14ac:dyDescent="0.25">
      <c r="E718">
        <v>813</v>
      </c>
      <c r="F718" s="7">
        <v>45165</v>
      </c>
      <c r="G718">
        <f t="shared" si="34"/>
        <v>2023</v>
      </c>
      <c r="H718" s="7" t="str">
        <f t="shared" si="35"/>
        <v>Август</v>
      </c>
      <c r="I718" t="s">
        <v>22</v>
      </c>
      <c r="J718">
        <v>51</v>
      </c>
      <c r="K718" t="s">
        <v>23</v>
      </c>
      <c r="L718">
        <v>3</v>
      </c>
      <c r="M718">
        <v>25</v>
      </c>
      <c r="N718" s="1">
        <f t="shared" si="36"/>
        <v>75</v>
      </c>
    </row>
    <row r="719" spans="5:14" x14ac:dyDescent="0.25">
      <c r="E719">
        <v>1036</v>
      </c>
      <c r="F719" s="7">
        <v>45372</v>
      </c>
      <c r="G719">
        <f t="shared" si="34"/>
        <v>2024</v>
      </c>
      <c r="H719" s="7" t="str">
        <f t="shared" si="35"/>
        <v>Март</v>
      </c>
      <c r="I719" t="s">
        <v>20</v>
      </c>
      <c r="J719">
        <v>46</v>
      </c>
      <c r="K719" t="s">
        <v>21</v>
      </c>
      <c r="L719">
        <v>7</v>
      </c>
      <c r="M719">
        <v>419</v>
      </c>
      <c r="N719" s="1">
        <f t="shared" si="36"/>
        <v>2933</v>
      </c>
    </row>
    <row r="720" spans="5:14" x14ac:dyDescent="0.25">
      <c r="E720">
        <v>1942</v>
      </c>
      <c r="F720" s="7">
        <v>45420</v>
      </c>
      <c r="G720">
        <f t="shared" si="34"/>
        <v>2024</v>
      </c>
      <c r="H720" s="7" t="str">
        <f t="shared" si="35"/>
        <v>Май</v>
      </c>
      <c r="I720" t="s">
        <v>20</v>
      </c>
      <c r="J720">
        <v>48</v>
      </c>
      <c r="K720" t="s">
        <v>24</v>
      </c>
      <c r="L720">
        <v>5</v>
      </c>
      <c r="M720">
        <v>374</v>
      </c>
      <c r="N720" s="1">
        <f t="shared" si="36"/>
        <v>1870</v>
      </c>
    </row>
    <row r="721" spans="5:14" x14ac:dyDescent="0.25">
      <c r="E721">
        <v>777</v>
      </c>
      <c r="F721" s="7">
        <v>45051</v>
      </c>
      <c r="G721">
        <f t="shared" si="34"/>
        <v>2023</v>
      </c>
      <c r="H721" s="7" t="str">
        <f t="shared" si="35"/>
        <v>Май</v>
      </c>
      <c r="I721" t="s">
        <v>22</v>
      </c>
      <c r="J721">
        <v>56</v>
      </c>
      <c r="K721" t="s">
        <v>24</v>
      </c>
      <c r="L721">
        <v>2</v>
      </c>
      <c r="M721">
        <v>500</v>
      </c>
      <c r="N721" s="1">
        <f t="shared" si="36"/>
        <v>1000</v>
      </c>
    </row>
    <row r="722" spans="5:14" x14ac:dyDescent="0.25">
      <c r="E722">
        <v>639</v>
      </c>
      <c r="F722" s="7">
        <v>45053</v>
      </c>
      <c r="G722">
        <f t="shared" si="34"/>
        <v>2023</v>
      </c>
      <c r="H722" s="7" t="str">
        <f t="shared" si="35"/>
        <v>Май</v>
      </c>
      <c r="I722" t="s">
        <v>22</v>
      </c>
      <c r="J722">
        <v>51</v>
      </c>
      <c r="K722" t="s">
        <v>24</v>
      </c>
      <c r="L722">
        <v>4</v>
      </c>
      <c r="M722">
        <v>30</v>
      </c>
      <c r="N722" s="1">
        <f t="shared" si="36"/>
        <v>120</v>
      </c>
    </row>
    <row r="723" spans="5:14" x14ac:dyDescent="0.25">
      <c r="E723">
        <v>704</v>
      </c>
      <c r="F723" s="7">
        <v>45245</v>
      </c>
      <c r="G723">
        <f t="shared" si="34"/>
        <v>2023</v>
      </c>
      <c r="H723" s="7" t="str">
        <f t="shared" si="35"/>
        <v>Ноябрь</v>
      </c>
      <c r="I723" t="s">
        <v>20</v>
      </c>
      <c r="J723">
        <v>51</v>
      </c>
      <c r="K723" t="s">
        <v>24</v>
      </c>
      <c r="L723">
        <v>4</v>
      </c>
      <c r="M723">
        <v>25</v>
      </c>
      <c r="N723" s="1">
        <f t="shared" si="36"/>
        <v>100</v>
      </c>
    </row>
    <row r="724" spans="5:14" x14ac:dyDescent="0.25">
      <c r="E724">
        <v>1355</v>
      </c>
      <c r="F724" s="7">
        <v>45428</v>
      </c>
      <c r="G724">
        <f t="shared" si="34"/>
        <v>2024</v>
      </c>
      <c r="H724" s="7" t="str">
        <f t="shared" si="35"/>
        <v>Май</v>
      </c>
      <c r="I724" t="s">
        <v>22</v>
      </c>
      <c r="J724">
        <v>60</v>
      </c>
      <c r="K724" t="s">
        <v>21</v>
      </c>
      <c r="L724">
        <v>4</v>
      </c>
      <c r="M724">
        <v>322</v>
      </c>
      <c r="N724" s="1">
        <f t="shared" si="36"/>
        <v>1288</v>
      </c>
    </row>
    <row r="725" spans="5:14" x14ac:dyDescent="0.25">
      <c r="E725">
        <v>1611</v>
      </c>
      <c r="F725" s="7">
        <v>45383</v>
      </c>
      <c r="G725">
        <f t="shared" si="34"/>
        <v>2024</v>
      </c>
      <c r="H725" s="7" t="str">
        <f t="shared" si="35"/>
        <v>Апрель</v>
      </c>
      <c r="I725" t="s">
        <v>22</v>
      </c>
      <c r="J725">
        <v>20</v>
      </c>
      <c r="K725" t="s">
        <v>21</v>
      </c>
      <c r="L725">
        <v>3</v>
      </c>
      <c r="M725">
        <v>426</v>
      </c>
      <c r="N725" s="1">
        <f t="shared" si="36"/>
        <v>1278</v>
      </c>
    </row>
    <row r="726" spans="5:14" x14ac:dyDescent="0.25">
      <c r="E726">
        <v>1316</v>
      </c>
      <c r="F726" s="7">
        <v>45570</v>
      </c>
      <c r="G726">
        <f t="shared" si="34"/>
        <v>2024</v>
      </c>
      <c r="H726" s="7" t="str">
        <f t="shared" si="35"/>
        <v>Октябрь</v>
      </c>
      <c r="I726" t="s">
        <v>20</v>
      </c>
      <c r="J726">
        <v>44</v>
      </c>
      <c r="K726" t="s">
        <v>23</v>
      </c>
      <c r="L726">
        <v>7</v>
      </c>
      <c r="M726">
        <v>380</v>
      </c>
      <c r="N726" s="1">
        <f t="shared" si="36"/>
        <v>2660</v>
      </c>
    </row>
    <row r="727" spans="5:14" x14ac:dyDescent="0.25">
      <c r="E727">
        <v>1437</v>
      </c>
      <c r="F727" s="7">
        <v>45591</v>
      </c>
      <c r="G727">
        <f t="shared" si="34"/>
        <v>2024</v>
      </c>
      <c r="H727" s="7" t="str">
        <f t="shared" si="35"/>
        <v>Октябрь</v>
      </c>
      <c r="I727" t="s">
        <v>20</v>
      </c>
      <c r="J727">
        <v>43</v>
      </c>
      <c r="K727" t="s">
        <v>23</v>
      </c>
      <c r="L727">
        <v>7</v>
      </c>
      <c r="M727">
        <v>13</v>
      </c>
      <c r="N727" s="1">
        <f t="shared" si="36"/>
        <v>91</v>
      </c>
    </row>
    <row r="728" spans="5:14" x14ac:dyDescent="0.25">
      <c r="E728">
        <v>902</v>
      </c>
      <c r="F728" s="7">
        <v>45111</v>
      </c>
      <c r="G728">
        <f t="shared" si="34"/>
        <v>2023</v>
      </c>
      <c r="H728" s="7" t="str">
        <f t="shared" si="35"/>
        <v>Июль</v>
      </c>
      <c r="I728" t="s">
        <v>20</v>
      </c>
      <c r="J728">
        <v>28</v>
      </c>
      <c r="K728" t="s">
        <v>23</v>
      </c>
      <c r="L728">
        <v>1</v>
      </c>
      <c r="M728">
        <v>500</v>
      </c>
      <c r="N728" s="1">
        <f t="shared" si="36"/>
        <v>500</v>
      </c>
    </row>
    <row r="729" spans="5:14" x14ac:dyDescent="0.25">
      <c r="E729">
        <v>929</v>
      </c>
      <c r="F729" s="7">
        <v>45171</v>
      </c>
      <c r="G729">
        <f t="shared" si="34"/>
        <v>2023</v>
      </c>
      <c r="H729" s="7" t="str">
        <f t="shared" si="35"/>
        <v>Сентябрь</v>
      </c>
      <c r="I729" t="s">
        <v>20</v>
      </c>
      <c r="J729">
        <v>30</v>
      </c>
      <c r="K729" t="s">
        <v>21</v>
      </c>
      <c r="L729">
        <v>4</v>
      </c>
      <c r="M729">
        <v>30</v>
      </c>
      <c r="N729" s="1">
        <f t="shared" si="36"/>
        <v>120</v>
      </c>
    </row>
    <row r="730" spans="5:14" x14ac:dyDescent="0.25">
      <c r="E730">
        <v>1857</v>
      </c>
      <c r="F730" s="7">
        <v>45339</v>
      </c>
      <c r="G730">
        <f t="shared" si="34"/>
        <v>2024</v>
      </c>
      <c r="H730" s="7" t="str">
        <f t="shared" si="35"/>
        <v>Февраль</v>
      </c>
      <c r="I730" t="s">
        <v>22</v>
      </c>
      <c r="J730">
        <v>54</v>
      </c>
      <c r="K730" t="s">
        <v>23</v>
      </c>
      <c r="L730">
        <v>1</v>
      </c>
      <c r="M730">
        <v>453</v>
      </c>
      <c r="N730" s="1">
        <f t="shared" si="36"/>
        <v>453</v>
      </c>
    </row>
    <row r="731" spans="5:14" x14ac:dyDescent="0.25">
      <c r="E731">
        <v>61</v>
      </c>
      <c r="F731" s="7">
        <v>45025</v>
      </c>
      <c r="G731">
        <f t="shared" si="34"/>
        <v>2023</v>
      </c>
      <c r="H731" s="7" t="str">
        <f t="shared" si="35"/>
        <v>Апрель</v>
      </c>
      <c r="I731" t="s">
        <v>20</v>
      </c>
      <c r="J731">
        <v>21</v>
      </c>
      <c r="K731" t="s">
        <v>21</v>
      </c>
      <c r="L731">
        <v>4</v>
      </c>
      <c r="M731">
        <v>50</v>
      </c>
      <c r="N731" s="1">
        <f t="shared" si="36"/>
        <v>200</v>
      </c>
    </row>
    <row r="732" spans="5:14" x14ac:dyDescent="0.25">
      <c r="E732">
        <v>1584</v>
      </c>
      <c r="F732" s="7">
        <v>45451</v>
      </c>
      <c r="G732">
        <f t="shared" si="34"/>
        <v>2024</v>
      </c>
      <c r="H732" s="7" t="str">
        <f t="shared" si="35"/>
        <v>Июнь</v>
      </c>
      <c r="I732" t="s">
        <v>22</v>
      </c>
      <c r="J732">
        <v>27</v>
      </c>
      <c r="K732" t="s">
        <v>21</v>
      </c>
      <c r="L732">
        <v>4</v>
      </c>
      <c r="M732">
        <v>101</v>
      </c>
      <c r="N732" s="1">
        <f t="shared" si="36"/>
        <v>404</v>
      </c>
    </row>
    <row r="733" spans="5:14" x14ac:dyDescent="0.25">
      <c r="E733">
        <v>830</v>
      </c>
      <c r="F733" s="7">
        <v>45180</v>
      </c>
      <c r="G733">
        <f t="shared" si="34"/>
        <v>2023</v>
      </c>
      <c r="H733" s="7" t="str">
        <f t="shared" si="35"/>
        <v>Сентябрь</v>
      </c>
      <c r="I733" t="s">
        <v>20</v>
      </c>
      <c r="J733">
        <v>47</v>
      </c>
      <c r="K733" t="s">
        <v>21</v>
      </c>
      <c r="L733">
        <v>4</v>
      </c>
      <c r="M733">
        <v>500</v>
      </c>
      <c r="N733" s="1">
        <f t="shared" si="36"/>
        <v>2000</v>
      </c>
    </row>
    <row r="734" spans="5:14" x14ac:dyDescent="0.25">
      <c r="E734">
        <v>1448</v>
      </c>
      <c r="F734" s="7">
        <v>45642</v>
      </c>
      <c r="G734">
        <f t="shared" si="34"/>
        <v>2024</v>
      </c>
      <c r="H734" s="7" t="str">
        <f t="shared" si="35"/>
        <v>Декабрь</v>
      </c>
      <c r="I734" t="s">
        <v>22</v>
      </c>
      <c r="J734">
        <v>38</v>
      </c>
      <c r="K734" t="s">
        <v>24</v>
      </c>
      <c r="L734">
        <v>2</v>
      </c>
      <c r="M734">
        <v>29</v>
      </c>
      <c r="N734" s="1">
        <f t="shared" si="36"/>
        <v>58</v>
      </c>
    </row>
    <row r="735" spans="5:14" x14ac:dyDescent="0.25">
      <c r="E735">
        <v>1244</v>
      </c>
      <c r="F735" s="7">
        <v>45569</v>
      </c>
      <c r="G735">
        <f t="shared" si="34"/>
        <v>2024</v>
      </c>
      <c r="H735" s="7" t="str">
        <f t="shared" si="35"/>
        <v>Октябрь</v>
      </c>
      <c r="I735" t="s">
        <v>20</v>
      </c>
      <c r="J735">
        <v>24</v>
      </c>
      <c r="K735" t="s">
        <v>24</v>
      </c>
      <c r="L735">
        <v>3</v>
      </c>
      <c r="M735">
        <v>284</v>
      </c>
      <c r="N735" s="1">
        <f t="shared" si="36"/>
        <v>852</v>
      </c>
    </row>
    <row r="736" spans="5:14" x14ac:dyDescent="0.25">
      <c r="E736">
        <v>1009</v>
      </c>
      <c r="F736" s="7">
        <v>45336</v>
      </c>
      <c r="G736">
        <f t="shared" si="34"/>
        <v>2024</v>
      </c>
      <c r="H736" s="7" t="str">
        <f t="shared" si="35"/>
        <v>Февраль</v>
      </c>
      <c r="I736" t="s">
        <v>20</v>
      </c>
      <c r="J736">
        <v>52</v>
      </c>
      <c r="K736" t="s">
        <v>23</v>
      </c>
      <c r="L736">
        <v>4</v>
      </c>
      <c r="M736">
        <v>321</v>
      </c>
      <c r="N736" s="1">
        <f t="shared" si="36"/>
        <v>1284</v>
      </c>
    </row>
    <row r="737" spans="5:14" x14ac:dyDescent="0.25">
      <c r="E737">
        <v>918</v>
      </c>
      <c r="F737" s="7">
        <v>44979</v>
      </c>
      <c r="G737">
        <f t="shared" si="34"/>
        <v>2023</v>
      </c>
      <c r="H737" s="7" t="str">
        <f t="shared" si="35"/>
        <v>Февраль</v>
      </c>
      <c r="I737" t="s">
        <v>22</v>
      </c>
      <c r="J737">
        <v>28</v>
      </c>
      <c r="K737" t="s">
        <v>21</v>
      </c>
      <c r="L737">
        <v>3</v>
      </c>
      <c r="M737">
        <v>25</v>
      </c>
      <c r="N737" s="1">
        <f t="shared" si="36"/>
        <v>75</v>
      </c>
    </row>
    <row r="738" spans="5:14" x14ac:dyDescent="0.25">
      <c r="E738">
        <v>1896</v>
      </c>
      <c r="F738" s="7">
        <v>45343</v>
      </c>
      <c r="G738">
        <f t="shared" si="34"/>
        <v>2024</v>
      </c>
      <c r="H738" s="7" t="str">
        <f t="shared" si="35"/>
        <v>Февраль</v>
      </c>
      <c r="I738" t="s">
        <v>20</v>
      </c>
      <c r="J738">
        <v>35</v>
      </c>
      <c r="K738" t="s">
        <v>23</v>
      </c>
      <c r="L738">
        <v>1</v>
      </c>
      <c r="M738">
        <v>333</v>
      </c>
      <c r="N738" s="1">
        <f t="shared" si="36"/>
        <v>333</v>
      </c>
    </row>
    <row r="739" spans="5:14" x14ac:dyDescent="0.25">
      <c r="E739">
        <v>1529</v>
      </c>
      <c r="F739" s="7">
        <v>45462</v>
      </c>
      <c r="G739">
        <f t="shared" si="34"/>
        <v>2024</v>
      </c>
      <c r="H739" s="7" t="str">
        <f t="shared" si="35"/>
        <v>Июнь</v>
      </c>
      <c r="I739" t="s">
        <v>22</v>
      </c>
      <c r="J739">
        <v>46</v>
      </c>
      <c r="K739" t="s">
        <v>23</v>
      </c>
      <c r="L739">
        <v>5</v>
      </c>
      <c r="M739">
        <v>429</v>
      </c>
      <c r="N739" s="1">
        <f t="shared" si="36"/>
        <v>2145</v>
      </c>
    </row>
    <row r="740" spans="5:14" x14ac:dyDescent="0.25">
      <c r="E740">
        <v>1753</v>
      </c>
      <c r="F740" s="7">
        <v>45651</v>
      </c>
      <c r="G740">
        <f t="shared" si="34"/>
        <v>2024</v>
      </c>
      <c r="H740" s="7" t="str">
        <f t="shared" si="35"/>
        <v>Декабрь</v>
      </c>
      <c r="I740" t="s">
        <v>22</v>
      </c>
      <c r="J740">
        <v>64</v>
      </c>
      <c r="K740" t="s">
        <v>24</v>
      </c>
      <c r="L740">
        <v>1</v>
      </c>
      <c r="M740">
        <v>377</v>
      </c>
      <c r="N740" s="1">
        <f t="shared" si="36"/>
        <v>377</v>
      </c>
    </row>
    <row r="741" spans="5:14" x14ac:dyDescent="0.25">
      <c r="E741">
        <v>1040</v>
      </c>
      <c r="F741" s="7">
        <v>45339</v>
      </c>
      <c r="G741">
        <f t="shared" si="34"/>
        <v>2024</v>
      </c>
      <c r="H741" s="7" t="str">
        <f t="shared" si="35"/>
        <v>Февраль</v>
      </c>
      <c r="I741" t="s">
        <v>20</v>
      </c>
      <c r="J741">
        <v>49</v>
      </c>
      <c r="K741" t="s">
        <v>23</v>
      </c>
      <c r="L741">
        <v>1</v>
      </c>
      <c r="M741">
        <v>496</v>
      </c>
      <c r="N741" s="1">
        <f t="shared" si="36"/>
        <v>496</v>
      </c>
    </row>
    <row r="742" spans="5:14" x14ac:dyDescent="0.25">
      <c r="E742">
        <v>890</v>
      </c>
      <c r="F742" s="7">
        <v>45025</v>
      </c>
      <c r="G742">
        <f t="shared" si="34"/>
        <v>2023</v>
      </c>
      <c r="H742" s="7" t="str">
        <f t="shared" si="35"/>
        <v>Апрель</v>
      </c>
      <c r="I742" t="s">
        <v>20</v>
      </c>
      <c r="J742">
        <v>20</v>
      </c>
      <c r="K742" t="s">
        <v>24</v>
      </c>
      <c r="L742">
        <v>1</v>
      </c>
      <c r="M742">
        <v>50</v>
      </c>
      <c r="N742" s="1">
        <f t="shared" si="36"/>
        <v>50</v>
      </c>
    </row>
    <row r="743" spans="5:14" x14ac:dyDescent="0.25">
      <c r="E743">
        <v>435</v>
      </c>
      <c r="F743" s="7">
        <v>45003</v>
      </c>
      <c r="G743">
        <f t="shared" si="34"/>
        <v>2023</v>
      </c>
      <c r="H743" s="7" t="str">
        <f t="shared" si="35"/>
        <v>Март</v>
      </c>
      <c r="I743" t="s">
        <v>22</v>
      </c>
      <c r="J743">
        <v>57</v>
      </c>
      <c r="K743" t="s">
        <v>23</v>
      </c>
      <c r="L743">
        <v>4</v>
      </c>
      <c r="M743">
        <v>30</v>
      </c>
      <c r="N743" s="1">
        <f t="shared" si="36"/>
        <v>120</v>
      </c>
    </row>
    <row r="744" spans="5:14" x14ac:dyDescent="0.25">
      <c r="E744">
        <v>1181</v>
      </c>
      <c r="F744" s="7">
        <v>45543</v>
      </c>
      <c r="G744">
        <f t="shared" si="34"/>
        <v>2024</v>
      </c>
      <c r="H744" s="7" t="str">
        <f t="shared" si="35"/>
        <v>Сентябрь</v>
      </c>
      <c r="I744" t="s">
        <v>22</v>
      </c>
      <c r="J744">
        <v>21</v>
      </c>
      <c r="K744" t="s">
        <v>21</v>
      </c>
      <c r="L744">
        <v>4</v>
      </c>
      <c r="M744">
        <v>188</v>
      </c>
      <c r="N744" s="1">
        <f t="shared" si="36"/>
        <v>752</v>
      </c>
    </row>
    <row r="745" spans="5:14" x14ac:dyDescent="0.25">
      <c r="E745">
        <v>1921</v>
      </c>
      <c r="F745" s="7">
        <v>45538</v>
      </c>
      <c r="G745">
        <f t="shared" si="34"/>
        <v>2024</v>
      </c>
      <c r="H745" s="7" t="str">
        <f t="shared" si="35"/>
        <v>Сентябрь</v>
      </c>
      <c r="I745" t="s">
        <v>20</v>
      </c>
      <c r="J745">
        <v>20</v>
      </c>
      <c r="K745" t="s">
        <v>24</v>
      </c>
      <c r="L745">
        <v>7</v>
      </c>
      <c r="M745">
        <v>249</v>
      </c>
      <c r="N745" s="1">
        <f t="shared" si="36"/>
        <v>1743</v>
      </c>
    </row>
    <row r="746" spans="5:14" x14ac:dyDescent="0.25">
      <c r="E746">
        <v>1094</v>
      </c>
      <c r="F746" s="7">
        <v>45645</v>
      </c>
      <c r="G746">
        <f t="shared" si="34"/>
        <v>2024</v>
      </c>
      <c r="H746" s="7" t="str">
        <f t="shared" si="35"/>
        <v>Декабрь</v>
      </c>
      <c r="I746" t="s">
        <v>22</v>
      </c>
      <c r="J746">
        <v>40</v>
      </c>
      <c r="K746" t="s">
        <v>23</v>
      </c>
      <c r="L746">
        <v>2</v>
      </c>
      <c r="M746">
        <v>243</v>
      </c>
      <c r="N746" s="1">
        <f t="shared" si="36"/>
        <v>486</v>
      </c>
    </row>
    <row r="747" spans="5:14" x14ac:dyDescent="0.25">
      <c r="E747">
        <v>1053</v>
      </c>
      <c r="F747" s="7">
        <v>45575</v>
      </c>
      <c r="G747">
        <f t="shared" si="34"/>
        <v>2024</v>
      </c>
      <c r="H747" s="7" t="str">
        <f t="shared" si="35"/>
        <v>Октябрь</v>
      </c>
      <c r="I747" t="s">
        <v>20</v>
      </c>
      <c r="J747">
        <v>43</v>
      </c>
      <c r="K747" t="s">
        <v>21</v>
      </c>
      <c r="L747">
        <v>6</v>
      </c>
      <c r="M747">
        <v>55</v>
      </c>
      <c r="N747" s="1">
        <f t="shared" si="36"/>
        <v>330</v>
      </c>
    </row>
    <row r="748" spans="5:14" x14ac:dyDescent="0.25">
      <c r="E748">
        <v>1168</v>
      </c>
      <c r="F748" s="7">
        <v>45445</v>
      </c>
      <c r="G748">
        <f t="shared" si="34"/>
        <v>2024</v>
      </c>
      <c r="H748" s="7" t="str">
        <f t="shared" si="35"/>
        <v>Июнь</v>
      </c>
      <c r="I748" t="s">
        <v>22</v>
      </c>
      <c r="J748">
        <v>22</v>
      </c>
      <c r="K748" t="s">
        <v>23</v>
      </c>
      <c r="L748">
        <v>4</v>
      </c>
      <c r="M748">
        <v>206</v>
      </c>
      <c r="N748" s="1">
        <f t="shared" si="36"/>
        <v>824</v>
      </c>
    </row>
    <row r="749" spans="5:14" x14ac:dyDescent="0.25">
      <c r="E749">
        <v>213</v>
      </c>
      <c r="F749" s="7">
        <v>45270</v>
      </c>
      <c r="G749">
        <f t="shared" si="34"/>
        <v>2023</v>
      </c>
      <c r="H749" s="7" t="str">
        <f t="shared" si="35"/>
        <v>Декабрь</v>
      </c>
      <c r="I749" t="s">
        <v>20</v>
      </c>
      <c r="J749">
        <v>20</v>
      </c>
      <c r="K749" t="s">
        <v>21</v>
      </c>
      <c r="L749">
        <v>2</v>
      </c>
      <c r="M749">
        <v>30</v>
      </c>
      <c r="N749" s="1">
        <f t="shared" si="36"/>
        <v>60</v>
      </c>
    </row>
    <row r="750" spans="5:14" x14ac:dyDescent="0.25">
      <c r="E750">
        <v>1447</v>
      </c>
      <c r="F750" s="7">
        <v>45400</v>
      </c>
      <c r="G750">
        <f t="shared" si="34"/>
        <v>2024</v>
      </c>
      <c r="H750" s="7" t="str">
        <f t="shared" si="35"/>
        <v>Апрель</v>
      </c>
      <c r="I750" t="s">
        <v>22</v>
      </c>
      <c r="J750">
        <v>55</v>
      </c>
      <c r="K750" t="s">
        <v>21</v>
      </c>
      <c r="L750">
        <v>2</v>
      </c>
      <c r="M750">
        <v>85</v>
      </c>
      <c r="N750" s="1">
        <f t="shared" si="36"/>
        <v>170</v>
      </c>
    </row>
    <row r="751" spans="5:14" x14ac:dyDescent="0.25">
      <c r="E751">
        <v>1270</v>
      </c>
      <c r="F751" s="7">
        <v>45420</v>
      </c>
      <c r="G751">
        <f t="shared" si="34"/>
        <v>2024</v>
      </c>
      <c r="H751" s="7" t="str">
        <f t="shared" si="35"/>
        <v>Май</v>
      </c>
      <c r="I751" t="s">
        <v>22</v>
      </c>
      <c r="J751">
        <v>44</v>
      </c>
      <c r="K751" t="s">
        <v>21</v>
      </c>
      <c r="L751">
        <v>3</v>
      </c>
      <c r="M751">
        <v>433</v>
      </c>
      <c r="N751" s="1">
        <f t="shared" si="36"/>
        <v>1299</v>
      </c>
    </row>
    <row r="752" spans="5:14" x14ac:dyDescent="0.25">
      <c r="E752">
        <v>1788</v>
      </c>
      <c r="F752" s="7">
        <v>45482</v>
      </c>
      <c r="G752">
        <f t="shared" si="34"/>
        <v>2024</v>
      </c>
      <c r="H752" s="7" t="str">
        <f t="shared" si="35"/>
        <v>Июль</v>
      </c>
      <c r="I752" t="s">
        <v>22</v>
      </c>
      <c r="J752">
        <v>25</v>
      </c>
      <c r="K752" t="s">
        <v>21</v>
      </c>
      <c r="L752">
        <v>1</v>
      </c>
      <c r="M752">
        <v>145</v>
      </c>
      <c r="N752" s="1">
        <f t="shared" si="36"/>
        <v>145</v>
      </c>
    </row>
    <row r="753" spans="5:14" x14ac:dyDescent="0.25">
      <c r="E753">
        <v>1107</v>
      </c>
      <c r="F753" s="7">
        <v>45583</v>
      </c>
      <c r="G753">
        <f t="shared" si="34"/>
        <v>2024</v>
      </c>
      <c r="H753" s="7" t="str">
        <f t="shared" si="35"/>
        <v>Октябрь</v>
      </c>
      <c r="I753" t="s">
        <v>22</v>
      </c>
      <c r="J753">
        <v>39</v>
      </c>
      <c r="K753" t="s">
        <v>24</v>
      </c>
      <c r="L753">
        <v>4</v>
      </c>
      <c r="M753">
        <v>281</v>
      </c>
      <c r="N753" s="1">
        <f t="shared" si="36"/>
        <v>1124</v>
      </c>
    </row>
    <row r="754" spans="5:14" x14ac:dyDescent="0.25">
      <c r="E754">
        <v>1136</v>
      </c>
      <c r="F754" s="7">
        <v>45374</v>
      </c>
      <c r="G754">
        <f t="shared" si="34"/>
        <v>2024</v>
      </c>
      <c r="H754" s="7" t="str">
        <f t="shared" si="35"/>
        <v>Март</v>
      </c>
      <c r="I754" t="s">
        <v>20</v>
      </c>
      <c r="J754">
        <v>20</v>
      </c>
      <c r="K754" t="s">
        <v>23</v>
      </c>
      <c r="L754">
        <v>4</v>
      </c>
      <c r="M754">
        <v>166</v>
      </c>
      <c r="N754" s="1">
        <f t="shared" si="36"/>
        <v>664</v>
      </c>
    </row>
    <row r="755" spans="5:14" x14ac:dyDescent="0.25">
      <c r="E755">
        <v>1476</v>
      </c>
      <c r="F755" s="7">
        <v>45528</v>
      </c>
      <c r="G755">
        <f t="shared" si="34"/>
        <v>2024</v>
      </c>
      <c r="H755" s="7" t="str">
        <f t="shared" si="35"/>
        <v>Август</v>
      </c>
      <c r="I755" t="s">
        <v>20</v>
      </c>
      <c r="J755">
        <v>26</v>
      </c>
      <c r="K755" t="s">
        <v>24</v>
      </c>
      <c r="L755">
        <v>1</v>
      </c>
      <c r="M755">
        <v>23</v>
      </c>
      <c r="N755" s="1">
        <f t="shared" si="36"/>
        <v>23</v>
      </c>
    </row>
    <row r="756" spans="5:14" x14ac:dyDescent="0.25">
      <c r="E756">
        <v>391</v>
      </c>
      <c r="F756" s="7">
        <v>45268</v>
      </c>
      <c r="G756">
        <f t="shared" si="34"/>
        <v>2023</v>
      </c>
      <c r="H756" s="7" t="str">
        <f t="shared" si="35"/>
        <v>Декабрь</v>
      </c>
      <c r="I756" t="s">
        <v>20</v>
      </c>
      <c r="J756">
        <v>27</v>
      </c>
      <c r="K756" t="s">
        <v>23</v>
      </c>
      <c r="L756">
        <v>2</v>
      </c>
      <c r="M756">
        <v>300</v>
      </c>
      <c r="N756" s="1">
        <f t="shared" si="36"/>
        <v>600</v>
      </c>
    </row>
    <row r="757" spans="5:14" x14ac:dyDescent="0.25">
      <c r="E757">
        <v>164</v>
      </c>
      <c r="F757" s="7">
        <v>45061</v>
      </c>
      <c r="G757">
        <f t="shared" si="34"/>
        <v>2023</v>
      </c>
      <c r="H757" s="7" t="str">
        <f t="shared" si="35"/>
        <v>Май</v>
      </c>
      <c r="I757" t="s">
        <v>22</v>
      </c>
      <c r="J757">
        <v>47</v>
      </c>
      <c r="K757" t="s">
        <v>21</v>
      </c>
      <c r="L757">
        <v>3</v>
      </c>
      <c r="M757">
        <v>500</v>
      </c>
      <c r="N757" s="1">
        <f t="shared" si="36"/>
        <v>1500</v>
      </c>
    </row>
    <row r="758" spans="5:14" x14ac:dyDescent="0.25">
      <c r="E758">
        <v>1253</v>
      </c>
      <c r="F758" s="7">
        <v>45340</v>
      </c>
      <c r="G758">
        <f t="shared" si="34"/>
        <v>2024</v>
      </c>
      <c r="H758" s="7" t="str">
        <f t="shared" si="35"/>
        <v>Февраль</v>
      </c>
      <c r="I758" t="s">
        <v>20</v>
      </c>
      <c r="J758">
        <v>27</v>
      </c>
      <c r="K758" t="s">
        <v>23</v>
      </c>
      <c r="L758">
        <v>1</v>
      </c>
      <c r="M758">
        <v>153</v>
      </c>
      <c r="N758" s="1">
        <f t="shared" si="36"/>
        <v>153</v>
      </c>
    </row>
    <row r="759" spans="5:14" x14ac:dyDescent="0.25">
      <c r="E759">
        <v>1859</v>
      </c>
      <c r="F759" s="7">
        <v>45406</v>
      </c>
      <c r="G759">
        <f t="shared" si="34"/>
        <v>2024</v>
      </c>
      <c r="H759" s="7" t="str">
        <f t="shared" si="35"/>
        <v>Апрель</v>
      </c>
      <c r="I759" t="s">
        <v>22</v>
      </c>
      <c r="J759">
        <v>45</v>
      </c>
      <c r="K759" t="s">
        <v>24</v>
      </c>
      <c r="L759">
        <v>5</v>
      </c>
      <c r="M759">
        <v>116</v>
      </c>
      <c r="N759" s="1">
        <f t="shared" si="36"/>
        <v>580</v>
      </c>
    </row>
    <row r="760" spans="5:14" x14ac:dyDescent="0.25">
      <c r="E760">
        <v>1785</v>
      </c>
      <c r="F760" s="7">
        <v>45565</v>
      </c>
      <c r="G760">
        <f t="shared" si="34"/>
        <v>2024</v>
      </c>
      <c r="H760" s="7" t="str">
        <f t="shared" si="35"/>
        <v>Сентябрь</v>
      </c>
      <c r="I760" t="s">
        <v>22</v>
      </c>
      <c r="J760">
        <v>32</v>
      </c>
      <c r="K760" t="s">
        <v>23</v>
      </c>
      <c r="L760">
        <v>3</v>
      </c>
      <c r="M760">
        <v>10</v>
      </c>
      <c r="N760" s="1">
        <f t="shared" si="36"/>
        <v>30</v>
      </c>
    </row>
    <row r="761" spans="5:14" x14ac:dyDescent="0.25">
      <c r="E761">
        <v>1325</v>
      </c>
      <c r="F761" s="7">
        <v>45373</v>
      </c>
      <c r="G761">
        <f t="shared" si="34"/>
        <v>2024</v>
      </c>
      <c r="H761" s="7" t="str">
        <f t="shared" si="35"/>
        <v>Март</v>
      </c>
      <c r="I761" t="s">
        <v>20</v>
      </c>
      <c r="J761">
        <v>22</v>
      </c>
      <c r="K761" t="s">
        <v>21</v>
      </c>
      <c r="L761">
        <v>6</v>
      </c>
      <c r="M761">
        <v>26</v>
      </c>
      <c r="N761" s="1">
        <f t="shared" si="36"/>
        <v>156</v>
      </c>
    </row>
    <row r="762" spans="5:14" x14ac:dyDescent="0.25">
      <c r="E762">
        <v>1062</v>
      </c>
      <c r="F762" s="7">
        <v>45315</v>
      </c>
      <c r="G762">
        <f t="shared" si="34"/>
        <v>2024</v>
      </c>
      <c r="H762" s="7" t="str">
        <f t="shared" si="35"/>
        <v>Январь</v>
      </c>
      <c r="I762" t="s">
        <v>20</v>
      </c>
      <c r="J762">
        <v>32</v>
      </c>
      <c r="K762" t="s">
        <v>23</v>
      </c>
      <c r="L762">
        <v>2</v>
      </c>
      <c r="M762">
        <v>209</v>
      </c>
      <c r="N762" s="1">
        <f t="shared" si="36"/>
        <v>418</v>
      </c>
    </row>
    <row r="763" spans="5:14" x14ac:dyDescent="0.25">
      <c r="E763">
        <v>596</v>
      </c>
      <c r="F763" s="7">
        <v>45160</v>
      </c>
      <c r="G763">
        <f t="shared" si="34"/>
        <v>2023</v>
      </c>
      <c r="H763" s="7" t="str">
        <f t="shared" si="35"/>
        <v>Август</v>
      </c>
      <c r="I763" t="s">
        <v>20</v>
      </c>
      <c r="J763">
        <v>22</v>
      </c>
      <c r="K763" t="s">
        <v>21</v>
      </c>
      <c r="L763">
        <v>4</v>
      </c>
      <c r="M763">
        <v>300</v>
      </c>
      <c r="N763" s="1">
        <f t="shared" si="36"/>
        <v>1200</v>
      </c>
    </row>
    <row r="764" spans="5:14" x14ac:dyDescent="0.25">
      <c r="E764">
        <v>1954</v>
      </c>
      <c r="F764" s="7">
        <v>45445</v>
      </c>
      <c r="G764">
        <f t="shared" si="34"/>
        <v>2024</v>
      </c>
      <c r="H764" s="7" t="str">
        <f t="shared" si="35"/>
        <v>Июнь</v>
      </c>
      <c r="I764" t="s">
        <v>20</v>
      </c>
      <c r="J764">
        <v>46</v>
      </c>
      <c r="K764" t="s">
        <v>24</v>
      </c>
      <c r="L764">
        <v>5</v>
      </c>
      <c r="M764">
        <v>261</v>
      </c>
      <c r="N764" s="1">
        <f t="shared" si="36"/>
        <v>1305</v>
      </c>
    </row>
    <row r="765" spans="5:14" x14ac:dyDescent="0.25">
      <c r="E765">
        <v>1945</v>
      </c>
      <c r="F765" s="7">
        <v>45506</v>
      </c>
      <c r="G765">
        <f t="shared" si="34"/>
        <v>2024</v>
      </c>
      <c r="H765" s="7" t="str">
        <f t="shared" si="35"/>
        <v>Август</v>
      </c>
      <c r="I765" t="s">
        <v>22</v>
      </c>
      <c r="J765">
        <v>54</v>
      </c>
      <c r="K765" t="s">
        <v>24</v>
      </c>
      <c r="L765">
        <v>7</v>
      </c>
      <c r="M765">
        <v>397</v>
      </c>
      <c r="N765" s="1">
        <f t="shared" si="36"/>
        <v>2779</v>
      </c>
    </row>
    <row r="766" spans="5:14" x14ac:dyDescent="0.25">
      <c r="E766">
        <v>994</v>
      </c>
      <c r="F766" s="7">
        <v>45062</v>
      </c>
      <c r="G766">
        <f t="shared" si="34"/>
        <v>2023</v>
      </c>
      <c r="H766" s="7" t="str">
        <f t="shared" si="35"/>
        <v>Май</v>
      </c>
      <c r="I766" t="s">
        <v>20</v>
      </c>
      <c r="J766">
        <v>62</v>
      </c>
      <c r="K766" t="s">
        <v>23</v>
      </c>
      <c r="L766">
        <v>1</v>
      </c>
      <c r="M766">
        <v>50</v>
      </c>
      <c r="N766" s="1">
        <f t="shared" si="36"/>
        <v>50</v>
      </c>
    </row>
    <row r="767" spans="5:14" x14ac:dyDescent="0.25">
      <c r="E767">
        <v>1429</v>
      </c>
      <c r="F767" s="7">
        <v>45296</v>
      </c>
      <c r="G767">
        <f t="shared" si="34"/>
        <v>2024</v>
      </c>
      <c r="H767" s="7" t="str">
        <f t="shared" si="35"/>
        <v>Январь</v>
      </c>
      <c r="I767" t="s">
        <v>22</v>
      </c>
      <c r="J767">
        <v>57</v>
      </c>
      <c r="K767" t="s">
        <v>24</v>
      </c>
      <c r="L767">
        <v>4</v>
      </c>
      <c r="M767">
        <v>216</v>
      </c>
      <c r="N767" s="1">
        <f t="shared" si="36"/>
        <v>864</v>
      </c>
    </row>
    <row r="768" spans="5:14" x14ac:dyDescent="0.25">
      <c r="E768">
        <v>350</v>
      </c>
      <c r="F768" s="7">
        <v>45194</v>
      </c>
      <c r="G768">
        <f t="shared" si="34"/>
        <v>2023</v>
      </c>
      <c r="H768" s="7" t="str">
        <f t="shared" si="35"/>
        <v>Сентябрь</v>
      </c>
      <c r="I768" t="s">
        <v>22</v>
      </c>
      <c r="J768">
        <v>56</v>
      </c>
      <c r="K768" t="s">
        <v>23</v>
      </c>
      <c r="L768">
        <v>3</v>
      </c>
      <c r="M768">
        <v>30</v>
      </c>
      <c r="N768" s="1">
        <f t="shared" si="36"/>
        <v>90</v>
      </c>
    </row>
    <row r="769" spans="5:14" x14ac:dyDescent="0.25">
      <c r="E769">
        <v>557</v>
      </c>
      <c r="F769" s="7">
        <v>45207</v>
      </c>
      <c r="G769">
        <f t="shared" si="34"/>
        <v>2023</v>
      </c>
      <c r="H769" s="7" t="str">
        <f t="shared" si="35"/>
        <v>Октябрь</v>
      </c>
      <c r="I769" t="s">
        <v>22</v>
      </c>
      <c r="J769">
        <v>41</v>
      </c>
      <c r="K769" t="s">
        <v>23</v>
      </c>
      <c r="L769">
        <v>1</v>
      </c>
      <c r="M769">
        <v>25</v>
      </c>
      <c r="N769" s="1">
        <f t="shared" si="36"/>
        <v>25</v>
      </c>
    </row>
    <row r="770" spans="5:14" x14ac:dyDescent="0.25">
      <c r="E770">
        <v>131</v>
      </c>
      <c r="F770" s="7">
        <v>45187</v>
      </c>
      <c r="G770">
        <f t="shared" si="34"/>
        <v>2023</v>
      </c>
      <c r="H770" s="7" t="str">
        <f t="shared" si="35"/>
        <v>Сентябрь</v>
      </c>
      <c r="I770" t="s">
        <v>22</v>
      </c>
      <c r="J770">
        <v>21</v>
      </c>
      <c r="K770" t="s">
        <v>21</v>
      </c>
      <c r="L770">
        <v>2</v>
      </c>
      <c r="M770">
        <v>300</v>
      </c>
      <c r="N770" s="1">
        <f t="shared" si="36"/>
        <v>600</v>
      </c>
    </row>
    <row r="771" spans="5:14" x14ac:dyDescent="0.25">
      <c r="E771">
        <v>1834</v>
      </c>
      <c r="F771" s="7">
        <v>45425</v>
      </c>
      <c r="G771">
        <f t="shared" si="34"/>
        <v>2024</v>
      </c>
      <c r="H771" s="7" t="str">
        <f t="shared" si="35"/>
        <v>Май</v>
      </c>
      <c r="I771" t="s">
        <v>20</v>
      </c>
      <c r="J771">
        <v>36</v>
      </c>
      <c r="K771" t="s">
        <v>24</v>
      </c>
      <c r="L771">
        <v>2</v>
      </c>
      <c r="M771">
        <v>268</v>
      </c>
      <c r="N771" s="1">
        <f t="shared" si="36"/>
        <v>536</v>
      </c>
    </row>
    <row r="772" spans="5:14" x14ac:dyDescent="0.25">
      <c r="E772">
        <v>1995</v>
      </c>
      <c r="F772" s="7">
        <v>45631</v>
      </c>
      <c r="G772">
        <f t="shared" si="34"/>
        <v>2024</v>
      </c>
      <c r="H772" s="7" t="str">
        <f t="shared" si="35"/>
        <v>Декабрь</v>
      </c>
      <c r="I772" t="s">
        <v>22</v>
      </c>
      <c r="J772">
        <v>56</v>
      </c>
      <c r="K772" t="s">
        <v>24</v>
      </c>
      <c r="L772">
        <v>7</v>
      </c>
      <c r="M772">
        <v>379</v>
      </c>
      <c r="N772" s="1">
        <f t="shared" si="36"/>
        <v>2653</v>
      </c>
    </row>
    <row r="773" spans="5:14" x14ac:dyDescent="0.25">
      <c r="E773">
        <v>1424</v>
      </c>
      <c r="F773" s="7">
        <v>45519</v>
      </c>
      <c r="G773">
        <f t="shared" si="34"/>
        <v>2024</v>
      </c>
      <c r="H773" s="7" t="str">
        <f t="shared" si="35"/>
        <v>Август</v>
      </c>
      <c r="I773" t="s">
        <v>20</v>
      </c>
      <c r="J773">
        <v>60</v>
      </c>
      <c r="K773" t="s">
        <v>24</v>
      </c>
      <c r="L773">
        <v>1</v>
      </c>
      <c r="M773">
        <v>163</v>
      </c>
      <c r="N773" s="1">
        <f t="shared" si="36"/>
        <v>163</v>
      </c>
    </row>
    <row r="774" spans="5:14" x14ac:dyDescent="0.25">
      <c r="E774">
        <v>1363</v>
      </c>
      <c r="F774" s="7">
        <v>45329</v>
      </c>
      <c r="G774">
        <f t="shared" si="34"/>
        <v>2024</v>
      </c>
      <c r="H774" s="7" t="str">
        <f t="shared" si="35"/>
        <v>Февраль</v>
      </c>
      <c r="I774" t="s">
        <v>20</v>
      </c>
      <c r="J774">
        <v>63</v>
      </c>
      <c r="K774" t="s">
        <v>23</v>
      </c>
      <c r="L774">
        <v>7</v>
      </c>
      <c r="M774">
        <v>335</v>
      </c>
      <c r="N774" s="1">
        <f t="shared" si="36"/>
        <v>2345</v>
      </c>
    </row>
    <row r="775" spans="5:14" x14ac:dyDescent="0.25">
      <c r="E775">
        <v>1041</v>
      </c>
      <c r="F775" s="7">
        <v>45487</v>
      </c>
      <c r="G775">
        <f t="shared" si="34"/>
        <v>2024</v>
      </c>
      <c r="H775" s="7" t="str">
        <f t="shared" si="35"/>
        <v>Июль</v>
      </c>
      <c r="I775" t="s">
        <v>22</v>
      </c>
      <c r="J775">
        <v>54</v>
      </c>
      <c r="K775" t="s">
        <v>23</v>
      </c>
      <c r="L775">
        <v>5</v>
      </c>
      <c r="M775">
        <v>340</v>
      </c>
      <c r="N775" s="1">
        <f t="shared" si="36"/>
        <v>1700</v>
      </c>
    </row>
    <row r="776" spans="5:14" x14ac:dyDescent="0.25">
      <c r="E776">
        <v>1724</v>
      </c>
      <c r="F776" s="7">
        <v>45487</v>
      </c>
      <c r="G776">
        <f t="shared" si="34"/>
        <v>2024</v>
      </c>
      <c r="H776" s="7" t="str">
        <f t="shared" si="35"/>
        <v>Июль</v>
      </c>
      <c r="I776" t="s">
        <v>20</v>
      </c>
      <c r="J776">
        <v>41</v>
      </c>
      <c r="K776" t="s">
        <v>24</v>
      </c>
      <c r="L776">
        <v>6</v>
      </c>
      <c r="M776">
        <v>184</v>
      </c>
      <c r="N776" s="1">
        <f t="shared" si="36"/>
        <v>1104</v>
      </c>
    </row>
    <row r="777" spans="5:14" x14ac:dyDescent="0.25">
      <c r="E777">
        <v>125</v>
      </c>
      <c r="F777" s="7">
        <v>45146</v>
      </c>
      <c r="G777">
        <f t="shared" si="34"/>
        <v>2023</v>
      </c>
      <c r="H777" s="7" t="str">
        <f t="shared" si="35"/>
        <v>Август</v>
      </c>
      <c r="I777" t="s">
        <v>20</v>
      </c>
      <c r="J777">
        <v>48</v>
      </c>
      <c r="K777" t="s">
        <v>23</v>
      </c>
      <c r="L777">
        <v>2</v>
      </c>
      <c r="M777">
        <v>50</v>
      </c>
      <c r="N777" s="1">
        <f t="shared" si="36"/>
        <v>100</v>
      </c>
    </row>
    <row r="778" spans="5:14" x14ac:dyDescent="0.25">
      <c r="E778">
        <v>672</v>
      </c>
      <c r="F778" s="7">
        <v>45032</v>
      </c>
      <c r="G778">
        <f t="shared" ref="G778:G841" si="37">YEAR(F778)</f>
        <v>2023</v>
      </c>
      <c r="H778" s="7" t="str">
        <f t="shared" ref="H778:H841" si="38">TEXT(F778,"ММММ")</f>
        <v>Апрель</v>
      </c>
      <c r="I778" t="s">
        <v>22</v>
      </c>
      <c r="J778">
        <v>38</v>
      </c>
      <c r="K778" t="s">
        <v>23</v>
      </c>
      <c r="L778">
        <v>1</v>
      </c>
      <c r="M778">
        <v>300</v>
      </c>
      <c r="N778" s="1">
        <f t="shared" ref="N778:N841" si="39">L778*M778</f>
        <v>300</v>
      </c>
    </row>
    <row r="779" spans="5:14" x14ac:dyDescent="0.25">
      <c r="E779">
        <v>390</v>
      </c>
      <c r="F779" s="7">
        <v>44931</v>
      </c>
      <c r="G779">
        <f t="shared" si="37"/>
        <v>2023</v>
      </c>
      <c r="H779" s="7" t="str">
        <f t="shared" si="38"/>
        <v>Январь</v>
      </c>
      <c r="I779" t="s">
        <v>20</v>
      </c>
      <c r="J779">
        <v>19</v>
      </c>
      <c r="K779" t="s">
        <v>21</v>
      </c>
      <c r="L779">
        <v>2</v>
      </c>
      <c r="M779">
        <v>25</v>
      </c>
      <c r="N779" s="1">
        <f t="shared" si="39"/>
        <v>50</v>
      </c>
    </row>
    <row r="780" spans="5:14" x14ac:dyDescent="0.25">
      <c r="E780">
        <v>1420</v>
      </c>
      <c r="F780" s="7">
        <v>45359</v>
      </c>
      <c r="G780">
        <f t="shared" si="37"/>
        <v>2024</v>
      </c>
      <c r="H780" s="7" t="str">
        <f t="shared" si="38"/>
        <v>Март</v>
      </c>
      <c r="I780" t="s">
        <v>22</v>
      </c>
      <c r="J780">
        <v>23</v>
      </c>
      <c r="K780" t="s">
        <v>23</v>
      </c>
      <c r="L780">
        <v>7</v>
      </c>
      <c r="M780">
        <v>127</v>
      </c>
      <c r="N780" s="1">
        <f t="shared" si="39"/>
        <v>889</v>
      </c>
    </row>
    <row r="781" spans="5:14" x14ac:dyDescent="0.25">
      <c r="E781">
        <v>1255</v>
      </c>
      <c r="F781" s="7">
        <v>45630</v>
      </c>
      <c r="G781">
        <f t="shared" si="37"/>
        <v>2024</v>
      </c>
      <c r="H781" s="7" t="str">
        <f t="shared" si="38"/>
        <v>Декабрь</v>
      </c>
      <c r="I781" t="s">
        <v>22</v>
      </c>
      <c r="J781">
        <v>48</v>
      </c>
      <c r="K781" t="s">
        <v>23</v>
      </c>
      <c r="L781">
        <v>1</v>
      </c>
      <c r="M781">
        <v>29</v>
      </c>
      <c r="N781" s="1">
        <f t="shared" si="39"/>
        <v>29</v>
      </c>
    </row>
    <row r="782" spans="5:14" x14ac:dyDescent="0.25">
      <c r="E782">
        <v>848</v>
      </c>
      <c r="F782" s="7">
        <v>45135</v>
      </c>
      <c r="G782">
        <f t="shared" si="37"/>
        <v>2023</v>
      </c>
      <c r="H782" s="7" t="str">
        <f t="shared" si="38"/>
        <v>Июль</v>
      </c>
      <c r="I782" t="s">
        <v>22</v>
      </c>
      <c r="J782">
        <v>26</v>
      </c>
      <c r="K782" t="s">
        <v>21</v>
      </c>
      <c r="L782">
        <v>2</v>
      </c>
      <c r="M782">
        <v>500</v>
      </c>
      <c r="N782" s="1">
        <f t="shared" si="39"/>
        <v>1000</v>
      </c>
    </row>
    <row r="783" spans="5:14" x14ac:dyDescent="0.25">
      <c r="E783">
        <v>1193</v>
      </c>
      <c r="F783" s="7">
        <v>45327</v>
      </c>
      <c r="G783">
        <f t="shared" si="37"/>
        <v>2024</v>
      </c>
      <c r="H783" s="7" t="str">
        <f t="shared" si="38"/>
        <v>Февраль</v>
      </c>
      <c r="I783" t="s">
        <v>20</v>
      </c>
      <c r="J783">
        <v>57</v>
      </c>
      <c r="K783" t="s">
        <v>23</v>
      </c>
      <c r="L783">
        <v>1</v>
      </c>
      <c r="M783">
        <v>259</v>
      </c>
      <c r="N783" s="1">
        <f t="shared" si="39"/>
        <v>259</v>
      </c>
    </row>
    <row r="784" spans="5:14" x14ac:dyDescent="0.25">
      <c r="E784">
        <v>633</v>
      </c>
      <c r="F784" s="7">
        <v>45207</v>
      </c>
      <c r="G784">
        <f t="shared" si="37"/>
        <v>2023</v>
      </c>
      <c r="H784" s="7" t="str">
        <f t="shared" si="38"/>
        <v>Октябрь</v>
      </c>
      <c r="I784" t="s">
        <v>20</v>
      </c>
      <c r="J784">
        <v>60</v>
      </c>
      <c r="K784" t="s">
        <v>24</v>
      </c>
      <c r="L784">
        <v>4</v>
      </c>
      <c r="M784">
        <v>500</v>
      </c>
      <c r="N784" s="1">
        <f t="shared" si="39"/>
        <v>2000</v>
      </c>
    </row>
    <row r="785" spans="5:14" x14ac:dyDescent="0.25">
      <c r="E785">
        <v>511</v>
      </c>
      <c r="F785" s="7">
        <v>45237</v>
      </c>
      <c r="G785">
        <f t="shared" si="37"/>
        <v>2023</v>
      </c>
      <c r="H785" s="7" t="str">
        <f t="shared" si="38"/>
        <v>Ноябрь</v>
      </c>
      <c r="I785" t="s">
        <v>22</v>
      </c>
      <c r="J785">
        <v>57</v>
      </c>
      <c r="K785" t="s">
        <v>21</v>
      </c>
      <c r="L785">
        <v>1</v>
      </c>
      <c r="M785">
        <v>25</v>
      </c>
      <c r="N785" s="1">
        <f t="shared" si="39"/>
        <v>25</v>
      </c>
    </row>
    <row r="786" spans="5:14" x14ac:dyDescent="0.25">
      <c r="E786">
        <v>839</v>
      </c>
      <c r="F786" s="7">
        <v>45232</v>
      </c>
      <c r="G786">
        <f t="shared" si="37"/>
        <v>2023</v>
      </c>
      <c r="H786" s="7" t="str">
        <f t="shared" si="38"/>
        <v>Ноябрь</v>
      </c>
      <c r="I786" t="s">
        <v>20</v>
      </c>
      <c r="J786">
        <v>31</v>
      </c>
      <c r="K786" t="s">
        <v>24</v>
      </c>
      <c r="L786">
        <v>4</v>
      </c>
      <c r="M786">
        <v>25</v>
      </c>
      <c r="N786" s="1">
        <f t="shared" si="39"/>
        <v>100</v>
      </c>
    </row>
    <row r="787" spans="5:14" x14ac:dyDescent="0.25">
      <c r="E787">
        <v>1674</v>
      </c>
      <c r="F787" s="7">
        <v>45649</v>
      </c>
      <c r="G787">
        <f t="shared" si="37"/>
        <v>2024</v>
      </c>
      <c r="H787" s="7" t="str">
        <f t="shared" si="38"/>
        <v>Декабрь</v>
      </c>
      <c r="I787" t="s">
        <v>22</v>
      </c>
      <c r="J787">
        <v>58</v>
      </c>
      <c r="K787" t="s">
        <v>24</v>
      </c>
      <c r="L787">
        <v>6</v>
      </c>
      <c r="M787">
        <v>83</v>
      </c>
      <c r="N787" s="1">
        <f t="shared" si="39"/>
        <v>498</v>
      </c>
    </row>
    <row r="788" spans="5:14" x14ac:dyDescent="0.25">
      <c r="E788">
        <v>420</v>
      </c>
      <c r="F788" s="7">
        <v>44928</v>
      </c>
      <c r="G788">
        <f t="shared" si="37"/>
        <v>2023</v>
      </c>
      <c r="H788" s="7" t="str">
        <f t="shared" si="38"/>
        <v>Январь</v>
      </c>
      <c r="I788" t="s">
        <v>22</v>
      </c>
      <c r="J788">
        <v>37</v>
      </c>
      <c r="K788" t="s">
        <v>23</v>
      </c>
      <c r="L788">
        <v>3</v>
      </c>
      <c r="M788">
        <v>500</v>
      </c>
      <c r="N788" s="1">
        <f t="shared" si="39"/>
        <v>1500</v>
      </c>
    </row>
    <row r="789" spans="5:14" x14ac:dyDescent="0.25">
      <c r="E789">
        <v>27</v>
      </c>
      <c r="F789" s="7">
        <v>45141</v>
      </c>
      <c r="G789">
        <f t="shared" si="37"/>
        <v>2023</v>
      </c>
      <c r="H789" s="7" t="str">
        <f t="shared" si="38"/>
        <v>Август</v>
      </c>
      <c r="I789" t="s">
        <v>22</v>
      </c>
      <c r="J789">
        <v>38</v>
      </c>
      <c r="K789" t="s">
        <v>21</v>
      </c>
      <c r="L789">
        <v>2</v>
      </c>
      <c r="M789">
        <v>25</v>
      </c>
      <c r="N789" s="1">
        <f t="shared" si="39"/>
        <v>50</v>
      </c>
    </row>
    <row r="790" spans="5:14" x14ac:dyDescent="0.25">
      <c r="E790">
        <v>1567</v>
      </c>
      <c r="F790" s="7">
        <v>45519</v>
      </c>
      <c r="G790">
        <f t="shared" si="37"/>
        <v>2024</v>
      </c>
      <c r="H790" s="7" t="str">
        <f t="shared" si="38"/>
        <v>Август</v>
      </c>
      <c r="I790" t="s">
        <v>20</v>
      </c>
      <c r="J790">
        <v>47</v>
      </c>
      <c r="K790" t="s">
        <v>23</v>
      </c>
      <c r="L790">
        <v>7</v>
      </c>
      <c r="M790">
        <v>373</v>
      </c>
      <c r="N790" s="1">
        <f t="shared" si="39"/>
        <v>2611</v>
      </c>
    </row>
    <row r="791" spans="5:14" x14ac:dyDescent="0.25">
      <c r="E791">
        <v>1466</v>
      </c>
      <c r="F791" s="7">
        <v>45420</v>
      </c>
      <c r="G791">
        <f t="shared" si="37"/>
        <v>2024</v>
      </c>
      <c r="H791" s="7" t="str">
        <f t="shared" si="38"/>
        <v>Май</v>
      </c>
      <c r="I791" t="s">
        <v>20</v>
      </c>
      <c r="J791">
        <v>65</v>
      </c>
      <c r="K791" t="s">
        <v>21</v>
      </c>
      <c r="L791">
        <v>6</v>
      </c>
      <c r="M791">
        <v>19</v>
      </c>
      <c r="N791" s="1">
        <f t="shared" si="39"/>
        <v>114</v>
      </c>
    </row>
    <row r="792" spans="5:14" x14ac:dyDescent="0.25">
      <c r="E792">
        <v>1214</v>
      </c>
      <c r="F792" s="7">
        <v>45517</v>
      </c>
      <c r="G792">
        <f t="shared" si="37"/>
        <v>2024</v>
      </c>
      <c r="H792" s="7" t="str">
        <f t="shared" si="38"/>
        <v>Август</v>
      </c>
      <c r="I792" t="s">
        <v>22</v>
      </c>
      <c r="J792">
        <v>31</v>
      </c>
      <c r="K792" t="s">
        <v>24</v>
      </c>
      <c r="L792">
        <v>1</v>
      </c>
      <c r="M792">
        <v>495</v>
      </c>
      <c r="N792" s="1">
        <f t="shared" si="39"/>
        <v>495</v>
      </c>
    </row>
    <row r="793" spans="5:14" x14ac:dyDescent="0.25">
      <c r="E793">
        <v>1658</v>
      </c>
      <c r="F793" s="7">
        <v>45648</v>
      </c>
      <c r="G793">
        <f t="shared" si="37"/>
        <v>2024</v>
      </c>
      <c r="H793" s="7" t="str">
        <f t="shared" si="38"/>
        <v>Декабрь</v>
      </c>
      <c r="I793" t="s">
        <v>20</v>
      </c>
      <c r="J793">
        <v>36</v>
      </c>
      <c r="K793" t="s">
        <v>21</v>
      </c>
      <c r="L793">
        <v>3</v>
      </c>
      <c r="M793">
        <v>234</v>
      </c>
      <c r="N793" s="1">
        <f t="shared" si="39"/>
        <v>702</v>
      </c>
    </row>
    <row r="794" spans="5:14" x14ac:dyDescent="0.25">
      <c r="E794">
        <v>765</v>
      </c>
      <c r="F794" s="7">
        <v>45223</v>
      </c>
      <c r="G794">
        <f t="shared" si="37"/>
        <v>2023</v>
      </c>
      <c r="H794" s="7" t="str">
        <f t="shared" si="38"/>
        <v>Октябрь</v>
      </c>
      <c r="I794" t="s">
        <v>20</v>
      </c>
      <c r="J794">
        <v>39</v>
      </c>
      <c r="K794" t="s">
        <v>21</v>
      </c>
      <c r="L794">
        <v>3</v>
      </c>
      <c r="M794">
        <v>25</v>
      </c>
      <c r="N794" s="1">
        <f t="shared" si="39"/>
        <v>75</v>
      </c>
    </row>
    <row r="795" spans="5:14" x14ac:dyDescent="0.25">
      <c r="E795">
        <v>1738</v>
      </c>
      <c r="F795" s="7">
        <v>45312</v>
      </c>
      <c r="G795">
        <f t="shared" si="37"/>
        <v>2024</v>
      </c>
      <c r="H795" s="7" t="str">
        <f t="shared" si="38"/>
        <v>Январь</v>
      </c>
      <c r="I795" t="s">
        <v>22</v>
      </c>
      <c r="J795">
        <v>42</v>
      </c>
      <c r="K795" t="s">
        <v>24</v>
      </c>
      <c r="L795">
        <v>5</v>
      </c>
      <c r="M795">
        <v>242</v>
      </c>
      <c r="N795" s="1">
        <f t="shared" si="39"/>
        <v>1210</v>
      </c>
    </row>
    <row r="796" spans="5:14" x14ac:dyDescent="0.25">
      <c r="E796">
        <v>276</v>
      </c>
      <c r="F796" s="7">
        <v>45156</v>
      </c>
      <c r="G796">
        <f t="shared" si="37"/>
        <v>2023</v>
      </c>
      <c r="H796" s="7" t="str">
        <f t="shared" si="38"/>
        <v>Август</v>
      </c>
      <c r="I796" t="s">
        <v>20</v>
      </c>
      <c r="J796">
        <v>36</v>
      </c>
      <c r="K796" t="s">
        <v>23</v>
      </c>
      <c r="L796">
        <v>4</v>
      </c>
      <c r="M796">
        <v>25</v>
      </c>
      <c r="N796" s="1">
        <f t="shared" si="39"/>
        <v>100</v>
      </c>
    </row>
    <row r="797" spans="5:14" x14ac:dyDescent="0.25">
      <c r="E797">
        <v>79</v>
      </c>
      <c r="F797" s="7">
        <v>45034</v>
      </c>
      <c r="G797">
        <f t="shared" si="37"/>
        <v>2023</v>
      </c>
      <c r="H797" s="7" t="str">
        <f t="shared" si="38"/>
        <v>Апрель</v>
      </c>
      <c r="I797" t="s">
        <v>20</v>
      </c>
      <c r="J797">
        <v>34</v>
      </c>
      <c r="K797" t="s">
        <v>21</v>
      </c>
      <c r="L797">
        <v>1</v>
      </c>
      <c r="M797">
        <v>300</v>
      </c>
      <c r="N797" s="1">
        <f t="shared" si="39"/>
        <v>300</v>
      </c>
    </row>
    <row r="798" spans="5:14" x14ac:dyDescent="0.25">
      <c r="E798">
        <v>910</v>
      </c>
      <c r="F798" s="7">
        <v>44950</v>
      </c>
      <c r="G798">
        <f t="shared" si="37"/>
        <v>2023</v>
      </c>
      <c r="H798" s="7" t="str">
        <f t="shared" si="38"/>
        <v>Январь</v>
      </c>
      <c r="I798" t="s">
        <v>20</v>
      </c>
      <c r="J798">
        <v>51</v>
      </c>
      <c r="K798" t="s">
        <v>21</v>
      </c>
      <c r="L798">
        <v>3</v>
      </c>
      <c r="M798">
        <v>50</v>
      </c>
      <c r="N798" s="1">
        <f t="shared" si="39"/>
        <v>150</v>
      </c>
    </row>
    <row r="799" spans="5:14" x14ac:dyDescent="0.25">
      <c r="E799">
        <v>273</v>
      </c>
      <c r="F799" s="7">
        <v>45025</v>
      </c>
      <c r="G799">
        <f t="shared" si="37"/>
        <v>2023</v>
      </c>
      <c r="H799" s="7" t="str">
        <f t="shared" si="38"/>
        <v>Апрель</v>
      </c>
      <c r="I799" t="s">
        <v>22</v>
      </c>
      <c r="J799">
        <v>23</v>
      </c>
      <c r="K799" t="s">
        <v>23</v>
      </c>
      <c r="L799">
        <v>2</v>
      </c>
      <c r="M799">
        <v>500</v>
      </c>
      <c r="N799" s="1">
        <f t="shared" si="39"/>
        <v>1000</v>
      </c>
    </row>
    <row r="800" spans="5:14" x14ac:dyDescent="0.25">
      <c r="E800">
        <v>1923</v>
      </c>
      <c r="F800" s="7">
        <v>45467</v>
      </c>
      <c r="G800">
        <f t="shared" si="37"/>
        <v>2024</v>
      </c>
      <c r="H800" s="7" t="str">
        <f t="shared" si="38"/>
        <v>Июнь</v>
      </c>
      <c r="I800" t="s">
        <v>20</v>
      </c>
      <c r="J800">
        <v>35</v>
      </c>
      <c r="K800" t="s">
        <v>24</v>
      </c>
      <c r="L800">
        <v>7</v>
      </c>
      <c r="M800">
        <v>460</v>
      </c>
      <c r="N800" s="1">
        <f t="shared" si="39"/>
        <v>3220</v>
      </c>
    </row>
    <row r="801" spans="5:14" x14ac:dyDescent="0.25">
      <c r="E801">
        <v>510</v>
      </c>
      <c r="F801" s="7">
        <v>45150</v>
      </c>
      <c r="G801">
        <f t="shared" si="37"/>
        <v>2023</v>
      </c>
      <c r="H801" s="7" t="str">
        <f t="shared" si="38"/>
        <v>Август</v>
      </c>
      <c r="I801" t="s">
        <v>20</v>
      </c>
      <c r="J801">
        <v>45</v>
      </c>
      <c r="K801" t="s">
        <v>21</v>
      </c>
      <c r="L801">
        <v>2</v>
      </c>
      <c r="M801">
        <v>50</v>
      </c>
      <c r="N801" s="1">
        <f t="shared" si="39"/>
        <v>100</v>
      </c>
    </row>
    <row r="802" spans="5:14" x14ac:dyDescent="0.25">
      <c r="E802">
        <v>191</v>
      </c>
      <c r="F802" s="7">
        <v>45217</v>
      </c>
      <c r="G802">
        <f t="shared" si="37"/>
        <v>2023</v>
      </c>
      <c r="H802" s="7" t="str">
        <f t="shared" si="38"/>
        <v>Октябрь</v>
      </c>
      <c r="I802" t="s">
        <v>20</v>
      </c>
      <c r="J802">
        <v>64</v>
      </c>
      <c r="K802" t="s">
        <v>21</v>
      </c>
      <c r="L802">
        <v>1</v>
      </c>
      <c r="M802">
        <v>25</v>
      </c>
      <c r="N802" s="1">
        <f t="shared" si="39"/>
        <v>25</v>
      </c>
    </row>
    <row r="803" spans="5:14" x14ac:dyDescent="0.25">
      <c r="E803">
        <v>1302</v>
      </c>
      <c r="F803" s="7">
        <v>45428</v>
      </c>
      <c r="G803">
        <f t="shared" si="37"/>
        <v>2024</v>
      </c>
      <c r="H803" s="7" t="str">
        <f t="shared" si="38"/>
        <v>Май</v>
      </c>
      <c r="I803" t="s">
        <v>22</v>
      </c>
      <c r="J803">
        <v>19</v>
      </c>
      <c r="K803" t="s">
        <v>21</v>
      </c>
      <c r="L803">
        <v>1</v>
      </c>
      <c r="M803">
        <v>99</v>
      </c>
      <c r="N803" s="1">
        <f t="shared" si="39"/>
        <v>99</v>
      </c>
    </row>
    <row r="804" spans="5:14" x14ac:dyDescent="0.25">
      <c r="E804">
        <v>1908</v>
      </c>
      <c r="F804" s="7">
        <v>45315</v>
      </c>
      <c r="G804">
        <f t="shared" si="37"/>
        <v>2024</v>
      </c>
      <c r="H804" s="7" t="str">
        <f t="shared" si="38"/>
        <v>Январь</v>
      </c>
      <c r="I804" t="s">
        <v>20</v>
      </c>
      <c r="J804">
        <v>58</v>
      </c>
      <c r="K804" t="s">
        <v>21</v>
      </c>
      <c r="L804">
        <v>5</v>
      </c>
      <c r="M804">
        <v>95</v>
      </c>
      <c r="N804" s="1">
        <f t="shared" si="39"/>
        <v>475</v>
      </c>
    </row>
    <row r="805" spans="5:14" x14ac:dyDescent="0.25">
      <c r="E805">
        <v>838</v>
      </c>
      <c r="F805" s="7">
        <v>45070</v>
      </c>
      <c r="G805">
        <f t="shared" si="37"/>
        <v>2023</v>
      </c>
      <c r="H805" s="7" t="str">
        <f t="shared" si="38"/>
        <v>Май</v>
      </c>
      <c r="I805" t="s">
        <v>20</v>
      </c>
      <c r="J805">
        <v>62</v>
      </c>
      <c r="K805" t="s">
        <v>23</v>
      </c>
      <c r="L805">
        <v>2</v>
      </c>
      <c r="M805">
        <v>25</v>
      </c>
      <c r="N805" s="1">
        <f t="shared" si="39"/>
        <v>50</v>
      </c>
    </row>
    <row r="806" spans="5:14" x14ac:dyDescent="0.25">
      <c r="E806">
        <v>1400</v>
      </c>
      <c r="F806" s="7">
        <v>45432</v>
      </c>
      <c r="G806">
        <f t="shared" si="37"/>
        <v>2024</v>
      </c>
      <c r="H806" s="7" t="str">
        <f t="shared" si="38"/>
        <v>Май</v>
      </c>
      <c r="I806" t="s">
        <v>20</v>
      </c>
      <c r="J806">
        <v>52</v>
      </c>
      <c r="K806" t="s">
        <v>23</v>
      </c>
      <c r="L806">
        <v>6</v>
      </c>
      <c r="M806">
        <v>299</v>
      </c>
      <c r="N806" s="1">
        <f t="shared" si="39"/>
        <v>1794</v>
      </c>
    </row>
    <row r="807" spans="5:14" x14ac:dyDescent="0.25">
      <c r="E807">
        <v>1469</v>
      </c>
      <c r="F807" s="7">
        <v>45652</v>
      </c>
      <c r="G807">
        <f t="shared" si="37"/>
        <v>2024</v>
      </c>
      <c r="H807" s="7" t="str">
        <f t="shared" si="38"/>
        <v>Декабрь</v>
      </c>
      <c r="I807" t="s">
        <v>22</v>
      </c>
      <c r="J807">
        <v>36</v>
      </c>
      <c r="K807" t="s">
        <v>21</v>
      </c>
      <c r="L807">
        <v>2</v>
      </c>
      <c r="M807">
        <v>330</v>
      </c>
      <c r="N807" s="1">
        <f t="shared" si="39"/>
        <v>660</v>
      </c>
    </row>
    <row r="808" spans="5:14" x14ac:dyDescent="0.25">
      <c r="E808">
        <v>1662</v>
      </c>
      <c r="F808" s="7">
        <v>45324</v>
      </c>
      <c r="G808">
        <f t="shared" si="37"/>
        <v>2024</v>
      </c>
      <c r="H808" s="7" t="str">
        <f t="shared" si="38"/>
        <v>Февраль</v>
      </c>
      <c r="I808" t="s">
        <v>20</v>
      </c>
      <c r="J808">
        <v>61</v>
      </c>
      <c r="K808" t="s">
        <v>24</v>
      </c>
      <c r="L808">
        <v>4</v>
      </c>
      <c r="M808">
        <v>354</v>
      </c>
      <c r="N808" s="1">
        <f t="shared" si="39"/>
        <v>1416</v>
      </c>
    </row>
    <row r="809" spans="5:14" x14ac:dyDescent="0.25">
      <c r="E809">
        <v>759</v>
      </c>
      <c r="F809" s="7">
        <v>45237</v>
      </c>
      <c r="G809">
        <f t="shared" si="37"/>
        <v>2023</v>
      </c>
      <c r="H809" s="7" t="str">
        <f t="shared" si="38"/>
        <v>Ноябрь</v>
      </c>
      <c r="I809" t="s">
        <v>22</v>
      </c>
      <c r="J809">
        <v>33</v>
      </c>
      <c r="K809" t="s">
        <v>23</v>
      </c>
      <c r="L809">
        <v>1</v>
      </c>
      <c r="M809">
        <v>500</v>
      </c>
      <c r="N809" s="1">
        <f t="shared" si="39"/>
        <v>500</v>
      </c>
    </row>
    <row r="810" spans="5:14" x14ac:dyDescent="0.25">
      <c r="E810">
        <v>357</v>
      </c>
      <c r="F810" s="7">
        <v>45062</v>
      </c>
      <c r="G810">
        <f t="shared" si="37"/>
        <v>2023</v>
      </c>
      <c r="H810" s="7" t="str">
        <f t="shared" si="38"/>
        <v>Май</v>
      </c>
      <c r="I810" t="s">
        <v>22</v>
      </c>
      <c r="J810">
        <v>32</v>
      </c>
      <c r="K810" t="s">
        <v>21</v>
      </c>
      <c r="L810">
        <v>1</v>
      </c>
      <c r="M810">
        <v>300</v>
      </c>
      <c r="N810" s="1">
        <f t="shared" si="39"/>
        <v>300</v>
      </c>
    </row>
    <row r="811" spans="5:14" x14ac:dyDescent="0.25">
      <c r="E811">
        <v>1088</v>
      </c>
      <c r="F811" s="7">
        <v>45418</v>
      </c>
      <c r="G811">
        <f t="shared" si="37"/>
        <v>2024</v>
      </c>
      <c r="H811" s="7" t="str">
        <f t="shared" si="38"/>
        <v>Май</v>
      </c>
      <c r="I811" t="s">
        <v>22</v>
      </c>
      <c r="J811">
        <v>22</v>
      </c>
      <c r="K811" t="s">
        <v>24</v>
      </c>
      <c r="L811">
        <v>4</v>
      </c>
      <c r="M811">
        <v>391</v>
      </c>
      <c r="N811" s="1">
        <f t="shared" si="39"/>
        <v>1564</v>
      </c>
    </row>
    <row r="812" spans="5:14" x14ac:dyDescent="0.25">
      <c r="E812">
        <v>178</v>
      </c>
      <c r="F812" s="7">
        <v>45203</v>
      </c>
      <c r="G812">
        <f t="shared" si="37"/>
        <v>2023</v>
      </c>
      <c r="H812" s="7" t="str">
        <f t="shared" si="38"/>
        <v>Октябрь</v>
      </c>
      <c r="I812" t="s">
        <v>20</v>
      </c>
      <c r="J812">
        <v>40</v>
      </c>
      <c r="K812" t="s">
        <v>23</v>
      </c>
      <c r="L812">
        <v>2</v>
      </c>
      <c r="M812">
        <v>30</v>
      </c>
      <c r="N812" s="1">
        <f t="shared" si="39"/>
        <v>60</v>
      </c>
    </row>
    <row r="813" spans="5:14" x14ac:dyDescent="0.25">
      <c r="E813">
        <v>1781</v>
      </c>
      <c r="F813" s="7">
        <v>45354</v>
      </c>
      <c r="G813">
        <f t="shared" si="37"/>
        <v>2024</v>
      </c>
      <c r="H813" s="7" t="str">
        <f t="shared" si="38"/>
        <v>Март</v>
      </c>
      <c r="I813" t="s">
        <v>22</v>
      </c>
      <c r="J813">
        <v>45</v>
      </c>
      <c r="K813" t="s">
        <v>21</v>
      </c>
      <c r="L813">
        <v>6</v>
      </c>
      <c r="M813">
        <v>88</v>
      </c>
      <c r="N813" s="1">
        <f t="shared" si="39"/>
        <v>528</v>
      </c>
    </row>
    <row r="814" spans="5:14" x14ac:dyDescent="0.25">
      <c r="E814">
        <v>1487</v>
      </c>
      <c r="F814" s="7">
        <v>45327</v>
      </c>
      <c r="G814">
        <f t="shared" si="37"/>
        <v>2024</v>
      </c>
      <c r="H814" s="7" t="str">
        <f t="shared" si="38"/>
        <v>Февраль</v>
      </c>
      <c r="I814" t="s">
        <v>20</v>
      </c>
      <c r="J814">
        <v>57</v>
      </c>
      <c r="K814" t="s">
        <v>23</v>
      </c>
      <c r="L814">
        <v>1</v>
      </c>
      <c r="M814">
        <v>175</v>
      </c>
      <c r="N814" s="1">
        <f t="shared" si="39"/>
        <v>175</v>
      </c>
    </row>
    <row r="815" spans="5:14" x14ac:dyDescent="0.25">
      <c r="E815">
        <v>315</v>
      </c>
      <c r="F815" s="7">
        <v>45038</v>
      </c>
      <c r="G815">
        <f t="shared" si="37"/>
        <v>2023</v>
      </c>
      <c r="H815" s="7" t="str">
        <f t="shared" si="38"/>
        <v>Апрель</v>
      </c>
      <c r="I815" t="s">
        <v>22</v>
      </c>
      <c r="J815">
        <v>48</v>
      </c>
      <c r="K815" t="s">
        <v>23</v>
      </c>
      <c r="L815">
        <v>2</v>
      </c>
      <c r="M815">
        <v>25</v>
      </c>
      <c r="N815" s="1">
        <f t="shared" si="39"/>
        <v>50</v>
      </c>
    </row>
    <row r="816" spans="5:14" x14ac:dyDescent="0.25">
      <c r="E816">
        <v>1635</v>
      </c>
      <c r="F816" s="7">
        <v>45523</v>
      </c>
      <c r="G816">
        <f t="shared" si="37"/>
        <v>2024</v>
      </c>
      <c r="H816" s="7" t="str">
        <f t="shared" si="38"/>
        <v>Август</v>
      </c>
      <c r="I816" t="s">
        <v>20</v>
      </c>
      <c r="J816">
        <v>60</v>
      </c>
      <c r="K816" t="s">
        <v>24</v>
      </c>
      <c r="L816">
        <v>2</v>
      </c>
      <c r="M816">
        <v>463</v>
      </c>
      <c r="N816" s="1">
        <f t="shared" si="39"/>
        <v>926</v>
      </c>
    </row>
    <row r="817" spans="5:14" x14ac:dyDescent="0.25">
      <c r="E817">
        <v>1940</v>
      </c>
      <c r="F817" s="7">
        <v>45448</v>
      </c>
      <c r="G817">
        <f t="shared" si="37"/>
        <v>2024</v>
      </c>
      <c r="H817" s="7" t="str">
        <f t="shared" si="38"/>
        <v>Июнь</v>
      </c>
      <c r="I817" t="s">
        <v>20</v>
      </c>
      <c r="J817">
        <v>51</v>
      </c>
      <c r="K817" t="s">
        <v>23</v>
      </c>
      <c r="L817">
        <v>6</v>
      </c>
      <c r="M817">
        <v>84</v>
      </c>
      <c r="N817" s="1">
        <f t="shared" si="39"/>
        <v>504</v>
      </c>
    </row>
    <row r="818" spans="5:14" x14ac:dyDescent="0.25">
      <c r="E818">
        <v>1892</v>
      </c>
      <c r="F818" s="7">
        <v>45594</v>
      </c>
      <c r="G818">
        <f t="shared" si="37"/>
        <v>2024</v>
      </c>
      <c r="H818" s="7" t="str">
        <f t="shared" si="38"/>
        <v>Октябрь</v>
      </c>
      <c r="I818" t="s">
        <v>22</v>
      </c>
      <c r="J818">
        <v>58</v>
      </c>
      <c r="K818" t="s">
        <v>24</v>
      </c>
      <c r="L818">
        <v>2</v>
      </c>
      <c r="M818">
        <v>112</v>
      </c>
      <c r="N818" s="1">
        <f t="shared" si="39"/>
        <v>224</v>
      </c>
    </row>
    <row r="819" spans="5:14" x14ac:dyDescent="0.25">
      <c r="E819">
        <v>1151</v>
      </c>
      <c r="F819" s="7">
        <v>45642</v>
      </c>
      <c r="G819">
        <f t="shared" si="37"/>
        <v>2024</v>
      </c>
      <c r="H819" s="7" t="str">
        <f t="shared" si="38"/>
        <v>Декабрь</v>
      </c>
      <c r="I819" t="s">
        <v>20</v>
      </c>
      <c r="J819">
        <v>56</v>
      </c>
      <c r="K819" t="s">
        <v>24</v>
      </c>
      <c r="L819">
        <v>6</v>
      </c>
      <c r="M819">
        <v>176</v>
      </c>
      <c r="N819" s="1">
        <f t="shared" si="39"/>
        <v>1056</v>
      </c>
    </row>
    <row r="820" spans="5:14" x14ac:dyDescent="0.25">
      <c r="E820">
        <v>1541</v>
      </c>
      <c r="F820" s="7">
        <v>45649</v>
      </c>
      <c r="G820">
        <f t="shared" si="37"/>
        <v>2024</v>
      </c>
      <c r="H820" s="7" t="str">
        <f t="shared" si="38"/>
        <v>Декабрь</v>
      </c>
      <c r="I820" t="s">
        <v>22</v>
      </c>
      <c r="J820">
        <v>52</v>
      </c>
      <c r="K820" t="s">
        <v>24</v>
      </c>
      <c r="L820">
        <v>7</v>
      </c>
      <c r="M820">
        <v>42</v>
      </c>
      <c r="N820" s="1">
        <f t="shared" si="39"/>
        <v>294</v>
      </c>
    </row>
    <row r="821" spans="5:14" x14ac:dyDescent="0.25">
      <c r="E821">
        <v>395</v>
      </c>
      <c r="F821" s="7">
        <v>44980</v>
      </c>
      <c r="G821">
        <f t="shared" si="37"/>
        <v>2023</v>
      </c>
      <c r="H821" s="7" t="str">
        <f t="shared" si="38"/>
        <v>Февраль</v>
      </c>
      <c r="I821" t="s">
        <v>22</v>
      </c>
      <c r="J821">
        <v>55</v>
      </c>
      <c r="K821" t="s">
        <v>21</v>
      </c>
      <c r="L821">
        <v>1</v>
      </c>
      <c r="M821">
        <v>30</v>
      </c>
      <c r="N821" s="1">
        <f t="shared" si="39"/>
        <v>30</v>
      </c>
    </row>
    <row r="822" spans="5:14" x14ac:dyDescent="0.25">
      <c r="E822">
        <v>1095</v>
      </c>
      <c r="F822" s="7">
        <v>45578</v>
      </c>
      <c r="G822">
        <f t="shared" si="37"/>
        <v>2024</v>
      </c>
      <c r="H822" s="7" t="str">
        <f t="shared" si="38"/>
        <v>Октябрь</v>
      </c>
      <c r="I822" t="s">
        <v>22</v>
      </c>
      <c r="J822">
        <v>47</v>
      </c>
      <c r="K822" t="s">
        <v>21</v>
      </c>
      <c r="L822">
        <v>4</v>
      </c>
      <c r="M822">
        <v>404</v>
      </c>
      <c r="N822" s="1">
        <f t="shared" si="39"/>
        <v>1616</v>
      </c>
    </row>
    <row r="823" spans="5:14" x14ac:dyDescent="0.25">
      <c r="E823">
        <v>553</v>
      </c>
      <c r="F823" s="7">
        <v>45242</v>
      </c>
      <c r="G823">
        <f t="shared" si="37"/>
        <v>2023</v>
      </c>
      <c r="H823" s="7" t="str">
        <f t="shared" si="38"/>
        <v>Ноябрь</v>
      </c>
      <c r="I823" t="s">
        <v>22</v>
      </c>
      <c r="J823">
        <v>46</v>
      </c>
      <c r="K823" t="s">
        <v>21</v>
      </c>
      <c r="L823">
        <v>3</v>
      </c>
      <c r="M823">
        <v>50</v>
      </c>
      <c r="N823" s="1">
        <f t="shared" si="39"/>
        <v>150</v>
      </c>
    </row>
    <row r="824" spans="5:14" x14ac:dyDescent="0.25">
      <c r="E824">
        <v>481</v>
      </c>
      <c r="F824" s="7">
        <v>45043</v>
      </c>
      <c r="G824">
        <f t="shared" si="37"/>
        <v>2023</v>
      </c>
      <c r="H824" s="7" t="str">
        <f t="shared" si="38"/>
        <v>Апрель</v>
      </c>
      <c r="I824" t="s">
        <v>22</v>
      </c>
      <c r="J824">
        <v>28</v>
      </c>
      <c r="K824" t="s">
        <v>23</v>
      </c>
      <c r="L824">
        <v>4</v>
      </c>
      <c r="M824">
        <v>300</v>
      </c>
      <c r="N824" s="1">
        <f t="shared" si="39"/>
        <v>1200</v>
      </c>
    </row>
    <row r="825" spans="5:14" x14ac:dyDescent="0.25">
      <c r="E825">
        <v>680</v>
      </c>
      <c r="F825" s="7">
        <v>45171</v>
      </c>
      <c r="G825">
        <f t="shared" si="37"/>
        <v>2023</v>
      </c>
      <c r="H825" s="7" t="str">
        <f t="shared" si="38"/>
        <v>Сентябрь</v>
      </c>
      <c r="I825" t="s">
        <v>20</v>
      </c>
      <c r="J825">
        <v>46</v>
      </c>
      <c r="K825" t="s">
        <v>21</v>
      </c>
      <c r="L825">
        <v>4</v>
      </c>
      <c r="M825">
        <v>300</v>
      </c>
      <c r="N825" s="1">
        <f t="shared" si="39"/>
        <v>1200</v>
      </c>
    </row>
    <row r="826" spans="5:14" x14ac:dyDescent="0.25">
      <c r="E826">
        <v>1423</v>
      </c>
      <c r="F826" s="7">
        <v>45375</v>
      </c>
      <c r="G826">
        <f t="shared" si="37"/>
        <v>2024</v>
      </c>
      <c r="H826" s="7" t="str">
        <f t="shared" si="38"/>
        <v>Март</v>
      </c>
      <c r="I826" t="s">
        <v>20</v>
      </c>
      <c r="J826">
        <v>37</v>
      </c>
      <c r="K826" t="s">
        <v>24</v>
      </c>
      <c r="L826">
        <v>2</v>
      </c>
      <c r="M826">
        <v>476</v>
      </c>
      <c r="N826" s="1">
        <f t="shared" si="39"/>
        <v>952</v>
      </c>
    </row>
    <row r="827" spans="5:14" x14ac:dyDescent="0.25">
      <c r="E827">
        <v>1703</v>
      </c>
      <c r="F827" s="7">
        <v>45566</v>
      </c>
      <c r="G827">
        <f t="shared" si="37"/>
        <v>2024</v>
      </c>
      <c r="H827" s="7" t="str">
        <f t="shared" si="38"/>
        <v>Октябрь</v>
      </c>
      <c r="I827" t="s">
        <v>22</v>
      </c>
      <c r="J827">
        <v>32</v>
      </c>
      <c r="K827" t="s">
        <v>23</v>
      </c>
      <c r="L827">
        <v>6</v>
      </c>
      <c r="M827">
        <v>211</v>
      </c>
      <c r="N827" s="1">
        <f t="shared" si="39"/>
        <v>1266</v>
      </c>
    </row>
    <row r="828" spans="5:14" x14ac:dyDescent="0.25">
      <c r="E828">
        <v>924</v>
      </c>
      <c r="F828" s="7">
        <v>45152</v>
      </c>
      <c r="G828">
        <f t="shared" si="37"/>
        <v>2023</v>
      </c>
      <c r="H828" s="7" t="str">
        <f t="shared" si="38"/>
        <v>Август</v>
      </c>
      <c r="I828" t="s">
        <v>20</v>
      </c>
      <c r="J828">
        <v>22</v>
      </c>
      <c r="K828" t="s">
        <v>24</v>
      </c>
      <c r="L828">
        <v>1</v>
      </c>
      <c r="M828">
        <v>30</v>
      </c>
      <c r="N828" s="1">
        <f t="shared" si="39"/>
        <v>30</v>
      </c>
    </row>
    <row r="829" spans="5:14" x14ac:dyDescent="0.25">
      <c r="E829">
        <v>1653</v>
      </c>
      <c r="F829" s="7">
        <v>45333</v>
      </c>
      <c r="G829">
        <f t="shared" si="37"/>
        <v>2024</v>
      </c>
      <c r="H829" s="7" t="str">
        <f t="shared" si="38"/>
        <v>Февраль</v>
      </c>
      <c r="I829" t="s">
        <v>20</v>
      </c>
      <c r="J829">
        <v>32</v>
      </c>
      <c r="K829" t="s">
        <v>23</v>
      </c>
      <c r="L829">
        <v>6</v>
      </c>
      <c r="M829">
        <v>258</v>
      </c>
      <c r="N829" s="1">
        <f t="shared" si="39"/>
        <v>1548</v>
      </c>
    </row>
    <row r="830" spans="5:14" x14ac:dyDescent="0.25">
      <c r="E830">
        <v>706</v>
      </c>
      <c r="F830" s="7">
        <v>44940</v>
      </c>
      <c r="G830">
        <f t="shared" si="37"/>
        <v>2023</v>
      </c>
      <c r="H830" s="7" t="str">
        <f t="shared" si="38"/>
        <v>Январь</v>
      </c>
      <c r="I830" t="s">
        <v>22</v>
      </c>
      <c r="J830">
        <v>43</v>
      </c>
      <c r="K830" t="s">
        <v>21</v>
      </c>
      <c r="L830">
        <v>3</v>
      </c>
      <c r="M830">
        <v>300</v>
      </c>
      <c r="N830" s="1">
        <f t="shared" si="39"/>
        <v>900</v>
      </c>
    </row>
    <row r="831" spans="5:14" x14ac:dyDescent="0.25">
      <c r="E831">
        <v>504</v>
      </c>
      <c r="F831" s="7">
        <v>44946</v>
      </c>
      <c r="G831">
        <f t="shared" si="37"/>
        <v>2023</v>
      </c>
      <c r="H831" s="7" t="str">
        <f t="shared" si="38"/>
        <v>Январь</v>
      </c>
      <c r="I831" t="s">
        <v>20</v>
      </c>
      <c r="J831">
        <v>24</v>
      </c>
      <c r="K831" t="s">
        <v>21</v>
      </c>
      <c r="L831">
        <v>1</v>
      </c>
      <c r="M831">
        <v>50</v>
      </c>
      <c r="N831" s="1">
        <f t="shared" si="39"/>
        <v>50</v>
      </c>
    </row>
    <row r="832" spans="5:14" x14ac:dyDescent="0.25">
      <c r="E832">
        <v>1707</v>
      </c>
      <c r="F832" s="7">
        <v>45581</v>
      </c>
      <c r="G832">
        <f t="shared" si="37"/>
        <v>2024</v>
      </c>
      <c r="H832" s="7" t="str">
        <f t="shared" si="38"/>
        <v>Октябрь</v>
      </c>
      <c r="I832" t="s">
        <v>20</v>
      </c>
      <c r="J832">
        <v>49</v>
      </c>
      <c r="K832" t="s">
        <v>24</v>
      </c>
      <c r="L832">
        <v>5</v>
      </c>
      <c r="M832">
        <v>193</v>
      </c>
      <c r="N832" s="1">
        <f t="shared" si="39"/>
        <v>965</v>
      </c>
    </row>
    <row r="833" spans="5:14" x14ac:dyDescent="0.25">
      <c r="E833">
        <v>507</v>
      </c>
      <c r="F833" s="7">
        <v>45149</v>
      </c>
      <c r="G833">
        <f t="shared" si="37"/>
        <v>2023</v>
      </c>
      <c r="H833" s="7" t="str">
        <f t="shared" si="38"/>
        <v>Август</v>
      </c>
      <c r="I833" t="s">
        <v>20</v>
      </c>
      <c r="J833">
        <v>58</v>
      </c>
      <c r="K833" t="s">
        <v>21</v>
      </c>
      <c r="L833">
        <v>2</v>
      </c>
      <c r="M833">
        <v>300</v>
      </c>
      <c r="N833" s="1">
        <f t="shared" si="39"/>
        <v>600</v>
      </c>
    </row>
    <row r="834" spans="5:14" x14ac:dyDescent="0.25">
      <c r="E834">
        <v>1311</v>
      </c>
      <c r="F834" s="7">
        <v>45390</v>
      </c>
      <c r="G834">
        <f t="shared" si="37"/>
        <v>2024</v>
      </c>
      <c r="H834" s="7" t="str">
        <f t="shared" si="38"/>
        <v>Апрель</v>
      </c>
      <c r="I834" t="s">
        <v>20</v>
      </c>
      <c r="J834">
        <v>65</v>
      </c>
      <c r="K834" t="s">
        <v>23</v>
      </c>
      <c r="L834">
        <v>6</v>
      </c>
      <c r="M834">
        <v>135</v>
      </c>
      <c r="N834" s="1">
        <f t="shared" si="39"/>
        <v>810</v>
      </c>
    </row>
    <row r="835" spans="5:14" x14ac:dyDescent="0.25">
      <c r="E835">
        <v>1851</v>
      </c>
      <c r="F835" s="7">
        <v>45536</v>
      </c>
      <c r="G835">
        <f t="shared" si="37"/>
        <v>2024</v>
      </c>
      <c r="H835" s="7" t="str">
        <f t="shared" si="38"/>
        <v>Сентябрь</v>
      </c>
      <c r="I835" t="s">
        <v>20</v>
      </c>
      <c r="J835">
        <v>20</v>
      </c>
      <c r="K835" t="s">
        <v>21</v>
      </c>
      <c r="L835">
        <v>3</v>
      </c>
      <c r="M835">
        <v>492</v>
      </c>
      <c r="N835" s="1">
        <f t="shared" si="39"/>
        <v>1476</v>
      </c>
    </row>
    <row r="836" spans="5:14" x14ac:dyDescent="0.25">
      <c r="E836">
        <v>751</v>
      </c>
      <c r="F836" s="7">
        <v>44985</v>
      </c>
      <c r="G836">
        <f t="shared" si="37"/>
        <v>2023</v>
      </c>
      <c r="H836" s="7" t="str">
        <f t="shared" si="38"/>
        <v>Февраль</v>
      </c>
      <c r="I836" t="s">
        <v>22</v>
      </c>
      <c r="J836">
        <v>32</v>
      </c>
      <c r="K836" t="s">
        <v>23</v>
      </c>
      <c r="L836">
        <v>1</v>
      </c>
      <c r="M836">
        <v>30</v>
      </c>
      <c r="N836" s="1">
        <f t="shared" si="39"/>
        <v>30</v>
      </c>
    </row>
    <row r="837" spans="5:14" x14ac:dyDescent="0.25">
      <c r="E837">
        <v>1176</v>
      </c>
      <c r="F837" s="7">
        <v>45569</v>
      </c>
      <c r="G837">
        <f t="shared" si="37"/>
        <v>2024</v>
      </c>
      <c r="H837" s="7" t="str">
        <f t="shared" si="38"/>
        <v>Октябрь</v>
      </c>
      <c r="I837" t="s">
        <v>20</v>
      </c>
      <c r="J837">
        <v>47</v>
      </c>
      <c r="K837" t="s">
        <v>23</v>
      </c>
      <c r="L837">
        <v>2</v>
      </c>
      <c r="M837">
        <v>54</v>
      </c>
      <c r="N837" s="1">
        <f t="shared" si="39"/>
        <v>108</v>
      </c>
    </row>
    <row r="838" spans="5:14" x14ac:dyDescent="0.25">
      <c r="E838">
        <v>1749</v>
      </c>
      <c r="F838" s="7">
        <v>45350</v>
      </c>
      <c r="G838">
        <f t="shared" si="37"/>
        <v>2024</v>
      </c>
      <c r="H838" s="7" t="str">
        <f t="shared" si="38"/>
        <v>Февраль</v>
      </c>
      <c r="I838" t="s">
        <v>22</v>
      </c>
      <c r="J838">
        <v>55</v>
      </c>
      <c r="K838" t="s">
        <v>23</v>
      </c>
      <c r="L838">
        <v>6</v>
      </c>
      <c r="M838">
        <v>158</v>
      </c>
      <c r="N838" s="1">
        <f t="shared" si="39"/>
        <v>948</v>
      </c>
    </row>
    <row r="839" spans="5:14" x14ac:dyDescent="0.25">
      <c r="E839">
        <v>1416</v>
      </c>
      <c r="F839" s="7">
        <v>45434</v>
      </c>
      <c r="G839">
        <f t="shared" si="37"/>
        <v>2024</v>
      </c>
      <c r="H839" s="7" t="str">
        <f t="shared" si="38"/>
        <v>Май</v>
      </c>
      <c r="I839" t="s">
        <v>22</v>
      </c>
      <c r="J839">
        <v>46</v>
      </c>
      <c r="K839" t="s">
        <v>23</v>
      </c>
      <c r="L839">
        <v>7</v>
      </c>
      <c r="M839">
        <v>72</v>
      </c>
      <c r="N839" s="1">
        <f t="shared" si="39"/>
        <v>504</v>
      </c>
    </row>
    <row r="840" spans="5:14" x14ac:dyDescent="0.25">
      <c r="E840">
        <v>146</v>
      </c>
      <c r="F840" s="7">
        <v>45166</v>
      </c>
      <c r="G840">
        <f t="shared" si="37"/>
        <v>2023</v>
      </c>
      <c r="H840" s="7" t="str">
        <f t="shared" si="38"/>
        <v>Август</v>
      </c>
      <c r="I840" t="s">
        <v>20</v>
      </c>
      <c r="J840">
        <v>38</v>
      </c>
      <c r="K840" t="s">
        <v>23</v>
      </c>
      <c r="L840">
        <v>4</v>
      </c>
      <c r="M840">
        <v>50</v>
      </c>
      <c r="N840" s="1">
        <f t="shared" si="39"/>
        <v>200</v>
      </c>
    </row>
    <row r="841" spans="5:14" x14ac:dyDescent="0.25">
      <c r="E841">
        <v>908</v>
      </c>
      <c r="F841" s="7">
        <v>44991</v>
      </c>
      <c r="G841">
        <f t="shared" si="37"/>
        <v>2023</v>
      </c>
      <c r="H841" s="7" t="str">
        <f t="shared" si="38"/>
        <v>Март</v>
      </c>
      <c r="I841" t="s">
        <v>22</v>
      </c>
      <c r="J841">
        <v>20</v>
      </c>
      <c r="K841" t="s">
        <v>21</v>
      </c>
      <c r="L841">
        <v>3</v>
      </c>
      <c r="M841">
        <v>50</v>
      </c>
      <c r="N841" s="1">
        <f t="shared" si="39"/>
        <v>150</v>
      </c>
    </row>
    <row r="842" spans="5:14" x14ac:dyDescent="0.25">
      <c r="E842">
        <v>1719</v>
      </c>
      <c r="F842" s="7">
        <v>45460</v>
      </c>
      <c r="G842">
        <f t="shared" ref="G842:G905" si="40">YEAR(F842)</f>
        <v>2024</v>
      </c>
      <c r="H842" s="7" t="str">
        <f t="shared" ref="H842:H905" si="41">TEXT(F842,"ММММ")</f>
        <v>Июнь</v>
      </c>
      <c r="I842" t="s">
        <v>22</v>
      </c>
      <c r="J842">
        <v>43</v>
      </c>
      <c r="K842" t="s">
        <v>21</v>
      </c>
      <c r="L842">
        <v>5</v>
      </c>
      <c r="M842">
        <v>110</v>
      </c>
      <c r="N842" s="1">
        <f t="shared" ref="N842:N905" si="42">L842*M842</f>
        <v>550</v>
      </c>
    </row>
    <row r="843" spans="5:14" x14ac:dyDescent="0.25">
      <c r="E843">
        <v>1460</v>
      </c>
      <c r="F843" s="7">
        <v>45504</v>
      </c>
      <c r="G843">
        <f t="shared" si="40"/>
        <v>2024</v>
      </c>
      <c r="H843" s="7" t="str">
        <f t="shared" si="41"/>
        <v>Июль</v>
      </c>
      <c r="I843" t="s">
        <v>22</v>
      </c>
      <c r="J843">
        <v>54</v>
      </c>
      <c r="K843" t="s">
        <v>21</v>
      </c>
      <c r="L843">
        <v>4</v>
      </c>
      <c r="M843">
        <v>415</v>
      </c>
      <c r="N843" s="1">
        <f t="shared" si="42"/>
        <v>1660</v>
      </c>
    </row>
    <row r="844" spans="5:14" x14ac:dyDescent="0.25">
      <c r="E844">
        <v>1920</v>
      </c>
      <c r="F844" s="7">
        <v>45533</v>
      </c>
      <c r="G844">
        <f t="shared" si="40"/>
        <v>2024</v>
      </c>
      <c r="H844" s="7" t="str">
        <f t="shared" si="41"/>
        <v>Август</v>
      </c>
      <c r="I844" t="s">
        <v>20</v>
      </c>
      <c r="J844">
        <v>19</v>
      </c>
      <c r="K844" t="s">
        <v>21</v>
      </c>
      <c r="L844">
        <v>4</v>
      </c>
      <c r="M844">
        <v>35</v>
      </c>
      <c r="N844" s="1">
        <f t="shared" si="42"/>
        <v>140</v>
      </c>
    </row>
    <row r="845" spans="5:14" x14ac:dyDescent="0.25">
      <c r="E845">
        <v>1615</v>
      </c>
      <c r="F845" s="7">
        <v>45317</v>
      </c>
      <c r="G845">
        <f t="shared" si="40"/>
        <v>2024</v>
      </c>
      <c r="H845" s="7" t="str">
        <f t="shared" si="41"/>
        <v>Январь</v>
      </c>
      <c r="I845" t="s">
        <v>22</v>
      </c>
      <c r="J845">
        <v>24</v>
      </c>
      <c r="K845" t="s">
        <v>21</v>
      </c>
      <c r="L845">
        <v>6</v>
      </c>
      <c r="M845">
        <v>293</v>
      </c>
      <c r="N845" s="1">
        <f t="shared" si="42"/>
        <v>1758</v>
      </c>
    </row>
    <row r="846" spans="5:14" x14ac:dyDescent="0.25">
      <c r="E846">
        <v>1283</v>
      </c>
      <c r="F846" s="7">
        <v>45574</v>
      </c>
      <c r="G846">
        <f t="shared" si="40"/>
        <v>2024</v>
      </c>
      <c r="H846" s="7" t="str">
        <f t="shared" si="41"/>
        <v>Октябрь</v>
      </c>
      <c r="I846" t="s">
        <v>20</v>
      </c>
      <c r="J846">
        <v>39</v>
      </c>
      <c r="K846" t="s">
        <v>24</v>
      </c>
      <c r="L846">
        <v>2</v>
      </c>
      <c r="M846">
        <v>211</v>
      </c>
      <c r="N846" s="1">
        <f t="shared" si="42"/>
        <v>422</v>
      </c>
    </row>
    <row r="847" spans="5:14" x14ac:dyDescent="0.25">
      <c r="E847">
        <v>1200</v>
      </c>
      <c r="F847" s="7">
        <v>45377</v>
      </c>
      <c r="G847">
        <f t="shared" si="40"/>
        <v>2024</v>
      </c>
      <c r="H847" s="7" t="str">
        <f t="shared" si="41"/>
        <v>Март</v>
      </c>
      <c r="I847" t="s">
        <v>22</v>
      </c>
      <c r="J847">
        <v>49</v>
      </c>
      <c r="K847" t="s">
        <v>23</v>
      </c>
      <c r="L847">
        <v>3</v>
      </c>
      <c r="M847">
        <v>467</v>
      </c>
      <c r="N847" s="1">
        <f t="shared" si="42"/>
        <v>1401</v>
      </c>
    </row>
    <row r="848" spans="5:14" x14ac:dyDescent="0.25">
      <c r="E848">
        <v>1872</v>
      </c>
      <c r="F848" s="7">
        <v>45574</v>
      </c>
      <c r="G848">
        <f t="shared" si="40"/>
        <v>2024</v>
      </c>
      <c r="H848" s="7" t="str">
        <f t="shared" si="41"/>
        <v>Октябрь</v>
      </c>
      <c r="I848" t="s">
        <v>20</v>
      </c>
      <c r="J848">
        <v>38</v>
      </c>
      <c r="K848" t="s">
        <v>23</v>
      </c>
      <c r="L848">
        <v>5</v>
      </c>
      <c r="M848">
        <v>408</v>
      </c>
      <c r="N848" s="1">
        <f t="shared" si="42"/>
        <v>2040</v>
      </c>
    </row>
    <row r="849" spans="5:14" x14ac:dyDescent="0.25">
      <c r="E849">
        <v>1187</v>
      </c>
      <c r="F849" s="7">
        <v>45321</v>
      </c>
      <c r="G849">
        <f t="shared" si="40"/>
        <v>2024</v>
      </c>
      <c r="H849" s="7" t="str">
        <f t="shared" si="41"/>
        <v>Январь</v>
      </c>
      <c r="I849" t="s">
        <v>20</v>
      </c>
      <c r="J849">
        <v>43</v>
      </c>
      <c r="K849" t="s">
        <v>21</v>
      </c>
      <c r="L849">
        <v>5</v>
      </c>
      <c r="M849">
        <v>440</v>
      </c>
      <c r="N849" s="1">
        <f t="shared" si="42"/>
        <v>2200</v>
      </c>
    </row>
    <row r="850" spans="5:14" x14ac:dyDescent="0.25">
      <c r="E850">
        <v>1639</v>
      </c>
      <c r="F850" s="7">
        <v>45434</v>
      </c>
      <c r="G850">
        <f t="shared" si="40"/>
        <v>2024</v>
      </c>
      <c r="H850" s="7" t="str">
        <f t="shared" si="41"/>
        <v>Май</v>
      </c>
      <c r="I850" t="s">
        <v>22</v>
      </c>
      <c r="J850">
        <v>65</v>
      </c>
      <c r="K850" t="s">
        <v>23</v>
      </c>
      <c r="L850">
        <v>7</v>
      </c>
      <c r="M850">
        <v>206</v>
      </c>
      <c r="N850" s="1">
        <f t="shared" si="42"/>
        <v>1442</v>
      </c>
    </row>
    <row r="851" spans="5:14" x14ac:dyDescent="0.25">
      <c r="E851">
        <v>874</v>
      </c>
      <c r="F851" s="7">
        <v>45208</v>
      </c>
      <c r="G851">
        <f t="shared" si="40"/>
        <v>2023</v>
      </c>
      <c r="H851" s="7" t="str">
        <f t="shared" si="41"/>
        <v>Октябрь</v>
      </c>
      <c r="I851" t="s">
        <v>20</v>
      </c>
      <c r="J851">
        <v>43</v>
      </c>
      <c r="K851" t="s">
        <v>23</v>
      </c>
      <c r="L851">
        <v>4</v>
      </c>
      <c r="M851">
        <v>30</v>
      </c>
      <c r="N851" s="1">
        <f t="shared" si="42"/>
        <v>120</v>
      </c>
    </row>
    <row r="852" spans="5:14" x14ac:dyDescent="0.25">
      <c r="E852">
        <v>629</v>
      </c>
      <c r="F852" s="7">
        <v>45153</v>
      </c>
      <c r="G852">
        <f t="shared" si="40"/>
        <v>2023</v>
      </c>
      <c r="H852" s="7" t="str">
        <f t="shared" si="41"/>
        <v>Август</v>
      </c>
      <c r="I852" t="s">
        <v>20</v>
      </c>
      <c r="J852">
        <v>42</v>
      </c>
      <c r="K852" t="s">
        <v>23</v>
      </c>
      <c r="L852">
        <v>2</v>
      </c>
      <c r="M852">
        <v>50</v>
      </c>
      <c r="N852" s="1">
        <f t="shared" si="42"/>
        <v>100</v>
      </c>
    </row>
    <row r="853" spans="5:14" x14ac:dyDescent="0.25">
      <c r="E853">
        <v>1393</v>
      </c>
      <c r="F853" s="7">
        <v>45345</v>
      </c>
      <c r="G853">
        <f t="shared" si="40"/>
        <v>2024</v>
      </c>
      <c r="H853" s="7" t="str">
        <f t="shared" si="41"/>
        <v>Февраль</v>
      </c>
      <c r="I853" t="s">
        <v>22</v>
      </c>
      <c r="J853">
        <v>62</v>
      </c>
      <c r="K853" t="s">
        <v>21</v>
      </c>
      <c r="L853">
        <v>4</v>
      </c>
      <c r="M853">
        <v>13</v>
      </c>
      <c r="N853" s="1">
        <f t="shared" si="42"/>
        <v>52</v>
      </c>
    </row>
    <row r="854" spans="5:14" x14ac:dyDescent="0.25">
      <c r="E854">
        <v>650</v>
      </c>
      <c r="F854" s="7">
        <v>45047</v>
      </c>
      <c r="G854">
        <f t="shared" si="40"/>
        <v>2023</v>
      </c>
      <c r="H854" s="7" t="str">
        <f t="shared" si="41"/>
        <v>Май</v>
      </c>
      <c r="I854" t="s">
        <v>22</v>
      </c>
      <c r="J854">
        <v>34</v>
      </c>
      <c r="K854" t="s">
        <v>21</v>
      </c>
      <c r="L854">
        <v>2</v>
      </c>
      <c r="M854">
        <v>50</v>
      </c>
      <c r="N854" s="1">
        <f t="shared" si="42"/>
        <v>100</v>
      </c>
    </row>
    <row r="855" spans="5:14" x14ac:dyDescent="0.25">
      <c r="E855">
        <v>1841</v>
      </c>
      <c r="F855" s="7">
        <v>45297</v>
      </c>
      <c r="G855">
        <f t="shared" si="40"/>
        <v>2024</v>
      </c>
      <c r="H855" s="7" t="str">
        <f t="shared" si="41"/>
        <v>Январь</v>
      </c>
      <c r="I855" t="s">
        <v>20</v>
      </c>
      <c r="J855">
        <v>54</v>
      </c>
      <c r="K855" t="s">
        <v>23</v>
      </c>
      <c r="L855">
        <v>6</v>
      </c>
      <c r="M855">
        <v>465</v>
      </c>
      <c r="N855" s="1">
        <f t="shared" si="42"/>
        <v>2790</v>
      </c>
    </row>
    <row r="856" spans="5:14" x14ac:dyDescent="0.25">
      <c r="E856">
        <v>265</v>
      </c>
      <c r="F856" s="7">
        <v>45261</v>
      </c>
      <c r="G856">
        <f t="shared" si="40"/>
        <v>2023</v>
      </c>
      <c r="H856" s="7" t="str">
        <f t="shared" si="41"/>
        <v>Декабрь</v>
      </c>
      <c r="I856" t="s">
        <v>22</v>
      </c>
      <c r="J856">
        <v>19</v>
      </c>
      <c r="K856" t="s">
        <v>24</v>
      </c>
      <c r="L856">
        <v>2</v>
      </c>
      <c r="M856">
        <v>30</v>
      </c>
      <c r="N856" s="1">
        <f t="shared" si="42"/>
        <v>60</v>
      </c>
    </row>
    <row r="857" spans="5:14" x14ac:dyDescent="0.25">
      <c r="E857">
        <v>229</v>
      </c>
      <c r="F857" s="7">
        <v>45039</v>
      </c>
      <c r="G857">
        <f t="shared" si="40"/>
        <v>2023</v>
      </c>
      <c r="H857" s="7" t="str">
        <f t="shared" si="41"/>
        <v>Апрель</v>
      </c>
      <c r="I857" t="s">
        <v>20</v>
      </c>
      <c r="J857">
        <v>54</v>
      </c>
      <c r="K857" t="s">
        <v>21</v>
      </c>
      <c r="L857">
        <v>1</v>
      </c>
      <c r="M857">
        <v>25</v>
      </c>
      <c r="N857" s="1">
        <f t="shared" si="42"/>
        <v>25</v>
      </c>
    </row>
    <row r="858" spans="5:14" x14ac:dyDescent="0.25">
      <c r="E858">
        <v>219</v>
      </c>
      <c r="F858" s="7">
        <v>44988</v>
      </c>
      <c r="G858">
        <f t="shared" si="40"/>
        <v>2023</v>
      </c>
      <c r="H858" s="7" t="str">
        <f t="shared" si="41"/>
        <v>Март</v>
      </c>
      <c r="I858" t="s">
        <v>20</v>
      </c>
      <c r="J858">
        <v>64</v>
      </c>
      <c r="K858" t="s">
        <v>21</v>
      </c>
      <c r="L858">
        <v>1</v>
      </c>
      <c r="M858">
        <v>500</v>
      </c>
      <c r="N858" s="1">
        <f t="shared" si="42"/>
        <v>500</v>
      </c>
    </row>
    <row r="859" spans="5:14" x14ac:dyDescent="0.25">
      <c r="E859">
        <v>611</v>
      </c>
      <c r="F859" s="7">
        <v>45144</v>
      </c>
      <c r="G859">
        <f t="shared" si="40"/>
        <v>2023</v>
      </c>
      <c r="H859" s="7" t="str">
        <f t="shared" si="41"/>
        <v>Август</v>
      </c>
      <c r="I859" t="s">
        <v>22</v>
      </c>
      <c r="J859">
        <v>61</v>
      </c>
      <c r="K859" t="s">
        <v>24</v>
      </c>
      <c r="L859">
        <v>1</v>
      </c>
      <c r="M859">
        <v>500</v>
      </c>
      <c r="N859" s="1">
        <f t="shared" si="42"/>
        <v>500</v>
      </c>
    </row>
    <row r="860" spans="5:14" x14ac:dyDescent="0.25">
      <c r="E860">
        <v>778</v>
      </c>
      <c r="F860" s="7">
        <v>44979</v>
      </c>
      <c r="G860">
        <f t="shared" si="40"/>
        <v>2023</v>
      </c>
      <c r="H860" s="7" t="str">
        <f t="shared" si="41"/>
        <v>Февраль</v>
      </c>
      <c r="I860" t="s">
        <v>20</v>
      </c>
      <c r="J860">
        <v>52</v>
      </c>
      <c r="K860" t="s">
        <v>24</v>
      </c>
      <c r="L860">
        <v>2</v>
      </c>
      <c r="M860">
        <v>25</v>
      </c>
      <c r="N860" s="1">
        <f t="shared" si="42"/>
        <v>50</v>
      </c>
    </row>
    <row r="861" spans="5:14" x14ac:dyDescent="0.25">
      <c r="E861">
        <v>16</v>
      </c>
      <c r="F861" s="7">
        <v>44974</v>
      </c>
      <c r="G861">
        <f t="shared" si="40"/>
        <v>2023</v>
      </c>
      <c r="H861" s="7" t="str">
        <f t="shared" si="41"/>
        <v>Февраль</v>
      </c>
      <c r="I861" t="s">
        <v>20</v>
      </c>
      <c r="J861">
        <v>19</v>
      </c>
      <c r="K861" t="s">
        <v>23</v>
      </c>
      <c r="L861">
        <v>3</v>
      </c>
      <c r="M861">
        <v>500</v>
      </c>
      <c r="N861" s="1">
        <f t="shared" si="42"/>
        <v>1500</v>
      </c>
    </row>
    <row r="862" spans="5:14" x14ac:dyDescent="0.25">
      <c r="E862">
        <v>1728</v>
      </c>
      <c r="F862" s="7">
        <v>45333</v>
      </c>
      <c r="G862">
        <f t="shared" si="40"/>
        <v>2024</v>
      </c>
      <c r="H862" s="7" t="str">
        <f t="shared" si="41"/>
        <v>Февраль</v>
      </c>
      <c r="I862" t="s">
        <v>20</v>
      </c>
      <c r="J862">
        <v>49</v>
      </c>
      <c r="K862" t="s">
        <v>24</v>
      </c>
      <c r="L862">
        <v>2</v>
      </c>
      <c r="M862">
        <v>322</v>
      </c>
      <c r="N862" s="1">
        <f t="shared" si="42"/>
        <v>644</v>
      </c>
    </row>
    <row r="863" spans="5:14" x14ac:dyDescent="0.25">
      <c r="E863">
        <v>4</v>
      </c>
      <c r="F863" s="7">
        <v>45067</v>
      </c>
      <c r="G863">
        <f t="shared" si="40"/>
        <v>2023</v>
      </c>
      <c r="H863" s="7" t="str">
        <f t="shared" si="41"/>
        <v>Май</v>
      </c>
      <c r="I863" t="s">
        <v>20</v>
      </c>
      <c r="J863">
        <v>37</v>
      </c>
      <c r="K863" t="s">
        <v>23</v>
      </c>
      <c r="L863">
        <v>1</v>
      </c>
      <c r="M863">
        <v>500</v>
      </c>
      <c r="N863" s="1">
        <f t="shared" si="42"/>
        <v>500</v>
      </c>
    </row>
    <row r="864" spans="5:14" x14ac:dyDescent="0.25">
      <c r="E864">
        <v>559</v>
      </c>
      <c r="F864" s="7">
        <v>45082</v>
      </c>
      <c r="G864">
        <f t="shared" si="40"/>
        <v>2023</v>
      </c>
      <c r="H864" s="7" t="str">
        <f t="shared" si="41"/>
        <v>Июнь</v>
      </c>
      <c r="I864" t="s">
        <v>22</v>
      </c>
      <c r="J864">
        <v>25</v>
      </c>
      <c r="K864" t="s">
        <v>24</v>
      </c>
      <c r="L864">
        <v>1</v>
      </c>
      <c r="M864">
        <v>50</v>
      </c>
      <c r="N864" s="1">
        <f t="shared" si="42"/>
        <v>50</v>
      </c>
    </row>
    <row r="865" spans="5:14" x14ac:dyDescent="0.25">
      <c r="E865">
        <v>1577</v>
      </c>
      <c r="F865" s="7">
        <v>45632</v>
      </c>
      <c r="G865">
        <f t="shared" si="40"/>
        <v>2024</v>
      </c>
      <c r="H865" s="7" t="str">
        <f t="shared" si="41"/>
        <v>Декабрь</v>
      </c>
      <c r="I865" t="s">
        <v>22</v>
      </c>
      <c r="J865">
        <v>53</v>
      </c>
      <c r="K865" t="s">
        <v>23</v>
      </c>
      <c r="L865">
        <v>7</v>
      </c>
      <c r="M865">
        <v>307</v>
      </c>
      <c r="N865" s="1">
        <f t="shared" si="42"/>
        <v>2149</v>
      </c>
    </row>
    <row r="866" spans="5:14" x14ac:dyDescent="0.25">
      <c r="E866">
        <v>1640</v>
      </c>
      <c r="F866" s="7">
        <v>45559</v>
      </c>
      <c r="G866">
        <f t="shared" si="40"/>
        <v>2024</v>
      </c>
      <c r="H866" s="7" t="str">
        <f t="shared" si="41"/>
        <v>Сентябрь</v>
      </c>
      <c r="I866" t="s">
        <v>22</v>
      </c>
      <c r="J866">
        <v>37</v>
      </c>
      <c r="K866" t="s">
        <v>24</v>
      </c>
      <c r="L866">
        <v>7</v>
      </c>
      <c r="M866">
        <v>339</v>
      </c>
      <c r="N866" s="1">
        <f t="shared" si="42"/>
        <v>2373</v>
      </c>
    </row>
    <row r="867" spans="5:14" x14ac:dyDescent="0.25">
      <c r="E867">
        <v>1717</v>
      </c>
      <c r="F867" s="7">
        <v>45426</v>
      </c>
      <c r="G867">
        <f t="shared" si="40"/>
        <v>2024</v>
      </c>
      <c r="H867" s="7" t="str">
        <f t="shared" si="41"/>
        <v>Май</v>
      </c>
      <c r="I867" t="s">
        <v>22</v>
      </c>
      <c r="J867">
        <v>32</v>
      </c>
      <c r="K867" t="s">
        <v>23</v>
      </c>
      <c r="L867">
        <v>1</v>
      </c>
      <c r="M867">
        <v>29</v>
      </c>
      <c r="N867" s="1">
        <f t="shared" si="42"/>
        <v>29</v>
      </c>
    </row>
    <row r="868" spans="5:14" x14ac:dyDescent="0.25">
      <c r="E868">
        <v>1965</v>
      </c>
      <c r="F868" s="7">
        <v>45401</v>
      </c>
      <c r="G868">
        <f t="shared" si="40"/>
        <v>2024</v>
      </c>
      <c r="H868" s="7" t="str">
        <f t="shared" si="41"/>
        <v>Апрель</v>
      </c>
      <c r="I868" t="s">
        <v>22</v>
      </c>
      <c r="J868">
        <v>21</v>
      </c>
      <c r="K868" t="s">
        <v>23</v>
      </c>
      <c r="L868">
        <v>2</v>
      </c>
      <c r="M868">
        <v>333</v>
      </c>
      <c r="N868" s="1">
        <f t="shared" si="42"/>
        <v>666</v>
      </c>
    </row>
    <row r="869" spans="5:14" x14ac:dyDescent="0.25">
      <c r="E869">
        <v>263</v>
      </c>
      <c r="F869" s="7">
        <v>44954</v>
      </c>
      <c r="G869">
        <f t="shared" si="40"/>
        <v>2023</v>
      </c>
      <c r="H869" s="7" t="str">
        <f t="shared" si="41"/>
        <v>Январь</v>
      </c>
      <c r="I869" t="s">
        <v>20</v>
      </c>
      <c r="J869">
        <v>47</v>
      </c>
      <c r="K869" t="s">
        <v>23</v>
      </c>
      <c r="L869">
        <v>3</v>
      </c>
      <c r="M869">
        <v>300</v>
      </c>
      <c r="N869" s="1">
        <f t="shared" si="42"/>
        <v>900</v>
      </c>
    </row>
    <row r="870" spans="5:14" x14ac:dyDescent="0.25">
      <c r="E870">
        <v>1916</v>
      </c>
      <c r="F870" s="7">
        <v>45344</v>
      </c>
      <c r="G870">
        <f t="shared" si="40"/>
        <v>2024</v>
      </c>
      <c r="H870" s="7" t="str">
        <f t="shared" si="41"/>
        <v>Февраль</v>
      </c>
      <c r="I870" t="s">
        <v>22</v>
      </c>
      <c r="J870">
        <v>40</v>
      </c>
      <c r="K870" t="s">
        <v>21</v>
      </c>
      <c r="L870">
        <v>3</v>
      </c>
      <c r="M870">
        <v>228</v>
      </c>
      <c r="N870" s="1">
        <f t="shared" si="42"/>
        <v>684</v>
      </c>
    </row>
    <row r="871" spans="5:14" x14ac:dyDescent="0.25">
      <c r="E871">
        <v>288</v>
      </c>
      <c r="F871" s="7">
        <v>45260</v>
      </c>
      <c r="G871">
        <f t="shared" si="40"/>
        <v>2023</v>
      </c>
      <c r="H871" s="7" t="str">
        <f t="shared" si="41"/>
        <v>Ноябрь</v>
      </c>
      <c r="I871" t="s">
        <v>20</v>
      </c>
      <c r="J871">
        <v>53</v>
      </c>
      <c r="K871" t="s">
        <v>24</v>
      </c>
      <c r="L871">
        <v>2</v>
      </c>
      <c r="M871">
        <v>30</v>
      </c>
      <c r="N871" s="1">
        <f t="shared" si="42"/>
        <v>60</v>
      </c>
    </row>
    <row r="872" spans="5:14" x14ac:dyDescent="0.25">
      <c r="E872">
        <v>311</v>
      </c>
      <c r="F872" s="7">
        <v>45176</v>
      </c>
      <c r="G872">
        <f t="shared" si="40"/>
        <v>2023</v>
      </c>
      <c r="H872" s="7" t="str">
        <f t="shared" si="41"/>
        <v>Сентябрь</v>
      </c>
      <c r="I872" t="s">
        <v>20</v>
      </c>
      <c r="J872">
        <v>41</v>
      </c>
      <c r="K872" t="s">
        <v>23</v>
      </c>
      <c r="L872">
        <v>4</v>
      </c>
      <c r="M872">
        <v>30</v>
      </c>
      <c r="N872" s="1">
        <f t="shared" si="42"/>
        <v>120</v>
      </c>
    </row>
    <row r="873" spans="5:14" x14ac:dyDescent="0.25">
      <c r="E873">
        <v>1756</v>
      </c>
      <c r="F873" s="7">
        <v>45378</v>
      </c>
      <c r="G873">
        <f t="shared" si="40"/>
        <v>2024</v>
      </c>
      <c r="H873" s="7" t="str">
        <f t="shared" si="41"/>
        <v>Март</v>
      </c>
      <c r="I873" t="s">
        <v>20</v>
      </c>
      <c r="J873">
        <v>49</v>
      </c>
      <c r="K873" t="s">
        <v>21</v>
      </c>
      <c r="L873">
        <v>5</v>
      </c>
      <c r="M873">
        <v>107</v>
      </c>
      <c r="N873" s="1">
        <f t="shared" si="42"/>
        <v>535</v>
      </c>
    </row>
    <row r="874" spans="5:14" x14ac:dyDescent="0.25">
      <c r="E874">
        <v>192</v>
      </c>
      <c r="F874" s="7">
        <v>44967</v>
      </c>
      <c r="G874">
        <f t="shared" si="40"/>
        <v>2023</v>
      </c>
      <c r="H874" s="7" t="str">
        <f t="shared" si="41"/>
        <v>Февраль</v>
      </c>
      <c r="I874" t="s">
        <v>20</v>
      </c>
      <c r="J874">
        <v>62</v>
      </c>
      <c r="K874" t="s">
        <v>21</v>
      </c>
      <c r="L874">
        <v>2</v>
      </c>
      <c r="M874">
        <v>50</v>
      </c>
      <c r="N874" s="1">
        <f t="shared" si="42"/>
        <v>100</v>
      </c>
    </row>
    <row r="875" spans="5:14" x14ac:dyDescent="0.25">
      <c r="E875">
        <v>1502</v>
      </c>
      <c r="F875" s="7">
        <v>45311</v>
      </c>
      <c r="G875">
        <f t="shared" si="40"/>
        <v>2024</v>
      </c>
      <c r="H875" s="7" t="str">
        <f t="shared" si="41"/>
        <v>Январь</v>
      </c>
      <c r="I875" t="s">
        <v>20</v>
      </c>
      <c r="J875">
        <v>23</v>
      </c>
      <c r="K875" t="s">
        <v>21</v>
      </c>
      <c r="L875">
        <v>6</v>
      </c>
      <c r="M875">
        <v>367</v>
      </c>
      <c r="N875" s="1">
        <f t="shared" si="42"/>
        <v>2202</v>
      </c>
    </row>
    <row r="876" spans="5:14" x14ac:dyDescent="0.25">
      <c r="E876">
        <v>1039</v>
      </c>
      <c r="F876" s="7">
        <v>45344</v>
      </c>
      <c r="G876">
        <f t="shared" si="40"/>
        <v>2024</v>
      </c>
      <c r="H876" s="7" t="str">
        <f t="shared" si="41"/>
        <v>Февраль</v>
      </c>
      <c r="I876" t="s">
        <v>20</v>
      </c>
      <c r="J876">
        <v>37</v>
      </c>
      <c r="K876" t="s">
        <v>23</v>
      </c>
      <c r="L876">
        <v>6</v>
      </c>
      <c r="M876">
        <v>278</v>
      </c>
      <c r="N876" s="1">
        <f t="shared" si="42"/>
        <v>1668</v>
      </c>
    </row>
    <row r="877" spans="5:14" x14ac:dyDescent="0.25">
      <c r="E877">
        <v>372</v>
      </c>
      <c r="F877" s="7">
        <v>45202</v>
      </c>
      <c r="G877">
        <f t="shared" si="40"/>
        <v>2023</v>
      </c>
      <c r="H877" s="7" t="str">
        <f t="shared" si="41"/>
        <v>Октябрь</v>
      </c>
      <c r="I877" t="s">
        <v>22</v>
      </c>
      <c r="J877">
        <v>25</v>
      </c>
      <c r="K877" t="s">
        <v>21</v>
      </c>
      <c r="L877">
        <v>2</v>
      </c>
      <c r="M877">
        <v>300</v>
      </c>
      <c r="N877" s="1">
        <f t="shared" si="42"/>
        <v>600</v>
      </c>
    </row>
    <row r="878" spans="5:14" x14ac:dyDescent="0.25">
      <c r="E878">
        <v>1007</v>
      </c>
      <c r="F878" s="7">
        <v>45639</v>
      </c>
      <c r="G878">
        <f t="shared" si="40"/>
        <v>2024</v>
      </c>
      <c r="H878" s="7" t="str">
        <f t="shared" si="41"/>
        <v>Декабрь</v>
      </c>
      <c r="I878" t="s">
        <v>20</v>
      </c>
      <c r="J878">
        <v>65</v>
      </c>
      <c r="K878" t="s">
        <v>24</v>
      </c>
      <c r="L878">
        <v>2</v>
      </c>
      <c r="M878">
        <v>444</v>
      </c>
      <c r="N878" s="1">
        <f t="shared" si="42"/>
        <v>888</v>
      </c>
    </row>
    <row r="879" spans="5:14" x14ac:dyDescent="0.25">
      <c r="E879">
        <v>1245</v>
      </c>
      <c r="F879" s="7">
        <v>45360</v>
      </c>
      <c r="G879">
        <f t="shared" si="40"/>
        <v>2024</v>
      </c>
      <c r="H879" s="7" t="str">
        <f t="shared" si="41"/>
        <v>Март</v>
      </c>
      <c r="I879" t="s">
        <v>20</v>
      </c>
      <c r="J879">
        <v>61</v>
      </c>
      <c r="K879" t="s">
        <v>23</v>
      </c>
      <c r="L879">
        <v>4</v>
      </c>
      <c r="M879">
        <v>392</v>
      </c>
      <c r="N879" s="1">
        <f t="shared" si="42"/>
        <v>1568</v>
      </c>
    </row>
    <row r="880" spans="5:14" x14ac:dyDescent="0.25">
      <c r="E880">
        <v>349</v>
      </c>
      <c r="F880" s="7">
        <v>45216</v>
      </c>
      <c r="G880">
        <f t="shared" si="40"/>
        <v>2023</v>
      </c>
      <c r="H880" s="7" t="str">
        <f t="shared" si="41"/>
        <v>Октябрь</v>
      </c>
      <c r="I880" t="s">
        <v>20</v>
      </c>
      <c r="J880">
        <v>25</v>
      </c>
      <c r="K880" t="s">
        <v>21</v>
      </c>
      <c r="L880">
        <v>3</v>
      </c>
      <c r="M880">
        <v>25</v>
      </c>
      <c r="N880" s="1">
        <f t="shared" si="42"/>
        <v>75</v>
      </c>
    </row>
    <row r="881" spans="5:14" x14ac:dyDescent="0.25">
      <c r="E881">
        <v>1641</v>
      </c>
      <c r="F881" s="7">
        <v>45541</v>
      </c>
      <c r="G881">
        <f t="shared" si="40"/>
        <v>2024</v>
      </c>
      <c r="H881" s="7" t="str">
        <f t="shared" si="41"/>
        <v>Сентябрь</v>
      </c>
      <c r="I881" t="s">
        <v>20</v>
      </c>
      <c r="J881">
        <v>39</v>
      </c>
      <c r="K881" t="s">
        <v>21</v>
      </c>
      <c r="L881">
        <v>2</v>
      </c>
      <c r="M881">
        <v>436</v>
      </c>
      <c r="N881" s="1">
        <f t="shared" si="42"/>
        <v>872</v>
      </c>
    </row>
    <row r="882" spans="5:14" x14ac:dyDescent="0.25">
      <c r="E882">
        <v>1686</v>
      </c>
      <c r="F882" s="7">
        <v>45601</v>
      </c>
      <c r="G882">
        <f t="shared" si="40"/>
        <v>2024</v>
      </c>
      <c r="H882" s="7" t="str">
        <f t="shared" si="41"/>
        <v>Ноябрь</v>
      </c>
      <c r="I882" t="s">
        <v>22</v>
      </c>
      <c r="J882">
        <v>43</v>
      </c>
      <c r="K882" t="s">
        <v>23</v>
      </c>
      <c r="L882">
        <v>2</v>
      </c>
      <c r="M882">
        <v>234</v>
      </c>
      <c r="N882" s="1">
        <f t="shared" si="42"/>
        <v>468</v>
      </c>
    </row>
    <row r="883" spans="5:14" x14ac:dyDescent="0.25">
      <c r="E883">
        <v>1449</v>
      </c>
      <c r="F883" s="7">
        <v>45420</v>
      </c>
      <c r="G883">
        <f t="shared" si="40"/>
        <v>2024</v>
      </c>
      <c r="H883" s="7" t="str">
        <f t="shared" si="41"/>
        <v>Май</v>
      </c>
      <c r="I883" t="s">
        <v>22</v>
      </c>
      <c r="J883">
        <v>22</v>
      </c>
      <c r="K883" t="s">
        <v>23</v>
      </c>
      <c r="L883">
        <v>2</v>
      </c>
      <c r="M883">
        <v>182</v>
      </c>
      <c r="N883" s="1">
        <f t="shared" si="42"/>
        <v>364</v>
      </c>
    </row>
    <row r="884" spans="5:14" x14ac:dyDescent="0.25">
      <c r="E884">
        <v>552</v>
      </c>
      <c r="F884" s="7">
        <v>45016</v>
      </c>
      <c r="G884">
        <f t="shared" si="40"/>
        <v>2023</v>
      </c>
      <c r="H884" s="7" t="str">
        <f t="shared" si="41"/>
        <v>Март</v>
      </c>
      <c r="I884" t="s">
        <v>20</v>
      </c>
      <c r="J884">
        <v>24</v>
      </c>
      <c r="K884" t="s">
        <v>23</v>
      </c>
      <c r="L884">
        <v>4</v>
      </c>
      <c r="M884">
        <v>300</v>
      </c>
      <c r="N884" s="1">
        <f t="shared" si="42"/>
        <v>1200</v>
      </c>
    </row>
    <row r="885" spans="5:14" x14ac:dyDescent="0.25">
      <c r="E885">
        <v>1131</v>
      </c>
      <c r="F885" s="7">
        <v>45338</v>
      </c>
      <c r="G885">
        <f t="shared" si="40"/>
        <v>2024</v>
      </c>
      <c r="H885" s="7" t="str">
        <f t="shared" si="41"/>
        <v>Февраль</v>
      </c>
      <c r="I885" t="s">
        <v>20</v>
      </c>
      <c r="J885">
        <v>58</v>
      </c>
      <c r="K885" t="s">
        <v>24</v>
      </c>
      <c r="L885">
        <v>7</v>
      </c>
      <c r="M885">
        <v>93</v>
      </c>
      <c r="N885" s="1">
        <f t="shared" si="42"/>
        <v>651</v>
      </c>
    </row>
    <row r="886" spans="5:14" x14ac:dyDescent="0.25">
      <c r="E886">
        <v>750</v>
      </c>
      <c r="F886" s="7">
        <v>45269</v>
      </c>
      <c r="G886">
        <f t="shared" si="40"/>
        <v>2023</v>
      </c>
      <c r="H886" s="7" t="str">
        <f t="shared" si="41"/>
        <v>Декабрь</v>
      </c>
      <c r="I886" t="s">
        <v>20</v>
      </c>
      <c r="J886">
        <v>29</v>
      </c>
      <c r="K886" t="s">
        <v>23</v>
      </c>
      <c r="L886">
        <v>2</v>
      </c>
      <c r="M886">
        <v>50</v>
      </c>
      <c r="N886" s="1">
        <f t="shared" si="42"/>
        <v>100</v>
      </c>
    </row>
    <row r="887" spans="5:14" x14ac:dyDescent="0.25">
      <c r="E887">
        <v>270</v>
      </c>
      <c r="F887" s="7">
        <v>45100</v>
      </c>
      <c r="G887">
        <f t="shared" si="40"/>
        <v>2023</v>
      </c>
      <c r="H887" s="7" t="str">
        <f t="shared" si="41"/>
        <v>Июнь</v>
      </c>
      <c r="I887" t="s">
        <v>22</v>
      </c>
      <c r="J887">
        <v>62</v>
      </c>
      <c r="K887" t="s">
        <v>21</v>
      </c>
      <c r="L887">
        <v>4</v>
      </c>
      <c r="M887">
        <v>30</v>
      </c>
      <c r="N887" s="1">
        <f t="shared" si="42"/>
        <v>120</v>
      </c>
    </row>
    <row r="888" spans="5:14" x14ac:dyDescent="0.25">
      <c r="E888">
        <v>1159</v>
      </c>
      <c r="F888" s="7">
        <v>45373</v>
      </c>
      <c r="G888">
        <f t="shared" si="40"/>
        <v>2024</v>
      </c>
      <c r="H888" s="7" t="str">
        <f t="shared" si="41"/>
        <v>Март</v>
      </c>
      <c r="I888" t="s">
        <v>20</v>
      </c>
      <c r="J888">
        <v>42</v>
      </c>
      <c r="K888" t="s">
        <v>21</v>
      </c>
      <c r="L888">
        <v>6</v>
      </c>
      <c r="M888">
        <v>151</v>
      </c>
      <c r="N888" s="1">
        <f t="shared" si="42"/>
        <v>906</v>
      </c>
    </row>
    <row r="889" spans="5:14" x14ac:dyDescent="0.25">
      <c r="E889">
        <v>1043</v>
      </c>
      <c r="F889" s="7">
        <v>45476</v>
      </c>
      <c r="G889">
        <f t="shared" si="40"/>
        <v>2024</v>
      </c>
      <c r="H889" s="7" t="str">
        <f t="shared" si="41"/>
        <v>Июль</v>
      </c>
      <c r="I889" t="s">
        <v>22</v>
      </c>
      <c r="J889">
        <v>36</v>
      </c>
      <c r="K889" t="s">
        <v>24</v>
      </c>
      <c r="L889">
        <v>6</v>
      </c>
      <c r="M889">
        <v>39</v>
      </c>
      <c r="N889" s="1">
        <f t="shared" si="42"/>
        <v>234</v>
      </c>
    </row>
    <row r="890" spans="5:14" x14ac:dyDescent="0.25">
      <c r="E890">
        <v>1821</v>
      </c>
      <c r="F890" s="7">
        <v>45530</v>
      </c>
      <c r="G890">
        <f t="shared" si="40"/>
        <v>2024</v>
      </c>
      <c r="H890" s="7" t="str">
        <f t="shared" si="41"/>
        <v>Август</v>
      </c>
      <c r="I890" t="s">
        <v>22</v>
      </c>
      <c r="J890">
        <v>39</v>
      </c>
      <c r="K890" t="s">
        <v>21</v>
      </c>
      <c r="L890">
        <v>2</v>
      </c>
      <c r="M890">
        <v>257</v>
      </c>
      <c r="N890" s="1">
        <f t="shared" si="42"/>
        <v>514</v>
      </c>
    </row>
    <row r="891" spans="5:14" x14ac:dyDescent="0.25">
      <c r="E891">
        <v>1730</v>
      </c>
      <c r="F891" s="7">
        <v>45301</v>
      </c>
      <c r="G891">
        <f t="shared" si="40"/>
        <v>2024</v>
      </c>
      <c r="H891" s="7" t="str">
        <f t="shared" si="41"/>
        <v>Январь</v>
      </c>
      <c r="I891" t="s">
        <v>22</v>
      </c>
      <c r="J891">
        <v>50</v>
      </c>
      <c r="K891" t="s">
        <v>23</v>
      </c>
      <c r="L891">
        <v>3</v>
      </c>
      <c r="M891">
        <v>127</v>
      </c>
      <c r="N891" s="1">
        <f t="shared" si="42"/>
        <v>381</v>
      </c>
    </row>
    <row r="892" spans="5:14" x14ac:dyDescent="0.25">
      <c r="E892">
        <v>370</v>
      </c>
      <c r="F892" s="7">
        <v>44978</v>
      </c>
      <c r="G892">
        <f t="shared" si="40"/>
        <v>2023</v>
      </c>
      <c r="H892" s="7" t="str">
        <f t="shared" si="41"/>
        <v>Февраль</v>
      </c>
      <c r="I892" t="s">
        <v>22</v>
      </c>
      <c r="J892">
        <v>20</v>
      </c>
      <c r="K892" t="s">
        <v>21</v>
      </c>
      <c r="L892">
        <v>1</v>
      </c>
      <c r="M892">
        <v>25</v>
      </c>
      <c r="N892" s="1">
        <f t="shared" si="42"/>
        <v>25</v>
      </c>
    </row>
    <row r="893" spans="5:14" x14ac:dyDescent="0.25">
      <c r="E893">
        <v>862</v>
      </c>
      <c r="F893" s="7">
        <v>45134</v>
      </c>
      <c r="G893">
        <f t="shared" si="40"/>
        <v>2023</v>
      </c>
      <c r="H893" s="7" t="str">
        <f t="shared" si="41"/>
        <v>Июль</v>
      </c>
      <c r="I893" t="s">
        <v>22</v>
      </c>
      <c r="J893">
        <v>51</v>
      </c>
      <c r="K893" t="s">
        <v>24</v>
      </c>
      <c r="L893">
        <v>1</v>
      </c>
      <c r="M893">
        <v>500</v>
      </c>
      <c r="N893" s="1">
        <f t="shared" si="42"/>
        <v>500</v>
      </c>
    </row>
    <row r="894" spans="5:14" x14ac:dyDescent="0.25">
      <c r="E894">
        <v>824</v>
      </c>
      <c r="F894" s="7">
        <v>45218</v>
      </c>
      <c r="G894">
        <f t="shared" si="40"/>
        <v>2023</v>
      </c>
      <c r="H894" s="7" t="str">
        <f t="shared" si="41"/>
        <v>Октябрь</v>
      </c>
      <c r="I894" t="s">
        <v>22</v>
      </c>
      <c r="J894">
        <v>46</v>
      </c>
      <c r="K894" t="s">
        <v>23</v>
      </c>
      <c r="L894">
        <v>1</v>
      </c>
      <c r="M894">
        <v>300</v>
      </c>
      <c r="N894" s="1">
        <f t="shared" si="42"/>
        <v>300</v>
      </c>
    </row>
    <row r="895" spans="5:14" x14ac:dyDescent="0.25">
      <c r="E895">
        <v>40</v>
      </c>
      <c r="F895" s="7">
        <v>45099</v>
      </c>
      <c r="G895">
        <f t="shared" si="40"/>
        <v>2023</v>
      </c>
      <c r="H895" s="7" t="str">
        <f t="shared" si="41"/>
        <v>Июнь</v>
      </c>
      <c r="I895" t="s">
        <v>20</v>
      </c>
      <c r="J895">
        <v>45</v>
      </c>
      <c r="K895" t="s">
        <v>21</v>
      </c>
      <c r="L895">
        <v>1</v>
      </c>
      <c r="M895">
        <v>50</v>
      </c>
      <c r="N895" s="1">
        <f t="shared" si="42"/>
        <v>50</v>
      </c>
    </row>
    <row r="896" spans="5:14" x14ac:dyDescent="0.25">
      <c r="E896">
        <v>483</v>
      </c>
      <c r="F896" s="7">
        <v>44939</v>
      </c>
      <c r="G896">
        <f t="shared" si="40"/>
        <v>2023</v>
      </c>
      <c r="H896" s="7" t="str">
        <f t="shared" si="41"/>
        <v>Январь</v>
      </c>
      <c r="I896" t="s">
        <v>22</v>
      </c>
      <c r="J896">
        <v>19</v>
      </c>
      <c r="K896" t="s">
        <v>23</v>
      </c>
      <c r="L896">
        <v>4</v>
      </c>
      <c r="M896">
        <v>300</v>
      </c>
      <c r="N896" s="1">
        <f t="shared" si="42"/>
        <v>1200</v>
      </c>
    </row>
    <row r="897" spans="5:14" x14ac:dyDescent="0.25">
      <c r="E897">
        <v>122</v>
      </c>
      <c r="F897" s="7">
        <v>45202</v>
      </c>
      <c r="G897">
        <f t="shared" si="40"/>
        <v>2023</v>
      </c>
      <c r="H897" s="7" t="str">
        <f t="shared" si="41"/>
        <v>Октябрь</v>
      </c>
      <c r="I897" t="s">
        <v>20</v>
      </c>
      <c r="J897">
        <v>64</v>
      </c>
      <c r="K897" t="s">
        <v>24</v>
      </c>
      <c r="L897">
        <v>4</v>
      </c>
      <c r="M897">
        <v>30</v>
      </c>
      <c r="N897" s="1">
        <f t="shared" si="42"/>
        <v>120</v>
      </c>
    </row>
    <row r="898" spans="5:14" x14ac:dyDescent="0.25">
      <c r="E898">
        <v>490</v>
      </c>
      <c r="F898" s="7">
        <v>45069</v>
      </c>
      <c r="G898">
        <f t="shared" si="40"/>
        <v>2023</v>
      </c>
      <c r="H898" s="7" t="str">
        <f t="shared" si="41"/>
        <v>Май</v>
      </c>
      <c r="I898" t="s">
        <v>22</v>
      </c>
      <c r="J898">
        <v>60</v>
      </c>
      <c r="K898" t="s">
        <v>24</v>
      </c>
      <c r="L898">
        <v>3</v>
      </c>
      <c r="M898">
        <v>300</v>
      </c>
      <c r="N898" s="1">
        <f t="shared" si="42"/>
        <v>900</v>
      </c>
    </row>
    <row r="899" spans="5:14" x14ac:dyDescent="0.25">
      <c r="E899">
        <v>1528</v>
      </c>
      <c r="F899" s="7">
        <v>45633</v>
      </c>
      <c r="G899">
        <f t="shared" si="40"/>
        <v>2024</v>
      </c>
      <c r="H899" s="7" t="str">
        <f t="shared" si="41"/>
        <v>Декабрь</v>
      </c>
      <c r="I899" t="s">
        <v>20</v>
      </c>
      <c r="J899">
        <v>58</v>
      </c>
      <c r="K899" t="s">
        <v>24</v>
      </c>
      <c r="L899">
        <v>2</v>
      </c>
      <c r="M899">
        <v>266</v>
      </c>
      <c r="N899" s="1">
        <f t="shared" si="42"/>
        <v>532</v>
      </c>
    </row>
    <row r="900" spans="5:14" x14ac:dyDescent="0.25">
      <c r="E900">
        <v>1250</v>
      </c>
      <c r="F900" s="7">
        <v>45535</v>
      </c>
      <c r="G900">
        <f t="shared" si="40"/>
        <v>2024</v>
      </c>
      <c r="H900" s="7" t="str">
        <f t="shared" si="41"/>
        <v>Август</v>
      </c>
      <c r="I900" t="s">
        <v>22</v>
      </c>
      <c r="J900">
        <v>21</v>
      </c>
      <c r="K900" t="s">
        <v>23</v>
      </c>
      <c r="L900">
        <v>6</v>
      </c>
      <c r="M900">
        <v>108</v>
      </c>
      <c r="N900" s="1">
        <f t="shared" si="42"/>
        <v>648</v>
      </c>
    </row>
    <row r="901" spans="5:14" x14ac:dyDescent="0.25">
      <c r="E901">
        <v>1693</v>
      </c>
      <c r="F901" s="7">
        <v>45306</v>
      </c>
      <c r="G901">
        <f t="shared" si="40"/>
        <v>2024</v>
      </c>
      <c r="H901" s="7" t="str">
        <f t="shared" si="41"/>
        <v>Январь</v>
      </c>
      <c r="I901" t="s">
        <v>20</v>
      </c>
      <c r="J901">
        <v>33</v>
      </c>
      <c r="K901" t="s">
        <v>23</v>
      </c>
      <c r="L901">
        <v>3</v>
      </c>
      <c r="M901">
        <v>320</v>
      </c>
      <c r="N901" s="1">
        <f t="shared" si="42"/>
        <v>960</v>
      </c>
    </row>
    <row r="902" spans="5:14" x14ac:dyDescent="0.25">
      <c r="E902">
        <v>1774</v>
      </c>
      <c r="F902" s="7">
        <v>45614</v>
      </c>
      <c r="G902">
        <f t="shared" si="40"/>
        <v>2024</v>
      </c>
      <c r="H902" s="7" t="str">
        <f t="shared" si="41"/>
        <v>Ноябрь</v>
      </c>
      <c r="I902" t="s">
        <v>22</v>
      </c>
      <c r="J902">
        <v>50</v>
      </c>
      <c r="K902" t="s">
        <v>21</v>
      </c>
      <c r="L902">
        <v>2</v>
      </c>
      <c r="M902">
        <v>91</v>
      </c>
      <c r="N902" s="1">
        <f t="shared" si="42"/>
        <v>182</v>
      </c>
    </row>
    <row r="903" spans="5:14" x14ac:dyDescent="0.25">
      <c r="E903">
        <v>1967</v>
      </c>
      <c r="F903" s="7">
        <v>45631</v>
      </c>
      <c r="G903">
        <f t="shared" si="40"/>
        <v>2024</v>
      </c>
      <c r="H903" s="7" t="str">
        <f t="shared" si="41"/>
        <v>Декабрь</v>
      </c>
      <c r="I903" t="s">
        <v>22</v>
      </c>
      <c r="J903">
        <v>60</v>
      </c>
      <c r="K903" t="s">
        <v>24</v>
      </c>
      <c r="L903">
        <v>6</v>
      </c>
      <c r="M903">
        <v>461</v>
      </c>
      <c r="N903" s="1">
        <f t="shared" si="42"/>
        <v>2766</v>
      </c>
    </row>
    <row r="904" spans="5:14" x14ac:dyDescent="0.25">
      <c r="E904">
        <v>300</v>
      </c>
      <c r="F904" s="7">
        <v>45011</v>
      </c>
      <c r="G904">
        <f t="shared" si="40"/>
        <v>2023</v>
      </c>
      <c r="H904" s="7" t="str">
        <f t="shared" si="41"/>
        <v>Март</v>
      </c>
      <c r="I904" t="s">
        <v>20</v>
      </c>
      <c r="J904">
        <v>30</v>
      </c>
      <c r="K904" t="s">
        <v>23</v>
      </c>
      <c r="L904">
        <v>4</v>
      </c>
      <c r="M904">
        <v>30</v>
      </c>
      <c r="N904" s="1">
        <f t="shared" si="42"/>
        <v>120</v>
      </c>
    </row>
    <row r="905" spans="5:14" x14ac:dyDescent="0.25">
      <c r="E905">
        <v>1689</v>
      </c>
      <c r="F905" s="7">
        <v>45405</v>
      </c>
      <c r="G905">
        <f t="shared" si="40"/>
        <v>2024</v>
      </c>
      <c r="H905" s="7" t="str">
        <f t="shared" si="41"/>
        <v>Апрель</v>
      </c>
      <c r="I905" t="s">
        <v>20</v>
      </c>
      <c r="J905">
        <v>50</v>
      </c>
      <c r="K905" t="s">
        <v>21</v>
      </c>
      <c r="L905">
        <v>3</v>
      </c>
      <c r="M905">
        <v>425</v>
      </c>
      <c r="N905" s="1">
        <f t="shared" si="42"/>
        <v>1275</v>
      </c>
    </row>
    <row r="906" spans="5:14" x14ac:dyDescent="0.25">
      <c r="E906">
        <v>165</v>
      </c>
      <c r="F906" s="7">
        <v>45183</v>
      </c>
      <c r="G906">
        <f t="shared" ref="G906:G969" si="43">YEAR(F906)</f>
        <v>2023</v>
      </c>
      <c r="H906" s="7" t="str">
        <f t="shared" ref="H906:H969" si="44">TEXT(F906,"ММММ")</f>
        <v>Сентябрь</v>
      </c>
      <c r="I906" t="s">
        <v>22</v>
      </c>
      <c r="J906">
        <v>60</v>
      </c>
      <c r="K906" t="s">
        <v>23</v>
      </c>
      <c r="L906">
        <v>4</v>
      </c>
      <c r="M906">
        <v>300</v>
      </c>
      <c r="N906" s="1">
        <f t="shared" ref="N906:N969" si="45">L906*M906</f>
        <v>1200</v>
      </c>
    </row>
    <row r="907" spans="5:14" x14ac:dyDescent="0.25">
      <c r="E907">
        <v>385</v>
      </c>
      <c r="F907" s="7">
        <v>45287</v>
      </c>
      <c r="G907">
        <f t="shared" si="43"/>
        <v>2023</v>
      </c>
      <c r="H907" s="7" t="str">
        <f t="shared" si="44"/>
        <v>Декабрь</v>
      </c>
      <c r="I907" t="s">
        <v>22</v>
      </c>
      <c r="J907">
        <v>54</v>
      </c>
      <c r="K907" t="s">
        <v>24</v>
      </c>
      <c r="L907">
        <v>2</v>
      </c>
      <c r="M907">
        <v>300</v>
      </c>
      <c r="N907" s="1">
        <f t="shared" si="45"/>
        <v>600</v>
      </c>
    </row>
    <row r="908" spans="5:14" x14ac:dyDescent="0.25">
      <c r="E908">
        <v>206</v>
      </c>
      <c r="F908" s="7">
        <v>45143</v>
      </c>
      <c r="G908">
        <f t="shared" si="43"/>
        <v>2023</v>
      </c>
      <c r="H908" s="7" t="str">
        <f t="shared" si="44"/>
        <v>Август</v>
      </c>
      <c r="I908" t="s">
        <v>20</v>
      </c>
      <c r="J908">
        <v>61</v>
      </c>
      <c r="K908" t="s">
        <v>23</v>
      </c>
      <c r="L908">
        <v>1</v>
      </c>
      <c r="M908">
        <v>25</v>
      </c>
      <c r="N908" s="1">
        <f t="shared" si="45"/>
        <v>25</v>
      </c>
    </row>
    <row r="909" spans="5:14" x14ac:dyDescent="0.25">
      <c r="E909">
        <v>1759</v>
      </c>
      <c r="F909" s="7">
        <v>45350</v>
      </c>
      <c r="G909">
        <f t="shared" si="43"/>
        <v>2024</v>
      </c>
      <c r="H909" s="7" t="str">
        <f t="shared" si="44"/>
        <v>Февраль</v>
      </c>
      <c r="I909" t="s">
        <v>20</v>
      </c>
      <c r="J909">
        <v>43</v>
      </c>
      <c r="K909" t="s">
        <v>23</v>
      </c>
      <c r="L909">
        <v>5</v>
      </c>
      <c r="M909">
        <v>322</v>
      </c>
      <c r="N909" s="1">
        <f t="shared" si="45"/>
        <v>1610</v>
      </c>
    </row>
    <row r="910" spans="5:14" x14ac:dyDescent="0.25">
      <c r="E910">
        <v>241</v>
      </c>
      <c r="F910" s="7">
        <v>45048</v>
      </c>
      <c r="G910">
        <f t="shared" si="43"/>
        <v>2023</v>
      </c>
      <c r="H910" s="7" t="str">
        <f t="shared" si="44"/>
        <v>Май</v>
      </c>
      <c r="I910" t="s">
        <v>20</v>
      </c>
      <c r="J910">
        <v>21</v>
      </c>
      <c r="K910" t="s">
        <v>23</v>
      </c>
      <c r="L910">
        <v>1</v>
      </c>
      <c r="M910">
        <v>25</v>
      </c>
      <c r="N910" s="1">
        <f t="shared" si="45"/>
        <v>25</v>
      </c>
    </row>
    <row r="911" spans="5:14" x14ac:dyDescent="0.25">
      <c r="E911">
        <v>230</v>
      </c>
      <c r="F911" s="7">
        <v>44930</v>
      </c>
      <c r="G911">
        <f t="shared" si="43"/>
        <v>2023</v>
      </c>
      <c r="H911" s="7" t="str">
        <f t="shared" si="44"/>
        <v>Январь</v>
      </c>
      <c r="I911" t="s">
        <v>22</v>
      </c>
      <c r="J911">
        <v>23</v>
      </c>
      <c r="K911" t="s">
        <v>23</v>
      </c>
      <c r="L911">
        <v>3</v>
      </c>
      <c r="M911">
        <v>50</v>
      </c>
      <c r="N911" s="1">
        <f t="shared" si="45"/>
        <v>150</v>
      </c>
    </row>
    <row r="912" spans="5:14" x14ac:dyDescent="0.25">
      <c r="E912">
        <v>433</v>
      </c>
      <c r="F912" s="7">
        <v>44965</v>
      </c>
      <c r="G912">
        <f t="shared" si="43"/>
        <v>2023</v>
      </c>
      <c r="H912" s="7" t="str">
        <f t="shared" si="44"/>
        <v>Февраль</v>
      </c>
      <c r="I912" t="s">
        <v>22</v>
      </c>
      <c r="J912">
        <v>43</v>
      </c>
      <c r="K912" t="s">
        <v>24</v>
      </c>
      <c r="L912">
        <v>2</v>
      </c>
      <c r="M912">
        <v>25</v>
      </c>
      <c r="N912" s="1">
        <f t="shared" si="45"/>
        <v>50</v>
      </c>
    </row>
    <row r="913" spans="5:14" x14ac:dyDescent="0.25">
      <c r="E913">
        <v>1116</v>
      </c>
      <c r="F913" s="7">
        <v>45428</v>
      </c>
      <c r="G913">
        <f t="shared" si="43"/>
        <v>2024</v>
      </c>
      <c r="H913" s="7" t="str">
        <f t="shared" si="44"/>
        <v>Май</v>
      </c>
      <c r="I913" t="s">
        <v>22</v>
      </c>
      <c r="J913">
        <v>49</v>
      </c>
      <c r="K913" t="s">
        <v>24</v>
      </c>
      <c r="L913">
        <v>1</v>
      </c>
      <c r="M913">
        <v>44</v>
      </c>
      <c r="N913" s="1">
        <f t="shared" si="45"/>
        <v>44</v>
      </c>
    </row>
    <row r="914" spans="5:14" x14ac:dyDescent="0.25">
      <c r="E914">
        <v>1354</v>
      </c>
      <c r="F914" s="7">
        <v>45415</v>
      </c>
      <c r="G914">
        <f t="shared" si="43"/>
        <v>2024</v>
      </c>
      <c r="H914" s="7" t="str">
        <f t="shared" si="44"/>
        <v>Май</v>
      </c>
      <c r="I914" t="s">
        <v>22</v>
      </c>
      <c r="J914">
        <v>29</v>
      </c>
      <c r="K914" t="s">
        <v>24</v>
      </c>
      <c r="L914">
        <v>1</v>
      </c>
      <c r="M914">
        <v>72</v>
      </c>
      <c r="N914" s="1">
        <f t="shared" si="45"/>
        <v>72</v>
      </c>
    </row>
    <row r="915" spans="5:14" x14ac:dyDescent="0.25">
      <c r="E915">
        <v>1552</v>
      </c>
      <c r="F915" s="7">
        <v>45584</v>
      </c>
      <c r="G915">
        <f t="shared" si="43"/>
        <v>2024</v>
      </c>
      <c r="H915" s="7" t="str">
        <f t="shared" si="44"/>
        <v>Октябрь</v>
      </c>
      <c r="I915" t="s">
        <v>20</v>
      </c>
      <c r="J915">
        <v>53</v>
      </c>
      <c r="K915" t="s">
        <v>21</v>
      </c>
      <c r="L915">
        <v>1</v>
      </c>
      <c r="M915">
        <v>20</v>
      </c>
      <c r="N915" s="1">
        <f t="shared" si="45"/>
        <v>20</v>
      </c>
    </row>
    <row r="916" spans="5:14" x14ac:dyDescent="0.25">
      <c r="E916">
        <v>1284</v>
      </c>
      <c r="F916" s="7">
        <v>45342</v>
      </c>
      <c r="G916">
        <f t="shared" si="43"/>
        <v>2024</v>
      </c>
      <c r="H916" s="7" t="str">
        <f t="shared" si="44"/>
        <v>Февраль</v>
      </c>
      <c r="I916" t="s">
        <v>20</v>
      </c>
      <c r="J916">
        <v>53</v>
      </c>
      <c r="K916" t="s">
        <v>23</v>
      </c>
      <c r="L916">
        <v>1</v>
      </c>
      <c r="M916">
        <v>446</v>
      </c>
      <c r="N916" s="1">
        <f t="shared" si="45"/>
        <v>446</v>
      </c>
    </row>
    <row r="917" spans="5:14" x14ac:dyDescent="0.25">
      <c r="E917">
        <v>257</v>
      </c>
      <c r="F917" s="7">
        <v>45264</v>
      </c>
      <c r="G917">
        <f t="shared" si="43"/>
        <v>2023</v>
      </c>
      <c r="H917" s="7" t="str">
        <f t="shared" si="44"/>
        <v>Декабрь</v>
      </c>
      <c r="I917" t="s">
        <v>22</v>
      </c>
      <c r="J917">
        <v>37</v>
      </c>
      <c r="K917" t="s">
        <v>23</v>
      </c>
      <c r="L917">
        <v>1</v>
      </c>
      <c r="M917">
        <v>50</v>
      </c>
      <c r="N917" s="1">
        <f t="shared" si="45"/>
        <v>50</v>
      </c>
    </row>
    <row r="918" spans="5:14" x14ac:dyDescent="0.25">
      <c r="E918">
        <v>1542</v>
      </c>
      <c r="F918" s="7">
        <v>45444</v>
      </c>
      <c r="G918">
        <f t="shared" si="43"/>
        <v>2024</v>
      </c>
      <c r="H918" s="7" t="str">
        <f t="shared" si="44"/>
        <v>Июнь</v>
      </c>
      <c r="I918" t="s">
        <v>20</v>
      </c>
      <c r="J918">
        <v>20</v>
      </c>
      <c r="K918" t="s">
        <v>23</v>
      </c>
      <c r="L918">
        <v>3</v>
      </c>
      <c r="M918">
        <v>332</v>
      </c>
      <c r="N918" s="1">
        <f t="shared" si="45"/>
        <v>996</v>
      </c>
    </row>
    <row r="919" spans="5:14" x14ac:dyDescent="0.25">
      <c r="E919">
        <v>1906</v>
      </c>
      <c r="F919" s="7">
        <v>45357</v>
      </c>
      <c r="G919">
        <f t="shared" si="43"/>
        <v>2024</v>
      </c>
      <c r="H919" s="7" t="str">
        <f t="shared" si="44"/>
        <v>Март</v>
      </c>
      <c r="I919" t="s">
        <v>22</v>
      </c>
      <c r="J919">
        <v>19</v>
      </c>
      <c r="K919" t="s">
        <v>21</v>
      </c>
      <c r="L919">
        <v>7</v>
      </c>
      <c r="M919">
        <v>396</v>
      </c>
      <c r="N919" s="1">
        <f t="shared" si="45"/>
        <v>2772</v>
      </c>
    </row>
    <row r="920" spans="5:14" x14ac:dyDescent="0.25">
      <c r="E920">
        <v>29</v>
      </c>
      <c r="F920" s="7">
        <v>45156</v>
      </c>
      <c r="G920">
        <f t="shared" si="43"/>
        <v>2023</v>
      </c>
      <c r="H920" s="7" t="str">
        <f t="shared" si="44"/>
        <v>Август</v>
      </c>
      <c r="I920" t="s">
        <v>22</v>
      </c>
      <c r="J920">
        <v>42</v>
      </c>
      <c r="K920" t="s">
        <v>24</v>
      </c>
      <c r="L920">
        <v>1</v>
      </c>
      <c r="M920">
        <v>30</v>
      </c>
      <c r="N920" s="1">
        <f t="shared" si="45"/>
        <v>30</v>
      </c>
    </row>
    <row r="921" spans="5:14" x14ac:dyDescent="0.25">
      <c r="E921">
        <v>17</v>
      </c>
      <c r="F921" s="7">
        <v>45038</v>
      </c>
      <c r="G921">
        <f t="shared" si="43"/>
        <v>2023</v>
      </c>
      <c r="H921" s="7" t="str">
        <f t="shared" si="44"/>
        <v>Апрель</v>
      </c>
      <c r="I921" t="s">
        <v>22</v>
      </c>
      <c r="J921">
        <v>27</v>
      </c>
      <c r="K921" t="s">
        <v>23</v>
      </c>
      <c r="L921">
        <v>4</v>
      </c>
      <c r="M921">
        <v>25</v>
      </c>
      <c r="N921" s="1">
        <f t="shared" si="45"/>
        <v>100</v>
      </c>
    </row>
    <row r="922" spans="5:14" x14ac:dyDescent="0.25">
      <c r="E922">
        <v>1102</v>
      </c>
      <c r="F922" s="7">
        <v>45454</v>
      </c>
      <c r="G922">
        <f t="shared" si="43"/>
        <v>2024</v>
      </c>
      <c r="H922" s="7" t="str">
        <f t="shared" si="44"/>
        <v>Июнь</v>
      </c>
      <c r="I922" t="s">
        <v>22</v>
      </c>
      <c r="J922">
        <v>50</v>
      </c>
      <c r="K922" t="s">
        <v>21</v>
      </c>
      <c r="L922">
        <v>1</v>
      </c>
      <c r="M922">
        <v>150</v>
      </c>
      <c r="N922" s="1">
        <f t="shared" si="45"/>
        <v>150</v>
      </c>
    </row>
    <row r="923" spans="5:14" x14ac:dyDescent="0.25">
      <c r="E923">
        <v>1206</v>
      </c>
      <c r="F923" s="7">
        <v>45569</v>
      </c>
      <c r="G923">
        <f t="shared" si="43"/>
        <v>2024</v>
      </c>
      <c r="H923" s="7" t="str">
        <f t="shared" si="44"/>
        <v>Октябрь</v>
      </c>
      <c r="I923" t="s">
        <v>22</v>
      </c>
      <c r="J923">
        <v>53</v>
      </c>
      <c r="K923" t="s">
        <v>24</v>
      </c>
      <c r="L923">
        <v>7</v>
      </c>
      <c r="M923">
        <v>155</v>
      </c>
      <c r="N923" s="1">
        <f t="shared" si="45"/>
        <v>1085</v>
      </c>
    </row>
    <row r="924" spans="5:14" x14ac:dyDescent="0.25">
      <c r="E924">
        <v>297</v>
      </c>
      <c r="F924" s="7">
        <v>45036</v>
      </c>
      <c r="G924">
        <f t="shared" si="43"/>
        <v>2023</v>
      </c>
      <c r="H924" s="7" t="str">
        <f t="shared" si="44"/>
        <v>Апрель</v>
      </c>
      <c r="I924" t="s">
        <v>20</v>
      </c>
      <c r="J924">
        <v>27</v>
      </c>
      <c r="K924" t="s">
        <v>21</v>
      </c>
      <c r="L924">
        <v>4</v>
      </c>
      <c r="M924">
        <v>300</v>
      </c>
      <c r="N924" s="1">
        <f t="shared" si="45"/>
        <v>1200</v>
      </c>
    </row>
    <row r="925" spans="5:14" x14ac:dyDescent="0.25">
      <c r="E925">
        <v>1428</v>
      </c>
      <c r="F925" s="7">
        <v>45580</v>
      </c>
      <c r="G925">
        <f t="shared" si="43"/>
        <v>2024</v>
      </c>
      <c r="H925" s="7" t="str">
        <f t="shared" si="44"/>
        <v>Октябрь</v>
      </c>
      <c r="I925" t="s">
        <v>20</v>
      </c>
      <c r="J925">
        <v>31</v>
      </c>
      <c r="K925" t="s">
        <v>24</v>
      </c>
      <c r="L925">
        <v>5</v>
      </c>
      <c r="M925">
        <v>83</v>
      </c>
      <c r="N925" s="1">
        <f t="shared" si="45"/>
        <v>415</v>
      </c>
    </row>
    <row r="926" spans="5:14" x14ac:dyDescent="0.25">
      <c r="E926">
        <v>489</v>
      </c>
      <c r="F926" s="7">
        <v>44962</v>
      </c>
      <c r="G926">
        <f t="shared" si="43"/>
        <v>2023</v>
      </c>
      <c r="H926" s="7" t="str">
        <f t="shared" si="44"/>
        <v>Февраль</v>
      </c>
      <c r="I926" t="s">
        <v>20</v>
      </c>
      <c r="J926">
        <v>34</v>
      </c>
      <c r="K926" t="s">
        <v>23</v>
      </c>
      <c r="L926">
        <v>3</v>
      </c>
      <c r="M926">
        <v>50</v>
      </c>
      <c r="N926" s="1">
        <f t="shared" si="45"/>
        <v>150</v>
      </c>
    </row>
    <row r="927" spans="5:14" x14ac:dyDescent="0.25">
      <c r="E927">
        <v>411</v>
      </c>
      <c r="F927" s="7">
        <v>45185</v>
      </c>
      <c r="G927">
        <f t="shared" si="43"/>
        <v>2023</v>
      </c>
      <c r="H927" s="7" t="str">
        <f t="shared" si="44"/>
        <v>Сентябрь</v>
      </c>
      <c r="I927" t="s">
        <v>22</v>
      </c>
      <c r="J927">
        <v>19</v>
      </c>
      <c r="K927" t="s">
        <v>24</v>
      </c>
      <c r="L927">
        <v>4</v>
      </c>
      <c r="M927">
        <v>500</v>
      </c>
      <c r="N927" s="1">
        <f t="shared" si="45"/>
        <v>2000</v>
      </c>
    </row>
    <row r="928" spans="5:14" x14ac:dyDescent="0.25">
      <c r="E928">
        <v>137</v>
      </c>
      <c r="F928" s="7">
        <v>45248</v>
      </c>
      <c r="G928">
        <f t="shared" si="43"/>
        <v>2023</v>
      </c>
      <c r="H928" s="7" t="str">
        <f t="shared" si="44"/>
        <v>Ноябрь</v>
      </c>
      <c r="I928" t="s">
        <v>20</v>
      </c>
      <c r="J928">
        <v>46</v>
      </c>
      <c r="K928" t="s">
        <v>21</v>
      </c>
      <c r="L928">
        <v>2</v>
      </c>
      <c r="M928">
        <v>500</v>
      </c>
      <c r="N928" s="1">
        <f t="shared" si="45"/>
        <v>1000</v>
      </c>
    </row>
    <row r="929" spans="5:14" x14ac:dyDescent="0.25">
      <c r="E929">
        <v>1881</v>
      </c>
      <c r="F929" s="7">
        <v>45354</v>
      </c>
      <c r="G929">
        <f t="shared" si="43"/>
        <v>2024</v>
      </c>
      <c r="H929" s="7" t="str">
        <f t="shared" si="44"/>
        <v>Март</v>
      </c>
      <c r="I929" t="s">
        <v>22</v>
      </c>
      <c r="J929">
        <v>32</v>
      </c>
      <c r="K929" t="s">
        <v>23</v>
      </c>
      <c r="L929">
        <v>1</v>
      </c>
      <c r="M929">
        <v>115</v>
      </c>
      <c r="N929" s="1">
        <f t="shared" si="45"/>
        <v>115</v>
      </c>
    </row>
    <row r="930" spans="5:14" x14ac:dyDescent="0.25">
      <c r="E930">
        <v>1818</v>
      </c>
      <c r="F930" s="7">
        <v>45435</v>
      </c>
      <c r="G930">
        <f t="shared" si="43"/>
        <v>2024</v>
      </c>
      <c r="H930" s="7" t="str">
        <f t="shared" si="44"/>
        <v>Май</v>
      </c>
      <c r="I930" t="s">
        <v>22</v>
      </c>
      <c r="J930">
        <v>30</v>
      </c>
      <c r="K930" t="s">
        <v>21</v>
      </c>
      <c r="L930">
        <v>2</v>
      </c>
      <c r="M930">
        <v>468</v>
      </c>
      <c r="N930" s="1">
        <f t="shared" si="45"/>
        <v>936</v>
      </c>
    </row>
    <row r="931" spans="5:14" x14ac:dyDescent="0.25">
      <c r="E931">
        <v>1601</v>
      </c>
      <c r="F931" s="7">
        <v>45546</v>
      </c>
      <c r="G931">
        <f t="shared" si="43"/>
        <v>2024</v>
      </c>
      <c r="H931" s="7" t="str">
        <f t="shared" si="44"/>
        <v>Сентябрь</v>
      </c>
      <c r="I931" t="s">
        <v>22</v>
      </c>
      <c r="J931">
        <v>43</v>
      </c>
      <c r="K931" t="s">
        <v>24</v>
      </c>
      <c r="L931">
        <v>7</v>
      </c>
      <c r="M931">
        <v>304</v>
      </c>
      <c r="N931" s="1">
        <f t="shared" si="45"/>
        <v>2128</v>
      </c>
    </row>
    <row r="932" spans="5:14" x14ac:dyDescent="0.25">
      <c r="E932">
        <v>1989</v>
      </c>
      <c r="F932" s="7">
        <v>45328</v>
      </c>
      <c r="G932">
        <f t="shared" si="43"/>
        <v>2024</v>
      </c>
      <c r="H932" s="7" t="str">
        <f t="shared" si="44"/>
        <v>Февраль</v>
      </c>
      <c r="I932" t="s">
        <v>22</v>
      </c>
      <c r="J932">
        <v>30</v>
      </c>
      <c r="K932" t="s">
        <v>24</v>
      </c>
      <c r="L932">
        <v>7</v>
      </c>
      <c r="M932">
        <v>484</v>
      </c>
      <c r="N932" s="1">
        <f t="shared" si="45"/>
        <v>3388</v>
      </c>
    </row>
    <row r="933" spans="5:14" x14ac:dyDescent="0.25">
      <c r="E933">
        <v>560</v>
      </c>
      <c r="F933" s="7">
        <v>45073</v>
      </c>
      <c r="G933">
        <f t="shared" si="43"/>
        <v>2023</v>
      </c>
      <c r="H933" s="7" t="str">
        <f t="shared" si="44"/>
        <v>Май</v>
      </c>
      <c r="I933" t="s">
        <v>22</v>
      </c>
      <c r="J933">
        <v>64</v>
      </c>
      <c r="K933" t="s">
        <v>23</v>
      </c>
      <c r="L933">
        <v>4</v>
      </c>
      <c r="M933">
        <v>500</v>
      </c>
      <c r="N933" s="1">
        <f t="shared" si="45"/>
        <v>2000</v>
      </c>
    </row>
    <row r="934" spans="5:14" x14ac:dyDescent="0.25">
      <c r="E934">
        <v>1661</v>
      </c>
      <c r="F934" s="7">
        <v>45402</v>
      </c>
      <c r="G934">
        <f t="shared" si="43"/>
        <v>2024</v>
      </c>
      <c r="H934" s="7" t="str">
        <f t="shared" si="44"/>
        <v>Апрель</v>
      </c>
      <c r="I934" t="s">
        <v>20</v>
      </c>
      <c r="J934">
        <v>30</v>
      </c>
      <c r="K934" t="s">
        <v>23</v>
      </c>
      <c r="L934">
        <v>6</v>
      </c>
      <c r="M934">
        <v>331</v>
      </c>
      <c r="N934" s="1">
        <f t="shared" si="45"/>
        <v>1986</v>
      </c>
    </row>
    <row r="935" spans="5:14" x14ac:dyDescent="0.25">
      <c r="E935">
        <v>1186</v>
      </c>
      <c r="F935" s="7">
        <v>45415</v>
      </c>
      <c r="G935">
        <f t="shared" si="43"/>
        <v>2024</v>
      </c>
      <c r="H935" s="7" t="str">
        <f t="shared" si="44"/>
        <v>Май</v>
      </c>
      <c r="I935" t="s">
        <v>20</v>
      </c>
      <c r="J935">
        <v>27</v>
      </c>
      <c r="K935" t="s">
        <v>23</v>
      </c>
      <c r="L935">
        <v>7</v>
      </c>
      <c r="M935">
        <v>87</v>
      </c>
      <c r="N935" s="1">
        <f t="shared" si="45"/>
        <v>609</v>
      </c>
    </row>
    <row r="936" spans="5:14" x14ac:dyDescent="0.25">
      <c r="E936">
        <v>446</v>
      </c>
      <c r="F936" s="7">
        <v>45113</v>
      </c>
      <c r="G936">
        <f t="shared" si="43"/>
        <v>2023</v>
      </c>
      <c r="H936" s="7" t="str">
        <f t="shared" si="44"/>
        <v>Июль</v>
      </c>
      <c r="I936" t="s">
        <v>20</v>
      </c>
      <c r="J936">
        <v>22</v>
      </c>
      <c r="K936" t="s">
        <v>21</v>
      </c>
      <c r="L936">
        <v>4</v>
      </c>
      <c r="M936">
        <v>500</v>
      </c>
      <c r="N936" s="1">
        <f t="shared" si="45"/>
        <v>2000</v>
      </c>
    </row>
    <row r="937" spans="5:14" x14ac:dyDescent="0.25">
      <c r="E937">
        <v>1477</v>
      </c>
      <c r="F937" s="7">
        <v>45472</v>
      </c>
      <c r="G937">
        <f t="shared" si="43"/>
        <v>2024</v>
      </c>
      <c r="H937" s="7" t="str">
        <f t="shared" si="44"/>
        <v>Июнь</v>
      </c>
      <c r="I937" t="s">
        <v>22</v>
      </c>
      <c r="J937">
        <v>57</v>
      </c>
      <c r="K937" t="s">
        <v>21</v>
      </c>
      <c r="L937">
        <v>7</v>
      </c>
      <c r="M937">
        <v>223</v>
      </c>
      <c r="N937" s="1">
        <f t="shared" si="45"/>
        <v>1561</v>
      </c>
    </row>
    <row r="938" spans="5:14" x14ac:dyDescent="0.25">
      <c r="E938">
        <v>428</v>
      </c>
      <c r="F938" s="7">
        <v>45288</v>
      </c>
      <c r="G938">
        <f t="shared" si="43"/>
        <v>2023</v>
      </c>
      <c r="H938" s="7" t="str">
        <f t="shared" si="44"/>
        <v>Декабрь</v>
      </c>
      <c r="I938" t="s">
        <v>20</v>
      </c>
      <c r="J938">
        <v>64</v>
      </c>
      <c r="K938" t="s">
        <v>24</v>
      </c>
      <c r="L938">
        <v>2</v>
      </c>
      <c r="M938">
        <v>25</v>
      </c>
      <c r="N938" s="1">
        <f t="shared" si="45"/>
        <v>50</v>
      </c>
    </row>
    <row r="939" spans="5:14" x14ac:dyDescent="0.25">
      <c r="E939">
        <v>358</v>
      </c>
      <c r="F939" s="7">
        <v>45129</v>
      </c>
      <c r="G939">
        <f t="shared" si="43"/>
        <v>2023</v>
      </c>
      <c r="H939" s="7" t="str">
        <f t="shared" si="44"/>
        <v>Июль</v>
      </c>
      <c r="I939" t="s">
        <v>20</v>
      </c>
      <c r="J939">
        <v>50</v>
      </c>
      <c r="K939" t="s">
        <v>23</v>
      </c>
      <c r="L939">
        <v>1</v>
      </c>
      <c r="M939">
        <v>50</v>
      </c>
      <c r="N939" s="1">
        <f t="shared" si="45"/>
        <v>50</v>
      </c>
    </row>
    <row r="940" spans="5:14" x14ac:dyDescent="0.25">
      <c r="E940">
        <v>452</v>
      </c>
      <c r="F940" s="7">
        <v>45268</v>
      </c>
      <c r="G940">
        <f t="shared" si="43"/>
        <v>2023</v>
      </c>
      <c r="H940" s="7" t="str">
        <f t="shared" si="44"/>
        <v>Декабрь</v>
      </c>
      <c r="I940" t="s">
        <v>22</v>
      </c>
      <c r="J940">
        <v>26</v>
      </c>
      <c r="K940" t="s">
        <v>23</v>
      </c>
      <c r="L940">
        <v>2</v>
      </c>
      <c r="M940">
        <v>500</v>
      </c>
      <c r="N940" s="1">
        <f t="shared" si="45"/>
        <v>1000</v>
      </c>
    </row>
    <row r="941" spans="5:14" x14ac:dyDescent="0.25">
      <c r="E941">
        <v>1113</v>
      </c>
      <c r="F941" s="7">
        <v>45622</v>
      </c>
      <c r="G941">
        <f t="shared" si="43"/>
        <v>2024</v>
      </c>
      <c r="H941" s="7" t="str">
        <f t="shared" si="44"/>
        <v>Ноябрь</v>
      </c>
      <c r="I941" t="s">
        <v>20</v>
      </c>
      <c r="J941">
        <v>36</v>
      </c>
      <c r="K941" t="s">
        <v>23</v>
      </c>
      <c r="L941">
        <v>4</v>
      </c>
      <c r="M941">
        <v>164</v>
      </c>
      <c r="N941" s="1">
        <f t="shared" si="45"/>
        <v>656</v>
      </c>
    </row>
    <row r="942" spans="5:14" x14ac:dyDescent="0.25">
      <c r="E942">
        <v>207</v>
      </c>
      <c r="F942" s="7">
        <v>45035</v>
      </c>
      <c r="G942">
        <f t="shared" si="43"/>
        <v>2023</v>
      </c>
      <c r="H942" s="7" t="str">
        <f t="shared" si="44"/>
        <v>Апрель</v>
      </c>
      <c r="I942" t="s">
        <v>22</v>
      </c>
      <c r="J942">
        <v>42</v>
      </c>
      <c r="K942" t="s">
        <v>21</v>
      </c>
      <c r="L942">
        <v>2</v>
      </c>
      <c r="M942">
        <v>25</v>
      </c>
      <c r="N942" s="1">
        <f t="shared" si="45"/>
        <v>50</v>
      </c>
    </row>
    <row r="943" spans="5:14" x14ac:dyDescent="0.25">
      <c r="E943">
        <v>1994</v>
      </c>
      <c r="F943" s="7">
        <v>45594</v>
      </c>
      <c r="G943">
        <f t="shared" si="43"/>
        <v>2024</v>
      </c>
      <c r="H943" s="7" t="str">
        <f t="shared" si="44"/>
        <v>Октябрь</v>
      </c>
      <c r="I943" t="s">
        <v>22</v>
      </c>
      <c r="J943">
        <v>58</v>
      </c>
      <c r="K943" t="s">
        <v>21</v>
      </c>
      <c r="L943">
        <v>1</v>
      </c>
      <c r="M943">
        <v>497</v>
      </c>
      <c r="N943" s="1">
        <f t="shared" si="45"/>
        <v>497</v>
      </c>
    </row>
    <row r="944" spans="5:14" x14ac:dyDescent="0.25">
      <c r="E944">
        <v>202</v>
      </c>
      <c r="F944" s="7">
        <v>45011</v>
      </c>
      <c r="G944">
        <f t="shared" si="43"/>
        <v>2023</v>
      </c>
      <c r="H944" s="7" t="str">
        <f t="shared" si="44"/>
        <v>Март</v>
      </c>
      <c r="I944" t="s">
        <v>22</v>
      </c>
      <c r="J944">
        <v>34</v>
      </c>
      <c r="K944" t="s">
        <v>23</v>
      </c>
      <c r="L944">
        <v>4</v>
      </c>
      <c r="M944">
        <v>300</v>
      </c>
      <c r="N944" s="1">
        <f t="shared" si="45"/>
        <v>1200</v>
      </c>
    </row>
    <row r="945" spans="5:14" x14ac:dyDescent="0.25">
      <c r="E945">
        <v>1919</v>
      </c>
      <c r="F945" s="7">
        <v>45438</v>
      </c>
      <c r="G945">
        <f t="shared" si="43"/>
        <v>2024</v>
      </c>
      <c r="H945" s="7" t="str">
        <f t="shared" si="44"/>
        <v>Май</v>
      </c>
      <c r="I945" t="s">
        <v>20</v>
      </c>
      <c r="J945">
        <v>27</v>
      </c>
      <c r="K945" t="s">
        <v>21</v>
      </c>
      <c r="L945">
        <v>5</v>
      </c>
      <c r="M945">
        <v>295</v>
      </c>
      <c r="N945" s="1">
        <f t="shared" si="45"/>
        <v>1475</v>
      </c>
    </row>
    <row r="946" spans="5:14" x14ac:dyDescent="0.25">
      <c r="E946">
        <v>686</v>
      </c>
      <c r="F946" s="7">
        <v>45202</v>
      </c>
      <c r="G946">
        <f t="shared" si="43"/>
        <v>2023</v>
      </c>
      <c r="H946" s="7" t="str">
        <f t="shared" si="44"/>
        <v>Октябрь</v>
      </c>
      <c r="I946" t="s">
        <v>20</v>
      </c>
      <c r="J946">
        <v>56</v>
      </c>
      <c r="K946" t="s">
        <v>23</v>
      </c>
      <c r="L946">
        <v>4</v>
      </c>
      <c r="M946">
        <v>25</v>
      </c>
      <c r="N946" s="1">
        <f t="shared" si="45"/>
        <v>100</v>
      </c>
    </row>
    <row r="947" spans="5:14" x14ac:dyDescent="0.25">
      <c r="E947">
        <v>901</v>
      </c>
      <c r="F947" s="7">
        <v>45043</v>
      </c>
      <c r="G947">
        <f t="shared" si="43"/>
        <v>2023</v>
      </c>
      <c r="H947" s="7" t="str">
        <f t="shared" si="44"/>
        <v>Апрель</v>
      </c>
      <c r="I947" t="s">
        <v>22</v>
      </c>
      <c r="J947">
        <v>51</v>
      </c>
      <c r="K947" t="s">
        <v>21</v>
      </c>
      <c r="L947">
        <v>4</v>
      </c>
      <c r="M947">
        <v>50</v>
      </c>
      <c r="N947" s="1">
        <f t="shared" si="45"/>
        <v>200</v>
      </c>
    </row>
    <row r="948" spans="5:14" x14ac:dyDescent="0.25">
      <c r="E948">
        <v>56</v>
      </c>
      <c r="F948" s="7">
        <v>45077</v>
      </c>
      <c r="G948">
        <f t="shared" si="43"/>
        <v>2023</v>
      </c>
      <c r="H948" s="7" t="str">
        <f t="shared" si="44"/>
        <v>Май</v>
      </c>
      <c r="I948" t="s">
        <v>22</v>
      </c>
      <c r="J948">
        <v>26</v>
      </c>
      <c r="K948" t="s">
        <v>23</v>
      </c>
      <c r="L948">
        <v>3</v>
      </c>
      <c r="M948">
        <v>300</v>
      </c>
      <c r="N948" s="1">
        <f t="shared" si="45"/>
        <v>900</v>
      </c>
    </row>
    <row r="949" spans="5:14" x14ac:dyDescent="0.25">
      <c r="E949">
        <v>1807</v>
      </c>
      <c r="F949" s="7">
        <v>45431</v>
      </c>
      <c r="G949">
        <f t="shared" si="43"/>
        <v>2024</v>
      </c>
      <c r="H949" s="7" t="str">
        <f t="shared" si="44"/>
        <v>Май</v>
      </c>
      <c r="I949" t="s">
        <v>20</v>
      </c>
      <c r="J949">
        <v>42</v>
      </c>
      <c r="K949" t="s">
        <v>21</v>
      </c>
      <c r="L949">
        <v>7</v>
      </c>
      <c r="M949">
        <v>389</v>
      </c>
      <c r="N949" s="1">
        <f t="shared" si="45"/>
        <v>2723</v>
      </c>
    </row>
    <row r="950" spans="5:14" x14ac:dyDescent="0.25">
      <c r="E950">
        <v>660</v>
      </c>
      <c r="F950" s="7">
        <v>45282</v>
      </c>
      <c r="G950">
        <f t="shared" si="43"/>
        <v>2023</v>
      </c>
      <c r="H950" s="7" t="str">
        <f t="shared" si="44"/>
        <v>Декабрь</v>
      </c>
      <c r="I950" t="s">
        <v>20</v>
      </c>
      <c r="J950">
        <v>48</v>
      </c>
      <c r="K950" t="s">
        <v>21</v>
      </c>
      <c r="L950">
        <v>2</v>
      </c>
      <c r="M950">
        <v>500</v>
      </c>
      <c r="N950" s="1">
        <f t="shared" si="45"/>
        <v>1000</v>
      </c>
    </row>
    <row r="951" spans="5:14" x14ac:dyDescent="0.25">
      <c r="E951">
        <v>1806</v>
      </c>
      <c r="F951" s="7">
        <v>45626</v>
      </c>
      <c r="G951">
        <f t="shared" si="43"/>
        <v>2024</v>
      </c>
      <c r="H951" s="7" t="str">
        <f t="shared" si="44"/>
        <v>Ноябрь</v>
      </c>
      <c r="I951" t="s">
        <v>20</v>
      </c>
      <c r="J951">
        <v>42</v>
      </c>
      <c r="K951" t="s">
        <v>24</v>
      </c>
      <c r="L951">
        <v>3</v>
      </c>
      <c r="M951">
        <v>270</v>
      </c>
      <c r="N951" s="1">
        <f t="shared" si="45"/>
        <v>810</v>
      </c>
    </row>
    <row r="952" spans="5:14" x14ac:dyDescent="0.25">
      <c r="E952">
        <v>286</v>
      </c>
      <c r="F952" s="7">
        <v>44977</v>
      </c>
      <c r="G952">
        <f t="shared" si="43"/>
        <v>2023</v>
      </c>
      <c r="H952" s="7" t="str">
        <f t="shared" si="44"/>
        <v>Февраль</v>
      </c>
      <c r="I952" t="s">
        <v>20</v>
      </c>
      <c r="J952">
        <v>54</v>
      </c>
      <c r="K952" t="s">
        <v>23</v>
      </c>
      <c r="L952">
        <v>4</v>
      </c>
      <c r="M952">
        <v>25</v>
      </c>
      <c r="N952" s="1">
        <f t="shared" si="45"/>
        <v>100</v>
      </c>
    </row>
    <row r="953" spans="5:14" x14ac:dyDescent="0.25">
      <c r="E953">
        <v>679</v>
      </c>
      <c r="F953" s="7">
        <v>45121</v>
      </c>
      <c r="G953">
        <f t="shared" si="43"/>
        <v>2023</v>
      </c>
      <c r="H953" s="7" t="str">
        <f t="shared" si="44"/>
        <v>Июль</v>
      </c>
      <c r="I953" t="s">
        <v>22</v>
      </c>
      <c r="J953">
        <v>43</v>
      </c>
      <c r="K953" t="s">
        <v>24</v>
      </c>
      <c r="L953">
        <v>2</v>
      </c>
      <c r="M953">
        <v>30</v>
      </c>
      <c r="N953" s="1">
        <f t="shared" si="45"/>
        <v>60</v>
      </c>
    </row>
    <row r="954" spans="5:14" x14ac:dyDescent="0.25">
      <c r="E954">
        <v>544</v>
      </c>
      <c r="F954" s="7">
        <v>45078</v>
      </c>
      <c r="G954">
        <f t="shared" si="43"/>
        <v>2023</v>
      </c>
      <c r="H954" s="7" t="str">
        <f t="shared" si="44"/>
        <v>Июнь</v>
      </c>
      <c r="I954" t="s">
        <v>20</v>
      </c>
      <c r="J954">
        <v>27</v>
      </c>
      <c r="K954" t="s">
        <v>23</v>
      </c>
      <c r="L954">
        <v>2</v>
      </c>
      <c r="M954">
        <v>25</v>
      </c>
      <c r="N954" s="1">
        <f t="shared" si="45"/>
        <v>50</v>
      </c>
    </row>
    <row r="955" spans="5:14" x14ac:dyDescent="0.25">
      <c r="E955">
        <v>626</v>
      </c>
      <c r="F955" s="7">
        <v>45213</v>
      </c>
      <c r="G955">
        <f t="shared" si="43"/>
        <v>2023</v>
      </c>
      <c r="H955" s="7" t="str">
        <f t="shared" si="44"/>
        <v>Октябрь</v>
      </c>
      <c r="I955" t="s">
        <v>20</v>
      </c>
      <c r="J955">
        <v>57</v>
      </c>
      <c r="K955" t="s">
        <v>23</v>
      </c>
      <c r="L955">
        <v>1</v>
      </c>
      <c r="M955">
        <v>50</v>
      </c>
      <c r="N955" s="1">
        <f t="shared" si="45"/>
        <v>50</v>
      </c>
    </row>
    <row r="956" spans="5:14" x14ac:dyDescent="0.25">
      <c r="E956">
        <v>1290</v>
      </c>
      <c r="F956" s="7">
        <v>45414</v>
      </c>
      <c r="G956">
        <f t="shared" si="43"/>
        <v>2024</v>
      </c>
      <c r="H956" s="7" t="str">
        <f t="shared" si="44"/>
        <v>Май</v>
      </c>
      <c r="I956" t="s">
        <v>20</v>
      </c>
      <c r="J956">
        <v>41</v>
      </c>
      <c r="K956" t="s">
        <v>24</v>
      </c>
      <c r="L956">
        <v>2</v>
      </c>
      <c r="M956">
        <v>92</v>
      </c>
      <c r="N956" s="1">
        <f t="shared" si="45"/>
        <v>184</v>
      </c>
    </row>
    <row r="957" spans="5:14" x14ac:dyDescent="0.25">
      <c r="E957">
        <v>1824</v>
      </c>
      <c r="F957" s="7">
        <v>45635</v>
      </c>
      <c r="G957">
        <f t="shared" si="43"/>
        <v>2024</v>
      </c>
      <c r="H957" s="7" t="str">
        <f t="shared" si="44"/>
        <v>Декабрь</v>
      </c>
      <c r="I957" t="s">
        <v>22</v>
      </c>
      <c r="J957">
        <v>62</v>
      </c>
      <c r="K957" t="s">
        <v>24</v>
      </c>
      <c r="L957">
        <v>2</v>
      </c>
      <c r="M957">
        <v>58</v>
      </c>
      <c r="N957" s="1">
        <f t="shared" si="45"/>
        <v>116</v>
      </c>
    </row>
    <row r="958" spans="5:14" x14ac:dyDescent="0.25">
      <c r="E958">
        <v>1453</v>
      </c>
      <c r="F958" s="7">
        <v>45579</v>
      </c>
      <c r="G958">
        <f t="shared" si="43"/>
        <v>2024</v>
      </c>
      <c r="H958" s="7" t="str">
        <f t="shared" si="44"/>
        <v>Октябрь</v>
      </c>
      <c r="I958" t="s">
        <v>20</v>
      </c>
      <c r="J958">
        <v>59</v>
      </c>
      <c r="K958" t="s">
        <v>24</v>
      </c>
      <c r="L958">
        <v>3</v>
      </c>
      <c r="M958">
        <v>322</v>
      </c>
      <c r="N958" s="1">
        <f t="shared" si="45"/>
        <v>966</v>
      </c>
    </row>
    <row r="959" spans="5:14" x14ac:dyDescent="0.25">
      <c r="E959">
        <v>965</v>
      </c>
      <c r="F959" s="7">
        <v>45033</v>
      </c>
      <c r="G959">
        <f t="shared" si="43"/>
        <v>2023</v>
      </c>
      <c r="H959" s="7" t="str">
        <f t="shared" si="44"/>
        <v>Апрель</v>
      </c>
      <c r="I959" t="s">
        <v>20</v>
      </c>
      <c r="J959">
        <v>62</v>
      </c>
      <c r="K959" t="s">
        <v>21</v>
      </c>
      <c r="L959">
        <v>1</v>
      </c>
      <c r="M959">
        <v>25</v>
      </c>
      <c r="N959" s="1">
        <f t="shared" si="45"/>
        <v>25</v>
      </c>
    </row>
    <row r="960" spans="5:14" x14ac:dyDescent="0.25">
      <c r="E960">
        <v>720</v>
      </c>
      <c r="F960" s="7">
        <v>45121</v>
      </c>
      <c r="G960">
        <f t="shared" si="43"/>
        <v>2023</v>
      </c>
      <c r="H960" s="7" t="str">
        <f t="shared" si="44"/>
        <v>Июль</v>
      </c>
      <c r="I960" t="s">
        <v>20</v>
      </c>
      <c r="J960">
        <v>20</v>
      </c>
      <c r="K960" t="s">
        <v>21</v>
      </c>
      <c r="L960">
        <v>3</v>
      </c>
      <c r="M960">
        <v>300</v>
      </c>
      <c r="N960" s="1">
        <f t="shared" si="45"/>
        <v>900</v>
      </c>
    </row>
    <row r="961" spans="5:14" x14ac:dyDescent="0.25">
      <c r="E961">
        <v>33</v>
      </c>
      <c r="F961" s="7">
        <v>45008</v>
      </c>
      <c r="G961">
        <f t="shared" si="43"/>
        <v>2023</v>
      </c>
      <c r="H961" s="7" t="str">
        <f t="shared" si="44"/>
        <v>Март</v>
      </c>
      <c r="I961" t="s">
        <v>22</v>
      </c>
      <c r="J961">
        <v>50</v>
      </c>
      <c r="K961" t="s">
        <v>24</v>
      </c>
      <c r="L961">
        <v>2</v>
      </c>
      <c r="M961">
        <v>50</v>
      </c>
      <c r="N961" s="1">
        <f t="shared" si="45"/>
        <v>100</v>
      </c>
    </row>
    <row r="962" spans="5:14" x14ac:dyDescent="0.25">
      <c r="E962">
        <v>1002</v>
      </c>
      <c r="F962" s="7">
        <v>45433</v>
      </c>
      <c r="G962">
        <f t="shared" si="43"/>
        <v>2024</v>
      </c>
      <c r="H962" s="7" t="str">
        <f t="shared" si="44"/>
        <v>Май</v>
      </c>
      <c r="I962" t="s">
        <v>20</v>
      </c>
      <c r="J962">
        <v>30</v>
      </c>
      <c r="K962" t="s">
        <v>23</v>
      </c>
      <c r="L962">
        <v>7</v>
      </c>
      <c r="M962">
        <v>159</v>
      </c>
      <c r="N962" s="1">
        <f t="shared" si="45"/>
        <v>1113</v>
      </c>
    </row>
    <row r="963" spans="5:14" x14ac:dyDescent="0.25">
      <c r="E963">
        <v>1980</v>
      </c>
      <c r="F963" s="7">
        <v>45533</v>
      </c>
      <c r="G963">
        <f t="shared" si="43"/>
        <v>2024</v>
      </c>
      <c r="H963" s="7" t="str">
        <f t="shared" si="44"/>
        <v>Август</v>
      </c>
      <c r="I963" t="s">
        <v>20</v>
      </c>
      <c r="J963">
        <v>65</v>
      </c>
      <c r="K963" t="s">
        <v>23</v>
      </c>
      <c r="L963">
        <v>7</v>
      </c>
      <c r="M963">
        <v>93</v>
      </c>
      <c r="N963" s="1">
        <f t="shared" si="45"/>
        <v>651</v>
      </c>
    </row>
    <row r="964" spans="5:14" x14ac:dyDescent="0.25">
      <c r="E964">
        <v>1564</v>
      </c>
      <c r="F964" s="7">
        <v>45457</v>
      </c>
      <c r="G964">
        <f t="shared" si="43"/>
        <v>2024</v>
      </c>
      <c r="H964" s="7" t="str">
        <f t="shared" si="44"/>
        <v>Июнь</v>
      </c>
      <c r="I964" t="s">
        <v>22</v>
      </c>
      <c r="J964">
        <v>40</v>
      </c>
      <c r="K964" t="s">
        <v>23</v>
      </c>
      <c r="L964">
        <v>4</v>
      </c>
      <c r="M964">
        <v>318</v>
      </c>
      <c r="N964" s="1">
        <f t="shared" si="45"/>
        <v>1272</v>
      </c>
    </row>
    <row r="965" spans="5:14" x14ac:dyDescent="0.25">
      <c r="E965">
        <v>458</v>
      </c>
      <c r="F965" s="7">
        <v>45006</v>
      </c>
      <c r="G965">
        <f t="shared" si="43"/>
        <v>2023</v>
      </c>
      <c r="H965" s="7" t="str">
        <f t="shared" si="44"/>
        <v>Март</v>
      </c>
      <c r="I965" t="s">
        <v>20</v>
      </c>
      <c r="J965">
        <v>28</v>
      </c>
      <c r="K965" t="s">
        <v>23</v>
      </c>
      <c r="L965">
        <v>4</v>
      </c>
      <c r="M965">
        <v>300</v>
      </c>
      <c r="N965" s="1">
        <f t="shared" si="45"/>
        <v>1200</v>
      </c>
    </row>
    <row r="966" spans="5:14" x14ac:dyDescent="0.25">
      <c r="E966">
        <v>1087</v>
      </c>
      <c r="F966" s="7">
        <v>45566</v>
      </c>
      <c r="G966">
        <f t="shared" si="43"/>
        <v>2024</v>
      </c>
      <c r="H966" s="7" t="str">
        <f t="shared" si="44"/>
        <v>Октябрь</v>
      </c>
      <c r="I966" t="s">
        <v>22</v>
      </c>
      <c r="J966">
        <v>50</v>
      </c>
      <c r="K966" t="s">
        <v>24</v>
      </c>
      <c r="L966">
        <v>5</v>
      </c>
      <c r="M966">
        <v>287</v>
      </c>
      <c r="N966" s="1">
        <f t="shared" si="45"/>
        <v>1435</v>
      </c>
    </row>
    <row r="967" spans="5:14" x14ac:dyDescent="0.25">
      <c r="E967">
        <v>180</v>
      </c>
      <c r="F967" s="7">
        <v>44927</v>
      </c>
      <c r="G967">
        <f t="shared" si="43"/>
        <v>2023</v>
      </c>
      <c r="H967" s="7" t="str">
        <f t="shared" si="44"/>
        <v>Январь</v>
      </c>
      <c r="I967" t="s">
        <v>20</v>
      </c>
      <c r="J967">
        <v>41</v>
      </c>
      <c r="K967" t="s">
        <v>23</v>
      </c>
      <c r="L967">
        <v>3</v>
      </c>
      <c r="M967">
        <v>300</v>
      </c>
      <c r="N967" s="1">
        <f t="shared" si="45"/>
        <v>900</v>
      </c>
    </row>
    <row r="968" spans="5:14" x14ac:dyDescent="0.25">
      <c r="E968">
        <v>661</v>
      </c>
      <c r="F968" s="7">
        <v>45005</v>
      </c>
      <c r="G968">
        <f t="shared" si="43"/>
        <v>2023</v>
      </c>
      <c r="H968" s="7" t="str">
        <f t="shared" si="44"/>
        <v>Март</v>
      </c>
      <c r="I968" t="s">
        <v>20</v>
      </c>
      <c r="J968">
        <v>23</v>
      </c>
      <c r="K968" t="s">
        <v>23</v>
      </c>
      <c r="L968">
        <v>4</v>
      </c>
      <c r="M968">
        <v>300</v>
      </c>
      <c r="N968" s="1">
        <f t="shared" si="45"/>
        <v>1200</v>
      </c>
    </row>
    <row r="969" spans="5:14" x14ac:dyDescent="0.25">
      <c r="E969">
        <v>77</v>
      </c>
      <c r="F969" s="7">
        <v>45116</v>
      </c>
      <c r="G969">
        <f t="shared" si="43"/>
        <v>2023</v>
      </c>
      <c r="H969" s="7" t="str">
        <f t="shared" si="44"/>
        <v>Июль</v>
      </c>
      <c r="I969" t="s">
        <v>22</v>
      </c>
      <c r="J969">
        <v>47</v>
      </c>
      <c r="K969" t="s">
        <v>23</v>
      </c>
      <c r="L969">
        <v>2</v>
      </c>
      <c r="M969">
        <v>50</v>
      </c>
      <c r="N969" s="1">
        <f t="shared" si="45"/>
        <v>100</v>
      </c>
    </row>
    <row r="970" spans="5:14" x14ac:dyDescent="0.25">
      <c r="E970">
        <v>1718</v>
      </c>
      <c r="F970" s="7">
        <v>45487</v>
      </c>
      <c r="G970">
        <f t="shared" ref="G970:G1033" si="46">YEAR(F970)</f>
        <v>2024</v>
      </c>
      <c r="H970" s="7" t="str">
        <f t="shared" ref="H970:H1033" si="47">TEXT(F970,"ММММ")</f>
        <v>Июль</v>
      </c>
      <c r="I970" t="s">
        <v>20</v>
      </c>
      <c r="J970">
        <v>59</v>
      </c>
      <c r="K970" t="s">
        <v>21</v>
      </c>
      <c r="L970">
        <v>2</v>
      </c>
      <c r="M970">
        <v>104</v>
      </c>
      <c r="N970" s="1">
        <f t="shared" ref="N970:N1033" si="48">L970*M970</f>
        <v>208</v>
      </c>
    </row>
    <row r="971" spans="5:14" x14ac:dyDescent="0.25">
      <c r="E971">
        <v>1172</v>
      </c>
      <c r="F971" s="7">
        <v>45394</v>
      </c>
      <c r="G971">
        <f t="shared" si="46"/>
        <v>2024</v>
      </c>
      <c r="H971" s="7" t="str">
        <f t="shared" si="47"/>
        <v>Апрель</v>
      </c>
      <c r="I971" t="s">
        <v>22</v>
      </c>
      <c r="J971">
        <v>40</v>
      </c>
      <c r="K971" t="s">
        <v>21</v>
      </c>
      <c r="L971">
        <v>3</v>
      </c>
      <c r="M971">
        <v>183</v>
      </c>
      <c r="N971" s="1">
        <f t="shared" si="48"/>
        <v>549</v>
      </c>
    </row>
    <row r="972" spans="5:14" x14ac:dyDescent="0.25">
      <c r="E972">
        <v>1289</v>
      </c>
      <c r="F972" s="7">
        <v>45339</v>
      </c>
      <c r="G972">
        <f t="shared" si="46"/>
        <v>2024</v>
      </c>
      <c r="H972" s="7" t="str">
        <f t="shared" si="47"/>
        <v>Февраль</v>
      </c>
      <c r="I972" t="s">
        <v>20</v>
      </c>
      <c r="J972">
        <v>46</v>
      </c>
      <c r="K972" t="s">
        <v>21</v>
      </c>
      <c r="L972">
        <v>5</v>
      </c>
      <c r="M972">
        <v>491</v>
      </c>
      <c r="N972" s="1">
        <f t="shared" si="48"/>
        <v>2455</v>
      </c>
    </row>
    <row r="973" spans="5:14" x14ac:dyDescent="0.25">
      <c r="E973">
        <v>368</v>
      </c>
      <c r="F973" s="7">
        <v>45245</v>
      </c>
      <c r="G973">
        <f t="shared" si="46"/>
        <v>2023</v>
      </c>
      <c r="H973" s="7" t="str">
        <f t="shared" si="47"/>
        <v>Ноябрь</v>
      </c>
      <c r="I973" t="s">
        <v>20</v>
      </c>
      <c r="J973">
        <v>23</v>
      </c>
      <c r="K973" t="s">
        <v>24</v>
      </c>
      <c r="L973">
        <v>3</v>
      </c>
      <c r="M973">
        <v>500</v>
      </c>
      <c r="N973" s="1">
        <f t="shared" si="48"/>
        <v>1500</v>
      </c>
    </row>
    <row r="974" spans="5:14" x14ac:dyDescent="0.25">
      <c r="E974">
        <v>1017</v>
      </c>
      <c r="F974" s="7">
        <v>45551</v>
      </c>
      <c r="G974">
        <f t="shared" si="46"/>
        <v>2024</v>
      </c>
      <c r="H974" s="7" t="str">
        <f t="shared" si="47"/>
        <v>Сентябрь</v>
      </c>
      <c r="I974" t="s">
        <v>22</v>
      </c>
      <c r="J974">
        <v>36</v>
      </c>
      <c r="K974" t="s">
        <v>23</v>
      </c>
      <c r="L974">
        <v>7</v>
      </c>
      <c r="M974">
        <v>385</v>
      </c>
      <c r="N974" s="1">
        <f t="shared" si="48"/>
        <v>2695</v>
      </c>
    </row>
    <row r="975" spans="5:14" x14ac:dyDescent="0.25">
      <c r="E975">
        <v>1741</v>
      </c>
      <c r="F975" s="7">
        <v>45395</v>
      </c>
      <c r="G975">
        <f t="shared" si="46"/>
        <v>2024</v>
      </c>
      <c r="H975" s="7" t="str">
        <f t="shared" si="47"/>
        <v>Апрель</v>
      </c>
      <c r="I975" t="s">
        <v>20</v>
      </c>
      <c r="J975">
        <v>27</v>
      </c>
      <c r="K975" t="s">
        <v>21</v>
      </c>
      <c r="L975">
        <v>1</v>
      </c>
      <c r="M975">
        <v>445</v>
      </c>
      <c r="N975" s="1">
        <f t="shared" si="48"/>
        <v>445</v>
      </c>
    </row>
    <row r="976" spans="5:14" x14ac:dyDescent="0.25">
      <c r="E976">
        <v>1590</v>
      </c>
      <c r="F976" s="7">
        <v>45418</v>
      </c>
      <c r="G976">
        <f t="shared" si="46"/>
        <v>2024</v>
      </c>
      <c r="H976" s="7" t="str">
        <f t="shared" si="47"/>
        <v>Май</v>
      </c>
      <c r="I976" t="s">
        <v>20</v>
      </c>
      <c r="J976">
        <v>63</v>
      </c>
      <c r="K976" t="s">
        <v>24</v>
      </c>
      <c r="L976">
        <v>3</v>
      </c>
      <c r="M976">
        <v>456</v>
      </c>
      <c r="N976" s="1">
        <f t="shared" si="48"/>
        <v>1368</v>
      </c>
    </row>
    <row r="977" spans="5:14" x14ac:dyDescent="0.25">
      <c r="E977">
        <v>595</v>
      </c>
      <c r="F977" s="7">
        <v>44964</v>
      </c>
      <c r="G977">
        <f t="shared" si="46"/>
        <v>2023</v>
      </c>
      <c r="H977" s="7" t="str">
        <f t="shared" si="47"/>
        <v>Февраль</v>
      </c>
      <c r="I977" t="s">
        <v>22</v>
      </c>
      <c r="J977">
        <v>64</v>
      </c>
      <c r="K977" t="s">
        <v>24</v>
      </c>
      <c r="L977">
        <v>1</v>
      </c>
      <c r="M977">
        <v>300</v>
      </c>
      <c r="N977" s="1">
        <f t="shared" si="48"/>
        <v>300</v>
      </c>
    </row>
    <row r="978" spans="5:14" x14ac:dyDescent="0.25">
      <c r="E978">
        <v>264</v>
      </c>
      <c r="F978" s="7">
        <v>45271</v>
      </c>
      <c r="G978">
        <f t="shared" si="46"/>
        <v>2023</v>
      </c>
      <c r="H978" s="7" t="str">
        <f t="shared" si="47"/>
        <v>Декабрь</v>
      </c>
      <c r="I978" t="s">
        <v>20</v>
      </c>
      <c r="J978">
        <v>55</v>
      </c>
      <c r="K978" t="s">
        <v>23</v>
      </c>
      <c r="L978">
        <v>3</v>
      </c>
      <c r="M978">
        <v>300</v>
      </c>
      <c r="N978" s="1">
        <f t="shared" si="48"/>
        <v>900</v>
      </c>
    </row>
    <row r="979" spans="5:14" x14ac:dyDescent="0.25">
      <c r="E979">
        <v>591</v>
      </c>
      <c r="F979" s="7">
        <v>44950</v>
      </c>
      <c r="G979">
        <f t="shared" si="46"/>
        <v>2023</v>
      </c>
      <c r="H979" s="7" t="str">
        <f t="shared" si="47"/>
        <v>Январь</v>
      </c>
      <c r="I979" t="s">
        <v>22</v>
      </c>
      <c r="J979">
        <v>46</v>
      </c>
      <c r="K979" t="s">
        <v>21</v>
      </c>
      <c r="L979">
        <v>4</v>
      </c>
      <c r="M979">
        <v>500</v>
      </c>
      <c r="N979" s="1">
        <f t="shared" si="48"/>
        <v>2000</v>
      </c>
    </row>
    <row r="980" spans="5:14" x14ac:dyDescent="0.25">
      <c r="E980">
        <v>1968</v>
      </c>
      <c r="F980" s="7">
        <v>45333</v>
      </c>
      <c r="G980">
        <f t="shared" si="46"/>
        <v>2024</v>
      </c>
      <c r="H980" s="7" t="str">
        <f t="shared" si="47"/>
        <v>Февраль</v>
      </c>
      <c r="I980" t="s">
        <v>20</v>
      </c>
      <c r="J980">
        <v>40</v>
      </c>
      <c r="K980" t="s">
        <v>21</v>
      </c>
      <c r="L980">
        <v>6</v>
      </c>
      <c r="M980">
        <v>378</v>
      </c>
      <c r="N980" s="1">
        <f t="shared" si="48"/>
        <v>2268</v>
      </c>
    </row>
    <row r="981" spans="5:14" x14ac:dyDescent="0.25">
      <c r="E981">
        <v>392</v>
      </c>
      <c r="F981" s="7">
        <v>45210</v>
      </c>
      <c r="G981">
        <f t="shared" si="46"/>
        <v>2023</v>
      </c>
      <c r="H981" s="7" t="str">
        <f t="shared" si="47"/>
        <v>Октябрь</v>
      </c>
      <c r="I981" t="s">
        <v>22</v>
      </c>
      <c r="J981">
        <v>22</v>
      </c>
      <c r="K981" t="s">
        <v>21</v>
      </c>
      <c r="L981">
        <v>2</v>
      </c>
      <c r="M981">
        <v>500</v>
      </c>
      <c r="N981" s="1">
        <f t="shared" si="48"/>
        <v>1000</v>
      </c>
    </row>
    <row r="982" spans="5:14" x14ac:dyDescent="0.25">
      <c r="E982">
        <v>1711</v>
      </c>
      <c r="F982" s="7">
        <v>45622</v>
      </c>
      <c r="G982">
        <f t="shared" si="46"/>
        <v>2024</v>
      </c>
      <c r="H982" s="7" t="str">
        <f t="shared" si="47"/>
        <v>Ноябрь</v>
      </c>
      <c r="I982" t="s">
        <v>22</v>
      </c>
      <c r="J982">
        <v>61</v>
      </c>
      <c r="K982" t="s">
        <v>21</v>
      </c>
      <c r="L982">
        <v>1</v>
      </c>
      <c r="M982">
        <v>101</v>
      </c>
      <c r="N982" s="1">
        <f t="shared" si="48"/>
        <v>101</v>
      </c>
    </row>
    <row r="983" spans="5:14" x14ac:dyDescent="0.25">
      <c r="E983">
        <v>160</v>
      </c>
      <c r="F983" s="7">
        <v>45149</v>
      </c>
      <c r="G983">
        <f t="shared" si="46"/>
        <v>2023</v>
      </c>
      <c r="H983" s="7" t="str">
        <f t="shared" si="47"/>
        <v>Август</v>
      </c>
      <c r="I983" t="s">
        <v>22</v>
      </c>
      <c r="J983">
        <v>43</v>
      </c>
      <c r="K983" t="s">
        <v>23</v>
      </c>
      <c r="L983">
        <v>2</v>
      </c>
      <c r="M983">
        <v>50</v>
      </c>
      <c r="N983" s="1">
        <f t="shared" si="48"/>
        <v>100</v>
      </c>
    </row>
    <row r="984" spans="5:14" x14ac:dyDescent="0.25">
      <c r="E984">
        <v>854</v>
      </c>
      <c r="F984" s="7">
        <v>45257</v>
      </c>
      <c r="G984">
        <f t="shared" si="46"/>
        <v>2023</v>
      </c>
      <c r="H984" s="7" t="str">
        <f t="shared" si="47"/>
        <v>Ноябрь</v>
      </c>
      <c r="I984" t="s">
        <v>20</v>
      </c>
      <c r="J984">
        <v>54</v>
      </c>
      <c r="K984" t="s">
        <v>24</v>
      </c>
      <c r="L984">
        <v>4</v>
      </c>
      <c r="M984">
        <v>30</v>
      </c>
      <c r="N984" s="1">
        <f t="shared" si="48"/>
        <v>120</v>
      </c>
    </row>
    <row r="985" spans="5:14" x14ac:dyDescent="0.25">
      <c r="E985">
        <v>708</v>
      </c>
      <c r="F985" s="7">
        <v>45230</v>
      </c>
      <c r="G985">
        <f t="shared" si="46"/>
        <v>2023</v>
      </c>
      <c r="H985" s="7" t="str">
        <f t="shared" si="47"/>
        <v>Октябрь</v>
      </c>
      <c r="I985" t="s">
        <v>22</v>
      </c>
      <c r="J985">
        <v>26</v>
      </c>
      <c r="K985" t="s">
        <v>24</v>
      </c>
      <c r="L985">
        <v>3</v>
      </c>
      <c r="M985">
        <v>500</v>
      </c>
      <c r="N985" s="1">
        <f t="shared" si="48"/>
        <v>1500</v>
      </c>
    </row>
    <row r="986" spans="5:14" x14ac:dyDescent="0.25">
      <c r="E986">
        <v>1198</v>
      </c>
      <c r="F986" s="7">
        <v>45536</v>
      </c>
      <c r="G986">
        <f t="shared" si="46"/>
        <v>2024</v>
      </c>
      <c r="H986" s="7" t="str">
        <f t="shared" si="47"/>
        <v>Сентябрь</v>
      </c>
      <c r="I986" t="s">
        <v>20</v>
      </c>
      <c r="J986">
        <v>36</v>
      </c>
      <c r="K986" t="s">
        <v>21</v>
      </c>
      <c r="L986">
        <v>2</v>
      </c>
      <c r="M986">
        <v>77</v>
      </c>
      <c r="N986" s="1">
        <f t="shared" si="48"/>
        <v>154</v>
      </c>
    </row>
    <row r="987" spans="5:14" x14ac:dyDescent="0.25">
      <c r="E987">
        <v>2</v>
      </c>
      <c r="F987" s="7">
        <v>44984</v>
      </c>
      <c r="G987">
        <f t="shared" si="46"/>
        <v>2023</v>
      </c>
      <c r="H987" s="7" t="str">
        <f t="shared" si="47"/>
        <v>Февраль</v>
      </c>
      <c r="I987" t="s">
        <v>22</v>
      </c>
      <c r="J987">
        <v>26</v>
      </c>
      <c r="K987" t="s">
        <v>23</v>
      </c>
      <c r="L987">
        <v>2</v>
      </c>
      <c r="M987">
        <v>500</v>
      </c>
      <c r="N987" s="1">
        <f t="shared" si="48"/>
        <v>1000</v>
      </c>
    </row>
    <row r="988" spans="5:14" x14ac:dyDescent="0.25">
      <c r="E988">
        <v>1189</v>
      </c>
      <c r="F988" s="7">
        <v>45583</v>
      </c>
      <c r="G988">
        <f t="shared" si="46"/>
        <v>2024</v>
      </c>
      <c r="H988" s="7" t="str">
        <f t="shared" si="47"/>
        <v>Октябрь</v>
      </c>
      <c r="I988" t="s">
        <v>20</v>
      </c>
      <c r="J988">
        <v>20</v>
      </c>
      <c r="K988" t="s">
        <v>21</v>
      </c>
      <c r="L988">
        <v>1</v>
      </c>
      <c r="M988">
        <v>96</v>
      </c>
      <c r="N988" s="1">
        <f t="shared" si="48"/>
        <v>96</v>
      </c>
    </row>
    <row r="989" spans="5:14" x14ac:dyDescent="0.25">
      <c r="E989">
        <v>944</v>
      </c>
      <c r="F989" s="7">
        <v>45054</v>
      </c>
      <c r="G989">
        <f t="shared" si="46"/>
        <v>2023</v>
      </c>
      <c r="H989" s="7" t="str">
        <f t="shared" si="47"/>
        <v>Май</v>
      </c>
      <c r="I989" t="s">
        <v>20</v>
      </c>
      <c r="J989">
        <v>62</v>
      </c>
      <c r="K989" t="s">
        <v>24</v>
      </c>
      <c r="L989">
        <v>4</v>
      </c>
      <c r="M989">
        <v>500</v>
      </c>
      <c r="N989" s="1">
        <f t="shared" si="48"/>
        <v>2000</v>
      </c>
    </row>
    <row r="990" spans="5:14" x14ac:dyDescent="0.25">
      <c r="E990">
        <v>733</v>
      </c>
      <c r="F990" s="7">
        <v>45203</v>
      </c>
      <c r="G990">
        <f t="shared" si="46"/>
        <v>2023</v>
      </c>
      <c r="H990" s="7" t="str">
        <f t="shared" si="47"/>
        <v>Октябрь</v>
      </c>
      <c r="I990" t="s">
        <v>22</v>
      </c>
      <c r="J990">
        <v>64</v>
      </c>
      <c r="K990" t="s">
        <v>23</v>
      </c>
      <c r="L990">
        <v>4</v>
      </c>
      <c r="M990">
        <v>500</v>
      </c>
      <c r="N990" s="1">
        <f t="shared" si="48"/>
        <v>2000</v>
      </c>
    </row>
    <row r="991" spans="5:14" x14ac:dyDescent="0.25">
      <c r="E991">
        <v>1331</v>
      </c>
      <c r="F991" s="7">
        <v>45597</v>
      </c>
      <c r="G991">
        <f t="shared" si="46"/>
        <v>2024</v>
      </c>
      <c r="H991" s="7" t="str">
        <f t="shared" si="47"/>
        <v>Ноябрь</v>
      </c>
      <c r="I991" t="s">
        <v>20</v>
      </c>
      <c r="J991">
        <v>37</v>
      </c>
      <c r="K991" t="s">
        <v>24</v>
      </c>
      <c r="L991">
        <v>4</v>
      </c>
      <c r="M991">
        <v>66</v>
      </c>
      <c r="N991" s="1">
        <f t="shared" si="48"/>
        <v>264</v>
      </c>
    </row>
    <row r="992" spans="5:14" x14ac:dyDescent="0.25">
      <c r="E992">
        <v>714</v>
      </c>
      <c r="F992" s="7">
        <v>45146</v>
      </c>
      <c r="G992">
        <f t="shared" si="46"/>
        <v>2023</v>
      </c>
      <c r="H992" s="7" t="str">
        <f t="shared" si="47"/>
        <v>Август</v>
      </c>
      <c r="I992" t="s">
        <v>22</v>
      </c>
      <c r="J992">
        <v>60</v>
      </c>
      <c r="K992" t="s">
        <v>23</v>
      </c>
      <c r="L992">
        <v>4</v>
      </c>
      <c r="M992">
        <v>300</v>
      </c>
      <c r="N992" s="1">
        <f t="shared" si="48"/>
        <v>1200</v>
      </c>
    </row>
    <row r="993" spans="5:14" x14ac:dyDescent="0.25">
      <c r="E993">
        <v>373</v>
      </c>
      <c r="F993" s="7">
        <v>45036</v>
      </c>
      <c r="G993">
        <f t="shared" si="46"/>
        <v>2023</v>
      </c>
      <c r="H993" s="7" t="str">
        <f t="shared" si="47"/>
        <v>Апрель</v>
      </c>
      <c r="I993" t="s">
        <v>22</v>
      </c>
      <c r="J993">
        <v>59</v>
      </c>
      <c r="K993" t="s">
        <v>21</v>
      </c>
      <c r="L993">
        <v>3</v>
      </c>
      <c r="M993">
        <v>25</v>
      </c>
      <c r="N993" s="1">
        <f t="shared" si="48"/>
        <v>75</v>
      </c>
    </row>
    <row r="994" spans="5:14" x14ac:dyDescent="0.25">
      <c r="E994">
        <v>301</v>
      </c>
      <c r="F994" s="7">
        <v>45121</v>
      </c>
      <c r="G994">
        <f t="shared" si="46"/>
        <v>2023</v>
      </c>
      <c r="H994" s="7" t="str">
        <f t="shared" si="47"/>
        <v>Июль</v>
      </c>
      <c r="I994" t="s">
        <v>20</v>
      </c>
      <c r="J994">
        <v>57</v>
      </c>
      <c r="K994" t="s">
        <v>21</v>
      </c>
      <c r="L994">
        <v>2</v>
      </c>
      <c r="M994">
        <v>300</v>
      </c>
      <c r="N994" s="1">
        <f t="shared" si="48"/>
        <v>600</v>
      </c>
    </row>
    <row r="995" spans="5:14" x14ac:dyDescent="0.25">
      <c r="E995">
        <v>1710</v>
      </c>
      <c r="F995" s="7">
        <v>45334</v>
      </c>
      <c r="G995">
        <f t="shared" si="46"/>
        <v>2024</v>
      </c>
      <c r="H995" s="7" t="str">
        <f t="shared" si="47"/>
        <v>Февраль</v>
      </c>
      <c r="I995" t="s">
        <v>22</v>
      </c>
      <c r="J995">
        <v>42</v>
      </c>
      <c r="K995" t="s">
        <v>23</v>
      </c>
      <c r="L995">
        <v>6</v>
      </c>
      <c r="M995">
        <v>31</v>
      </c>
      <c r="N995" s="1">
        <f t="shared" si="48"/>
        <v>186</v>
      </c>
    </row>
    <row r="996" spans="5:14" x14ac:dyDescent="0.25">
      <c r="E996">
        <v>488</v>
      </c>
      <c r="F996" s="7">
        <v>45069</v>
      </c>
      <c r="G996">
        <f t="shared" si="46"/>
        <v>2023</v>
      </c>
      <c r="H996" s="7" t="str">
        <f t="shared" si="47"/>
        <v>Май</v>
      </c>
      <c r="I996" t="s">
        <v>20</v>
      </c>
      <c r="J996">
        <v>44</v>
      </c>
      <c r="K996" t="s">
        <v>24</v>
      </c>
      <c r="L996">
        <v>1</v>
      </c>
      <c r="M996">
        <v>30</v>
      </c>
      <c r="N996" s="1">
        <f t="shared" si="48"/>
        <v>30</v>
      </c>
    </row>
    <row r="997" spans="5:14" x14ac:dyDescent="0.25">
      <c r="E997">
        <v>1972</v>
      </c>
      <c r="F997" s="7">
        <v>45575</v>
      </c>
      <c r="G997">
        <f t="shared" si="46"/>
        <v>2024</v>
      </c>
      <c r="H997" s="7" t="str">
        <f t="shared" si="47"/>
        <v>Октябрь</v>
      </c>
      <c r="I997" t="s">
        <v>22</v>
      </c>
      <c r="J997">
        <v>59</v>
      </c>
      <c r="K997" t="s">
        <v>21</v>
      </c>
      <c r="L997">
        <v>6</v>
      </c>
      <c r="M997">
        <v>424</v>
      </c>
      <c r="N997" s="1">
        <f t="shared" si="48"/>
        <v>2544</v>
      </c>
    </row>
    <row r="998" spans="5:14" x14ac:dyDescent="0.25">
      <c r="E998">
        <v>423</v>
      </c>
      <c r="F998" s="7">
        <v>45253</v>
      </c>
      <c r="G998">
        <f t="shared" si="46"/>
        <v>2023</v>
      </c>
      <c r="H998" s="7" t="str">
        <f t="shared" si="47"/>
        <v>Ноябрь</v>
      </c>
      <c r="I998" t="s">
        <v>20</v>
      </c>
      <c r="J998">
        <v>57</v>
      </c>
      <c r="K998" t="s">
        <v>21</v>
      </c>
      <c r="L998">
        <v>4</v>
      </c>
      <c r="M998">
        <v>300</v>
      </c>
      <c r="N998" s="1">
        <f t="shared" si="48"/>
        <v>1200</v>
      </c>
    </row>
    <row r="999" spans="5:14" x14ac:dyDescent="0.25">
      <c r="E999">
        <v>1398</v>
      </c>
      <c r="F999" s="7">
        <v>45576</v>
      </c>
      <c r="G999">
        <f t="shared" si="46"/>
        <v>2024</v>
      </c>
      <c r="H999" s="7" t="str">
        <f t="shared" si="47"/>
        <v>Октябрь</v>
      </c>
      <c r="I999" t="s">
        <v>22</v>
      </c>
      <c r="J999">
        <v>57</v>
      </c>
      <c r="K999" t="s">
        <v>23</v>
      </c>
      <c r="L999">
        <v>6</v>
      </c>
      <c r="M999">
        <v>27</v>
      </c>
      <c r="N999" s="1">
        <f t="shared" si="48"/>
        <v>162</v>
      </c>
    </row>
    <row r="1000" spans="5:14" x14ac:dyDescent="0.25">
      <c r="E1000">
        <v>906</v>
      </c>
      <c r="F1000" s="7">
        <v>45289</v>
      </c>
      <c r="G1000">
        <f t="shared" si="46"/>
        <v>2023</v>
      </c>
      <c r="H1000" s="7" t="str">
        <f t="shared" si="47"/>
        <v>Декабрь</v>
      </c>
      <c r="I1000" t="s">
        <v>20</v>
      </c>
      <c r="J1000">
        <v>46</v>
      </c>
      <c r="K1000" t="s">
        <v>21</v>
      </c>
      <c r="L1000">
        <v>4</v>
      </c>
      <c r="M1000">
        <v>300</v>
      </c>
      <c r="N1000" s="1">
        <f t="shared" si="48"/>
        <v>1200</v>
      </c>
    </row>
    <row r="1001" spans="5:14" x14ac:dyDescent="0.25">
      <c r="E1001">
        <v>749</v>
      </c>
      <c r="F1001" s="7">
        <v>45169</v>
      </c>
      <c r="G1001">
        <f t="shared" si="46"/>
        <v>2023</v>
      </c>
      <c r="H1001" s="7" t="str">
        <f t="shared" si="47"/>
        <v>Август</v>
      </c>
      <c r="I1001" t="s">
        <v>22</v>
      </c>
      <c r="J1001">
        <v>42</v>
      </c>
      <c r="K1001" t="s">
        <v>23</v>
      </c>
      <c r="L1001">
        <v>2</v>
      </c>
      <c r="M1001">
        <v>25</v>
      </c>
      <c r="N1001" s="1">
        <f t="shared" si="48"/>
        <v>50</v>
      </c>
    </row>
    <row r="1002" spans="5:14" x14ac:dyDescent="0.25">
      <c r="E1002">
        <v>377</v>
      </c>
      <c r="F1002" s="7">
        <v>45105</v>
      </c>
      <c r="G1002">
        <f t="shared" si="46"/>
        <v>2023</v>
      </c>
      <c r="H1002" s="7" t="str">
        <f t="shared" si="47"/>
        <v>Июнь</v>
      </c>
      <c r="I1002" t="s">
        <v>20</v>
      </c>
      <c r="J1002">
        <v>50</v>
      </c>
      <c r="K1002" t="s">
        <v>21</v>
      </c>
      <c r="L1002">
        <v>1</v>
      </c>
      <c r="M1002">
        <v>300</v>
      </c>
      <c r="N1002" s="1">
        <f t="shared" si="48"/>
        <v>300</v>
      </c>
    </row>
    <row r="1003" spans="5:14" x14ac:dyDescent="0.25">
      <c r="E1003">
        <v>381</v>
      </c>
      <c r="F1003" s="7">
        <v>45072</v>
      </c>
      <c r="G1003">
        <f t="shared" si="46"/>
        <v>2023</v>
      </c>
      <c r="H1003" s="7" t="str">
        <f t="shared" si="47"/>
        <v>Май</v>
      </c>
      <c r="I1003" t="s">
        <v>22</v>
      </c>
      <c r="J1003">
        <v>53</v>
      </c>
      <c r="K1003" t="s">
        <v>23</v>
      </c>
      <c r="L1003">
        <v>2</v>
      </c>
      <c r="M1003">
        <v>500</v>
      </c>
      <c r="N1003" s="1">
        <f t="shared" si="48"/>
        <v>1000</v>
      </c>
    </row>
    <row r="1004" spans="5:14" x14ac:dyDescent="0.25">
      <c r="E1004">
        <v>1979</v>
      </c>
      <c r="F1004" s="7">
        <v>45597</v>
      </c>
      <c r="G1004">
        <f t="shared" si="46"/>
        <v>2024</v>
      </c>
      <c r="H1004" s="7" t="str">
        <f t="shared" si="47"/>
        <v>Ноябрь</v>
      </c>
      <c r="I1004" t="s">
        <v>22</v>
      </c>
      <c r="J1004">
        <v>59</v>
      </c>
      <c r="K1004" t="s">
        <v>23</v>
      </c>
      <c r="L1004">
        <v>4</v>
      </c>
      <c r="M1004">
        <v>132</v>
      </c>
      <c r="N1004" s="1">
        <f t="shared" si="48"/>
        <v>528</v>
      </c>
    </row>
    <row r="1005" spans="5:14" x14ac:dyDescent="0.25">
      <c r="E1005">
        <v>526</v>
      </c>
      <c r="F1005" s="7">
        <v>45027</v>
      </c>
      <c r="G1005">
        <f t="shared" si="46"/>
        <v>2023</v>
      </c>
      <c r="H1005" s="7" t="str">
        <f t="shared" si="47"/>
        <v>Апрель</v>
      </c>
      <c r="I1005" t="s">
        <v>20</v>
      </c>
      <c r="J1005">
        <v>57</v>
      </c>
      <c r="K1005" t="s">
        <v>23</v>
      </c>
      <c r="L1005">
        <v>2</v>
      </c>
      <c r="M1005">
        <v>25</v>
      </c>
      <c r="N1005" s="1">
        <f t="shared" si="48"/>
        <v>50</v>
      </c>
    </row>
    <row r="1006" spans="5:14" x14ac:dyDescent="0.25">
      <c r="E1006">
        <v>648</v>
      </c>
      <c r="F1006" s="7">
        <v>44966</v>
      </c>
      <c r="G1006">
        <f t="shared" si="46"/>
        <v>2023</v>
      </c>
      <c r="H1006" s="7" t="str">
        <f t="shared" si="47"/>
        <v>Февраль</v>
      </c>
      <c r="I1006" t="s">
        <v>22</v>
      </c>
      <c r="J1006">
        <v>58</v>
      </c>
      <c r="K1006" t="s">
        <v>23</v>
      </c>
      <c r="L1006">
        <v>2</v>
      </c>
      <c r="M1006">
        <v>300</v>
      </c>
      <c r="N1006" s="1">
        <f t="shared" si="48"/>
        <v>600</v>
      </c>
    </row>
    <row r="1007" spans="5:14" x14ac:dyDescent="0.25">
      <c r="E1007">
        <v>1554</v>
      </c>
      <c r="F1007" s="7">
        <v>45500</v>
      </c>
      <c r="G1007">
        <f t="shared" si="46"/>
        <v>2024</v>
      </c>
      <c r="H1007" s="7" t="str">
        <f t="shared" si="47"/>
        <v>Июль</v>
      </c>
      <c r="I1007" t="s">
        <v>22</v>
      </c>
      <c r="J1007">
        <v>36</v>
      </c>
      <c r="K1007" t="s">
        <v>21</v>
      </c>
      <c r="L1007">
        <v>5</v>
      </c>
      <c r="M1007">
        <v>86</v>
      </c>
      <c r="N1007" s="1">
        <f t="shared" si="48"/>
        <v>430</v>
      </c>
    </row>
    <row r="1008" spans="5:14" x14ac:dyDescent="0.25">
      <c r="E1008">
        <v>1712</v>
      </c>
      <c r="F1008" s="7">
        <v>45512</v>
      </c>
      <c r="G1008">
        <f t="shared" si="46"/>
        <v>2024</v>
      </c>
      <c r="H1008" s="7" t="str">
        <f t="shared" si="47"/>
        <v>Август</v>
      </c>
      <c r="I1008" t="s">
        <v>22</v>
      </c>
      <c r="J1008">
        <v>49</v>
      </c>
      <c r="K1008" t="s">
        <v>23</v>
      </c>
      <c r="L1008">
        <v>3</v>
      </c>
      <c r="M1008">
        <v>161</v>
      </c>
      <c r="N1008" s="1">
        <f t="shared" si="48"/>
        <v>483</v>
      </c>
    </row>
    <row r="1009" spans="5:14" x14ac:dyDescent="0.25">
      <c r="E1009">
        <v>1345</v>
      </c>
      <c r="F1009" s="7">
        <v>45629</v>
      </c>
      <c r="G1009">
        <f t="shared" si="46"/>
        <v>2024</v>
      </c>
      <c r="H1009" s="7" t="str">
        <f t="shared" si="47"/>
        <v>Декабрь</v>
      </c>
      <c r="I1009" t="s">
        <v>22</v>
      </c>
      <c r="J1009">
        <v>27</v>
      </c>
      <c r="K1009" t="s">
        <v>24</v>
      </c>
      <c r="L1009">
        <v>5</v>
      </c>
      <c r="M1009">
        <v>96</v>
      </c>
      <c r="N1009" s="1">
        <f t="shared" si="48"/>
        <v>480</v>
      </c>
    </row>
    <row r="1010" spans="5:14" x14ac:dyDescent="0.25">
      <c r="E1010">
        <v>296</v>
      </c>
      <c r="F1010" s="7">
        <v>45173</v>
      </c>
      <c r="G1010">
        <f t="shared" si="46"/>
        <v>2023</v>
      </c>
      <c r="H1010" s="7" t="str">
        <f t="shared" si="47"/>
        <v>Сентябрь</v>
      </c>
      <c r="I1010" t="s">
        <v>22</v>
      </c>
      <c r="J1010">
        <v>40</v>
      </c>
      <c r="K1010" t="s">
        <v>24</v>
      </c>
      <c r="L1010">
        <v>2</v>
      </c>
      <c r="M1010">
        <v>500</v>
      </c>
      <c r="N1010" s="1">
        <f t="shared" si="48"/>
        <v>1000</v>
      </c>
    </row>
    <row r="1011" spans="5:14" x14ac:dyDescent="0.25">
      <c r="E1011">
        <v>1438</v>
      </c>
      <c r="F1011" s="7">
        <v>45575</v>
      </c>
      <c r="G1011">
        <f t="shared" si="46"/>
        <v>2024</v>
      </c>
      <c r="H1011" s="7" t="str">
        <f t="shared" si="47"/>
        <v>Октябрь</v>
      </c>
      <c r="I1011" t="s">
        <v>20</v>
      </c>
      <c r="J1011">
        <v>31</v>
      </c>
      <c r="K1011" t="s">
        <v>21</v>
      </c>
      <c r="L1011">
        <v>4</v>
      </c>
      <c r="M1011">
        <v>86</v>
      </c>
      <c r="N1011" s="1">
        <f t="shared" si="48"/>
        <v>344</v>
      </c>
    </row>
    <row r="1012" spans="5:14" x14ac:dyDescent="0.25">
      <c r="E1012">
        <v>1880</v>
      </c>
      <c r="F1012" s="7">
        <v>45411</v>
      </c>
      <c r="G1012">
        <f t="shared" si="46"/>
        <v>2024</v>
      </c>
      <c r="H1012" s="7" t="str">
        <f t="shared" si="47"/>
        <v>Апрель</v>
      </c>
      <c r="I1012" t="s">
        <v>22</v>
      </c>
      <c r="J1012">
        <v>53</v>
      </c>
      <c r="K1012" t="s">
        <v>23</v>
      </c>
      <c r="L1012">
        <v>5</v>
      </c>
      <c r="M1012">
        <v>407</v>
      </c>
      <c r="N1012" s="1">
        <f t="shared" si="48"/>
        <v>2035</v>
      </c>
    </row>
    <row r="1013" spans="5:14" x14ac:dyDescent="0.25">
      <c r="E1013">
        <v>1602</v>
      </c>
      <c r="F1013" s="7">
        <v>45497</v>
      </c>
      <c r="G1013">
        <f t="shared" si="46"/>
        <v>2024</v>
      </c>
      <c r="H1013" s="7" t="str">
        <f t="shared" si="47"/>
        <v>Июль</v>
      </c>
      <c r="I1013" t="s">
        <v>20</v>
      </c>
      <c r="J1013">
        <v>22</v>
      </c>
      <c r="K1013" t="s">
        <v>24</v>
      </c>
      <c r="L1013">
        <v>1</v>
      </c>
      <c r="M1013">
        <v>97</v>
      </c>
      <c r="N1013" s="1">
        <f t="shared" si="48"/>
        <v>97</v>
      </c>
    </row>
    <row r="1014" spans="5:14" x14ac:dyDescent="0.25">
      <c r="E1014">
        <v>304</v>
      </c>
      <c r="F1014" s="7">
        <v>45062</v>
      </c>
      <c r="G1014">
        <f t="shared" si="46"/>
        <v>2023</v>
      </c>
      <c r="H1014" s="7" t="str">
        <f t="shared" si="47"/>
        <v>Май</v>
      </c>
      <c r="I1014" t="s">
        <v>22</v>
      </c>
      <c r="J1014">
        <v>18</v>
      </c>
      <c r="K1014" t="s">
        <v>21</v>
      </c>
      <c r="L1014">
        <v>1</v>
      </c>
      <c r="M1014">
        <v>30</v>
      </c>
      <c r="N1014" s="1">
        <f t="shared" si="48"/>
        <v>30</v>
      </c>
    </row>
    <row r="1015" spans="5:14" x14ac:dyDescent="0.25">
      <c r="E1015">
        <v>1861</v>
      </c>
      <c r="F1015" s="7">
        <v>45647</v>
      </c>
      <c r="G1015">
        <f t="shared" si="46"/>
        <v>2024</v>
      </c>
      <c r="H1015" s="7" t="str">
        <f t="shared" si="47"/>
        <v>Декабрь</v>
      </c>
      <c r="I1015" t="s">
        <v>22</v>
      </c>
      <c r="J1015">
        <v>35</v>
      </c>
      <c r="K1015" t="s">
        <v>23</v>
      </c>
      <c r="L1015">
        <v>3</v>
      </c>
      <c r="M1015">
        <v>228</v>
      </c>
      <c r="N1015" s="1">
        <f t="shared" si="48"/>
        <v>684</v>
      </c>
    </row>
    <row r="1016" spans="5:14" x14ac:dyDescent="0.25">
      <c r="E1016">
        <v>512</v>
      </c>
      <c r="F1016" s="7">
        <v>45188</v>
      </c>
      <c r="G1016">
        <f t="shared" si="46"/>
        <v>2023</v>
      </c>
      <c r="H1016" s="7" t="str">
        <f t="shared" si="47"/>
        <v>Сентябрь</v>
      </c>
      <c r="I1016" t="s">
        <v>20</v>
      </c>
      <c r="J1016">
        <v>24</v>
      </c>
      <c r="K1016" t="s">
        <v>24</v>
      </c>
      <c r="L1016">
        <v>4</v>
      </c>
      <c r="M1016">
        <v>25</v>
      </c>
      <c r="N1016" s="1">
        <f t="shared" si="48"/>
        <v>100</v>
      </c>
    </row>
    <row r="1017" spans="5:14" x14ac:dyDescent="0.25">
      <c r="E1017">
        <v>1485</v>
      </c>
      <c r="F1017" s="7">
        <v>45461</v>
      </c>
      <c r="G1017">
        <f t="shared" si="46"/>
        <v>2024</v>
      </c>
      <c r="H1017" s="7" t="str">
        <f t="shared" si="47"/>
        <v>Июнь</v>
      </c>
      <c r="I1017" t="s">
        <v>22</v>
      </c>
      <c r="J1017">
        <v>31</v>
      </c>
      <c r="K1017" t="s">
        <v>24</v>
      </c>
      <c r="L1017">
        <v>7</v>
      </c>
      <c r="M1017">
        <v>343</v>
      </c>
      <c r="N1017" s="1">
        <f t="shared" si="48"/>
        <v>2401</v>
      </c>
    </row>
    <row r="1018" spans="5:14" x14ac:dyDescent="0.25">
      <c r="E1018">
        <v>1252</v>
      </c>
      <c r="F1018" s="7">
        <v>45390</v>
      </c>
      <c r="G1018">
        <f t="shared" si="46"/>
        <v>2024</v>
      </c>
      <c r="H1018" s="7" t="str">
        <f t="shared" si="47"/>
        <v>Апрель</v>
      </c>
      <c r="I1018" t="s">
        <v>20</v>
      </c>
      <c r="J1018">
        <v>50</v>
      </c>
      <c r="K1018" t="s">
        <v>23</v>
      </c>
      <c r="L1018">
        <v>1</v>
      </c>
      <c r="M1018">
        <v>178</v>
      </c>
      <c r="N1018" s="1">
        <f t="shared" si="48"/>
        <v>178</v>
      </c>
    </row>
    <row r="1019" spans="5:14" x14ac:dyDescent="0.25">
      <c r="E1019">
        <v>30</v>
      </c>
      <c r="F1019" s="7">
        <v>45228</v>
      </c>
      <c r="G1019">
        <f t="shared" si="46"/>
        <v>2023</v>
      </c>
      <c r="H1019" s="7" t="str">
        <f t="shared" si="47"/>
        <v>Октябрь</v>
      </c>
      <c r="I1019" t="s">
        <v>22</v>
      </c>
      <c r="J1019">
        <v>39</v>
      </c>
      <c r="K1019" t="s">
        <v>21</v>
      </c>
      <c r="L1019">
        <v>3</v>
      </c>
      <c r="M1019">
        <v>300</v>
      </c>
      <c r="N1019" s="1">
        <f t="shared" si="48"/>
        <v>900</v>
      </c>
    </row>
    <row r="1020" spans="5:14" x14ac:dyDescent="0.25">
      <c r="E1020">
        <v>1556</v>
      </c>
      <c r="F1020" s="7">
        <v>45292</v>
      </c>
      <c r="G1020">
        <f t="shared" si="46"/>
        <v>2024</v>
      </c>
      <c r="H1020" s="7" t="str">
        <f t="shared" si="47"/>
        <v>Январь</v>
      </c>
      <c r="I1020" t="s">
        <v>22</v>
      </c>
      <c r="J1020">
        <v>52</v>
      </c>
      <c r="K1020" t="s">
        <v>23</v>
      </c>
      <c r="L1020">
        <v>7</v>
      </c>
      <c r="M1020">
        <v>363</v>
      </c>
      <c r="N1020" s="1">
        <f t="shared" si="48"/>
        <v>2541</v>
      </c>
    </row>
    <row r="1021" spans="5:14" x14ac:dyDescent="0.25">
      <c r="E1021">
        <v>463</v>
      </c>
      <c r="F1021" s="7">
        <v>44939</v>
      </c>
      <c r="G1021">
        <f t="shared" si="46"/>
        <v>2023</v>
      </c>
      <c r="H1021" s="7" t="str">
        <f t="shared" si="47"/>
        <v>Январь</v>
      </c>
      <c r="I1021" t="s">
        <v>20</v>
      </c>
      <c r="J1021">
        <v>38</v>
      </c>
      <c r="K1021" t="s">
        <v>24</v>
      </c>
      <c r="L1021">
        <v>2</v>
      </c>
      <c r="M1021">
        <v>300</v>
      </c>
      <c r="N1021" s="1">
        <f t="shared" si="48"/>
        <v>600</v>
      </c>
    </row>
    <row r="1022" spans="5:14" x14ac:dyDescent="0.25">
      <c r="E1022">
        <v>1241</v>
      </c>
      <c r="F1022" s="7">
        <v>45635</v>
      </c>
      <c r="G1022">
        <f t="shared" si="46"/>
        <v>2024</v>
      </c>
      <c r="H1022" s="7" t="str">
        <f t="shared" si="47"/>
        <v>Декабрь</v>
      </c>
      <c r="I1022" t="s">
        <v>20</v>
      </c>
      <c r="J1022">
        <v>30</v>
      </c>
      <c r="K1022" t="s">
        <v>21</v>
      </c>
      <c r="L1022">
        <v>1</v>
      </c>
      <c r="M1022">
        <v>208</v>
      </c>
      <c r="N1022" s="1">
        <f t="shared" si="48"/>
        <v>208</v>
      </c>
    </row>
    <row r="1023" spans="5:14" x14ac:dyDescent="0.25">
      <c r="E1023">
        <v>1865</v>
      </c>
      <c r="F1023" s="7">
        <v>45590</v>
      </c>
      <c r="G1023">
        <f t="shared" si="46"/>
        <v>2024</v>
      </c>
      <c r="H1023" s="7" t="str">
        <f t="shared" si="47"/>
        <v>Октябрь</v>
      </c>
      <c r="I1023" t="s">
        <v>20</v>
      </c>
      <c r="J1023">
        <v>42</v>
      </c>
      <c r="K1023" t="s">
        <v>21</v>
      </c>
      <c r="L1023">
        <v>6</v>
      </c>
      <c r="M1023">
        <v>221</v>
      </c>
      <c r="N1023" s="1">
        <f t="shared" si="48"/>
        <v>1326</v>
      </c>
    </row>
    <row r="1024" spans="5:14" x14ac:dyDescent="0.25">
      <c r="E1024">
        <v>1875</v>
      </c>
      <c r="F1024" s="7">
        <v>45652</v>
      </c>
      <c r="G1024">
        <f t="shared" si="46"/>
        <v>2024</v>
      </c>
      <c r="H1024" s="7" t="str">
        <f t="shared" si="47"/>
        <v>Декабрь</v>
      </c>
      <c r="I1024" t="s">
        <v>20</v>
      </c>
      <c r="J1024">
        <v>39</v>
      </c>
      <c r="K1024" t="s">
        <v>23</v>
      </c>
      <c r="L1024">
        <v>4</v>
      </c>
      <c r="M1024">
        <v>318</v>
      </c>
      <c r="N1024" s="1">
        <f t="shared" si="48"/>
        <v>1272</v>
      </c>
    </row>
    <row r="1025" spans="5:14" x14ac:dyDescent="0.25">
      <c r="E1025">
        <v>1082</v>
      </c>
      <c r="F1025" s="7">
        <v>45624</v>
      </c>
      <c r="G1025">
        <f t="shared" si="46"/>
        <v>2024</v>
      </c>
      <c r="H1025" s="7" t="str">
        <f t="shared" si="47"/>
        <v>Ноябрь</v>
      </c>
      <c r="I1025" t="s">
        <v>22</v>
      </c>
      <c r="J1025">
        <v>22</v>
      </c>
      <c r="K1025" t="s">
        <v>24</v>
      </c>
      <c r="L1025">
        <v>3</v>
      </c>
      <c r="M1025">
        <v>462</v>
      </c>
      <c r="N1025" s="1">
        <f t="shared" si="48"/>
        <v>1386</v>
      </c>
    </row>
    <row r="1026" spans="5:14" x14ac:dyDescent="0.25">
      <c r="E1026">
        <v>25</v>
      </c>
      <c r="F1026" s="7">
        <v>45286</v>
      </c>
      <c r="G1026">
        <f t="shared" si="46"/>
        <v>2023</v>
      </c>
      <c r="H1026" s="7" t="str">
        <f t="shared" si="47"/>
        <v>Декабрь</v>
      </c>
      <c r="I1026" t="s">
        <v>22</v>
      </c>
      <c r="J1026">
        <v>64</v>
      </c>
      <c r="K1026" t="s">
        <v>21</v>
      </c>
      <c r="L1026">
        <v>1</v>
      </c>
      <c r="M1026">
        <v>50</v>
      </c>
      <c r="N1026" s="1">
        <f t="shared" si="48"/>
        <v>50</v>
      </c>
    </row>
    <row r="1027" spans="5:14" x14ac:dyDescent="0.25">
      <c r="E1027">
        <v>115</v>
      </c>
      <c r="F1027" s="7">
        <v>45256</v>
      </c>
      <c r="G1027">
        <f t="shared" si="46"/>
        <v>2023</v>
      </c>
      <c r="H1027" s="7" t="str">
        <f t="shared" si="47"/>
        <v>Ноябрь</v>
      </c>
      <c r="I1027" t="s">
        <v>20</v>
      </c>
      <c r="J1027">
        <v>51</v>
      </c>
      <c r="K1027" t="s">
        <v>23</v>
      </c>
      <c r="L1027">
        <v>3</v>
      </c>
      <c r="M1027">
        <v>500</v>
      </c>
      <c r="N1027" s="1">
        <f t="shared" si="48"/>
        <v>1500</v>
      </c>
    </row>
    <row r="1028" spans="5:14" x14ac:dyDescent="0.25">
      <c r="E1028">
        <v>1068</v>
      </c>
      <c r="F1028" s="7">
        <v>45343</v>
      </c>
      <c r="G1028">
        <f t="shared" si="46"/>
        <v>2024</v>
      </c>
      <c r="H1028" s="7" t="str">
        <f t="shared" si="47"/>
        <v>Февраль</v>
      </c>
      <c r="I1028" t="s">
        <v>22</v>
      </c>
      <c r="J1028">
        <v>19</v>
      </c>
      <c r="K1028" t="s">
        <v>23</v>
      </c>
      <c r="L1028">
        <v>3</v>
      </c>
      <c r="M1028">
        <v>277</v>
      </c>
      <c r="N1028" s="1">
        <f t="shared" si="48"/>
        <v>831</v>
      </c>
    </row>
    <row r="1029" spans="5:14" x14ac:dyDescent="0.25">
      <c r="E1029">
        <v>1956</v>
      </c>
      <c r="F1029" s="7">
        <v>45512</v>
      </c>
      <c r="G1029">
        <f t="shared" si="46"/>
        <v>2024</v>
      </c>
      <c r="H1029" s="7" t="str">
        <f t="shared" si="47"/>
        <v>Август</v>
      </c>
      <c r="I1029" t="s">
        <v>20</v>
      </c>
      <c r="J1029">
        <v>26</v>
      </c>
      <c r="K1029" t="s">
        <v>23</v>
      </c>
      <c r="L1029">
        <v>7</v>
      </c>
      <c r="M1029">
        <v>151</v>
      </c>
      <c r="N1029" s="1">
        <f t="shared" si="48"/>
        <v>1057</v>
      </c>
    </row>
    <row r="1030" spans="5:14" x14ac:dyDescent="0.25">
      <c r="E1030">
        <v>295</v>
      </c>
      <c r="F1030" s="7">
        <v>45175</v>
      </c>
      <c r="G1030">
        <f t="shared" si="46"/>
        <v>2023</v>
      </c>
      <c r="H1030" s="7" t="str">
        <f t="shared" si="47"/>
        <v>Сентябрь</v>
      </c>
      <c r="I1030" t="s">
        <v>22</v>
      </c>
      <c r="J1030">
        <v>22</v>
      </c>
      <c r="K1030" t="s">
        <v>23</v>
      </c>
      <c r="L1030">
        <v>4</v>
      </c>
      <c r="M1030">
        <v>300</v>
      </c>
      <c r="N1030" s="1">
        <f t="shared" si="48"/>
        <v>1200</v>
      </c>
    </row>
    <row r="1031" spans="5:14" x14ac:dyDescent="0.25">
      <c r="E1031">
        <v>237</v>
      </c>
      <c r="F1031" s="7">
        <v>44943</v>
      </c>
      <c r="G1031">
        <f t="shared" si="46"/>
        <v>2023</v>
      </c>
      <c r="H1031" s="7" t="str">
        <f t="shared" si="47"/>
        <v>Январь</v>
      </c>
      <c r="I1031" t="s">
        <v>22</v>
      </c>
      <c r="J1031">
        <v>39</v>
      </c>
      <c r="K1031" t="s">
        <v>21</v>
      </c>
      <c r="L1031">
        <v>1</v>
      </c>
      <c r="M1031">
        <v>500</v>
      </c>
      <c r="N1031" s="1">
        <f t="shared" si="48"/>
        <v>500</v>
      </c>
    </row>
    <row r="1032" spans="5:14" x14ac:dyDescent="0.25">
      <c r="E1032">
        <v>487</v>
      </c>
      <c r="F1032" s="7">
        <v>45095</v>
      </c>
      <c r="G1032">
        <f t="shared" si="46"/>
        <v>2023</v>
      </c>
      <c r="H1032" s="7" t="str">
        <f t="shared" si="47"/>
        <v>Июнь</v>
      </c>
      <c r="I1032" t="s">
        <v>22</v>
      </c>
      <c r="J1032">
        <v>51</v>
      </c>
      <c r="K1032" t="s">
        <v>24</v>
      </c>
      <c r="L1032">
        <v>3</v>
      </c>
      <c r="M1032">
        <v>300</v>
      </c>
      <c r="N1032" s="1">
        <f t="shared" si="48"/>
        <v>900</v>
      </c>
    </row>
    <row r="1033" spans="5:14" x14ac:dyDescent="0.25">
      <c r="E1033">
        <v>1223</v>
      </c>
      <c r="F1033" s="7">
        <v>45594</v>
      </c>
      <c r="G1033">
        <f t="shared" si="46"/>
        <v>2024</v>
      </c>
      <c r="H1033" s="7" t="str">
        <f t="shared" si="47"/>
        <v>Октябрь</v>
      </c>
      <c r="I1033" t="s">
        <v>22</v>
      </c>
      <c r="J1033">
        <v>37</v>
      </c>
      <c r="K1033" t="s">
        <v>23</v>
      </c>
      <c r="L1033">
        <v>5</v>
      </c>
      <c r="M1033">
        <v>325</v>
      </c>
      <c r="N1033" s="1">
        <f t="shared" si="48"/>
        <v>1625</v>
      </c>
    </row>
    <row r="1034" spans="5:14" x14ac:dyDescent="0.25">
      <c r="E1034">
        <v>201</v>
      </c>
      <c r="F1034" s="7">
        <v>45208</v>
      </c>
      <c r="G1034">
        <f t="shared" ref="G1034:G1097" si="49">YEAR(F1034)</f>
        <v>2023</v>
      </c>
      <c r="H1034" s="7" t="str">
        <f t="shared" ref="H1034:H1097" si="50">TEXT(F1034,"ММММ")</f>
        <v>Октябрь</v>
      </c>
      <c r="I1034" t="s">
        <v>20</v>
      </c>
      <c r="J1034">
        <v>56</v>
      </c>
      <c r="K1034" t="s">
        <v>24</v>
      </c>
      <c r="L1034">
        <v>1</v>
      </c>
      <c r="M1034">
        <v>25</v>
      </c>
      <c r="N1034" s="1">
        <f t="shared" ref="N1034:N1097" si="51">L1034*M1034</f>
        <v>25</v>
      </c>
    </row>
    <row r="1035" spans="5:14" x14ac:dyDescent="0.25">
      <c r="E1035">
        <v>1387</v>
      </c>
      <c r="F1035" s="7">
        <v>45563</v>
      </c>
      <c r="G1035">
        <f t="shared" si="49"/>
        <v>2024</v>
      </c>
      <c r="H1035" s="7" t="str">
        <f t="shared" si="50"/>
        <v>Сентябрь</v>
      </c>
      <c r="I1035" t="s">
        <v>20</v>
      </c>
      <c r="J1035">
        <v>27</v>
      </c>
      <c r="K1035" t="s">
        <v>24</v>
      </c>
      <c r="L1035">
        <v>1</v>
      </c>
      <c r="M1035">
        <v>440</v>
      </c>
      <c r="N1035" s="1">
        <f t="shared" si="51"/>
        <v>440</v>
      </c>
    </row>
    <row r="1036" spans="5:14" x14ac:dyDescent="0.25">
      <c r="E1036">
        <v>710</v>
      </c>
      <c r="F1036" s="7">
        <v>45266</v>
      </c>
      <c r="G1036">
        <f t="shared" si="49"/>
        <v>2023</v>
      </c>
      <c r="H1036" s="7" t="str">
        <f t="shared" si="50"/>
        <v>Декабрь</v>
      </c>
      <c r="I1036" t="s">
        <v>22</v>
      </c>
      <c r="J1036">
        <v>57</v>
      </c>
      <c r="K1036" t="s">
        <v>21</v>
      </c>
      <c r="L1036">
        <v>2</v>
      </c>
      <c r="M1036">
        <v>25</v>
      </c>
      <c r="N1036" s="1">
        <f t="shared" si="51"/>
        <v>50</v>
      </c>
    </row>
    <row r="1037" spans="5:14" x14ac:dyDescent="0.25">
      <c r="E1037">
        <v>1837</v>
      </c>
      <c r="F1037" s="7">
        <v>45598</v>
      </c>
      <c r="G1037">
        <f t="shared" si="49"/>
        <v>2024</v>
      </c>
      <c r="H1037" s="7" t="str">
        <f t="shared" si="50"/>
        <v>Ноябрь</v>
      </c>
      <c r="I1037" t="s">
        <v>20</v>
      </c>
      <c r="J1037">
        <v>51</v>
      </c>
      <c r="K1037" t="s">
        <v>24</v>
      </c>
      <c r="L1037">
        <v>6</v>
      </c>
      <c r="M1037">
        <v>485</v>
      </c>
      <c r="N1037" s="1">
        <f t="shared" si="51"/>
        <v>2910</v>
      </c>
    </row>
    <row r="1038" spans="5:14" x14ac:dyDescent="0.25">
      <c r="E1038">
        <v>705</v>
      </c>
      <c r="F1038" s="7">
        <v>45200</v>
      </c>
      <c r="G1038">
        <f t="shared" si="49"/>
        <v>2023</v>
      </c>
      <c r="H1038" s="7" t="str">
        <f t="shared" si="50"/>
        <v>Октябрь</v>
      </c>
      <c r="I1038" t="s">
        <v>22</v>
      </c>
      <c r="J1038">
        <v>26</v>
      </c>
      <c r="K1038" t="s">
        <v>23</v>
      </c>
      <c r="L1038">
        <v>1</v>
      </c>
      <c r="M1038">
        <v>500</v>
      </c>
      <c r="N1038" s="1">
        <f t="shared" si="51"/>
        <v>500</v>
      </c>
    </row>
    <row r="1039" spans="5:14" x14ac:dyDescent="0.25">
      <c r="E1039">
        <v>1293</v>
      </c>
      <c r="F1039" s="7">
        <v>45541</v>
      </c>
      <c r="G1039">
        <f t="shared" si="49"/>
        <v>2024</v>
      </c>
      <c r="H1039" s="7" t="str">
        <f t="shared" si="50"/>
        <v>Сентябрь</v>
      </c>
      <c r="I1039" t="s">
        <v>22</v>
      </c>
      <c r="J1039">
        <v>40</v>
      </c>
      <c r="K1039" t="s">
        <v>23</v>
      </c>
      <c r="L1039">
        <v>3</v>
      </c>
      <c r="M1039">
        <v>468</v>
      </c>
      <c r="N1039" s="1">
        <f t="shared" si="51"/>
        <v>1404</v>
      </c>
    </row>
    <row r="1040" spans="5:14" x14ac:dyDescent="0.25">
      <c r="E1040">
        <v>1265</v>
      </c>
      <c r="F1040" s="7">
        <v>45342</v>
      </c>
      <c r="G1040">
        <f t="shared" si="49"/>
        <v>2024</v>
      </c>
      <c r="H1040" s="7" t="str">
        <f t="shared" si="50"/>
        <v>Февраль</v>
      </c>
      <c r="I1040" t="s">
        <v>22</v>
      </c>
      <c r="J1040">
        <v>41</v>
      </c>
      <c r="K1040" t="s">
        <v>24</v>
      </c>
      <c r="L1040">
        <v>2</v>
      </c>
      <c r="M1040">
        <v>254</v>
      </c>
      <c r="N1040" s="1">
        <f t="shared" si="51"/>
        <v>508</v>
      </c>
    </row>
    <row r="1041" spans="5:14" x14ac:dyDescent="0.25">
      <c r="E1041">
        <v>912</v>
      </c>
      <c r="F1041" s="7">
        <v>45210</v>
      </c>
      <c r="G1041">
        <f t="shared" si="49"/>
        <v>2023</v>
      </c>
      <c r="H1041" s="7" t="str">
        <f t="shared" si="50"/>
        <v>Октябрь</v>
      </c>
      <c r="I1041" t="s">
        <v>22</v>
      </c>
      <c r="J1041">
        <v>59</v>
      </c>
      <c r="K1041" t="s">
        <v>24</v>
      </c>
      <c r="L1041">
        <v>1</v>
      </c>
      <c r="M1041">
        <v>500</v>
      </c>
      <c r="N1041" s="1">
        <f t="shared" si="51"/>
        <v>500</v>
      </c>
    </row>
    <row r="1042" spans="5:14" x14ac:dyDescent="0.25">
      <c r="E1042">
        <v>224</v>
      </c>
      <c r="F1042" s="7">
        <v>44937</v>
      </c>
      <c r="G1042">
        <f t="shared" si="49"/>
        <v>2023</v>
      </c>
      <c r="H1042" s="7" t="str">
        <f t="shared" si="50"/>
        <v>Январь</v>
      </c>
      <c r="I1042" t="s">
        <v>22</v>
      </c>
      <c r="J1042">
        <v>57</v>
      </c>
      <c r="K1042" t="s">
        <v>21</v>
      </c>
      <c r="L1042">
        <v>4</v>
      </c>
      <c r="M1042">
        <v>25</v>
      </c>
      <c r="N1042" s="1">
        <f t="shared" si="51"/>
        <v>100</v>
      </c>
    </row>
    <row r="1043" spans="5:14" x14ac:dyDescent="0.25">
      <c r="E1043">
        <v>667</v>
      </c>
      <c r="F1043" s="7">
        <v>45096</v>
      </c>
      <c r="G1043">
        <f t="shared" si="49"/>
        <v>2023</v>
      </c>
      <c r="H1043" s="7" t="str">
        <f t="shared" si="50"/>
        <v>Июнь</v>
      </c>
      <c r="I1043" t="s">
        <v>20</v>
      </c>
      <c r="J1043">
        <v>24</v>
      </c>
      <c r="K1043" t="s">
        <v>21</v>
      </c>
      <c r="L1043">
        <v>4</v>
      </c>
      <c r="M1043">
        <v>300</v>
      </c>
      <c r="N1043" s="1">
        <f t="shared" si="51"/>
        <v>1200</v>
      </c>
    </row>
    <row r="1044" spans="5:14" x14ac:dyDescent="0.25">
      <c r="E1044">
        <v>1651</v>
      </c>
      <c r="F1044" s="7">
        <v>45456</v>
      </c>
      <c r="G1044">
        <f t="shared" si="49"/>
        <v>2024</v>
      </c>
      <c r="H1044" s="7" t="str">
        <f t="shared" si="50"/>
        <v>Июнь</v>
      </c>
      <c r="I1044" t="s">
        <v>22</v>
      </c>
      <c r="J1044">
        <v>40</v>
      </c>
      <c r="K1044" t="s">
        <v>23</v>
      </c>
      <c r="L1044">
        <v>3</v>
      </c>
      <c r="M1044">
        <v>29</v>
      </c>
      <c r="N1044" s="1">
        <f t="shared" si="51"/>
        <v>87</v>
      </c>
    </row>
    <row r="1045" spans="5:14" x14ac:dyDescent="0.25">
      <c r="E1045">
        <v>729</v>
      </c>
      <c r="F1045" s="7">
        <v>45056</v>
      </c>
      <c r="G1045">
        <f t="shared" si="49"/>
        <v>2023</v>
      </c>
      <c r="H1045" s="7" t="str">
        <f t="shared" si="50"/>
        <v>Май</v>
      </c>
      <c r="I1045" t="s">
        <v>20</v>
      </c>
      <c r="J1045">
        <v>54</v>
      </c>
      <c r="K1045" t="s">
        <v>23</v>
      </c>
      <c r="L1045">
        <v>4</v>
      </c>
      <c r="M1045">
        <v>500</v>
      </c>
      <c r="N1045" s="1">
        <f t="shared" si="51"/>
        <v>2000</v>
      </c>
    </row>
    <row r="1046" spans="5:14" x14ac:dyDescent="0.25">
      <c r="E1046">
        <v>1025</v>
      </c>
      <c r="F1046" s="7">
        <v>45507</v>
      </c>
      <c r="G1046">
        <f t="shared" si="49"/>
        <v>2024</v>
      </c>
      <c r="H1046" s="7" t="str">
        <f t="shared" si="50"/>
        <v>Август</v>
      </c>
      <c r="I1046" t="s">
        <v>22</v>
      </c>
      <c r="J1046">
        <v>53</v>
      </c>
      <c r="K1046" t="s">
        <v>21</v>
      </c>
      <c r="L1046">
        <v>5</v>
      </c>
      <c r="M1046">
        <v>209</v>
      </c>
      <c r="N1046" s="1">
        <f t="shared" si="51"/>
        <v>1045</v>
      </c>
    </row>
    <row r="1047" spans="5:14" x14ac:dyDescent="0.25">
      <c r="E1047">
        <v>1361</v>
      </c>
      <c r="F1047" s="7">
        <v>45527</v>
      </c>
      <c r="G1047">
        <f t="shared" si="49"/>
        <v>2024</v>
      </c>
      <c r="H1047" s="7" t="str">
        <f t="shared" si="50"/>
        <v>Август</v>
      </c>
      <c r="I1047" t="s">
        <v>22</v>
      </c>
      <c r="J1047">
        <v>24</v>
      </c>
      <c r="K1047" t="s">
        <v>21</v>
      </c>
      <c r="L1047">
        <v>3</v>
      </c>
      <c r="M1047">
        <v>203</v>
      </c>
      <c r="N1047" s="1">
        <f t="shared" si="51"/>
        <v>609</v>
      </c>
    </row>
    <row r="1048" spans="5:14" x14ac:dyDescent="0.25">
      <c r="E1048">
        <v>118</v>
      </c>
      <c r="F1048" s="7">
        <v>45062</v>
      </c>
      <c r="G1048">
        <f t="shared" si="49"/>
        <v>2023</v>
      </c>
      <c r="H1048" s="7" t="str">
        <f t="shared" si="50"/>
        <v>Май</v>
      </c>
      <c r="I1048" t="s">
        <v>22</v>
      </c>
      <c r="J1048">
        <v>30</v>
      </c>
      <c r="K1048" t="s">
        <v>24</v>
      </c>
      <c r="L1048">
        <v>4</v>
      </c>
      <c r="M1048">
        <v>500</v>
      </c>
      <c r="N1048" s="1">
        <f t="shared" si="51"/>
        <v>2000</v>
      </c>
    </row>
    <row r="1049" spans="5:14" x14ac:dyDescent="0.25">
      <c r="E1049">
        <v>277</v>
      </c>
      <c r="F1049" s="7">
        <v>44998</v>
      </c>
      <c r="G1049">
        <f t="shared" si="49"/>
        <v>2023</v>
      </c>
      <c r="H1049" s="7" t="str">
        <f t="shared" si="50"/>
        <v>Март</v>
      </c>
      <c r="I1049" t="s">
        <v>22</v>
      </c>
      <c r="J1049">
        <v>37</v>
      </c>
      <c r="K1049" t="s">
        <v>23</v>
      </c>
      <c r="L1049">
        <v>4</v>
      </c>
      <c r="M1049">
        <v>25</v>
      </c>
      <c r="N1049" s="1">
        <f t="shared" si="51"/>
        <v>100</v>
      </c>
    </row>
    <row r="1050" spans="5:14" x14ac:dyDescent="0.25">
      <c r="E1050">
        <v>963</v>
      </c>
      <c r="F1050" s="7">
        <v>45239</v>
      </c>
      <c r="G1050">
        <f t="shared" si="49"/>
        <v>2023</v>
      </c>
      <c r="H1050" s="7" t="str">
        <f t="shared" si="50"/>
        <v>Ноябрь</v>
      </c>
      <c r="I1050" t="s">
        <v>20</v>
      </c>
      <c r="J1050">
        <v>22</v>
      </c>
      <c r="K1050" t="s">
        <v>23</v>
      </c>
      <c r="L1050">
        <v>4</v>
      </c>
      <c r="M1050">
        <v>50</v>
      </c>
      <c r="N1050" s="1">
        <f t="shared" si="51"/>
        <v>200</v>
      </c>
    </row>
    <row r="1051" spans="5:14" x14ac:dyDescent="0.25">
      <c r="E1051">
        <v>299</v>
      </c>
      <c r="F1051" s="7">
        <v>44957</v>
      </c>
      <c r="G1051">
        <f t="shared" si="49"/>
        <v>2023</v>
      </c>
      <c r="H1051" s="7" t="str">
        <f t="shared" si="50"/>
        <v>Январь</v>
      </c>
      <c r="I1051" t="s">
        <v>22</v>
      </c>
      <c r="J1051">
        <v>19</v>
      </c>
      <c r="K1051" t="s">
        <v>24</v>
      </c>
      <c r="L1051">
        <v>4</v>
      </c>
      <c r="M1051">
        <v>50</v>
      </c>
      <c r="N1051" s="1">
        <f t="shared" si="51"/>
        <v>200</v>
      </c>
    </row>
    <row r="1052" spans="5:14" x14ac:dyDescent="0.25">
      <c r="E1052">
        <v>440</v>
      </c>
      <c r="F1052" s="7">
        <v>45209</v>
      </c>
      <c r="G1052">
        <f t="shared" si="49"/>
        <v>2023</v>
      </c>
      <c r="H1052" s="7" t="str">
        <f t="shared" si="50"/>
        <v>Октябрь</v>
      </c>
      <c r="I1052" t="s">
        <v>20</v>
      </c>
      <c r="J1052">
        <v>57</v>
      </c>
      <c r="K1052" t="s">
        <v>21</v>
      </c>
      <c r="L1052">
        <v>4</v>
      </c>
      <c r="M1052">
        <v>300</v>
      </c>
      <c r="N1052" s="1">
        <f t="shared" si="51"/>
        <v>1200</v>
      </c>
    </row>
    <row r="1053" spans="5:14" x14ac:dyDescent="0.25">
      <c r="E1053">
        <v>384</v>
      </c>
      <c r="F1053" s="7">
        <v>45205</v>
      </c>
      <c r="G1053">
        <f t="shared" si="49"/>
        <v>2023</v>
      </c>
      <c r="H1053" s="7" t="str">
        <f t="shared" si="50"/>
        <v>Октябрь</v>
      </c>
      <c r="I1053" t="s">
        <v>20</v>
      </c>
      <c r="J1053">
        <v>50</v>
      </c>
      <c r="K1053" t="s">
        <v>24</v>
      </c>
      <c r="L1053">
        <v>3</v>
      </c>
      <c r="M1053">
        <v>500</v>
      </c>
      <c r="N1053" s="1">
        <f t="shared" si="51"/>
        <v>1500</v>
      </c>
    </row>
    <row r="1054" spans="5:14" x14ac:dyDescent="0.25">
      <c r="E1054">
        <v>500</v>
      </c>
      <c r="F1054" s="7">
        <v>45060</v>
      </c>
      <c r="G1054">
        <f t="shared" si="49"/>
        <v>2023</v>
      </c>
      <c r="H1054" s="7" t="str">
        <f t="shared" si="50"/>
        <v>Май</v>
      </c>
      <c r="I1054" t="s">
        <v>20</v>
      </c>
      <c r="J1054">
        <v>39</v>
      </c>
      <c r="K1054" t="s">
        <v>24</v>
      </c>
      <c r="L1054">
        <v>2</v>
      </c>
      <c r="M1054">
        <v>30</v>
      </c>
      <c r="N1054" s="1">
        <f t="shared" si="51"/>
        <v>60</v>
      </c>
    </row>
    <row r="1055" spans="5:14" x14ac:dyDescent="0.25">
      <c r="E1055">
        <v>419</v>
      </c>
      <c r="F1055" s="7">
        <v>44949</v>
      </c>
      <c r="G1055">
        <f t="shared" si="49"/>
        <v>2023</v>
      </c>
      <c r="H1055" s="7" t="str">
        <f t="shared" si="50"/>
        <v>Январь</v>
      </c>
      <c r="I1055" t="s">
        <v>22</v>
      </c>
      <c r="J1055">
        <v>22</v>
      </c>
      <c r="K1055" t="s">
        <v>23</v>
      </c>
      <c r="L1055">
        <v>4</v>
      </c>
      <c r="M1055">
        <v>500</v>
      </c>
      <c r="N1055" s="1">
        <f t="shared" si="51"/>
        <v>2000</v>
      </c>
    </row>
    <row r="1056" spans="5:14" x14ac:dyDescent="0.25">
      <c r="E1056">
        <v>49</v>
      </c>
      <c r="F1056" s="7">
        <v>44949</v>
      </c>
      <c r="G1056">
        <f t="shared" si="49"/>
        <v>2023</v>
      </c>
      <c r="H1056" s="7" t="str">
        <f t="shared" si="50"/>
        <v>Январь</v>
      </c>
      <c r="I1056" t="s">
        <v>22</v>
      </c>
      <c r="J1056">
        <v>54</v>
      </c>
      <c r="K1056" t="s">
        <v>24</v>
      </c>
      <c r="L1056">
        <v>2</v>
      </c>
      <c r="M1056">
        <v>500</v>
      </c>
      <c r="N1056" s="1">
        <f t="shared" si="51"/>
        <v>1000</v>
      </c>
    </row>
    <row r="1057" spans="5:14" x14ac:dyDescent="0.25">
      <c r="E1057">
        <v>1081</v>
      </c>
      <c r="F1057" s="7">
        <v>45642</v>
      </c>
      <c r="G1057">
        <f t="shared" si="49"/>
        <v>2024</v>
      </c>
      <c r="H1057" s="7" t="str">
        <f t="shared" si="50"/>
        <v>Декабрь</v>
      </c>
      <c r="I1057" t="s">
        <v>20</v>
      </c>
      <c r="J1057">
        <v>64</v>
      </c>
      <c r="K1057" t="s">
        <v>24</v>
      </c>
      <c r="L1057">
        <v>4</v>
      </c>
      <c r="M1057">
        <v>43</v>
      </c>
      <c r="N1057" s="1">
        <f t="shared" si="51"/>
        <v>172</v>
      </c>
    </row>
    <row r="1058" spans="5:14" x14ac:dyDescent="0.25">
      <c r="E1058">
        <v>975</v>
      </c>
      <c r="F1058" s="7">
        <v>44965</v>
      </c>
      <c r="G1058">
        <f t="shared" si="49"/>
        <v>2023</v>
      </c>
      <c r="H1058" s="7" t="str">
        <f t="shared" si="50"/>
        <v>Февраль</v>
      </c>
      <c r="I1058" t="s">
        <v>22</v>
      </c>
      <c r="J1058">
        <v>35</v>
      </c>
      <c r="K1058" t="s">
        <v>24</v>
      </c>
      <c r="L1058">
        <v>3</v>
      </c>
      <c r="M1058">
        <v>25</v>
      </c>
      <c r="N1058" s="1">
        <f t="shared" si="51"/>
        <v>75</v>
      </c>
    </row>
    <row r="1059" spans="5:14" x14ac:dyDescent="0.25">
      <c r="E1059">
        <v>532</v>
      </c>
      <c r="F1059" s="7">
        <v>45246</v>
      </c>
      <c r="G1059">
        <f t="shared" si="49"/>
        <v>2023</v>
      </c>
      <c r="H1059" s="7" t="str">
        <f t="shared" si="50"/>
        <v>Ноябрь</v>
      </c>
      <c r="I1059" t="s">
        <v>20</v>
      </c>
      <c r="J1059">
        <v>19</v>
      </c>
      <c r="K1059" t="s">
        <v>24</v>
      </c>
      <c r="L1059">
        <v>3</v>
      </c>
      <c r="M1059">
        <v>500</v>
      </c>
      <c r="N1059" s="1">
        <f t="shared" si="51"/>
        <v>1500</v>
      </c>
    </row>
    <row r="1060" spans="5:14" x14ac:dyDescent="0.25">
      <c r="E1060">
        <v>539</v>
      </c>
      <c r="F1060" s="7">
        <v>45268</v>
      </c>
      <c r="G1060">
        <f t="shared" si="49"/>
        <v>2023</v>
      </c>
      <c r="H1060" s="7" t="str">
        <f t="shared" si="50"/>
        <v>Декабрь</v>
      </c>
      <c r="I1060" t="s">
        <v>22</v>
      </c>
      <c r="J1060">
        <v>46</v>
      </c>
      <c r="K1060" t="s">
        <v>24</v>
      </c>
      <c r="L1060">
        <v>3</v>
      </c>
      <c r="M1060">
        <v>300</v>
      </c>
      <c r="N1060" s="1">
        <f t="shared" si="51"/>
        <v>900</v>
      </c>
    </row>
    <row r="1061" spans="5:14" x14ac:dyDescent="0.25">
      <c r="E1061">
        <v>342</v>
      </c>
      <c r="F1061" s="7">
        <v>45231</v>
      </c>
      <c r="G1061">
        <f t="shared" si="49"/>
        <v>2023</v>
      </c>
      <c r="H1061" s="7" t="str">
        <f t="shared" si="50"/>
        <v>Ноябрь</v>
      </c>
      <c r="I1061" t="s">
        <v>20</v>
      </c>
      <c r="J1061">
        <v>21</v>
      </c>
      <c r="K1061" t="s">
        <v>24</v>
      </c>
      <c r="L1061">
        <v>2</v>
      </c>
      <c r="M1061">
        <v>25</v>
      </c>
      <c r="N1061" s="1">
        <f t="shared" si="51"/>
        <v>50</v>
      </c>
    </row>
    <row r="1062" spans="5:14" x14ac:dyDescent="0.25">
      <c r="E1062">
        <v>846</v>
      </c>
      <c r="F1062" s="7">
        <v>44970</v>
      </c>
      <c r="G1062">
        <f t="shared" si="49"/>
        <v>2023</v>
      </c>
      <c r="H1062" s="7" t="str">
        <f t="shared" si="50"/>
        <v>Февраль</v>
      </c>
      <c r="I1062" t="s">
        <v>22</v>
      </c>
      <c r="J1062">
        <v>63</v>
      </c>
      <c r="K1062" t="s">
        <v>23</v>
      </c>
      <c r="L1062">
        <v>3</v>
      </c>
      <c r="M1062">
        <v>25</v>
      </c>
      <c r="N1062" s="1">
        <f t="shared" si="51"/>
        <v>75</v>
      </c>
    </row>
    <row r="1063" spans="5:14" x14ac:dyDescent="0.25">
      <c r="E1063">
        <v>181</v>
      </c>
      <c r="F1063" s="7">
        <v>45233</v>
      </c>
      <c r="G1063">
        <f t="shared" si="49"/>
        <v>2023</v>
      </c>
      <c r="H1063" s="7" t="str">
        <f t="shared" si="50"/>
        <v>Ноябрь</v>
      </c>
      <c r="I1063" t="s">
        <v>20</v>
      </c>
      <c r="J1063">
        <v>19</v>
      </c>
      <c r="K1063" t="s">
        <v>24</v>
      </c>
      <c r="L1063">
        <v>4</v>
      </c>
      <c r="M1063">
        <v>300</v>
      </c>
      <c r="N1063" s="1">
        <f t="shared" si="51"/>
        <v>1200</v>
      </c>
    </row>
    <row r="1064" spans="5:14" x14ac:dyDescent="0.25">
      <c r="E1064">
        <v>210</v>
      </c>
      <c r="F1064" s="7">
        <v>45029</v>
      </c>
      <c r="G1064">
        <f t="shared" si="49"/>
        <v>2023</v>
      </c>
      <c r="H1064" s="7" t="str">
        <f t="shared" si="50"/>
        <v>Апрель</v>
      </c>
      <c r="I1064" t="s">
        <v>20</v>
      </c>
      <c r="J1064">
        <v>37</v>
      </c>
      <c r="K1064" t="s">
        <v>24</v>
      </c>
      <c r="L1064">
        <v>4</v>
      </c>
      <c r="M1064">
        <v>50</v>
      </c>
      <c r="N1064" s="1">
        <f t="shared" si="51"/>
        <v>200</v>
      </c>
    </row>
    <row r="1065" spans="5:14" x14ac:dyDescent="0.25">
      <c r="E1065">
        <v>565</v>
      </c>
      <c r="F1065" s="7">
        <v>45262</v>
      </c>
      <c r="G1065">
        <f t="shared" si="49"/>
        <v>2023</v>
      </c>
      <c r="H1065" s="7" t="str">
        <f t="shared" si="50"/>
        <v>Декабрь</v>
      </c>
      <c r="I1065" t="s">
        <v>22</v>
      </c>
      <c r="J1065">
        <v>64</v>
      </c>
      <c r="K1065" t="s">
        <v>23</v>
      </c>
      <c r="L1065">
        <v>1</v>
      </c>
      <c r="M1065">
        <v>30</v>
      </c>
      <c r="N1065" s="1">
        <f t="shared" si="51"/>
        <v>30</v>
      </c>
    </row>
    <row r="1066" spans="5:14" x14ac:dyDescent="0.25">
      <c r="E1066">
        <v>124</v>
      </c>
      <c r="F1066" s="7">
        <v>45226</v>
      </c>
      <c r="G1066">
        <f t="shared" si="49"/>
        <v>2023</v>
      </c>
      <c r="H1066" s="7" t="str">
        <f t="shared" si="50"/>
        <v>Октябрь</v>
      </c>
      <c r="I1066" t="s">
        <v>20</v>
      </c>
      <c r="J1066">
        <v>33</v>
      </c>
      <c r="K1066" t="s">
        <v>23</v>
      </c>
      <c r="L1066">
        <v>4</v>
      </c>
      <c r="M1066">
        <v>500</v>
      </c>
      <c r="N1066" s="1">
        <f t="shared" si="51"/>
        <v>2000</v>
      </c>
    </row>
    <row r="1067" spans="5:14" x14ac:dyDescent="0.25">
      <c r="E1067">
        <v>76</v>
      </c>
      <c r="F1067" s="7">
        <v>45010</v>
      </c>
      <c r="G1067">
        <f t="shared" si="49"/>
        <v>2023</v>
      </c>
      <c r="H1067" s="7" t="str">
        <f t="shared" si="50"/>
        <v>Март</v>
      </c>
      <c r="I1067" t="s">
        <v>22</v>
      </c>
      <c r="J1067">
        <v>22</v>
      </c>
      <c r="K1067" t="s">
        <v>24</v>
      </c>
      <c r="L1067">
        <v>2</v>
      </c>
      <c r="M1067">
        <v>50</v>
      </c>
      <c r="N1067" s="1">
        <f t="shared" si="51"/>
        <v>100</v>
      </c>
    </row>
    <row r="1068" spans="5:14" x14ac:dyDescent="0.25">
      <c r="E1068">
        <v>84</v>
      </c>
      <c r="F1068" s="7">
        <v>45258</v>
      </c>
      <c r="G1068">
        <f t="shared" si="49"/>
        <v>2023</v>
      </c>
      <c r="H1068" s="7" t="str">
        <f t="shared" si="50"/>
        <v>Ноябрь</v>
      </c>
      <c r="I1068" t="s">
        <v>22</v>
      </c>
      <c r="J1068">
        <v>38</v>
      </c>
      <c r="K1068" t="s">
        <v>24</v>
      </c>
      <c r="L1068">
        <v>3</v>
      </c>
      <c r="M1068">
        <v>30</v>
      </c>
      <c r="N1068" s="1">
        <f t="shared" si="51"/>
        <v>90</v>
      </c>
    </row>
    <row r="1069" spans="5:14" x14ac:dyDescent="0.25">
      <c r="E1069">
        <v>1768</v>
      </c>
      <c r="F1069" s="7">
        <v>45485</v>
      </c>
      <c r="G1069">
        <f t="shared" si="49"/>
        <v>2024</v>
      </c>
      <c r="H1069" s="7" t="str">
        <f t="shared" si="50"/>
        <v>Июль</v>
      </c>
      <c r="I1069" t="s">
        <v>20</v>
      </c>
      <c r="J1069">
        <v>29</v>
      </c>
      <c r="K1069" t="s">
        <v>24</v>
      </c>
      <c r="L1069">
        <v>5</v>
      </c>
      <c r="M1069">
        <v>425</v>
      </c>
      <c r="N1069" s="1">
        <f t="shared" si="51"/>
        <v>2125</v>
      </c>
    </row>
    <row r="1070" spans="5:14" x14ac:dyDescent="0.25">
      <c r="E1070">
        <v>1332</v>
      </c>
      <c r="F1070" s="7">
        <v>45326</v>
      </c>
      <c r="G1070">
        <f t="shared" si="49"/>
        <v>2024</v>
      </c>
      <c r="H1070" s="7" t="str">
        <f t="shared" si="50"/>
        <v>Февраль</v>
      </c>
      <c r="I1070" t="s">
        <v>22</v>
      </c>
      <c r="J1070">
        <v>57</v>
      </c>
      <c r="K1070" t="s">
        <v>21</v>
      </c>
      <c r="L1070">
        <v>2</v>
      </c>
      <c r="M1070">
        <v>479</v>
      </c>
      <c r="N1070" s="1">
        <f t="shared" si="51"/>
        <v>958</v>
      </c>
    </row>
    <row r="1071" spans="5:14" x14ac:dyDescent="0.25">
      <c r="E1071">
        <v>1396</v>
      </c>
      <c r="F1071" s="7">
        <v>45352</v>
      </c>
      <c r="G1071">
        <f t="shared" si="49"/>
        <v>2024</v>
      </c>
      <c r="H1071" s="7" t="str">
        <f t="shared" si="50"/>
        <v>Март</v>
      </c>
      <c r="I1071" t="s">
        <v>22</v>
      </c>
      <c r="J1071">
        <v>19</v>
      </c>
      <c r="K1071" t="s">
        <v>21</v>
      </c>
      <c r="L1071">
        <v>1</v>
      </c>
      <c r="M1071">
        <v>387</v>
      </c>
      <c r="N1071" s="1">
        <f t="shared" si="51"/>
        <v>387</v>
      </c>
    </row>
    <row r="1072" spans="5:14" x14ac:dyDescent="0.25">
      <c r="E1072">
        <v>955</v>
      </c>
      <c r="F1072" s="7">
        <v>45153</v>
      </c>
      <c r="G1072">
        <f t="shared" si="49"/>
        <v>2023</v>
      </c>
      <c r="H1072" s="7" t="str">
        <f t="shared" si="50"/>
        <v>Август</v>
      </c>
      <c r="I1072" t="s">
        <v>22</v>
      </c>
      <c r="J1072">
        <v>60</v>
      </c>
      <c r="K1072" t="s">
        <v>24</v>
      </c>
      <c r="L1072">
        <v>4</v>
      </c>
      <c r="M1072">
        <v>30</v>
      </c>
      <c r="N1072" s="1">
        <f t="shared" si="51"/>
        <v>120</v>
      </c>
    </row>
    <row r="1073" spans="5:14" x14ac:dyDescent="0.25">
      <c r="E1073">
        <v>1266</v>
      </c>
      <c r="F1073" s="7">
        <v>45323</v>
      </c>
      <c r="G1073">
        <f t="shared" si="49"/>
        <v>2024</v>
      </c>
      <c r="H1073" s="7" t="str">
        <f t="shared" si="50"/>
        <v>Февраль</v>
      </c>
      <c r="I1073" t="s">
        <v>20</v>
      </c>
      <c r="J1073">
        <v>59</v>
      </c>
      <c r="K1073" t="s">
        <v>23</v>
      </c>
      <c r="L1073">
        <v>3</v>
      </c>
      <c r="M1073">
        <v>423</v>
      </c>
      <c r="N1073" s="1">
        <f t="shared" si="51"/>
        <v>1269</v>
      </c>
    </row>
    <row r="1074" spans="5:14" x14ac:dyDescent="0.25">
      <c r="E1074">
        <v>1329</v>
      </c>
      <c r="F1074" s="7">
        <v>45388</v>
      </c>
      <c r="G1074">
        <f t="shared" si="49"/>
        <v>2024</v>
      </c>
      <c r="H1074" s="7" t="str">
        <f t="shared" si="50"/>
        <v>Апрель</v>
      </c>
      <c r="I1074" t="s">
        <v>20</v>
      </c>
      <c r="J1074">
        <v>65</v>
      </c>
      <c r="K1074" t="s">
        <v>24</v>
      </c>
      <c r="L1074">
        <v>6</v>
      </c>
      <c r="M1074">
        <v>425</v>
      </c>
      <c r="N1074" s="1">
        <f t="shared" si="51"/>
        <v>2550</v>
      </c>
    </row>
    <row r="1075" spans="5:14" x14ac:dyDescent="0.25">
      <c r="E1075">
        <v>788</v>
      </c>
      <c r="F1075" s="7">
        <v>45146</v>
      </c>
      <c r="G1075">
        <f t="shared" si="49"/>
        <v>2023</v>
      </c>
      <c r="H1075" s="7" t="str">
        <f t="shared" si="50"/>
        <v>Август</v>
      </c>
      <c r="I1075" t="s">
        <v>20</v>
      </c>
      <c r="J1075">
        <v>62</v>
      </c>
      <c r="K1075" t="s">
        <v>23</v>
      </c>
      <c r="L1075">
        <v>1</v>
      </c>
      <c r="M1075">
        <v>25</v>
      </c>
      <c r="N1075" s="1">
        <f t="shared" si="51"/>
        <v>25</v>
      </c>
    </row>
    <row r="1076" spans="5:14" x14ac:dyDescent="0.25">
      <c r="E1076">
        <v>1042</v>
      </c>
      <c r="F1076" s="7">
        <v>45341</v>
      </c>
      <c r="G1076">
        <f t="shared" si="49"/>
        <v>2024</v>
      </c>
      <c r="H1076" s="7" t="str">
        <f t="shared" si="50"/>
        <v>Февраль</v>
      </c>
      <c r="I1076" t="s">
        <v>22</v>
      </c>
      <c r="J1076">
        <v>32</v>
      </c>
      <c r="K1076" t="s">
        <v>23</v>
      </c>
      <c r="L1076">
        <v>1</v>
      </c>
      <c r="M1076">
        <v>178</v>
      </c>
      <c r="N1076" s="1">
        <f t="shared" si="51"/>
        <v>178</v>
      </c>
    </row>
    <row r="1077" spans="5:14" x14ac:dyDescent="0.25">
      <c r="E1077">
        <v>1212</v>
      </c>
      <c r="F1077" s="7">
        <v>45625</v>
      </c>
      <c r="G1077">
        <f t="shared" si="49"/>
        <v>2024</v>
      </c>
      <c r="H1077" s="7" t="str">
        <f t="shared" si="50"/>
        <v>Ноябрь</v>
      </c>
      <c r="I1077" t="s">
        <v>20</v>
      </c>
      <c r="J1077">
        <v>37</v>
      </c>
      <c r="K1077" t="s">
        <v>23</v>
      </c>
      <c r="L1077">
        <v>6</v>
      </c>
      <c r="M1077">
        <v>305</v>
      </c>
      <c r="N1077" s="1">
        <f t="shared" si="51"/>
        <v>1830</v>
      </c>
    </row>
    <row r="1078" spans="5:14" x14ac:dyDescent="0.25">
      <c r="E1078">
        <v>36</v>
      </c>
      <c r="F1078" s="7">
        <v>45101</v>
      </c>
      <c r="G1078">
        <f t="shared" si="49"/>
        <v>2023</v>
      </c>
      <c r="H1078" s="7" t="str">
        <f t="shared" si="50"/>
        <v>Июнь</v>
      </c>
      <c r="I1078" t="s">
        <v>20</v>
      </c>
      <c r="J1078">
        <v>52</v>
      </c>
      <c r="K1078" t="s">
        <v>21</v>
      </c>
      <c r="L1078">
        <v>3</v>
      </c>
      <c r="M1078">
        <v>300</v>
      </c>
      <c r="N1078" s="1">
        <f t="shared" si="51"/>
        <v>900</v>
      </c>
    </row>
    <row r="1079" spans="5:14" x14ac:dyDescent="0.25">
      <c r="E1079">
        <v>670</v>
      </c>
      <c r="F1079" s="7">
        <v>45139</v>
      </c>
      <c r="G1079">
        <f t="shared" si="49"/>
        <v>2023</v>
      </c>
      <c r="H1079" s="7" t="str">
        <f t="shared" si="50"/>
        <v>Август</v>
      </c>
      <c r="I1079" t="s">
        <v>22</v>
      </c>
      <c r="J1079">
        <v>34</v>
      </c>
      <c r="K1079" t="s">
        <v>21</v>
      </c>
      <c r="L1079">
        <v>2</v>
      </c>
      <c r="M1079">
        <v>50</v>
      </c>
      <c r="N1079" s="1">
        <f t="shared" si="51"/>
        <v>100</v>
      </c>
    </row>
    <row r="1080" spans="5:14" x14ac:dyDescent="0.25">
      <c r="E1080">
        <v>1614</v>
      </c>
      <c r="F1080" s="7">
        <v>45530</v>
      </c>
      <c r="G1080">
        <f t="shared" si="49"/>
        <v>2024</v>
      </c>
      <c r="H1080" s="7" t="str">
        <f t="shared" si="50"/>
        <v>Август</v>
      </c>
      <c r="I1080" t="s">
        <v>20</v>
      </c>
      <c r="J1080">
        <v>64</v>
      </c>
      <c r="K1080" t="s">
        <v>24</v>
      </c>
      <c r="L1080">
        <v>5</v>
      </c>
      <c r="M1080">
        <v>368</v>
      </c>
      <c r="N1080" s="1">
        <f t="shared" si="51"/>
        <v>1840</v>
      </c>
    </row>
    <row r="1081" spans="5:14" x14ac:dyDescent="0.25">
      <c r="E1081">
        <v>330</v>
      </c>
      <c r="F1081" s="7">
        <v>44968</v>
      </c>
      <c r="G1081">
        <f t="shared" si="49"/>
        <v>2023</v>
      </c>
      <c r="H1081" s="7" t="str">
        <f t="shared" si="50"/>
        <v>Февраль</v>
      </c>
      <c r="I1081" t="s">
        <v>20</v>
      </c>
      <c r="J1081">
        <v>28</v>
      </c>
      <c r="K1081" t="s">
        <v>24</v>
      </c>
      <c r="L1081">
        <v>3</v>
      </c>
      <c r="M1081">
        <v>30</v>
      </c>
      <c r="N1081" s="1">
        <f t="shared" si="51"/>
        <v>90</v>
      </c>
    </row>
    <row r="1082" spans="5:14" x14ac:dyDescent="0.25">
      <c r="E1082">
        <v>1814</v>
      </c>
      <c r="F1082" s="7">
        <v>45430</v>
      </c>
      <c r="G1082">
        <f t="shared" si="49"/>
        <v>2024</v>
      </c>
      <c r="H1082" s="7" t="str">
        <f t="shared" si="50"/>
        <v>Май</v>
      </c>
      <c r="I1082" t="s">
        <v>20</v>
      </c>
      <c r="J1082">
        <v>47</v>
      </c>
      <c r="K1082" t="s">
        <v>24</v>
      </c>
      <c r="L1082">
        <v>6</v>
      </c>
      <c r="M1082">
        <v>417</v>
      </c>
      <c r="N1082" s="1">
        <f t="shared" si="51"/>
        <v>2502</v>
      </c>
    </row>
    <row r="1083" spans="5:14" x14ac:dyDescent="0.25">
      <c r="E1083">
        <v>840</v>
      </c>
      <c r="F1083" s="7">
        <v>45286</v>
      </c>
      <c r="G1083">
        <f t="shared" si="49"/>
        <v>2023</v>
      </c>
      <c r="H1083" s="7" t="str">
        <f t="shared" si="50"/>
        <v>Декабрь</v>
      </c>
      <c r="I1083" t="s">
        <v>22</v>
      </c>
      <c r="J1083">
        <v>47</v>
      </c>
      <c r="K1083" t="s">
        <v>23</v>
      </c>
      <c r="L1083">
        <v>2</v>
      </c>
      <c r="M1083">
        <v>300</v>
      </c>
      <c r="N1083" s="1">
        <f t="shared" si="51"/>
        <v>600</v>
      </c>
    </row>
    <row r="1084" spans="5:14" x14ac:dyDescent="0.25">
      <c r="E1084">
        <v>1838</v>
      </c>
      <c r="F1084" s="7">
        <v>45652</v>
      </c>
      <c r="G1084">
        <f t="shared" si="49"/>
        <v>2024</v>
      </c>
      <c r="H1084" s="7" t="str">
        <f t="shared" si="50"/>
        <v>Декабрь</v>
      </c>
      <c r="I1084" t="s">
        <v>22</v>
      </c>
      <c r="J1084">
        <v>62</v>
      </c>
      <c r="K1084" t="s">
        <v>23</v>
      </c>
      <c r="L1084">
        <v>5</v>
      </c>
      <c r="M1084">
        <v>283</v>
      </c>
      <c r="N1084" s="1">
        <f t="shared" si="51"/>
        <v>1415</v>
      </c>
    </row>
    <row r="1085" spans="5:14" x14ac:dyDescent="0.25">
      <c r="E1085">
        <v>1069</v>
      </c>
      <c r="F1085" s="7">
        <v>45487</v>
      </c>
      <c r="G1085">
        <f t="shared" si="49"/>
        <v>2024</v>
      </c>
      <c r="H1085" s="7" t="str">
        <f t="shared" si="50"/>
        <v>Июль</v>
      </c>
      <c r="I1085" t="s">
        <v>22</v>
      </c>
      <c r="J1085">
        <v>46</v>
      </c>
      <c r="K1085" t="s">
        <v>21</v>
      </c>
      <c r="L1085">
        <v>5</v>
      </c>
      <c r="M1085">
        <v>47</v>
      </c>
      <c r="N1085" s="1">
        <f t="shared" si="51"/>
        <v>235</v>
      </c>
    </row>
    <row r="1086" spans="5:14" x14ac:dyDescent="0.25">
      <c r="E1086">
        <v>1665</v>
      </c>
      <c r="F1086" s="7">
        <v>45462</v>
      </c>
      <c r="G1086">
        <f t="shared" si="49"/>
        <v>2024</v>
      </c>
      <c r="H1086" s="7" t="str">
        <f t="shared" si="50"/>
        <v>Июнь</v>
      </c>
      <c r="I1086" t="s">
        <v>20</v>
      </c>
      <c r="J1086">
        <v>46</v>
      </c>
      <c r="K1086" t="s">
        <v>21</v>
      </c>
      <c r="L1086">
        <v>7</v>
      </c>
      <c r="M1086">
        <v>230</v>
      </c>
      <c r="N1086" s="1">
        <f t="shared" si="51"/>
        <v>1610</v>
      </c>
    </row>
    <row r="1087" spans="5:14" x14ac:dyDescent="0.25">
      <c r="E1087">
        <v>1231</v>
      </c>
      <c r="F1087" s="7">
        <v>45616</v>
      </c>
      <c r="G1087">
        <f t="shared" si="49"/>
        <v>2024</v>
      </c>
      <c r="H1087" s="7" t="str">
        <f t="shared" si="50"/>
        <v>Ноябрь</v>
      </c>
      <c r="I1087" t="s">
        <v>22</v>
      </c>
      <c r="J1087">
        <v>24</v>
      </c>
      <c r="K1087" t="s">
        <v>24</v>
      </c>
      <c r="L1087">
        <v>6</v>
      </c>
      <c r="M1087">
        <v>207</v>
      </c>
      <c r="N1087" s="1">
        <f t="shared" si="51"/>
        <v>1242</v>
      </c>
    </row>
    <row r="1088" spans="5:14" x14ac:dyDescent="0.25">
      <c r="E1088">
        <v>266</v>
      </c>
      <c r="F1088" s="7">
        <v>45257</v>
      </c>
      <c r="G1088">
        <f t="shared" si="49"/>
        <v>2023</v>
      </c>
      <c r="H1088" s="7" t="str">
        <f t="shared" si="50"/>
        <v>Ноябрь</v>
      </c>
      <c r="I1088" t="s">
        <v>22</v>
      </c>
      <c r="J1088">
        <v>32</v>
      </c>
      <c r="K1088" t="s">
        <v>21</v>
      </c>
      <c r="L1088">
        <v>3</v>
      </c>
      <c r="M1088">
        <v>30</v>
      </c>
      <c r="N1088" s="1">
        <f t="shared" si="51"/>
        <v>90</v>
      </c>
    </row>
    <row r="1089" spans="5:14" x14ac:dyDescent="0.25">
      <c r="E1089">
        <v>68</v>
      </c>
      <c r="F1089" s="7">
        <v>44967</v>
      </c>
      <c r="G1089">
        <f t="shared" si="49"/>
        <v>2023</v>
      </c>
      <c r="H1089" s="7" t="str">
        <f t="shared" si="50"/>
        <v>Февраль</v>
      </c>
      <c r="I1089" t="s">
        <v>20</v>
      </c>
      <c r="J1089">
        <v>25</v>
      </c>
      <c r="K1089" t="s">
        <v>24</v>
      </c>
      <c r="L1089">
        <v>1</v>
      </c>
      <c r="M1089">
        <v>300</v>
      </c>
      <c r="N1089" s="1">
        <f t="shared" si="51"/>
        <v>300</v>
      </c>
    </row>
    <row r="1090" spans="5:14" x14ac:dyDescent="0.25">
      <c r="E1090">
        <v>205</v>
      </c>
      <c r="F1090" s="7">
        <v>45237</v>
      </c>
      <c r="G1090">
        <f t="shared" si="49"/>
        <v>2023</v>
      </c>
      <c r="H1090" s="7" t="str">
        <f t="shared" si="50"/>
        <v>Ноябрь</v>
      </c>
      <c r="I1090" t="s">
        <v>22</v>
      </c>
      <c r="J1090">
        <v>43</v>
      </c>
      <c r="K1090" t="s">
        <v>23</v>
      </c>
      <c r="L1090">
        <v>1</v>
      </c>
      <c r="M1090">
        <v>25</v>
      </c>
      <c r="N1090" s="1">
        <f t="shared" si="51"/>
        <v>25</v>
      </c>
    </row>
    <row r="1091" spans="5:14" x14ac:dyDescent="0.25">
      <c r="E1091">
        <v>1656</v>
      </c>
      <c r="F1091" s="7">
        <v>45411</v>
      </c>
      <c r="G1091">
        <f t="shared" si="49"/>
        <v>2024</v>
      </c>
      <c r="H1091" s="7" t="str">
        <f t="shared" si="50"/>
        <v>Апрель</v>
      </c>
      <c r="I1091" t="s">
        <v>22</v>
      </c>
      <c r="J1091">
        <v>55</v>
      </c>
      <c r="K1091" t="s">
        <v>21</v>
      </c>
      <c r="L1091">
        <v>7</v>
      </c>
      <c r="M1091">
        <v>355</v>
      </c>
      <c r="N1091" s="1">
        <f t="shared" si="51"/>
        <v>2485</v>
      </c>
    </row>
    <row r="1092" spans="5:14" x14ac:dyDescent="0.25">
      <c r="E1092">
        <v>1079</v>
      </c>
      <c r="F1092" s="7">
        <v>45429</v>
      </c>
      <c r="G1092">
        <f t="shared" si="49"/>
        <v>2024</v>
      </c>
      <c r="H1092" s="7" t="str">
        <f t="shared" si="50"/>
        <v>Май</v>
      </c>
      <c r="I1092" t="s">
        <v>20</v>
      </c>
      <c r="J1092">
        <v>65</v>
      </c>
      <c r="K1092" t="s">
        <v>24</v>
      </c>
      <c r="L1092">
        <v>3</v>
      </c>
      <c r="M1092">
        <v>224</v>
      </c>
      <c r="N1092" s="1">
        <f t="shared" si="51"/>
        <v>672</v>
      </c>
    </row>
    <row r="1093" spans="5:14" x14ac:dyDescent="0.25">
      <c r="E1093">
        <v>1698</v>
      </c>
      <c r="F1093" s="7">
        <v>45500</v>
      </c>
      <c r="G1093">
        <f t="shared" si="49"/>
        <v>2024</v>
      </c>
      <c r="H1093" s="7" t="str">
        <f t="shared" si="50"/>
        <v>Июль</v>
      </c>
      <c r="I1093" t="s">
        <v>22</v>
      </c>
      <c r="J1093">
        <v>46</v>
      </c>
      <c r="K1093" t="s">
        <v>23</v>
      </c>
      <c r="L1093">
        <v>3</v>
      </c>
      <c r="M1093">
        <v>160</v>
      </c>
      <c r="N1093" s="1">
        <f t="shared" si="51"/>
        <v>480</v>
      </c>
    </row>
    <row r="1094" spans="5:14" x14ac:dyDescent="0.25">
      <c r="E1094">
        <v>54</v>
      </c>
      <c r="F1094" s="7">
        <v>44967</v>
      </c>
      <c r="G1094">
        <f t="shared" si="49"/>
        <v>2023</v>
      </c>
      <c r="H1094" s="7" t="str">
        <f t="shared" si="50"/>
        <v>Февраль</v>
      </c>
      <c r="I1094" t="s">
        <v>22</v>
      </c>
      <c r="J1094">
        <v>38</v>
      </c>
      <c r="K1094" t="s">
        <v>24</v>
      </c>
      <c r="L1094">
        <v>3</v>
      </c>
      <c r="M1094">
        <v>500</v>
      </c>
      <c r="N1094" s="1">
        <f t="shared" si="51"/>
        <v>1500</v>
      </c>
    </row>
    <row r="1095" spans="5:14" x14ac:dyDescent="0.25">
      <c r="E1095">
        <v>485</v>
      </c>
      <c r="F1095" s="7">
        <v>45025</v>
      </c>
      <c r="G1095">
        <f t="shared" si="49"/>
        <v>2023</v>
      </c>
      <c r="H1095" s="7" t="str">
        <f t="shared" si="50"/>
        <v>Апрель</v>
      </c>
      <c r="I1095" t="s">
        <v>22</v>
      </c>
      <c r="J1095">
        <v>35</v>
      </c>
      <c r="K1095" t="s">
        <v>24</v>
      </c>
      <c r="L1095">
        <v>1</v>
      </c>
      <c r="M1095">
        <v>25</v>
      </c>
      <c r="N1095" s="1">
        <f t="shared" si="51"/>
        <v>25</v>
      </c>
    </row>
    <row r="1096" spans="5:14" x14ac:dyDescent="0.25">
      <c r="E1096">
        <v>102</v>
      </c>
      <c r="F1096" s="7">
        <v>45044</v>
      </c>
      <c r="G1096">
        <f t="shared" si="49"/>
        <v>2023</v>
      </c>
      <c r="H1096" s="7" t="str">
        <f t="shared" si="50"/>
        <v>Апрель</v>
      </c>
      <c r="I1096" t="s">
        <v>22</v>
      </c>
      <c r="J1096">
        <v>47</v>
      </c>
      <c r="K1096" t="s">
        <v>21</v>
      </c>
      <c r="L1096">
        <v>2</v>
      </c>
      <c r="M1096">
        <v>25</v>
      </c>
      <c r="N1096" s="1">
        <f t="shared" si="51"/>
        <v>50</v>
      </c>
    </row>
    <row r="1097" spans="5:14" x14ac:dyDescent="0.25">
      <c r="E1097">
        <v>1413</v>
      </c>
      <c r="F1097" s="7">
        <v>45339</v>
      </c>
      <c r="G1097">
        <f t="shared" si="49"/>
        <v>2024</v>
      </c>
      <c r="H1097" s="7" t="str">
        <f t="shared" si="50"/>
        <v>Февраль</v>
      </c>
      <c r="I1097" t="s">
        <v>20</v>
      </c>
      <c r="J1097">
        <v>40</v>
      </c>
      <c r="K1097" t="s">
        <v>24</v>
      </c>
      <c r="L1097">
        <v>2</v>
      </c>
      <c r="M1097">
        <v>131</v>
      </c>
      <c r="N1097" s="1">
        <f t="shared" si="51"/>
        <v>262</v>
      </c>
    </row>
    <row r="1098" spans="5:14" x14ac:dyDescent="0.25">
      <c r="E1098">
        <v>968</v>
      </c>
      <c r="F1098" s="7">
        <v>45062</v>
      </c>
      <c r="G1098">
        <f t="shared" ref="G1098:G1161" si="52">YEAR(F1098)</f>
        <v>2023</v>
      </c>
      <c r="H1098" s="7" t="str">
        <f t="shared" ref="H1098:H1161" si="53">TEXT(F1098,"ММММ")</f>
        <v>Май</v>
      </c>
      <c r="I1098" t="s">
        <v>20</v>
      </c>
      <c r="J1098">
        <v>59</v>
      </c>
      <c r="K1098" t="s">
        <v>24</v>
      </c>
      <c r="L1098">
        <v>4</v>
      </c>
      <c r="M1098">
        <v>500</v>
      </c>
      <c r="N1098" s="1">
        <f t="shared" ref="N1098:N1161" si="54">L1098*M1098</f>
        <v>2000</v>
      </c>
    </row>
    <row r="1099" spans="5:14" x14ac:dyDescent="0.25">
      <c r="E1099">
        <v>1494</v>
      </c>
      <c r="F1099" s="7">
        <v>45567</v>
      </c>
      <c r="G1099">
        <f t="shared" si="52"/>
        <v>2024</v>
      </c>
      <c r="H1099" s="7" t="str">
        <f t="shared" si="53"/>
        <v>Октябрь</v>
      </c>
      <c r="I1099" t="s">
        <v>20</v>
      </c>
      <c r="J1099">
        <v>36</v>
      </c>
      <c r="K1099" t="s">
        <v>23</v>
      </c>
      <c r="L1099">
        <v>5</v>
      </c>
      <c r="M1099">
        <v>37</v>
      </c>
      <c r="N1099" s="1">
        <f t="shared" si="54"/>
        <v>185</v>
      </c>
    </row>
    <row r="1100" spans="5:14" x14ac:dyDescent="0.25">
      <c r="E1100">
        <v>354</v>
      </c>
      <c r="F1100" s="7">
        <v>45269</v>
      </c>
      <c r="G1100">
        <f t="shared" si="52"/>
        <v>2023</v>
      </c>
      <c r="H1100" s="7" t="str">
        <f t="shared" si="53"/>
        <v>Декабрь</v>
      </c>
      <c r="I1100" t="s">
        <v>22</v>
      </c>
      <c r="J1100">
        <v>55</v>
      </c>
      <c r="K1100" t="s">
        <v>24</v>
      </c>
      <c r="L1100">
        <v>1</v>
      </c>
      <c r="M1100">
        <v>500</v>
      </c>
      <c r="N1100" s="1">
        <f t="shared" si="54"/>
        <v>500</v>
      </c>
    </row>
    <row r="1101" spans="5:14" x14ac:dyDescent="0.25">
      <c r="E1101">
        <v>331</v>
      </c>
      <c r="F1101" s="7">
        <v>45022</v>
      </c>
      <c r="G1101">
        <f t="shared" si="52"/>
        <v>2023</v>
      </c>
      <c r="H1101" s="7" t="str">
        <f t="shared" si="53"/>
        <v>Апрель</v>
      </c>
      <c r="I1101" t="s">
        <v>20</v>
      </c>
      <c r="J1101">
        <v>58</v>
      </c>
      <c r="K1101" t="s">
        <v>24</v>
      </c>
      <c r="L1101">
        <v>4</v>
      </c>
      <c r="M1101">
        <v>300</v>
      </c>
      <c r="N1101" s="1">
        <f t="shared" si="54"/>
        <v>1200</v>
      </c>
    </row>
    <row r="1102" spans="5:14" x14ac:dyDescent="0.25">
      <c r="E1102">
        <v>1544</v>
      </c>
      <c r="F1102" s="7">
        <v>45358</v>
      </c>
      <c r="G1102">
        <f t="shared" si="52"/>
        <v>2024</v>
      </c>
      <c r="H1102" s="7" t="str">
        <f t="shared" si="53"/>
        <v>Март</v>
      </c>
      <c r="I1102" t="s">
        <v>20</v>
      </c>
      <c r="J1102">
        <v>26</v>
      </c>
      <c r="K1102" t="s">
        <v>23</v>
      </c>
      <c r="L1102">
        <v>7</v>
      </c>
      <c r="M1102">
        <v>372</v>
      </c>
      <c r="N1102" s="1">
        <f t="shared" si="54"/>
        <v>2604</v>
      </c>
    </row>
    <row r="1103" spans="5:14" x14ac:dyDescent="0.25">
      <c r="E1103">
        <v>1530</v>
      </c>
      <c r="F1103" s="7">
        <v>45612</v>
      </c>
      <c r="G1103">
        <f t="shared" si="52"/>
        <v>2024</v>
      </c>
      <c r="H1103" s="7" t="str">
        <f t="shared" si="53"/>
        <v>Ноябрь</v>
      </c>
      <c r="I1103" t="s">
        <v>20</v>
      </c>
      <c r="J1103">
        <v>24</v>
      </c>
      <c r="K1103" t="s">
        <v>24</v>
      </c>
      <c r="L1103">
        <v>4</v>
      </c>
      <c r="M1103">
        <v>457</v>
      </c>
      <c r="N1103" s="1">
        <f t="shared" si="54"/>
        <v>1828</v>
      </c>
    </row>
    <row r="1104" spans="5:14" x14ac:dyDescent="0.25">
      <c r="E1104">
        <v>1678</v>
      </c>
      <c r="F1104" s="7">
        <v>45537</v>
      </c>
      <c r="G1104">
        <f t="shared" si="52"/>
        <v>2024</v>
      </c>
      <c r="H1104" s="7" t="str">
        <f t="shared" si="53"/>
        <v>Сентябрь</v>
      </c>
      <c r="I1104" t="s">
        <v>20</v>
      </c>
      <c r="J1104">
        <v>28</v>
      </c>
      <c r="K1104" t="s">
        <v>21</v>
      </c>
      <c r="L1104">
        <v>7</v>
      </c>
      <c r="M1104">
        <v>204</v>
      </c>
      <c r="N1104" s="1">
        <f t="shared" si="54"/>
        <v>1428</v>
      </c>
    </row>
    <row r="1105" spans="5:14" x14ac:dyDescent="0.25">
      <c r="E1105">
        <v>1767</v>
      </c>
      <c r="F1105" s="7">
        <v>45639</v>
      </c>
      <c r="G1105">
        <f t="shared" si="52"/>
        <v>2024</v>
      </c>
      <c r="H1105" s="7" t="str">
        <f t="shared" si="53"/>
        <v>Декабрь</v>
      </c>
      <c r="I1105" t="s">
        <v>20</v>
      </c>
      <c r="J1105">
        <v>48</v>
      </c>
      <c r="K1105" t="s">
        <v>24</v>
      </c>
      <c r="L1105">
        <v>5</v>
      </c>
      <c r="M1105">
        <v>410</v>
      </c>
      <c r="N1105" s="1">
        <f t="shared" si="54"/>
        <v>2050</v>
      </c>
    </row>
    <row r="1106" spans="5:14" x14ac:dyDescent="0.25">
      <c r="E1106">
        <v>462</v>
      </c>
      <c r="F1106" s="7">
        <v>45138</v>
      </c>
      <c r="G1106">
        <f t="shared" si="52"/>
        <v>2023</v>
      </c>
      <c r="H1106" s="7" t="str">
        <f t="shared" si="53"/>
        <v>Июль</v>
      </c>
      <c r="I1106" t="s">
        <v>22</v>
      </c>
      <c r="J1106">
        <v>54</v>
      </c>
      <c r="K1106" t="s">
        <v>21</v>
      </c>
      <c r="L1106">
        <v>3</v>
      </c>
      <c r="M1106">
        <v>500</v>
      </c>
      <c r="N1106" s="1">
        <f t="shared" si="54"/>
        <v>1500</v>
      </c>
    </row>
    <row r="1107" spans="5:14" x14ac:dyDescent="0.25">
      <c r="E1107">
        <v>154</v>
      </c>
      <c r="F1107" s="7">
        <v>45201</v>
      </c>
      <c r="G1107">
        <f t="shared" si="52"/>
        <v>2023</v>
      </c>
      <c r="H1107" s="7" t="str">
        <f t="shared" si="53"/>
        <v>Октябрь</v>
      </c>
      <c r="I1107" t="s">
        <v>20</v>
      </c>
      <c r="J1107">
        <v>51</v>
      </c>
      <c r="K1107" t="s">
        <v>24</v>
      </c>
      <c r="L1107">
        <v>3</v>
      </c>
      <c r="M1107">
        <v>300</v>
      </c>
      <c r="N1107" s="1">
        <f t="shared" si="54"/>
        <v>900</v>
      </c>
    </row>
    <row r="1108" spans="5:14" x14ac:dyDescent="0.25">
      <c r="E1108">
        <v>317</v>
      </c>
      <c r="F1108" s="7">
        <v>45223</v>
      </c>
      <c r="G1108">
        <f t="shared" si="52"/>
        <v>2023</v>
      </c>
      <c r="H1108" s="7" t="str">
        <f t="shared" si="53"/>
        <v>Октябрь</v>
      </c>
      <c r="I1108" t="s">
        <v>20</v>
      </c>
      <c r="J1108">
        <v>61</v>
      </c>
      <c r="K1108" t="s">
        <v>23</v>
      </c>
      <c r="L1108">
        <v>1</v>
      </c>
      <c r="M1108">
        <v>25</v>
      </c>
      <c r="N1108" s="1">
        <f t="shared" si="54"/>
        <v>25</v>
      </c>
    </row>
    <row r="1109" spans="5:14" x14ac:dyDescent="0.25">
      <c r="E1109">
        <v>834</v>
      </c>
      <c r="F1109" s="7">
        <v>45035</v>
      </c>
      <c r="G1109">
        <f t="shared" si="52"/>
        <v>2023</v>
      </c>
      <c r="H1109" s="7" t="str">
        <f t="shared" si="53"/>
        <v>Апрель</v>
      </c>
      <c r="I1109" t="s">
        <v>22</v>
      </c>
      <c r="J1109">
        <v>22</v>
      </c>
      <c r="K1109" t="s">
        <v>23</v>
      </c>
      <c r="L1109">
        <v>1</v>
      </c>
      <c r="M1109">
        <v>50</v>
      </c>
      <c r="N1109" s="1">
        <f t="shared" si="54"/>
        <v>50</v>
      </c>
    </row>
    <row r="1110" spans="5:14" x14ac:dyDescent="0.25">
      <c r="E1110">
        <v>1461</v>
      </c>
      <c r="F1110" s="7">
        <v>45304</v>
      </c>
      <c r="G1110">
        <f t="shared" si="52"/>
        <v>2024</v>
      </c>
      <c r="H1110" s="7" t="str">
        <f t="shared" si="53"/>
        <v>Январь</v>
      </c>
      <c r="I1110" t="s">
        <v>20</v>
      </c>
      <c r="J1110">
        <v>45</v>
      </c>
      <c r="K1110" t="s">
        <v>24</v>
      </c>
      <c r="L1110">
        <v>2</v>
      </c>
      <c r="M1110">
        <v>333</v>
      </c>
      <c r="N1110" s="1">
        <f t="shared" si="54"/>
        <v>666</v>
      </c>
    </row>
    <row r="1111" spans="5:14" x14ac:dyDescent="0.25">
      <c r="E1111">
        <v>895</v>
      </c>
      <c r="F1111" s="7">
        <v>45195</v>
      </c>
      <c r="G1111">
        <f t="shared" si="52"/>
        <v>2023</v>
      </c>
      <c r="H1111" s="7" t="str">
        <f t="shared" si="53"/>
        <v>Сентябрь</v>
      </c>
      <c r="I1111" t="s">
        <v>22</v>
      </c>
      <c r="J1111">
        <v>64</v>
      </c>
      <c r="K1111" t="s">
        <v>24</v>
      </c>
      <c r="L1111">
        <v>2</v>
      </c>
      <c r="M1111">
        <v>50</v>
      </c>
      <c r="N1111" s="1">
        <f t="shared" si="54"/>
        <v>100</v>
      </c>
    </row>
    <row r="1112" spans="5:14" x14ac:dyDescent="0.25">
      <c r="E1112">
        <v>1619</v>
      </c>
      <c r="F1112" s="7">
        <v>45526</v>
      </c>
      <c r="G1112">
        <f t="shared" si="52"/>
        <v>2024</v>
      </c>
      <c r="H1112" s="7" t="str">
        <f t="shared" si="53"/>
        <v>Август</v>
      </c>
      <c r="I1112" t="s">
        <v>22</v>
      </c>
      <c r="J1112">
        <v>25</v>
      </c>
      <c r="K1112" t="s">
        <v>21</v>
      </c>
      <c r="L1112">
        <v>6</v>
      </c>
      <c r="M1112">
        <v>412</v>
      </c>
      <c r="N1112" s="1">
        <f t="shared" si="54"/>
        <v>2472</v>
      </c>
    </row>
    <row r="1113" spans="5:14" x14ac:dyDescent="0.25">
      <c r="E1113">
        <v>1886</v>
      </c>
      <c r="F1113" s="7">
        <v>45646</v>
      </c>
      <c r="G1113">
        <f t="shared" si="52"/>
        <v>2024</v>
      </c>
      <c r="H1113" s="7" t="str">
        <f t="shared" si="53"/>
        <v>Декабрь</v>
      </c>
      <c r="I1113" t="s">
        <v>20</v>
      </c>
      <c r="J1113">
        <v>50</v>
      </c>
      <c r="K1113" t="s">
        <v>24</v>
      </c>
      <c r="L1113">
        <v>1</v>
      </c>
      <c r="M1113">
        <v>355</v>
      </c>
      <c r="N1113" s="1">
        <f t="shared" si="54"/>
        <v>355</v>
      </c>
    </row>
    <row r="1114" spans="5:14" x14ac:dyDescent="0.25">
      <c r="E1114">
        <v>590</v>
      </c>
      <c r="F1114" s="7">
        <v>44939</v>
      </c>
      <c r="G1114">
        <f t="shared" si="52"/>
        <v>2023</v>
      </c>
      <c r="H1114" s="7" t="str">
        <f t="shared" si="53"/>
        <v>Январь</v>
      </c>
      <c r="I1114" t="s">
        <v>20</v>
      </c>
      <c r="J1114">
        <v>53</v>
      </c>
      <c r="K1114" t="s">
        <v>24</v>
      </c>
      <c r="L1114">
        <v>4</v>
      </c>
      <c r="M1114">
        <v>25</v>
      </c>
      <c r="N1114" s="1">
        <f t="shared" si="54"/>
        <v>100</v>
      </c>
    </row>
    <row r="1115" spans="5:14" x14ac:dyDescent="0.25">
      <c r="E1115">
        <v>1379</v>
      </c>
      <c r="F1115" s="7">
        <v>45438</v>
      </c>
      <c r="G1115">
        <f t="shared" si="52"/>
        <v>2024</v>
      </c>
      <c r="H1115" s="7" t="str">
        <f t="shared" si="53"/>
        <v>Май</v>
      </c>
      <c r="I1115" t="s">
        <v>22</v>
      </c>
      <c r="J1115">
        <v>59</v>
      </c>
      <c r="K1115" t="s">
        <v>23</v>
      </c>
      <c r="L1115">
        <v>6</v>
      </c>
      <c r="M1115">
        <v>121</v>
      </c>
      <c r="N1115" s="1">
        <f t="shared" si="54"/>
        <v>726</v>
      </c>
    </row>
    <row r="1116" spans="5:14" x14ac:dyDescent="0.25">
      <c r="E1116">
        <v>566</v>
      </c>
      <c r="F1116" s="7">
        <v>45091</v>
      </c>
      <c r="G1116">
        <f t="shared" si="52"/>
        <v>2023</v>
      </c>
      <c r="H1116" s="7" t="str">
        <f t="shared" si="53"/>
        <v>Июнь</v>
      </c>
      <c r="I1116" t="s">
        <v>22</v>
      </c>
      <c r="J1116">
        <v>25</v>
      </c>
      <c r="K1116" t="s">
        <v>23</v>
      </c>
      <c r="L1116">
        <v>3</v>
      </c>
      <c r="M1116">
        <v>300</v>
      </c>
      <c r="N1116" s="1">
        <f t="shared" si="54"/>
        <v>900</v>
      </c>
    </row>
    <row r="1117" spans="5:14" x14ac:dyDescent="0.25">
      <c r="E1117">
        <v>246</v>
      </c>
      <c r="F1117" s="7">
        <v>45203</v>
      </c>
      <c r="G1117">
        <f t="shared" si="52"/>
        <v>2023</v>
      </c>
      <c r="H1117" s="7" t="str">
        <f t="shared" si="53"/>
        <v>Октябрь</v>
      </c>
      <c r="I1117" t="s">
        <v>20</v>
      </c>
      <c r="J1117">
        <v>41</v>
      </c>
      <c r="K1117" t="s">
        <v>24</v>
      </c>
      <c r="L1117">
        <v>2</v>
      </c>
      <c r="M1117">
        <v>30</v>
      </c>
      <c r="N1117" s="1">
        <f t="shared" si="54"/>
        <v>60</v>
      </c>
    </row>
    <row r="1118" spans="5:14" x14ac:dyDescent="0.25">
      <c r="E1118">
        <v>1668</v>
      </c>
      <c r="F1118" s="7">
        <v>45505</v>
      </c>
      <c r="G1118">
        <f t="shared" si="52"/>
        <v>2024</v>
      </c>
      <c r="H1118" s="7" t="str">
        <f t="shared" si="53"/>
        <v>Август</v>
      </c>
      <c r="I1118" t="s">
        <v>22</v>
      </c>
      <c r="J1118">
        <v>28</v>
      </c>
      <c r="K1118" t="s">
        <v>21</v>
      </c>
      <c r="L1118">
        <v>3</v>
      </c>
      <c r="M1118">
        <v>435</v>
      </c>
      <c r="N1118" s="1">
        <f t="shared" si="54"/>
        <v>1305</v>
      </c>
    </row>
    <row r="1119" spans="5:14" x14ac:dyDescent="0.25">
      <c r="E1119">
        <v>1905</v>
      </c>
      <c r="F1119" s="7">
        <v>45566</v>
      </c>
      <c r="G1119">
        <f t="shared" si="52"/>
        <v>2024</v>
      </c>
      <c r="H1119" s="7" t="str">
        <f t="shared" si="53"/>
        <v>Октябрь</v>
      </c>
      <c r="I1119" t="s">
        <v>20</v>
      </c>
      <c r="J1119">
        <v>35</v>
      </c>
      <c r="K1119" t="s">
        <v>24</v>
      </c>
      <c r="L1119">
        <v>2</v>
      </c>
      <c r="M1119">
        <v>434</v>
      </c>
      <c r="N1119" s="1">
        <f t="shared" si="54"/>
        <v>868</v>
      </c>
    </row>
    <row r="1120" spans="5:14" x14ac:dyDescent="0.25">
      <c r="E1120">
        <v>1991</v>
      </c>
      <c r="F1120" s="7">
        <v>45412</v>
      </c>
      <c r="G1120">
        <f t="shared" si="52"/>
        <v>2024</v>
      </c>
      <c r="H1120" s="7" t="str">
        <f t="shared" si="53"/>
        <v>Апрель</v>
      </c>
      <c r="I1120" t="s">
        <v>22</v>
      </c>
      <c r="J1120">
        <v>26</v>
      </c>
      <c r="K1120" t="s">
        <v>23</v>
      </c>
      <c r="L1120">
        <v>6</v>
      </c>
      <c r="M1120">
        <v>294</v>
      </c>
      <c r="N1120" s="1">
        <f t="shared" si="54"/>
        <v>1764</v>
      </c>
    </row>
    <row r="1121" spans="5:14" x14ac:dyDescent="0.25">
      <c r="E1121">
        <v>674</v>
      </c>
      <c r="F1121" s="7">
        <v>45126</v>
      </c>
      <c r="G1121">
        <f t="shared" si="52"/>
        <v>2023</v>
      </c>
      <c r="H1121" s="7" t="str">
        <f t="shared" si="53"/>
        <v>Июль</v>
      </c>
      <c r="I1121" t="s">
        <v>20</v>
      </c>
      <c r="J1121">
        <v>63</v>
      </c>
      <c r="K1121" t="s">
        <v>24</v>
      </c>
      <c r="L1121">
        <v>3</v>
      </c>
      <c r="M1121">
        <v>500</v>
      </c>
      <c r="N1121" s="1">
        <f t="shared" si="54"/>
        <v>1500</v>
      </c>
    </row>
    <row r="1122" spans="5:14" x14ac:dyDescent="0.25">
      <c r="E1122">
        <v>1163</v>
      </c>
      <c r="F1122" s="7">
        <v>45549</v>
      </c>
      <c r="G1122">
        <f t="shared" si="52"/>
        <v>2024</v>
      </c>
      <c r="H1122" s="7" t="str">
        <f t="shared" si="53"/>
        <v>Сентябрь</v>
      </c>
      <c r="I1122" t="s">
        <v>22</v>
      </c>
      <c r="J1122">
        <v>18</v>
      </c>
      <c r="K1122" t="s">
        <v>23</v>
      </c>
      <c r="L1122">
        <v>1</v>
      </c>
      <c r="M1122">
        <v>239</v>
      </c>
      <c r="N1122" s="1">
        <f t="shared" si="54"/>
        <v>239</v>
      </c>
    </row>
    <row r="1123" spans="5:14" x14ac:dyDescent="0.25">
      <c r="E1123">
        <v>811</v>
      </c>
      <c r="F1123" s="7">
        <v>45202</v>
      </c>
      <c r="G1123">
        <f t="shared" si="52"/>
        <v>2023</v>
      </c>
      <c r="H1123" s="7" t="str">
        <f t="shared" si="53"/>
        <v>Октябрь</v>
      </c>
      <c r="I1123" t="s">
        <v>20</v>
      </c>
      <c r="J1123">
        <v>52</v>
      </c>
      <c r="K1123" t="s">
        <v>24</v>
      </c>
      <c r="L1123">
        <v>3</v>
      </c>
      <c r="M1123">
        <v>50</v>
      </c>
      <c r="N1123" s="1">
        <f t="shared" si="54"/>
        <v>150</v>
      </c>
    </row>
    <row r="1124" spans="5:14" x14ac:dyDescent="0.25">
      <c r="E1124">
        <v>1618</v>
      </c>
      <c r="F1124" s="7">
        <v>45355</v>
      </c>
      <c r="G1124">
        <f t="shared" si="52"/>
        <v>2024</v>
      </c>
      <c r="H1124" s="7" t="str">
        <f t="shared" si="53"/>
        <v>Март</v>
      </c>
      <c r="I1124" t="s">
        <v>22</v>
      </c>
      <c r="J1124">
        <v>45</v>
      </c>
      <c r="K1124" t="s">
        <v>21</v>
      </c>
      <c r="L1124">
        <v>2</v>
      </c>
      <c r="M1124">
        <v>208</v>
      </c>
      <c r="N1124" s="1">
        <f t="shared" si="54"/>
        <v>416</v>
      </c>
    </row>
    <row r="1125" spans="5:14" x14ac:dyDescent="0.25">
      <c r="E1125">
        <v>1669</v>
      </c>
      <c r="F1125" s="7">
        <v>45323</v>
      </c>
      <c r="G1125">
        <f t="shared" si="52"/>
        <v>2024</v>
      </c>
      <c r="H1125" s="7" t="str">
        <f t="shared" si="53"/>
        <v>Февраль</v>
      </c>
      <c r="I1125" t="s">
        <v>22</v>
      </c>
      <c r="J1125">
        <v>34</v>
      </c>
      <c r="K1125" t="s">
        <v>23</v>
      </c>
      <c r="L1125">
        <v>1</v>
      </c>
      <c r="M1125">
        <v>43</v>
      </c>
      <c r="N1125" s="1">
        <f t="shared" si="54"/>
        <v>43</v>
      </c>
    </row>
    <row r="1126" spans="5:14" x14ac:dyDescent="0.25">
      <c r="E1126">
        <v>888</v>
      </c>
      <c r="F1126" s="7">
        <v>45280</v>
      </c>
      <c r="G1126">
        <f t="shared" si="52"/>
        <v>2023</v>
      </c>
      <c r="H1126" s="7" t="str">
        <f t="shared" si="53"/>
        <v>Декабрь</v>
      </c>
      <c r="I1126" t="s">
        <v>20</v>
      </c>
      <c r="J1126">
        <v>34</v>
      </c>
      <c r="K1126" t="s">
        <v>24</v>
      </c>
      <c r="L1126">
        <v>2</v>
      </c>
      <c r="M1126">
        <v>25</v>
      </c>
      <c r="N1126" s="1">
        <f t="shared" si="54"/>
        <v>50</v>
      </c>
    </row>
    <row r="1127" spans="5:14" x14ac:dyDescent="0.25">
      <c r="E1127">
        <v>1256</v>
      </c>
      <c r="F1127" s="7">
        <v>45513</v>
      </c>
      <c r="G1127">
        <f t="shared" si="52"/>
        <v>2024</v>
      </c>
      <c r="H1127" s="7" t="str">
        <f t="shared" si="53"/>
        <v>Август</v>
      </c>
      <c r="I1127" t="s">
        <v>22</v>
      </c>
      <c r="J1127">
        <v>18</v>
      </c>
      <c r="K1127" t="s">
        <v>23</v>
      </c>
      <c r="L1127">
        <v>6</v>
      </c>
      <c r="M1127">
        <v>73</v>
      </c>
      <c r="N1127" s="1">
        <f t="shared" si="54"/>
        <v>438</v>
      </c>
    </row>
    <row r="1128" spans="5:14" x14ac:dyDescent="0.25">
      <c r="E1128">
        <v>546</v>
      </c>
      <c r="F1128" s="7">
        <v>44992</v>
      </c>
      <c r="G1128">
        <f t="shared" si="52"/>
        <v>2023</v>
      </c>
      <c r="H1128" s="7" t="str">
        <f t="shared" si="53"/>
        <v>Март</v>
      </c>
      <c r="I1128" t="s">
        <v>20</v>
      </c>
      <c r="J1128">
        <v>63</v>
      </c>
      <c r="K1128" t="s">
        <v>23</v>
      </c>
      <c r="L1128">
        <v>4</v>
      </c>
      <c r="M1128">
        <v>500</v>
      </c>
      <c r="N1128" s="1">
        <f t="shared" si="54"/>
        <v>2000</v>
      </c>
    </row>
    <row r="1129" spans="5:14" x14ac:dyDescent="0.25">
      <c r="E1129">
        <v>770</v>
      </c>
      <c r="F1129" s="7">
        <v>45119</v>
      </c>
      <c r="G1129">
        <f t="shared" si="52"/>
        <v>2023</v>
      </c>
      <c r="H1129" s="7" t="str">
        <f t="shared" si="53"/>
        <v>Июль</v>
      </c>
      <c r="I1129" t="s">
        <v>20</v>
      </c>
      <c r="J1129">
        <v>26</v>
      </c>
      <c r="K1129" t="s">
        <v>24</v>
      </c>
      <c r="L1129">
        <v>1</v>
      </c>
      <c r="M1129">
        <v>30</v>
      </c>
      <c r="N1129" s="1">
        <f t="shared" si="54"/>
        <v>30</v>
      </c>
    </row>
    <row r="1130" spans="5:14" x14ac:dyDescent="0.25">
      <c r="E1130">
        <v>1747</v>
      </c>
      <c r="F1130" s="7">
        <v>45535</v>
      </c>
      <c r="G1130">
        <f t="shared" si="52"/>
        <v>2024</v>
      </c>
      <c r="H1130" s="7" t="str">
        <f t="shared" si="53"/>
        <v>Август</v>
      </c>
      <c r="I1130" t="s">
        <v>22</v>
      </c>
      <c r="J1130">
        <v>29</v>
      </c>
      <c r="K1130" t="s">
        <v>23</v>
      </c>
      <c r="L1130">
        <v>5</v>
      </c>
      <c r="M1130">
        <v>243</v>
      </c>
      <c r="N1130" s="1">
        <f t="shared" si="54"/>
        <v>1215</v>
      </c>
    </row>
    <row r="1131" spans="5:14" x14ac:dyDescent="0.25">
      <c r="E1131">
        <v>1373</v>
      </c>
      <c r="F1131" s="7">
        <v>45428</v>
      </c>
      <c r="G1131">
        <f t="shared" si="52"/>
        <v>2024</v>
      </c>
      <c r="H1131" s="7" t="str">
        <f t="shared" si="53"/>
        <v>Май</v>
      </c>
      <c r="I1131" t="s">
        <v>22</v>
      </c>
      <c r="J1131">
        <v>53</v>
      </c>
      <c r="K1131" t="s">
        <v>21</v>
      </c>
      <c r="L1131">
        <v>6</v>
      </c>
      <c r="M1131">
        <v>124</v>
      </c>
      <c r="N1131" s="1">
        <f t="shared" si="54"/>
        <v>744</v>
      </c>
    </row>
    <row r="1132" spans="5:14" x14ac:dyDescent="0.25">
      <c r="E1132">
        <v>450</v>
      </c>
      <c r="F1132" s="7">
        <v>45276</v>
      </c>
      <c r="G1132">
        <f t="shared" si="52"/>
        <v>2023</v>
      </c>
      <c r="H1132" s="7" t="str">
        <f t="shared" si="53"/>
        <v>Декабрь</v>
      </c>
      <c r="I1132" t="s">
        <v>22</v>
      </c>
      <c r="J1132">
        <v>45</v>
      </c>
      <c r="K1132" t="s">
        <v>24</v>
      </c>
      <c r="L1132">
        <v>1</v>
      </c>
      <c r="M1132">
        <v>30</v>
      </c>
      <c r="N1132" s="1">
        <f t="shared" si="54"/>
        <v>30</v>
      </c>
    </row>
    <row r="1133" spans="5:14" x14ac:dyDescent="0.25">
      <c r="E1133">
        <v>1392</v>
      </c>
      <c r="F1133" s="7">
        <v>45632</v>
      </c>
      <c r="G1133">
        <f t="shared" si="52"/>
        <v>2024</v>
      </c>
      <c r="H1133" s="7" t="str">
        <f t="shared" si="53"/>
        <v>Декабрь</v>
      </c>
      <c r="I1133" t="s">
        <v>20</v>
      </c>
      <c r="J1133">
        <v>44</v>
      </c>
      <c r="K1133" t="s">
        <v>24</v>
      </c>
      <c r="L1133">
        <v>2</v>
      </c>
      <c r="M1133">
        <v>25</v>
      </c>
      <c r="N1133" s="1">
        <f t="shared" si="54"/>
        <v>50</v>
      </c>
    </row>
    <row r="1134" spans="5:14" x14ac:dyDescent="0.25">
      <c r="E1134">
        <v>567</v>
      </c>
      <c r="F1134" s="7">
        <v>45165</v>
      </c>
      <c r="G1134">
        <f t="shared" si="52"/>
        <v>2023</v>
      </c>
      <c r="H1134" s="7" t="str">
        <f t="shared" si="53"/>
        <v>Август</v>
      </c>
      <c r="I1134" t="s">
        <v>22</v>
      </c>
      <c r="J1134">
        <v>51</v>
      </c>
      <c r="K1134" t="s">
        <v>24</v>
      </c>
      <c r="L1134">
        <v>1</v>
      </c>
      <c r="M1134">
        <v>300</v>
      </c>
      <c r="N1134" s="1">
        <f t="shared" si="54"/>
        <v>300</v>
      </c>
    </row>
    <row r="1135" spans="5:14" x14ac:dyDescent="0.25">
      <c r="E1135">
        <v>1697</v>
      </c>
      <c r="F1135" s="7">
        <v>45640</v>
      </c>
      <c r="G1135">
        <f t="shared" si="52"/>
        <v>2024</v>
      </c>
      <c r="H1135" s="7" t="str">
        <f t="shared" si="53"/>
        <v>Декабрь</v>
      </c>
      <c r="I1135" t="s">
        <v>22</v>
      </c>
      <c r="J1135">
        <v>31</v>
      </c>
      <c r="K1135" t="s">
        <v>21</v>
      </c>
      <c r="L1135">
        <v>5</v>
      </c>
      <c r="M1135">
        <v>90</v>
      </c>
      <c r="N1135" s="1">
        <f t="shared" si="54"/>
        <v>450</v>
      </c>
    </row>
    <row r="1136" spans="5:14" x14ac:dyDescent="0.25">
      <c r="E1136">
        <v>649</v>
      </c>
      <c r="F1136" s="7">
        <v>45073</v>
      </c>
      <c r="G1136">
        <f t="shared" si="52"/>
        <v>2023</v>
      </c>
      <c r="H1136" s="7" t="str">
        <f t="shared" si="53"/>
        <v>Май</v>
      </c>
      <c r="I1136" t="s">
        <v>20</v>
      </c>
      <c r="J1136">
        <v>51</v>
      </c>
      <c r="K1136" t="s">
        <v>23</v>
      </c>
      <c r="L1136">
        <v>3</v>
      </c>
      <c r="M1136">
        <v>50</v>
      </c>
      <c r="N1136" s="1">
        <f t="shared" si="54"/>
        <v>150</v>
      </c>
    </row>
    <row r="1137" spans="5:14" x14ac:dyDescent="0.25">
      <c r="E1137">
        <v>806</v>
      </c>
      <c r="F1137" s="7">
        <v>45017</v>
      </c>
      <c r="G1137">
        <f t="shared" si="52"/>
        <v>2023</v>
      </c>
      <c r="H1137" s="7" t="str">
        <f t="shared" si="53"/>
        <v>Апрель</v>
      </c>
      <c r="I1137" t="s">
        <v>20</v>
      </c>
      <c r="J1137">
        <v>33</v>
      </c>
      <c r="K1137" t="s">
        <v>21</v>
      </c>
      <c r="L1137">
        <v>4</v>
      </c>
      <c r="M1137">
        <v>500</v>
      </c>
      <c r="N1137" s="1">
        <f t="shared" si="54"/>
        <v>2000</v>
      </c>
    </row>
    <row r="1138" spans="5:14" x14ac:dyDescent="0.25">
      <c r="E1138">
        <v>1299</v>
      </c>
      <c r="F1138" s="7">
        <v>45487</v>
      </c>
      <c r="G1138">
        <f t="shared" si="52"/>
        <v>2024</v>
      </c>
      <c r="H1138" s="7" t="str">
        <f t="shared" si="53"/>
        <v>Июль</v>
      </c>
      <c r="I1138" t="s">
        <v>20</v>
      </c>
      <c r="J1138">
        <v>35</v>
      </c>
      <c r="K1138" t="s">
        <v>21</v>
      </c>
      <c r="L1138">
        <v>7</v>
      </c>
      <c r="M1138">
        <v>232</v>
      </c>
      <c r="N1138" s="1">
        <f t="shared" si="54"/>
        <v>1624</v>
      </c>
    </row>
    <row r="1139" spans="5:14" x14ac:dyDescent="0.25">
      <c r="E1139">
        <v>394</v>
      </c>
      <c r="F1139" s="7">
        <v>45266</v>
      </c>
      <c r="G1139">
        <f t="shared" si="52"/>
        <v>2023</v>
      </c>
      <c r="H1139" s="7" t="str">
        <f t="shared" si="53"/>
        <v>Декабрь</v>
      </c>
      <c r="I1139" t="s">
        <v>20</v>
      </c>
      <c r="J1139">
        <v>50</v>
      </c>
      <c r="K1139" t="s">
        <v>24</v>
      </c>
      <c r="L1139">
        <v>2</v>
      </c>
      <c r="M1139">
        <v>500</v>
      </c>
      <c r="N1139" s="1">
        <f t="shared" si="54"/>
        <v>1000</v>
      </c>
    </row>
    <row r="1140" spans="5:14" x14ac:dyDescent="0.25">
      <c r="E1140">
        <v>1048</v>
      </c>
      <c r="F1140" s="7">
        <v>45528</v>
      </c>
      <c r="G1140">
        <f t="shared" si="52"/>
        <v>2024</v>
      </c>
      <c r="H1140" s="7" t="str">
        <f t="shared" si="53"/>
        <v>Август</v>
      </c>
      <c r="I1140" t="s">
        <v>22</v>
      </c>
      <c r="J1140">
        <v>55</v>
      </c>
      <c r="K1140" t="s">
        <v>21</v>
      </c>
      <c r="L1140">
        <v>5</v>
      </c>
      <c r="M1140">
        <v>420</v>
      </c>
      <c r="N1140" s="1">
        <f t="shared" si="54"/>
        <v>2100</v>
      </c>
    </row>
    <row r="1141" spans="5:14" x14ac:dyDescent="0.25">
      <c r="E1141">
        <v>459</v>
      </c>
      <c r="F1141" s="7">
        <v>45048</v>
      </c>
      <c r="G1141">
        <f t="shared" si="52"/>
        <v>2023</v>
      </c>
      <c r="H1141" s="7" t="str">
        <f t="shared" si="53"/>
        <v>Май</v>
      </c>
      <c r="I1141" t="s">
        <v>20</v>
      </c>
      <c r="J1141">
        <v>40</v>
      </c>
      <c r="K1141" t="s">
        <v>21</v>
      </c>
      <c r="L1141">
        <v>1</v>
      </c>
      <c r="M1141">
        <v>50</v>
      </c>
      <c r="N1141" s="1">
        <f t="shared" si="54"/>
        <v>50</v>
      </c>
    </row>
    <row r="1142" spans="5:14" x14ac:dyDescent="0.25">
      <c r="E1142">
        <v>1926</v>
      </c>
      <c r="F1142" s="7">
        <v>45422</v>
      </c>
      <c r="G1142">
        <f t="shared" si="52"/>
        <v>2024</v>
      </c>
      <c r="H1142" s="7" t="str">
        <f t="shared" si="53"/>
        <v>Май</v>
      </c>
      <c r="I1142" t="s">
        <v>20</v>
      </c>
      <c r="J1142">
        <v>20</v>
      </c>
      <c r="K1142" t="s">
        <v>23</v>
      </c>
      <c r="L1142">
        <v>7</v>
      </c>
      <c r="M1142">
        <v>271</v>
      </c>
      <c r="N1142" s="1">
        <f t="shared" si="54"/>
        <v>1897</v>
      </c>
    </row>
    <row r="1143" spans="5:14" x14ac:dyDescent="0.25">
      <c r="E1143">
        <v>348</v>
      </c>
      <c r="F1143" s="7">
        <v>45225</v>
      </c>
      <c r="G1143">
        <f t="shared" si="52"/>
        <v>2023</v>
      </c>
      <c r="H1143" s="7" t="str">
        <f t="shared" si="53"/>
        <v>Октябрь</v>
      </c>
      <c r="I1143" t="s">
        <v>22</v>
      </c>
      <c r="J1143">
        <v>57</v>
      </c>
      <c r="K1143" t="s">
        <v>21</v>
      </c>
      <c r="L1143">
        <v>1</v>
      </c>
      <c r="M1143">
        <v>50</v>
      </c>
      <c r="N1143" s="1">
        <f t="shared" si="54"/>
        <v>50</v>
      </c>
    </row>
    <row r="1144" spans="5:14" x14ac:dyDescent="0.25">
      <c r="E1144">
        <v>1427</v>
      </c>
      <c r="F1144" s="7">
        <v>45511</v>
      </c>
      <c r="G1144">
        <f t="shared" si="52"/>
        <v>2024</v>
      </c>
      <c r="H1144" s="7" t="str">
        <f t="shared" si="53"/>
        <v>Август</v>
      </c>
      <c r="I1144" t="s">
        <v>22</v>
      </c>
      <c r="J1144">
        <v>65</v>
      </c>
      <c r="K1144" t="s">
        <v>24</v>
      </c>
      <c r="L1144">
        <v>7</v>
      </c>
      <c r="M1144">
        <v>300</v>
      </c>
      <c r="N1144" s="1">
        <f t="shared" si="54"/>
        <v>2100</v>
      </c>
    </row>
    <row r="1145" spans="5:14" x14ac:dyDescent="0.25">
      <c r="E1145">
        <v>754</v>
      </c>
      <c r="F1145" s="7">
        <v>45165</v>
      </c>
      <c r="G1145">
        <f t="shared" si="52"/>
        <v>2023</v>
      </c>
      <c r="H1145" s="7" t="str">
        <f t="shared" si="53"/>
        <v>Август</v>
      </c>
      <c r="I1145" t="s">
        <v>22</v>
      </c>
      <c r="J1145">
        <v>62</v>
      </c>
      <c r="K1145" t="s">
        <v>24</v>
      </c>
      <c r="L1145">
        <v>4</v>
      </c>
      <c r="M1145">
        <v>300</v>
      </c>
      <c r="N1145" s="1">
        <f t="shared" si="54"/>
        <v>1200</v>
      </c>
    </row>
    <row r="1146" spans="5:14" x14ac:dyDescent="0.25">
      <c r="E1146">
        <v>284</v>
      </c>
      <c r="F1146" s="7">
        <v>45153</v>
      </c>
      <c r="G1146">
        <f t="shared" si="52"/>
        <v>2023</v>
      </c>
      <c r="H1146" s="7" t="str">
        <f t="shared" si="53"/>
        <v>Август</v>
      </c>
      <c r="I1146" t="s">
        <v>22</v>
      </c>
      <c r="J1146">
        <v>31</v>
      </c>
      <c r="K1146" t="s">
        <v>24</v>
      </c>
      <c r="L1146">
        <v>1</v>
      </c>
      <c r="M1146">
        <v>25</v>
      </c>
      <c r="N1146" s="1">
        <f t="shared" si="54"/>
        <v>25</v>
      </c>
    </row>
    <row r="1147" spans="5:14" x14ac:dyDescent="0.25">
      <c r="E1147">
        <v>220</v>
      </c>
      <c r="F1147" s="7">
        <v>45053</v>
      </c>
      <c r="G1147">
        <f t="shared" si="52"/>
        <v>2023</v>
      </c>
      <c r="H1147" s="7" t="str">
        <f t="shared" si="53"/>
        <v>Май</v>
      </c>
      <c r="I1147" t="s">
        <v>20</v>
      </c>
      <c r="J1147">
        <v>39</v>
      </c>
      <c r="K1147" t="s">
        <v>21</v>
      </c>
      <c r="L1147">
        <v>2</v>
      </c>
      <c r="M1147">
        <v>300</v>
      </c>
      <c r="N1147" s="1">
        <f t="shared" si="54"/>
        <v>600</v>
      </c>
    </row>
    <row r="1148" spans="5:14" x14ac:dyDescent="0.25">
      <c r="E1148">
        <v>282</v>
      </c>
      <c r="F1148" s="7">
        <v>45054</v>
      </c>
      <c r="G1148">
        <f t="shared" si="52"/>
        <v>2023</v>
      </c>
      <c r="H1148" s="7" t="str">
        <f t="shared" si="53"/>
        <v>Май</v>
      </c>
      <c r="I1148" t="s">
        <v>22</v>
      </c>
      <c r="J1148">
        <v>18</v>
      </c>
      <c r="K1148" t="s">
        <v>24</v>
      </c>
      <c r="L1148">
        <v>1</v>
      </c>
      <c r="M1148">
        <v>500</v>
      </c>
      <c r="N1148" s="1">
        <f t="shared" si="54"/>
        <v>500</v>
      </c>
    </row>
    <row r="1149" spans="5:14" x14ac:dyDescent="0.25">
      <c r="E1149">
        <v>524</v>
      </c>
      <c r="F1149" s="7">
        <v>45278</v>
      </c>
      <c r="G1149">
        <f t="shared" si="52"/>
        <v>2023</v>
      </c>
      <c r="H1149" s="7" t="str">
        <f t="shared" si="53"/>
        <v>Декабрь</v>
      </c>
      <c r="I1149" t="s">
        <v>22</v>
      </c>
      <c r="J1149">
        <v>47</v>
      </c>
      <c r="K1149" t="s">
        <v>21</v>
      </c>
      <c r="L1149">
        <v>2</v>
      </c>
      <c r="M1149">
        <v>25</v>
      </c>
      <c r="N1149" s="1">
        <f t="shared" si="54"/>
        <v>50</v>
      </c>
    </row>
    <row r="1150" spans="5:14" x14ac:dyDescent="0.25">
      <c r="E1150">
        <v>1374</v>
      </c>
      <c r="F1150" s="7">
        <v>45360</v>
      </c>
      <c r="G1150">
        <f t="shared" si="52"/>
        <v>2024</v>
      </c>
      <c r="H1150" s="7" t="str">
        <f t="shared" si="53"/>
        <v>Март</v>
      </c>
      <c r="I1150" t="s">
        <v>22</v>
      </c>
      <c r="J1150">
        <v>65</v>
      </c>
      <c r="K1150" t="s">
        <v>23</v>
      </c>
      <c r="L1150">
        <v>2</v>
      </c>
      <c r="M1150">
        <v>386</v>
      </c>
      <c r="N1150" s="1">
        <f t="shared" si="54"/>
        <v>772</v>
      </c>
    </row>
    <row r="1151" spans="5:14" x14ac:dyDescent="0.25">
      <c r="E1151">
        <v>1158</v>
      </c>
      <c r="F1151" s="7">
        <v>45515</v>
      </c>
      <c r="G1151">
        <f t="shared" si="52"/>
        <v>2024</v>
      </c>
      <c r="H1151" s="7" t="str">
        <f t="shared" si="53"/>
        <v>Август</v>
      </c>
      <c r="I1151" t="s">
        <v>22</v>
      </c>
      <c r="J1151">
        <v>37</v>
      </c>
      <c r="K1151" t="s">
        <v>23</v>
      </c>
      <c r="L1151">
        <v>1</v>
      </c>
      <c r="M1151">
        <v>192</v>
      </c>
      <c r="N1151" s="1">
        <f t="shared" si="54"/>
        <v>192</v>
      </c>
    </row>
    <row r="1152" spans="5:14" x14ac:dyDescent="0.25">
      <c r="E1152">
        <v>1339</v>
      </c>
      <c r="F1152" s="7">
        <v>45589</v>
      </c>
      <c r="G1152">
        <f t="shared" si="52"/>
        <v>2024</v>
      </c>
      <c r="H1152" s="7" t="str">
        <f t="shared" si="53"/>
        <v>Октябрь</v>
      </c>
      <c r="I1152" t="s">
        <v>22</v>
      </c>
      <c r="J1152">
        <v>53</v>
      </c>
      <c r="K1152" t="s">
        <v>23</v>
      </c>
      <c r="L1152">
        <v>1</v>
      </c>
      <c r="M1152">
        <v>414</v>
      </c>
      <c r="N1152" s="1">
        <f t="shared" si="54"/>
        <v>414</v>
      </c>
    </row>
    <row r="1153" spans="5:14" x14ac:dyDescent="0.25">
      <c r="E1153">
        <v>117</v>
      </c>
      <c r="F1153" s="7">
        <v>45000</v>
      </c>
      <c r="G1153">
        <f t="shared" si="52"/>
        <v>2023</v>
      </c>
      <c r="H1153" s="7" t="str">
        <f t="shared" si="53"/>
        <v>Март</v>
      </c>
      <c r="I1153" t="s">
        <v>20</v>
      </c>
      <c r="J1153">
        <v>19</v>
      </c>
      <c r="K1153" t="s">
        <v>24</v>
      </c>
      <c r="L1153">
        <v>2</v>
      </c>
      <c r="M1153">
        <v>500</v>
      </c>
      <c r="N1153" s="1">
        <f t="shared" si="54"/>
        <v>1000</v>
      </c>
    </row>
    <row r="1154" spans="5:14" x14ac:dyDescent="0.25">
      <c r="E1154">
        <v>441</v>
      </c>
      <c r="F1154" s="7">
        <v>45002</v>
      </c>
      <c r="G1154">
        <f t="shared" si="52"/>
        <v>2023</v>
      </c>
      <c r="H1154" s="7" t="str">
        <f t="shared" si="53"/>
        <v>Март</v>
      </c>
      <c r="I1154" t="s">
        <v>22</v>
      </c>
      <c r="J1154">
        <v>60</v>
      </c>
      <c r="K1154" t="s">
        <v>23</v>
      </c>
      <c r="L1154">
        <v>4</v>
      </c>
      <c r="M1154">
        <v>25</v>
      </c>
      <c r="N1154" s="1">
        <f t="shared" si="54"/>
        <v>100</v>
      </c>
    </row>
    <row r="1155" spans="5:14" x14ac:dyDescent="0.25">
      <c r="E1155">
        <v>1012</v>
      </c>
      <c r="F1155" s="7">
        <v>45308</v>
      </c>
      <c r="G1155">
        <f t="shared" si="52"/>
        <v>2024</v>
      </c>
      <c r="H1155" s="7" t="str">
        <f t="shared" si="53"/>
        <v>Январь</v>
      </c>
      <c r="I1155" t="s">
        <v>20</v>
      </c>
      <c r="J1155">
        <v>54</v>
      </c>
      <c r="K1155" t="s">
        <v>23</v>
      </c>
      <c r="L1155">
        <v>6</v>
      </c>
      <c r="M1155">
        <v>149</v>
      </c>
      <c r="N1155" s="1">
        <f t="shared" si="54"/>
        <v>894</v>
      </c>
    </row>
    <row r="1156" spans="5:14" x14ac:dyDescent="0.25">
      <c r="E1156">
        <v>976</v>
      </c>
      <c r="F1156" s="7">
        <v>45007</v>
      </c>
      <c r="G1156">
        <f t="shared" si="52"/>
        <v>2023</v>
      </c>
      <c r="H1156" s="7" t="str">
        <f t="shared" si="53"/>
        <v>Март</v>
      </c>
      <c r="I1156" t="s">
        <v>22</v>
      </c>
      <c r="J1156">
        <v>53</v>
      </c>
      <c r="K1156" t="s">
        <v>23</v>
      </c>
      <c r="L1156">
        <v>3</v>
      </c>
      <c r="M1156">
        <v>50</v>
      </c>
      <c r="N1156" s="1">
        <f t="shared" si="54"/>
        <v>150</v>
      </c>
    </row>
    <row r="1157" spans="5:14" x14ac:dyDescent="0.25">
      <c r="E1157">
        <v>1511</v>
      </c>
      <c r="F1157" s="7">
        <v>45352</v>
      </c>
      <c r="G1157">
        <f t="shared" si="52"/>
        <v>2024</v>
      </c>
      <c r="H1157" s="7" t="str">
        <f t="shared" si="53"/>
        <v>Март</v>
      </c>
      <c r="I1157" t="s">
        <v>22</v>
      </c>
      <c r="J1157">
        <v>36</v>
      </c>
      <c r="K1157" t="s">
        <v>24</v>
      </c>
      <c r="L1157">
        <v>6</v>
      </c>
      <c r="M1157">
        <v>479</v>
      </c>
      <c r="N1157" s="1">
        <f t="shared" si="54"/>
        <v>2874</v>
      </c>
    </row>
    <row r="1158" spans="5:14" x14ac:dyDescent="0.25">
      <c r="E1158">
        <v>1128</v>
      </c>
      <c r="F1158" s="7">
        <v>45363</v>
      </c>
      <c r="G1158">
        <f t="shared" si="52"/>
        <v>2024</v>
      </c>
      <c r="H1158" s="7" t="str">
        <f t="shared" si="53"/>
        <v>Март</v>
      </c>
      <c r="I1158" t="s">
        <v>22</v>
      </c>
      <c r="J1158">
        <v>40</v>
      </c>
      <c r="K1158" t="s">
        <v>23</v>
      </c>
      <c r="L1158">
        <v>3</v>
      </c>
      <c r="M1158">
        <v>20</v>
      </c>
      <c r="N1158" s="1">
        <f t="shared" si="54"/>
        <v>60</v>
      </c>
    </row>
    <row r="1159" spans="5:14" x14ac:dyDescent="0.25">
      <c r="E1159">
        <v>849</v>
      </c>
      <c r="F1159" s="7">
        <v>45177</v>
      </c>
      <c r="G1159">
        <f t="shared" si="52"/>
        <v>2023</v>
      </c>
      <c r="H1159" s="7" t="str">
        <f t="shared" si="53"/>
        <v>Сентябрь</v>
      </c>
      <c r="I1159" t="s">
        <v>20</v>
      </c>
      <c r="J1159">
        <v>32</v>
      </c>
      <c r="K1159" t="s">
        <v>24</v>
      </c>
      <c r="L1159">
        <v>2</v>
      </c>
      <c r="M1159">
        <v>25</v>
      </c>
      <c r="N1159" s="1">
        <f t="shared" si="54"/>
        <v>50</v>
      </c>
    </row>
    <row r="1160" spans="5:14" x14ac:dyDescent="0.25">
      <c r="E1160">
        <v>1027</v>
      </c>
      <c r="F1160" s="7">
        <v>45522</v>
      </c>
      <c r="G1160">
        <f t="shared" si="52"/>
        <v>2024</v>
      </c>
      <c r="H1160" s="7" t="str">
        <f t="shared" si="53"/>
        <v>Август</v>
      </c>
      <c r="I1160" t="s">
        <v>22</v>
      </c>
      <c r="J1160">
        <v>19</v>
      </c>
      <c r="K1160" t="s">
        <v>24</v>
      </c>
      <c r="L1160">
        <v>5</v>
      </c>
      <c r="M1160">
        <v>90</v>
      </c>
      <c r="N1160" s="1">
        <f t="shared" si="54"/>
        <v>450</v>
      </c>
    </row>
    <row r="1161" spans="5:14" x14ac:dyDescent="0.25">
      <c r="E1161">
        <v>239</v>
      </c>
      <c r="F1161" s="7">
        <v>44963</v>
      </c>
      <c r="G1161">
        <f t="shared" si="52"/>
        <v>2023</v>
      </c>
      <c r="H1161" s="7" t="str">
        <f t="shared" si="53"/>
        <v>Февраль</v>
      </c>
      <c r="I1161" t="s">
        <v>22</v>
      </c>
      <c r="J1161">
        <v>23</v>
      </c>
      <c r="K1161" t="s">
        <v>21</v>
      </c>
      <c r="L1161">
        <v>1</v>
      </c>
      <c r="M1161">
        <v>300</v>
      </c>
      <c r="N1161" s="1">
        <f t="shared" si="54"/>
        <v>300</v>
      </c>
    </row>
    <row r="1162" spans="5:14" x14ac:dyDescent="0.25">
      <c r="E1162">
        <v>1891</v>
      </c>
      <c r="F1162" s="7">
        <v>45434</v>
      </c>
      <c r="G1162">
        <f t="shared" ref="G1162:G1225" si="55">YEAR(F1162)</f>
        <v>2024</v>
      </c>
      <c r="H1162" s="7" t="str">
        <f t="shared" ref="H1162:H1225" si="56">TEXT(F1162,"ММММ")</f>
        <v>Май</v>
      </c>
      <c r="I1162" t="s">
        <v>22</v>
      </c>
      <c r="J1162">
        <v>56</v>
      </c>
      <c r="K1162" t="s">
        <v>23</v>
      </c>
      <c r="L1162">
        <v>2</v>
      </c>
      <c r="M1162">
        <v>286</v>
      </c>
      <c r="N1162" s="1">
        <f t="shared" ref="N1162:N1225" si="57">L1162*M1162</f>
        <v>572</v>
      </c>
    </row>
    <row r="1163" spans="5:14" x14ac:dyDescent="0.25">
      <c r="E1163">
        <v>1100</v>
      </c>
      <c r="F1163" s="7">
        <v>45410</v>
      </c>
      <c r="G1163">
        <f t="shared" si="55"/>
        <v>2024</v>
      </c>
      <c r="H1163" s="7" t="str">
        <f t="shared" si="56"/>
        <v>Апрель</v>
      </c>
      <c r="I1163" t="s">
        <v>22</v>
      </c>
      <c r="J1163">
        <v>65</v>
      </c>
      <c r="K1163" t="s">
        <v>21</v>
      </c>
      <c r="L1163">
        <v>5</v>
      </c>
      <c r="M1163">
        <v>46</v>
      </c>
      <c r="N1163" s="1">
        <f t="shared" si="57"/>
        <v>230</v>
      </c>
    </row>
    <row r="1164" spans="5:14" x14ac:dyDescent="0.25">
      <c r="E1164">
        <v>1548</v>
      </c>
      <c r="F1164" s="7">
        <v>45487</v>
      </c>
      <c r="G1164">
        <f t="shared" si="55"/>
        <v>2024</v>
      </c>
      <c r="H1164" s="7" t="str">
        <f t="shared" si="56"/>
        <v>Июль</v>
      </c>
      <c r="I1164" t="s">
        <v>20</v>
      </c>
      <c r="J1164">
        <v>30</v>
      </c>
      <c r="K1164" t="s">
        <v>24</v>
      </c>
      <c r="L1164">
        <v>3</v>
      </c>
      <c r="M1164">
        <v>283</v>
      </c>
      <c r="N1164" s="1">
        <f t="shared" si="57"/>
        <v>849</v>
      </c>
    </row>
    <row r="1165" spans="5:14" x14ac:dyDescent="0.25">
      <c r="E1165">
        <v>771</v>
      </c>
      <c r="F1165" s="7">
        <v>45130</v>
      </c>
      <c r="G1165">
        <f t="shared" si="55"/>
        <v>2023</v>
      </c>
      <c r="H1165" s="7" t="str">
        <f t="shared" si="56"/>
        <v>Июль</v>
      </c>
      <c r="I1165" t="s">
        <v>20</v>
      </c>
      <c r="J1165">
        <v>25</v>
      </c>
      <c r="K1165" t="s">
        <v>24</v>
      </c>
      <c r="L1165">
        <v>4</v>
      </c>
      <c r="M1165">
        <v>500</v>
      </c>
      <c r="N1165" s="1">
        <f t="shared" si="57"/>
        <v>2000</v>
      </c>
    </row>
    <row r="1166" spans="5:14" x14ac:dyDescent="0.25">
      <c r="E1166">
        <v>828</v>
      </c>
      <c r="F1166" s="7">
        <v>45099</v>
      </c>
      <c r="G1166">
        <f t="shared" si="55"/>
        <v>2023</v>
      </c>
      <c r="H1166" s="7" t="str">
        <f t="shared" si="56"/>
        <v>Июнь</v>
      </c>
      <c r="I1166" t="s">
        <v>22</v>
      </c>
      <c r="J1166">
        <v>64</v>
      </c>
      <c r="K1166" t="s">
        <v>23</v>
      </c>
      <c r="L1166">
        <v>3</v>
      </c>
      <c r="M1166">
        <v>50</v>
      </c>
      <c r="N1166" s="1">
        <f t="shared" si="57"/>
        <v>150</v>
      </c>
    </row>
    <row r="1167" spans="5:14" x14ac:dyDescent="0.25">
      <c r="E1167">
        <v>451</v>
      </c>
      <c r="F1167" s="7">
        <v>45054</v>
      </c>
      <c r="G1167">
        <f t="shared" si="55"/>
        <v>2023</v>
      </c>
      <c r="H1167" s="7" t="str">
        <f t="shared" si="56"/>
        <v>Май</v>
      </c>
      <c r="I1167" t="s">
        <v>22</v>
      </c>
      <c r="J1167">
        <v>48</v>
      </c>
      <c r="K1167" t="s">
        <v>23</v>
      </c>
      <c r="L1167">
        <v>3</v>
      </c>
      <c r="M1167">
        <v>500</v>
      </c>
      <c r="N1167" s="1">
        <f t="shared" si="57"/>
        <v>1500</v>
      </c>
    </row>
    <row r="1168" spans="5:14" x14ac:dyDescent="0.25">
      <c r="E1168">
        <v>745</v>
      </c>
      <c r="F1168" s="7">
        <v>45245</v>
      </c>
      <c r="G1168">
        <f t="shared" si="55"/>
        <v>2023</v>
      </c>
      <c r="H1168" s="7" t="str">
        <f t="shared" si="56"/>
        <v>Ноябрь</v>
      </c>
      <c r="I1168" t="s">
        <v>20</v>
      </c>
      <c r="J1168">
        <v>23</v>
      </c>
      <c r="K1168" t="s">
        <v>21</v>
      </c>
      <c r="L1168">
        <v>1</v>
      </c>
      <c r="M1168">
        <v>30</v>
      </c>
      <c r="N1168" s="1">
        <f t="shared" si="57"/>
        <v>30</v>
      </c>
    </row>
    <row r="1169" spans="5:14" x14ac:dyDescent="0.25">
      <c r="E1169">
        <v>1114</v>
      </c>
      <c r="F1169" s="7">
        <v>45527</v>
      </c>
      <c r="G1169">
        <f t="shared" si="55"/>
        <v>2024</v>
      </c>
      <c r="H1169" s="7" t="str">
        <f t="shared" si="56"/>
        <v>Август</v>
      </c>
      <c r="I1169" t="s">
        <v>22</v>
      </c>
      <c r="J1169">
        <v>18</v>
      </c>
      <c r="K1169" t="s">
        <v>23</v>
      </c>
      <c r="L1169">
        <v>4</v>
      </c>
      <c r="M1169">
        <v>267</v>
      </c>
      <c r="N1169" s="1">
        <f t="shared" si="57"/>
        <v>1068</v>
      </c>
    </row>
    <row r="1170" spans="5:14" x14ac:dyDescent="0.25">
      <c r="E1170">
        <v>15</v>
      </c>
      <c r="F1170" s="7">
        <v>44942</v>
      </c>
      <c r="G1170">
        <f t="shared" si="55"/>
        <v>2023</v>
      </c>
      <c r="H1170" s="7" t="str">
        <f t="shared" si="56"/>
        <v>Январь</v>
      </c>
      <c r="I1170" t="s">
        <v>22</v>
      </c>
      <c r="J1170">
        <v>42</v>
      </c>
      <c r="K1170" t="s">
        <v>24</v>
      </c>
      <c r="L1170">
        <v>4</v>
      </c>
      <c r="M1170">
        <v>500</v>
      </c>
      <c r="N1170" s="1">
        <f t="shared" si="57"/>
        <v>2000</v>
      </c>
    </row>
    <row r="1171" spans="5:14" x14ac:dyDescent="0.25">
      <c r="E1171">
        <v>1935</v>
      </c>
      <c r="F1171" s="7">
        <v>45644</v>
      </c>
      <c r="G1171">
        <f t="shared" si="55"/>
        <v>2024</v>
      </c>
      <c r="H1171" s="7" t="str">
        <f t="shared" si="56"/>
        <v>Декабрь</v>
      </c>
      <c r="I1171" t="s">
        <v>22</v>
      </c>
      <c r="J1171">
        <v>38</v>
      </c>
      <c r="K1171" t="s">
        <v>24</v>
      </c>
      <c r="L1171">
        <v>1</v>
      </c>
      <c r="M1171">
        <v>189</v>
      </c>
      <c r="N1171" s="1">
        <f t="shared" si="57"/>
        <v>189</v>
      </c>
    </row>
    <row r="1172" spans="5:14" x14ac:dyDescent="0.25">
      <c r="E1172">
        <v>1620</v>
      </c>
      <c r="F1172" s="7">
        <v>45361</v>
      </c>
      <c r="G1172">
        <f t="shared" si="55"/>
        <v>2024</v>
      </c>
      <c r="H1172" s="7" t="str">
        <f t="shared" si="56"/>
        <v>Март</v>
      </c>
      <c r="I1172" t="s">
        <v>20</v>
      </c>
      <c r="J1172">
        <v>51</v>
      </c>
      <c r="K1172" t="s">
        <v>23</v>
      </c>
      <c r="L1172">
        <v>2</v>
      </c>
      <c r="M1172">
        <v>116</v>
      </c>
      <c r="N1172" s="1">
        <f t="shared" si="57"/>
        <v>232</v>
      </c>
    </row>
    <row r="1173" spans="5:14" x14ac:dyDescent="0.25">
      <c r="E1173">
        <v>1608</v>
      </c>
      <c r="F1173" s="7">
        <v>45346</v>
      </c>
      <c r="G1173">
        <f t="shared" si="55"/>
        <v>2024</v>
      </c>
      <c r="H1173" s="7" t="str">
        <f t="shared" si="56"/>
        <v>Февраль</v>
      </c>
      <c r="I1173" t="s">
        <v>20</v>
      </c>
      <c r="J1173">
        <v>64</v>
      </c>
      <c r="K1173" t="s">
        <v>21</v>
      </c>
      <c r="L1173">
        <v>4</v>
      </c>
      <c r="M1173">
        <v>134</v>
      </c>
      <c r="N1173" s="1">
        <f t="shared" si="57"/>
        <v>536</v>
      </c>
    </row>
    <row r="1174" spans="5:14" x14ac:dyDescent="0.25">
      <c r="E1174">
        <v>730</v>
      </c>
      <c r="F1174" s="7">
        <v>44968</v>
      </c>
      <c r="G1174">
        <f t="shared" si="55"/>
        <v>2023</v>
      </c>
      <c r="H1174" s="7" t="str">
        <f t="shared" si="56"/>
        <v>Февраль</v>
      </c>
      <c r="I1174" t="s">
        <v>20</v>
      </c>
      <c r="J1174">
        <v>61</v>
      </c>
      <c r="K1174" t="s">
        <v>24</v>
      </c>
      <c r="L1174">
        <v>2</v>
      </c>
      <c r="M1174">
        <v>500</v>
      </c>
      <c r="N1174" s="1">
        <f t="shared" si="57"/>
        <v>1000</v>
      </c>
    </row>
    <row r="1175" spans="5:14" x14ac:dyDescent="0.25">
      <c r="E1175">
        <v>781</v>
      </c>
      <c r="F1175" s="7">
        <v>45277</v>
      </c>
      <c r="G1175">
        <f t="shared" si="55"/>
        <v>2023</v>
      </c>
      <c r="H1175" s="7" t="str">
        <f t="shared" si="56"/>
        <v>Декабрь</v>
      </c>
      <c r="I1175" t="s">
        <v>22</v>
      </c>
      <c r="J1175">
        <v>56</v>
      </c>
      <c r="K1175" t="s">
        <v>23</v>
      </c>
      <c r="L1175">
        <v>1</v>
      </c>
      <c r="M1175">
        <v>300</v>
      </c>
      <c r="N1175" s="1">
        <f t="shared" si="57"/>
        <v>300</v>
      </c>
    </row>
    <row r="1176" spans="5:14" x14ac:dyDescent="0.25">
      <c r="E1176">
        <v>52</v>
      </c>
      <c r="F1176" s="7">
        <v>44990</v>
      </c>
      <c r="G1176">
        <f t="shared" si="55"/>
        <v>2023</v>
      </c>
      <c r="H1176" s="7" t="str">
        <f t="shared" si="56"/>
        <v>Март</v>
      </c>
      <c r="I1176" t="s">
        <v>22</v>
      </c>
      <c r="J1176">
        <v>36</v>
      </c>
      <c r="K1176" t="s">
        <v>21</v>
      </c>
      <c r="L1176">
        <v>1</v>
      </c>
      <c r="M1176">
        <v>300</v>
      </c>
      <c r="N1176" s="1">
        <f t="shared" si="57"/>
        <v>300</v>
      </c>
    </row>
    <row r="1177" spans="5:14" x14ac:dyDescent="0.25">
      <c r="E1177">
        <v>1000</v>
      </c>
      <c r="F1177" s="7">
        <v>45349</v>
      </c>
      <c r="G1177">
        <f t="shared" si="55"/>
        <v>2024</v>
      </c>
      <c r="H1177" s="7" t="str">
        <f t="shared" si="56"/>
        <v>Февраль</v>
      </c>
      <c r="I1177" t="s">
        <v>22</v>
      </c>
      <c r="J1177">
        <v>61</v>
      </c>
      <c r="K1177" t="s">
        <v>23</v>
      </c>
      <c r="L1177">
        <v>1</v>
      </c>
      <c r="M1177">
        <v>328</v>
      </c>
      <c r="N1177" s="1">
        <f t="shared" si="57"/>
        <v>328</v>
      </c>
    </row>
    <row r="1178" spans="5:14" x14ac:dyDescent="0.25">
      <c r="E1178">
        <v>886</v>
      </c>
      <c r="F1178" s="7">
        <v>44988</v>
      </c>
      <c r="G1178">
        <f t="shared" si="55"/>
        <v>2023</v>
      </c>
      <c r="H1178" s="7" t="str">
        <f t="shared" si="56"/>
        <v>Март</v>
      </c>
      <c r="I1178" t="s">
        <v>22</v>
      </c>
      <c r="J1178">
        <v>52</v>
      </c>
      <c r="K1178" t="s">
        <v>24</v>
      </c>
      <c r="L1178">
        <v>4</v>
      </c>
      <c r="M1178">
        <v>25</v>
      </c>
      <c r="N1178" s="1">
        <f t="shared" si="57"/>
        <v>100</v>
      </c>
    </row>
    <row r="1179" spans="5:14" x14ac:dyDescent="0.25">
      <c r="E1179">
        <v>1129</v>
      </c>
      <c r="F1179" s="7">
        <v>45553</v>
      </c>
      <c r="G1179">
        <f t="shared" si="55"/>
        <v>2024</v>
      </c>
      <c r="H1179" s="7" t="str">
        <f t="shared" si="56"/>
        <v>Сентябрь</v>
      </c>
      <c r="I1179" t="s">
        <v>22</v>
      </c>
      <c r="J1179">
        <v>54</v>
      </c>
      <c r="K1179" t="s">
        <v>21</v>
      </c>
      <c r="L1179">
        <v>6</v>
      </c>
      <c r="M1179">
        <v>468</v>
      </c>
      <c r="N1179" s="1">
        <f t="shared" si="57"/>
        <v>2808</v>
      </c>
    </row>
    <row r="1180" spans="5:14" x14ac:dyDescent="0.25">
      <c r="E1180">
        <v>1863</v>
      </c>
      <c r="F1180" s="7">
        <v>45449</v>
      </c>
      <c r="G1180">
        <f t="shared" si="55"/>
        <v>2024</v>
      </c>
      <c r="H1180" s="7" t="str">
        <f t="shared" si="56"/>
        <v>Июнь</v>
      </c>
      <c r="I1180" t="s">
        <v>20</v>
      </c>
      <c r="J1180">
        <v>62</v>
      </c>
      <c r="K1180" t="s">
        <v>24</v>
      </c>
      <c r="L1180">
        <v>2</v>
      </c>
      <c r="M1180">
        <v>306</v>
      </c>
      <c r="N1180" s="1">
        <f t="shared" si="57"/>
        <v>612</v>
      </c>
    </row>
    <row r="1181" spans="5:14" x14ac:dyDescent="0.25">
      <c r="E1181">
        <v>410</v>
      </c>
      <c r="F1181" s="7">
        <v>45062</v>
      </c>
      <c r="G1181">
        <f t="shared" si="55"/>
        <v>2023</v>
      </c>
      <c r="H1181" s="7" t="str">
        <f t="shared" si="56"/>
        <v>Май</v>
      </c>
      <c r="I1181" t="s">
        <v>20</v>
      </c>
      <c r="J1181">
        <v>62</v>
      </c>
      <c r="K1181" t="s">
        <v>24</v>
      </c>
      <c r="L1181">
        <v>4</v>
      </c>
      <c r="M1181">
        <v>50</v>
      </c>
      <c r="N1181" s="1">
        <f t="shared" si="57"/>
        <v>200</v>
      </c>
    </row>
    <row r="1182" spans="5:14" x14ac:dyDescent="0.25">
      <c r="E1182">
        <v>1008</v>
      </c>
      <c r="F1182" s="7">
        <v>45572</v>
      </c>
      <c r="G1182">
        <f t="shared" si="55"/>
        <v>2024</v>
      </c>
      <c r="H1182" s="7" t="str">
        <f t="shared" si="56"/>
        <v>Октябрь</v>
      </c>
      <c r="I1182" t="s">
        <v>22</v>
      </c>
      <c r="J1182">
        <v>48</v>
      </c>
      <c r="K1182" t="s">
        <v>23</v>
      </c>
      <c r="L1182">
        <v>6</v>
      </c>
      <c r="M1182">
        <v>417</v>
      </c>
      <c r="N1182" s="1">
        <f t="shared" si="57"/>
        <v>2502</v>
      </c>
    </row>
    <row r="1183" spans="5:14" x14ac:dyDescent="0.25">
      <c r="E1183">
        <v>312</v>
      </c>
      <c r="F1183" s="7">
        <v>45006</v>
      </c>
      <c r="G1183">
        <f t="shared" si="55"/>
        <v>2023</v>
      </c>
      <c r="H1183" s="7" t="str">
        <f t="shared" si="56"/>
        <v>Март</v>
      </c>
      <c r="I1183" t="s">
        <v>22</v>
      </c>
      <c r="J1183">
        <v>55</v>
      </c>
      <c r="K1183" t="s">
        <v>21</v>
      </c>
      <c r="L1183">
        <v>3</v>
      </c>
      <c r="M1183">
        <v>500</v>
      </c>
      <c r="N1183" s="1">
        <f t="shared" si="57"/>
        <v>1500</v>
      </c>
    </row>
    <row r="1184" spans="5:14" x14ac:dyDescent="0.25">
      <c r="E1184">
        <v>816</v>
      </c>
      <c r="F1184" s="7">
        <v>45064</v>
      </c>
      <c r="G1184">
        <f t="shared" si="55"/>
        <v>2023</v>
      </c>
      <c r="H1184" s="7" t="str">
        <f t="shared" si="56"/>
        <v>Май</v>
      </c>
      <c r="I1184" t="s">
        <v>20</v>
      </c>
      <c r="J1184">
        <v>30</v>
      </c>
      <c r="K1184" t="s">
        <v>24</v>
      </c>
      <c r="L1184">
        <v>1</v>
      </c>
      <c r="M1184">
        <v>500</v>
      </c>
      <c r="N1184" s="1">
        <f t="shared" si="57"/>
        <v>500</v>
      </c>
    </row>
    <row r="1185" spans="5:14" x14ac:dyDescent="0.25">
      <c r="E1185">
        <v>647</v>
      </c>
      <c r="F1185" s="7">
        <v>45152</v>
      </c>
      <c r="G1185">
        <f t="shared" si="55"/>
        <v>2023</v>
      </c>
      <c r="H1185" s="7" t="str">
        <f t="shared" si="56"/>
        <v>Август</v>
      </c>
      <c r="I1185" t="s">
        <v>20</v>
      </c>
      <c r="J1185">
        <v>53</v>
      </c>
      <c r="K1185" t="s">
        <v>21</v>
      </c>
      <c r="L1185">
        <v>4</v>
      </c>
      <c r="M1185">
        <v>300</v>
      </c>
      <c r="N1185" s="1">
        <f t="shared" si="57"/>
        <v>1200</v>
      </c>
    </row>
    <row r="1186" spans="5:14" x14ac:dyDescent="0.25">
      <c r="E1186">
        <v>1655</v>
      </c>
      <c r="F1186" s="7">
        <v>45370</v>
      </c>
      <c r="G1186">
        <f t="shared" si="55"/>
        <v>2024</v>
      </c>
      <c r="H1186" s="7" t="str">
        <f t="shared" si="56"/>
        <v>Март</v>
      </c>
      <c r="I1186" t="s">
        <v>22</v>
      </c>
      <c r="J1186">
        <v>40</v>
      </c>
      <c r="K1186" t="s">
        <v>24</v>
      </c>
      <c r="L1186">
        <v>6</v>
      </c>
      <c r="M1186">
        <v>278</v>
      </c>
      <c r="N1186" s="1">
        <f t="shared" si="57"/>
        <v>1668</v>
      </c>
    </row>
    <row r="1187" spans="5:14" x14ac:dyDescent="0.25">
      <c r="E1187">
        <v>528</v>
      </c>
      <c r="F1187" s="7">
        <v>45147</v>
      </c>
      <c r="G1187">
        <f t="shared" si="55"/>
        <v>2023</v>
      </c>
      <c r="H1187" s="7" t="str">
        <f t="shared" si="56"/>
        <v>Август</v>
      </c>
      <c r="I1187" t="s">
        <v>22</v>
      </c>
      <c r="J1187">
        <v>35</v>
      </c>
      <c r="K1187" t="s">
        <v>23</v>
      </c>
      <c r="L1187">
        <v>3</v>
      </c>
      <c r="M1187">
        <v>50</v>
      </c>
      <c r="N1187" s="1">
        <f t="shared" si="57"/>
        <v>150</v>
      </c>
    </row>
    <row r="1188" spans="5:14" x14ac:dyDescent="0.25">
      <c r="E1188">
        <v>973</v>
      </c>
      <c r="F1188" s="7">
        <v>45015</v>
      </c>
      <c r="G1188">
        <f t="shared" si="55"/>
        <v>2023</v>
      </c>
      <c r="H1188" s="7" t="str">
        <f t="shared" si="56"/>
        <v>Март</v>
      </c>
      <c r="I1188" t="s">
        <v>22</v>
      </c>
      <c r="J1188">
        <v>56</v>
      </c>
      <c r="K1188" t="s">
        <v>23</v>
      </c>
      <c r="L1188">
        <v>4</v>
      </c>
      <c r="M1188">
        <v>50</v>
      </c>
      <c r="N1188" s="1">
        <f t="shared" si="57"/>
        <v>200</v>
      </c>
    </row>
    <row r="1189" spans="5:14" x14ac:dyDescent="0.25">
      <c r="E1189">
        <v>875</v>
      </c>
      <c r="F1189" s="7">
        <v>45096</v>
      </c>
      <c r="G1189">
        <f t="shared" si="55"/>
        <v>2023</v>
      </c>
      <c r="H1189" s="7" t="str">
        <f t="shared" si="56"/>
        <v>Июнь</v>
      </c>
      <c r="I1189" t="s">
        <v>22</v>
      </c>
      <c r="J1189">
        <v>58</v>
      </c>
      <c r="K1189" t="s">
        <v>23</v>
      </c>
      <c r="L1189">
        <v>1</v>
      </c>
      <c r="M1189">
        <v>25</v>
      </c>
      <c r="N1189" s="1">
        <f t="shared" si="57"/>
        <v>25</v>
      </c>
    </row>
    <row r="1190" spans="5:14" x14ac:dyDescent="0.25">
      <c r="E1190">
        <v>945</v>
      </c>
      <c r="F1190" s="7">
        <v>44987</v>
      </c>
      <c r="G1190">
        <f t="shared" si="55"/>
        <v>2023</v>
      </c>
      <c r="H1190" s="7" t="str">
        <f t="shared" si="56"/>
        <v>Март</v>
      </c>
      <c r="I1190" t="s">
        <v>20</v>
      </c>
      <c r="J1190">
        <v>50</v>
      </c>
      <c r="K1190" t="s">
        <v>21</v>
      </c>
      <c r="L1190">
        <v>1</v>
      </c>
      <c r="M1190">
        <v>300</v>
      </c>
      <c r="N1190" s="1">
        <f t="shared" si="57"/>
        <v>300</v>
      </c>
    </row>
    <row r="1191" spans="5:14" x14ac:dyDescent="0.25">
      <c r="E1191">
        <v>405</v>
      </c>
      <c r="F1191" s="7">
        <v>45034</v>
      </c>
      <c r="G1191">
        <f t="shared" si="55"/>
        <v>2023</v>
      </c>
      <c r="H1191" s="7" t="str">
        <f t="shared" si="56"/>
        <v>Апрель</v>
      </c>
      <c r="I1191" t="s">
        <v>22</v>
      </c>
      <c r="J1191">
        <v>22</v>
      </c>
      <c r="K1191" t="s">
        <v>21</v>
      </c>
      <c r="L1191">
        <v>4</v>
      </c>
      <c r="M1191">
        <v>25</v>
      </c>
      <c r="N1191" s="1">
        <f t="shared" si="57"/>
        <v>100</v>
      </c>
    </row>
    <row r="1192" spans="5:14" x14ac:dyDescent="0.25">
      <c r="E1192">
        <v>116</v>
      </c>
      <c r="F1192" s="7">
        <v>45161</v>
      </c>
      <c r="G1192">
        <f t="shared" si="55"/>
        <v>2023</v>
      </c>
      <c r="H1192" s="7" t="str">
        <f t="shared" si="56"/>
        <v>Август</v>
      </c>
      <c r="I1192" t="s">
        <v>22</v>
      </c>
      <c r="J1192">
        <v>23</v>
      </c>
      <c r="K1192" t="s">
        <v>23</v>
      </c>
      <c r="L1192">
        <v>1</v>
      </c>
      <c r="M1192">
        <v>30</v>
      </c>
      <c r="N1192" s="1">
        <f t="shared" si="57"/>
        <v>30</v>
      </c>
    </row>
    <row r="1193" spans="5:14" x14ac:dyDescent="0.25">
      <c r="E1193">
        <v>1699</v>
      </c>
      <c r="F1193" s="7">
        <v>45377</v>
      </c>
      <c r="G1193">
        <f t="shared" si="55"/>
        <v>2024</v>
      </c>
      <c r="H1193" s="7" t="str">
        <f t="shared" si="56"/>
        <v>Март</v>
      </c>
      <c r="I1193" t="s">
        <v>20</v>
      </c>
      <c r="J1193">
        <v>22</v>
      </c>
      <c r="K1193" t="s">
        <v>24</v>
      </c>
      <c r="L1193">
        <v>6</v>
      </c>
      <c r="M1193">
        <v>70</v>
      </c>
      <c r="N1193" s="1">
        <f t="shared" si="57"/>
        <v>420</v>
      </c>
    </row>
    <row r="1194" spans="5:14" x14ac:dyDescent="0.25">
      <c r="E1194">
        <v>1503</v>
      </c>
      <c r="F1194" s="7">
        <v>45347</v>
      </c>
      <c r="G1194">
        <f t="shared" si="55"/>
        <v>2024</v>
      </c>
      <c r="H1194" s="7" t="str">
        <f t="shared" si="56"/>
        <v>Февраль</v>
      </c>
      <c r="I1194" t="s">
        <v>20</v>
      </c>
      <c r="J1194">
        <v>33</v>
      </c>
      <c r="K1194" t="s">
        <v>21</v>
      </c>
      <c r="L1194">
        <v>4</v>
      </c>
      <c r="M1194">
        <v>312</v>
      </c>
      <c r="N1194" s="1">
        <f t="shared" si="57"/>
        <v>1248</v>
      </c>
    </row>
    <row r="1195" spans="5:14" x14ac:dyDescent="0.25">
      <c r="E1195">
        <v>1306</v>
      </c>
      <c r="F1195" s="7">
        <v>45649</v>
      </c>
      <c r="G1195">
        <f t="shared" si="55"/>
        <v>2024</v>
      </c>
      <c r="H1195" s="7" t="str">
        <f t="shared" si="56"/>
        <v>Декабрь</v>
      </c>
      <c r="I1195" t="s">
        <v>22</v>
      </c>
      <c r="J1195">
        <v>33</v>
      </c>
      <c r="K1195" t="s">
        <v>21</v>
      </c>
      <c r="L1195">
        <v>2</v>
      </c>
      <c r="M1195">
        <v>331</v>
      </c>
      <c r="N1195" s="1">
        <f t="shared" si="57"/>
        <v>662</v>
      </c>
    </row>
    <row r="1196" spans="5:14" x14ac:dyDescent="0.25">
      <c r="E1196">
        <v>1912</v>
      </c>
      <c r="F1196" s="7">
        <v>45650</v>
      </c>
      <c r="G1196">
        <f t="shared" si="55"/>
        <v>2024</v>
      </c>
      <c r="H1196" s="7" t="str">
        <f t="shared" si="56"/>
        <v>Декабрь</v>
      </c>
      <c r="I1196" t="s">
        <v>22</v>
      </c>
      <c r="J1196">
        <v>53</v>
      </c>
      <c r="K1196" t="s">
        <v>24</v>
      </c>
      <c r="L1196">
        <v>4</v>
      </c>
      <c r="M1196">
        <v>341</v>
      </c>
      <c r="N1196" s="1">
        <f t="shared" si="57"/>
        <v>1364</v>
      </c>
    </row>
    <row r="1197" spans="5:14" x14ac:dyDescent="0.25">
      <c r="E1197">
        <v>502</v>
      </c>
      <c r="F1197" s="7">
        <v>45224</v>
      </c>
      <c r="G1197">
        <f t="shared" si="55"/>
        <v>2023</v>
      </c>
      <c r="H1197" s="7" t="str">
        <f t="shared" si="56"/>
        <v>Октябрь</v>
      </c>
      <c r="I1197" t="s">
        <v>20</v>
      </c>
      <c r="J1197">
        <v>45</v>
      </c>
      <c r="K1197" t="s">
        <v>21</v>
      </c>
      <c r="L1197">
        <v>4</v>
      </c>
      <c r="M1197">
        <v>500</v>
      </c>
      <c r="N1197" s="1">
        <f t="shared" si="57"/>
        <v>2000</v>
      </c>
    </row>
    <row r="1198" spans="5:14" x14ac:dyDescent="0.25">
      <c r="E1198">
        <v>1029</v>
      </c>
      <c r="F1198" s="7">
        <v>45435</v>
      </c>
      <c r="G1198">
        <f t="shared" si="55"/>
        <v>2024</v>
      </c>
      <c r="H1198" s="7" t="str">
        <f t="shared" si="56"/>
        <v>Май</v>
      </c>
      <c r="I1198" t="s">
        <v>20</v>
      </c>
      <c r="J1198">
        <v>63</v>
      </c>
      <c r="K1198" t="s">
        <v>24</v>
      </c>
      <c r="L1198">
        <v>4</v>
      </c>
      <c r="M1198">
        <v>159</v>
      </c>
      <c r="N1198" s="1">
        <f t="shared" si="57"/>
        <v>636</v>
      </c>
    </row>
    <row r="1199" spans="5:14" x14ac:dyDescent="0.25">
      <c r="E1199">
        <v>1739</v>
      </c>
      <c r="F1199" s="7">
        <v>45307</v>
      </c>
      <c r="G1199">
        <f t="shared" si="55"/>
        <v>2024</v>
      </c>
      <c r="H1199" s="7" t="str">
        <f t="shared" si="56"/>
        <v>Январь</v>
      </c>
      <c r="I1199" t="s">
        <v>22</v>
      </c>
      <c r="J1199">
        <v>57</v>
      </c>
      <c r="K1199" t="s">
        <v>21</v>
      </c>
      <c r="L1199">
        <v>2</v>
      </c>
      <c r="M1199">
        <v>489</v>
      </c>
      <c r="N1199" s="1">
        <f t="shared" si="57"/>
        <v>978</v>
      </c>
    </row>
    <row r="1200" spans="5:14" x14ac:dyDescent="0.25">
      <c r="E1200">
        <v>107</v>
      </c>
      <c r="F1200" s="7">
        <v>44960</v>
      </c>
      <c r="G1200">
        <f t="shared" si="55"/>
        <v>2023</v>
      </c>
      <c r="H1200" s="7" t="str">
        <f t="shared" si="56"/>
        <v>Февраль</v>
      </c>
      <c r="I1200" t="s">
        <v>22</v>
      </c>
      <c r="J1200">
        <v>21</v>
      </c>
      <c r="K1200" t="s">
        <v>23</v>
      </c>
      <c r="L1200">
        <v>4</v>
      </c>
      <c r="M1200">
        <v>300</v>
      </c>
      <c r="N1200" s="1">
        <f t="shared" si="57"/>
        <v>1200</v>
      </c>
    </row>
    <row r="1201" spans="5:14" x14ac:dyDescent="0.25">
      <c r="E1201">
        <v>28</v>
      </c>
      <c r="F1201" s="7">
        <v>45039</v>
      </c>
      <c r="G1201">
        <f t="shared" si="55"/>
        <v>2023</v>
      </c>
      <c r="H1201" s="7" t="str">
        <f t="shared" si="56"/>
        <v>Апрель</v>
      </c>
      <c r="I1201" t="s">
        <v>22</v>
      </c>
      <c r="J1201">
        <v>43</v>
      </c>
      <c r="K1201" t="s">
        <v>21</v>
      </c>
      <c r="L1201">
        <v>1</v>
      </c>
      <c r="M1201">
        <v>500</v>
      </c>
      <c r="N1201" s="1">
        <f t="shared" si="57"/>
        <v>500</v>
      </c>
    </row>
    <row r="1202" spans="5:14" x14ac:dyDescent="0.25">
      <c r="E1202">
        <v>1571</v>
      </c>
      <c r="F1202" s="7">
        <v>45535</v>
      </c>
      <c r="G1202">
        <f t="shared" si="55"/>
        <v>2024</v>
      </c>
      <c r="H1202" s="7" t="str">
        <f t="shared" si="56"/>
        <v>Август</v>
      </c>
      <c r="I1202" t="s">
        <v>22</v>
      </c>
      <c r="J1202">
        <v>21</v>
      </c>
      <c r="K1202" t="s">
        <v>24</v>
      </c>
      <c r="L1202">
        <v>5</v>
      </c>
      <c r="M1202">
        <v>148</v>
      </c>
      <c r="N1202" s="1">
        <f t="shared" si="57"/>
        <v>740</v>
      </c>
    </row>
    <row r="1203" spans="5:14" x14ac:dyDescent="0.25">
      <c r="E1203">
        <v>1638</v>
      </c>
      <c r="F1203" s="7">
        <v>45619</v>
      </c>
      <c r="G1203">
        <f t="shared" si="55"/>
        <v>2024</v>
      </c>
      <c r="H1203" s="7" t="str">
        <f t="shared" si="56"/>
        <v>Ноябрь</v>
      </c>
      <c r="I1203" t="s">
        <v>22</v>
      </c>
      <c r="J1203">
        <v>29</v>
      </c>
      <c r="K1203" t="s">
        <v>24</v>
      </c>
      <c r="L1203">
        <v>3</v>
      </c>
      <c r="M1203">
        <v>177</v>
      </c>
      <c r="N1203" s="1">
        <f t="shared" si="57"/>
        <v>531</v>
      </c>
    </row>
    <row r="1204" spans="5:14" x14ac:dyDescent="0.25">
      <c r="E1204">
        <v>1574</v>
      </c>
      <c r="F1204" s="7">
        <v>45335</v>
      </c>
      <c r="G1204">
        <f t="shared" si="55"/>
        <v>2024</v>
      </c>
      <c r="H1204" s="7" t="str">
        <f t="shared" si="56"/>
        <v>Февраль</v>
      </c>
      <c r="I1204" t="s">
        <v>20</v>
      </c>
      <c r="J1204">
        <v>65</v>
      </c>
      <c r="K1204" t="s">
        <v>21</v>
      </c>
      <c r="L1204">
        <v>3</v>
      </c>
      <c r="M1204">
        <v>348</v>
      </c>
      <c r="N1204" s="1">
        <f t="shared" si="57"/>
        <v>1044</v>
      </c>
    </row>
    <row r="1205" spans="5:14" x14ac:dyDescent="0.25">
      <c r="E1205">
        <v>947</v>
      </c>
      <c r="F1205" s="7">
        <v>45140</v>
      </c>
      <c r="G1205">
        <f t="shared" si="55"/>
        <v>2023</v>
      </c>
      <c r="H1205" s="7" t="str">
        <f t="shared" si="56"/>
        <v>Август</v>
      </c>
      <c r="I1205" t="s">
        <v>22</v>
      </c>
      <c r="J1205">
        <v>41</v>
      </c>
      <c r="K1205" t="s">
        <v>24</v>
      </c>
      <c r="L1205">
        <v>2</v>
      </c>
      <c r="M1205">
        <v>25</v>
      </c>
      <c r="N1205" s="1">
        <f t="shared" si="57"/>
        <v>50</v>
      </c>
    </row>
    <row r="1206" spans="5:14" x14ac:dyDescent="0.25">
      <c r="E1206">
        <v>1182</v>
      </c>
      <c r="F1206" s="7">
        <v>45301</v>
      </c>
      <c r="G1206">
        <f t="shared" si="55"/>
        <v>2024</v>
      </c>
      <c r="H1206" s="7" t="str">
        <f t="shared" si="56"/>
        <v>Январь</v>
      </c>
      <c r="I1206" t="s">
        <v>20</v>
      </c>
      <c r="J1206">
        <v>59</v>
      </c>
      <c r="K1206" t="s">
        <v>24</v>
      </c>
      <c r="L1206">
        <v>2</v>
      </c>
      <c r="M1206">
        <v>328</v>
      </c>
      <c r="N1206" s="1">
        <f t="shared" si="57"/>
        <v>656</v>
      </c>
    </row>
    <row r="1207" spans="5:14" x14ac:dyDescent="0.25">
      <c r="E1207">
        <v>926</v>
      </c>
      <c r="F1207" s="7">
        <v>45021</v>
      </c>
      <c r="G1207">
        <f t="shared" si="55"/>
        <v>2023</v>
      </c>
      <c r="H1207" s="7" t="str">
        <f t="shared" si="56"/>
        <v>Апрель</v>
      </c>
      <c r="I1207" t="s">
        <v>22</v>
      </c>
      <c r="J1207">
        <v>35</v>
      </c>
      <c r="K1207" t="s">
        <v>23</v>
      </c>
      <c r="L1207">
        <v>4</v>
      </c>
      <c r="M1207">
        <v>300</v>
      </c>
      <c r="N1207" s="1">
        <f t="shared" si="57"/>
        <v>1200</v>
      </c>
    </row>
    <row r="1208" spans="5:14" x14ac:dyDescent="0.25">
      <c r="E1208">
        <v>987</v>
      </c>
      <c r="F1208" s="7">
        <v>45288</v>
      </c>
      <c r="G1208">
        <f t="shared" si="55"/>
        <v>2023</v>
      </c>
      <c r="H1208" s="7" t="str">
        <f t="shared" si="56"/>
        <v>Декабрь</v>
      </c>
      <c r="I1208" t="s">
        <v>22</v>
      </c>
      <c r="J1208">
        <v>44</v>
      </c>
      <c r="K1208" t="s">
        <v>24</v>
      </c>
      <c r="L1208">
        <v>1</v>
      </c>
      <c r="M1208">
        <v>25</v>
      </c>
      <c r="N1208" s="1">
        <f t="shared" si="57"/>
        <v>25</v>
      </c>
    </row>
    <row r="1209" spans="5:14" x14ac:dyDescent="0.25">
      <c r="E1209">
        <v>80</v>
      </c>
      <c r="F1209" s="7">
        <v>45270</v>
      </c>
      <c r="G1209">
        <f t="shared" si="55"/>
        <v>2023</v>
      </c>
      <c r="H1209" s="7" t="str">
        <f t="shared" si="56"/>
        <v>Декабрь</v>
      </c>
      <c r="I1209" t="s">
        <v>22</v>
      </c>
      <c r="J1209">
        <v>64</v>
      </c>
      <c r="K1209" t="s">
        <v>23</v>
      </c>
      <c r="L1209">
        <v>2</v>
      </c>
      <c r="M1209">
        <v>30</v>
      </c>
      <c r="N1209" s="1">
        <f t="shared" si="57"/>
        <v>60</v>
      </c>
    </row>
    <row r="1210" spans="5:14" x14ac:dyDescent="0.25">
      <c r="E1210">
        <v>497</v>
      </c>
      <c r="F1210" s="7">
        <v>45096</v>
      </c>
      <c r="G1210">
        <f t="shared" si="55"/>
        <v>2023</v>
      </c>
      <c r="H1210" s="7" t="str">
        <f t="shared" si="56"/>
        <v>Июнь</v>
      </c>
      <c r="I1210" t="s">
        <v>22</v>
      </c>
      <c r="J1210">
        <v>50</v>
      </c>
      <c r="K1210" t="s">
        <v>23</v>
      </c>
      <c r="L1210">
        <v>4</v>
      </c>
      <c r="M1210">
        <v>25</v>
      </c>
      <c r="N1210" s="1">
        <f t="shared" si="57"/>
        <v>100</v>
      </c>
    </row>
    <row r="1211" spans="5:14" x14ac:dyDescent="0.25">
      <c r="E1211">
        <v>919</v>
      </c>
      <c r="F1211" s="7">
        <v>44933</v>
      </c>
      <c r="G1211">
        <f t="shared" si="55"/>
        <v>2023</v>
      </c>
      <c r="H1211" s="7" t="str">
        <f t="shared" si="56"/>
        <v>Январь</v>
      </c>
      <c r="I1211" t="s">
        <v>20</v>
      </c>
      <c r="J1211">
        <v>51</v>
      </c>
      <c r="K1211" t="s">
        <v>24</v>
      </c>
      <c r="L1211">
        <v>3</v>
      </c>
      <c r="M1211">
        <v>25</v>
      </c>
      <c r="N1211" s="1">
        <f t="shared" si="57"/>
        <v>75</v>
      </c>
    </row>
    <row r="1212" spans="5:14" x14ac:dyDescent="0.25">
      <c r="E1212">
        <v>1505</v>
      </c>
      <c r="F1212" s="7">
        <v>45515</v>
      </c>
      <c r="G1212">
        <f t="shared" si="55"/>
        <v>2024</v>
      </c>
      <c r="H1212" s="7" t="str">
        <f t="shared" si="56"/>
        <v>Август</v>
      </c>
      <c r="I1212" t="s">
        <v>20</v>
      </c>
      <c r="J1212">
        <v>24</v>
      </c>
      <c r="K1212" t="s">
        <v>21</v>
      </c>
      <c r="L1212">
        <v>4</v>
      </c>
      <c r="M1212">
        <v>371</v>
      </c>
      <c r="N1212" s="1">
        <f t="shared" si="57"/>
        <v>1484</v>
      </c>
    </row>
    <row r="1213" spans="5:14" x14ac:dyDescent="0.25">
      <c r="E1213">
        <v>985</v>
      </c>
      <c r="F1213" s="7">
        <v>45045</v>
      </c>
      <c r="G1213">
        <f t="shared" si="55"/>
        <v>2023</v>
      </c>
      <c r="H1213" s="7" t="str">
        <f t="shared" si="56"/>
        <v>Апрель</v>
      </c>
      <c r="I1213" t="s">
        <v>22</v>
      </c>
      <c r="J1213">
        <v>30</v>
      </c>
      <c r="K1213" t="s">
        <v>23</v>
      </c>
      <c r="L1213">
        <v>3</v>
      </c>
      <c r="M1213">
        <v>300</v>
      </c>
      <c r="N1213" s="1">
        <f t="shared" si="57"/>
        <v>900</v>
      </c>
    </row>
    <row r="1214" spans="5:14" x14ac:dyDescent="0.25">
      <c r="E1214">
        <v>1074</v>
      </c>
      <c r="F1214" s="7">
        <v>45376</v>
      </c>
      <c r="G1214">
        <f t="shared" si="55"/>
        <v>2024</v>
      </c>
      <c r="H1214" s="7" t="str">
        <f t="shared" si="56"/>
        <v>Март</v>
      </c>
      <c r="I1214" t="s">
        <v>22</v>
      </c>
      <c r="J1214">
        <v>34</v>
      </c>
      <c r="K1214" t="s">
        <v>24</v>
      </c>
      <c r="L1214">
        <v>4</v>
      </c>
      <c r="M1214">
        <v>392</v>
      </c>
      <c r="N1214" s="1">
        <f t="shared" si="57"/>
        <v>1568</v>
      </c>
    </row>
    <row r="1215" spans="5:14" x14ac:dyDescent="0.25">
      <c r="E1215">
        <v>1324</v>
      </c>
      <c r="F1215" s="7">
        <v>45564</v>
      </c>
      <c r="G1215">
        <f t="shared" si="55"/>
        <v>2024</v>
      </c>
      <c r="H1215" s="7" t="str">
        <f t="shared" si="56"/>
        <v>Сентябрь</v>
      </c>
      <c r="I1215" t="s">
        <v>20</v>
      </c>
      <c r="J1215">
        <v>52</v>
      </c>
      <c r="K1215" t="s">
        <v>24</v>
      </c>
      <c r="L1215">
        <v>3</v>
      </c>
      <c r="M1215">
        <v>247</v>
      </c>
      <c r="N1215" s="1">
        <f t="shared" si="57"/>
        <v>741</v>
      </c>
    </row>
    <row r="1216" spans="5:14" x14ac:dyDescent="0.25">
      <c r="E1216">
        <v>13</v>
      </c>
      <c r="F1216" s="7">
        <v>45143</v>
      </c>
      <c r="G1216">
        <f t="shared" si="55"/>
        <v>2023</v>
      </c>
      <c r="H1216" s="7" t="str">
        <f t="shared" si="56"/>
        <v>Август</v>
      </c>
      <c r="I1216" t="s">
        <v>20</v>
      </c>
      <c r="J1216">
        <v>22</v>
      </c>
      <c r="K1216" t="s">
        <v>24</v>
      </c>
      <c r="L1216">
        <v>3</v>
      </c>
      <c r="M1216">
        <v>500</v>
      </c>
      <c r="N1216" s="1">
        <f t="shared" si="57"/>
        <v>1500</v>
      </c>
    </row>
    <row r="1217" spans="5:14" x14ac:dyDescent="0.25">
      <c r="E1217">
        <v>1232</v>
      </c>
      <c r="F1217" s="7">
        <v>45322</v>
      </c>
      <c r="G1217">
        <f t="shared" si="55"/>
        <v>2024</v>
      </c>
      <c r="H1217" s="7" t="str">
        <f t="shared" si="56"/>
        <v>Январь</v>
      </c>
      <c r="I1217" t="s">
        <v>22</v>
      </c>
      <c r="J1217">
        <v>21</v>
      </c>
      <c r="K1217" t="s">
        <v>24</v>
      </c>
      <c r="L1217">
        <v>3</v>
      </c>
      <c r="M1217">
        <v>497</v>
      </c>
      <c r="N1217" s="1">
        <f t="shared" si="57"/>
        <v>1491</v>
      </c>
    </row>
    <row r="1218" spans="5:14" x14ac:dyDescent="0.25">
      <c r="E1218">
        <v>644</v>
      </c>
      <c r="F1218" s="7">
        <v>45247</v>
      </c>
      <c r="G1218">
        <f t="shared" si="55"/>
        <v>2023</v>
      </c>
      <c r="H1218" s="7" t="str">
        <f t="shared" si="56"/>
        <v>Ноябрь</v>
      </c>
      <c r="I1218" t="s">
        <v>22</v>
      </c>
      <c r="J1218">
        <v>35</v>
      </c>
      <c r="K1218" t="s">
        <v>24</v>
      </c>
      <c r="L1218">
        <v>4</v>
      </c>
      <c r="M1218">
        <v>30</v>
      </c>
      <c r="N1218" s="1">
        <f t="shared" si="57"/>
        <v>120</v>
      </c>
    </row>
    <row r="1219" spans="5:14" x14ac:dyDescent="0.25">
      <c r="E1219">
        <v>1184</v>
      </c>
      <c r="F1219" s="7">
        <v>45478</v>
      </c>
      <c r="G1219">
        <f t="shared" si="55"/>
        <v>2024</v>
      </c>
      <c r="H1219" s="7" t="str">
        <f t="shared" si="56"/>
        <v>Июль</v>
      </c>
      <c r="I1219" t="s">
        <v>20</v>
      </c>
      <c r="J1219">
        <v>49</v>
      </c>
      <c r="K1219" t="s">
        <v>23</v>
      </c>
      <c r="L1219">
        <v>2</v>
      </c>
      <c r="M1219">
        <v>493</v>
      </c>
      <c r="N1219" s="1">
        <f t="shared" si="57"/>
        <v>986</v>
      </c>
    </row>
    <row r="1220" spans="5:14" x14ac:dyDescent="0.25">
      <c r="E1220">
        <v>1055</v>
      </c>
      <c r="F1220" s="7">
        <v>45614</v>
      </c>
      <c r="G1220">
        <f t="shared" si="55"/>
        <v>2024</v>
      </c>
      <c r="H1220" s="7" t="str">
        <f t="shared" si="56"/>
        <v>Ноябрь</v>
      </c>
      <c r="I1220" t="s">
        <v>22</v>
      </c>
      <c r="J1220">
        <v>51</v>
      </c>
      <c r="K1220" t="s">
        <v>21</v>
      </c>
      <c r="L1220">
        <v>1</v>
      </c>
      <c r="M1220">
        <v>100</v>
      </c>
      <c r="N1220" s="1">
        <f t="shared" si="57"/>
        <v>100</v>
      </c>
    </row>
    <row r="1221" spans="5:14" x14ac:dyDescent="0.25">
      <c r="E1221">
        <v>699</v>
      </c>
      <c r="F1221" s="7">
        <v>45274</v>
      </c>
      <c r="G1221">
        <f t="shared" si="55"/>
        <v>2023</v>
      </c>
      <c r="H1221" s="7" t="str">
        <f t="shared" si="56"/>
        <v>Декабрь</v>
      </c>
      <c r="I1221" t="s">
        <v>22</v>
      </c>
      <c r="J1221">
        <v>52</v>
      </c>
      <c r="K1221" t="s">
        <v>21</v>
      </c>
      <c r="L1221">
        <v>2</v>
      </c>
      <c r="M1221">
        <v>30</v>
      </c>
      <c r="N1221" s="1">
        <f t="shared" si="57"/>
        <v>60</v>
      </c>
    </row>
    <row r="1222" spans="5:14" x14ac:dyDescent="0.25">
      <c r="E1222">
        <v>857</v>
      </c>
      <c r="F1222" s="7">
        <v>45156</v>
      </c>
      <c r="G1222">
        <f t="shared" si="55"/>
        <v>2023</v>
      </c>
      <c r="H1222" s="7" t="str">
        <f t="shared" si="56"/>
        <v>Август</v>
      </c>
      <c r="I1222" t="s">
        <v>22</v>
      </c>
      <c r="J1222">
        <v>56</v>
      </c>
      <c r="K1222" t="s">
        <v>24</v>
      </c>
      <c r="L1222">
        <v>3</v>
      </c>
      <c r="M1222">
        <v>500</v>
      </c>
      <c r="N1222" s="1">
        <f t="shared" si="57"/>
        <v>1500</v>
      </c>
    </row>
    <row r="1223" spans="5:14" x14ac:dyDescent="0.25">
      <c r="E1223">
        <v>114</v>
      </c>
      <c r="F1223" s="7">
        <v>45129</v>
      </c>
      <c r="G1223">
        <f t="shared" si="55"/>
        <v>2023</v>
      </c>
      <c r="H1223" s="7" t="str">
        <f t="shared" si="56"/>
        <v>Июль</v>
      </c>
      <c r="I1223" t="s">
        <v>22</v>
      </c>
      <c r="J1223">
        <v>22</v>
      </c>
      <c r="K1223" t="s">
        <v>21</v>
      </c>
      <c r="L1223">
        <v>4</v>
      </c>
      <c r="M1223">
        <v>25</v>
      </c>
      <c r="N1223" s="1">
        <f t="shared" si="57"/>
        <v>100</v>
      </c>
    </row>
    <row r="1224" spans="5:14" x14ac:dyDescent="0.25">
      <c r="E1224">
        <v>820</v>
      </c>
      <c r="F1224" s="7">
        <v>45069</v>
      </c>
      <c r="G1224">
        <f t="shared" si="55"/>
        <v>2023</v>
      </c>
      <c r="H1224" s="7" t="str">
        <f t="shared" si="56"/>
        <v>Май</v>
      </c>
      <c r="I1224" t="s">
        <v>22</v>
      </c>
      <c r="J1224">
        <v>52</v>
      </c>
      <c r="K1224" t="s">
        <v>21</v>
      </c>
      <c r="L1224">
        <v>3</v>
      </c>
      <c r="M1224">
        <v>50</v>
      </c>
      <c r="N1224" s="1">
        <f t="shared" si="57"/>
        <v>150</v>
      </c>
    </row>
    <row r="1225" spans="5:14" x14ac:dyDescent="0.25">
      <c r="E1225">
        <v>1904</v>
      </c>
      <c r="F1225" s="7">
        <v>45655</v>
      </c>
      <c r="G1225">
        <f t="shared" si="55"/>
        <v>2024</v>
      </c>
      <c r="H1225" s="7" t="str">
        <f t="shared" si="56"/>
        <v>Декабрь</v>
      </c>
      <c r="I1225" t="s">
        <v>20</v>
      </c>
      <c r="J1225">
        <v>49</v>
      </c>
      <c r="K1225" t="s">
        <v>21</v>
      </c>
      <c r="L1225">
        <v>3</v>
      </c>
      <c r="M1225">
        <v>415</v>
      </c>
      <c r="N1225" s="1">
        <f t="shared" si="57"/>
        <v>1245</v>
      </c>
    </row>
    <row r="1226" spans="5:14" x14ac:dyDescent="0.25">
      <c r="E1226">
        <v>1233</v>
      </c>
      <c r="F1226" s="7">
        <v>45410</v>
      </c>
      <c r="G1226">
        <f t="shared" ref="G1226:G1289" si="58">YEAR(F1226)</f>
        <v>2024</v>
      </c>
      <c r="H1226" s="7" t="str">
        <f t="shared" ref="H1226:H1289" si="59">TEXT(F1226,"ММММ")</f>
        <v>Апрель</v>
      </c>
      <c r="I1226" t="s">
        <v>22</v>
      </c>
      <c r="J1226">
        <v>35</v>
      </c>
      <c r="K1226" t="s">
        <v>23</v>
      </c>
      <c r="L1226">
        <v>7</v>
      </c>
      <c r="M1226">
        <v>193</v>
      </c>
      <c r="N1226" s="1">
        <f t="shared" ref="N1226:N1289" si="60">L1226*M1226</f>
        <v>1351</v>
      </c>
    </row>
    <row r="1227" spans="5:14" x14ac:dyDescent="0.25">
      <c r="E1227">
        <v>1976</v>
      </c>
      <c r="F1227" s="7">
        <v>45502</v>
      </c>
      <c r="G1227">
        <f t="shared" si="58"/>
        <v>2024</v>
      </c>
      <c r="H1227" s="7" t="str">
        <f t="shared" si="59"/>
        <v>Июль</v>
      </c>
      <c r="I1227" t="s">
        <v>22</v>
      </c>
      <c r="J1227">
        <v>49</v>
      </c>
      <c r="K1227" t="s">
        <v>24</v>
      </c>
      <c r="L1227">
        <v>2</v>
      </c>
      <c r="M1227">
        <v>214</v>
      </c>
      <c r="N1227" s="1">
        <f t="shared" si="60"/>
        <v>428</v>
      </c>
    </row>
    <row r="1228" spans="5:14" x14ac:dyDescent="0.25">
      <c r="E1228">
        <v>1004</v>
      </c>
      <c r="F1228" s="7">
        <v>45407</v>
      </c>
      <c r="G1228">
        <f t="shared" si="58"/>
        <v>2024</v>
      </c>
      <c r="H1228" s="7" t="str">
        <f t="shared" si="59"/>
        <v>Апрель</v>
      </c>
      <c r="I1228" t="s">
        <v>22</v>
      </c>
      <c r="J1228">
        <v>48</v>
      </c>
      <c r="K1228" t="s">
        <v>21</v>
      </c>
      <c r="L1228">
        <v>1</v>
      </c>
      <c r="M1228">
        <v>72</v>
      </c>
      <c r="N1228" s="1">
        <f t="shared" si="60"/>
        <v>72</v>
      </c>
    </row>
    <row r="1229" spans="5:14" x14ac:dyDescent="0.25">
      <c r="E1229">
        <v>1704</v>
      </c>
      <c r="F1229" s="7">
        <v>45305</v>
      </c>
      <c r="G1229">
        <f t="shared" si="58"/>
        <v>2024</v>
      </c>
      <c r="H1229" s="7" t="str">
        <f t="shared" si="59"/>
        <v>Январь</v>
      </c>
      <c r="I1229" t="s">
        <v>22</v>
      </c>
      <c r="J1229">
        <v>46</v>
      </c>
      <c r="K1229" t="s">
        <v>21</v>
      </c>
      <c r="L1229">
        <v>6</v>
      </c>
      <c r="M1229">
        <v>63</v>
      </c>
      <c r="N1229" s="1">
        <f t="shared" si="60"/>
        <v>378</v>
      </c>
    </row>
    <row r="1230" spans="5:14" x14ac:dyDescent="0.25">
      <c r="E1230">
        <v>271</v>
      </c>
      <c r="F1230" s="7">
        <v>44982</v>
      </c>
      <c r="G1230">
        <f t="shared" si="58"/>
        <v>2023</v>
      </c>
      <c r="H1230" s="7" t="str">
        <f t="shared" si="59"/>
        <v>Февраль</v>
      </c>
      <c r="I1230" t="s">
        <v>22</v>
      </c>
      <c r="J1230">
        <v>61</v>
      </c>
      <c r="K1230" t="s">
        <v>24</v>
      </c>
      <c r="L1230">
        <v>2</v>
      </c>
      <c r="M1230">
        <v>50</v>
      </c>
      <c r="N1230" s="1">
        <f t="shared" si="60"/>
        <v>100</v>
      </c>
    </row>
    <row r="1231" spans="5:14" x14ac:dyDescent="0.25">
      <c r="E1231">
        <v>584</v>
      </c>
      <c r="F1231" s="7">
        <v>45047</v>
      </c>
      <c r="G1231">
        <f t="shared" si="58"/>
        <v>2023</v>
      </c>
      <c r="H1231" s="7" t="str">
        <f t="shared" si="59"/>
        <v>Май</v>
      </c>
      <c r="I1231" t="s">
        <v>22</v>
      </c>
      <c r="J1231">
        <v>24</v>
      </c>
      <c r="K1231" t="s">
        <v>23</v>
      </c>
      <c r="L1231">
        <v>1</v>
      </c>
      <c r="M1231">
        <v>25</v>
      </c>
      <c r="N1231" s="1">
        <f t="shared" si="60"/>
        <v>25</v>
      </c>
    </row>
    <row r="1232" spans="5:14" x14ac:dyDescent="0.25">
      <c r="E1232">
        <v>427</v>
      </c>
      <c r="F1232" s="7">
        <v>45209</v>
      </c>
      <c r="G1232">
        <f t="shared" si="58"/>
        <v>2023</v>
      </c>
      <c r="H1232" s="7" t="str">
        <f t="shared" si="59"/>
        <v>Октябрь</v>
      </c>
      <c r="I1232" t="s">
        <v>22</v>
      </c>
      <c r="J1232">
        <v>40</v>
      </c>
      <c r="K1232" t="s">
        <v>24</v>
      </c>
      <c r="L1232">
        <v>4</v>
      </c>
      <c r="M1232">
        <v>50</v>
      </c>
      <c r="N1232" s="1">
        <f t="shared" si="60"/>
        <v>200</v>
      </c>
    </row>
    <row r="1233" spans="5:14" x14ac:dyDescent="0.25">
      <c r="E1233">
        <v>1070</v>
      </c>
      <c r="F1233" s="7">
        <v>45435</v>
      </c>
      <c r="G1233">
        <f t="shared" si="58"/>
        <v>2024</v>
      </c>
      <c r="H1233" s="7" t="str">
        <f t="shared" si="59"/>
        <v>Май</v>
      </c>
      <c r="I1233" t="s">
        <v>22</v>
      </c>
      <c r="J1233">
        <v>27</v>
      </c>
      <c r="K1233" t="s">
        <v>24</v>
      </c>
      <c r="L1233">
        <v>1</v>
      </c>
      <c r="M1233">
        <v>124</v>
      </c>
      <c r="N1233" s="1">
        <f t="shared" si="60"/>
        <v>124</v>
      </c>
    </row>
    <row r="1234" spans="5:14" x14ac:dyDescent="0.25">
      <c r="E1234">
        <v>294</v>
      </c>
      <c r="F1234" s="7">
        <v>45135</v>
      </c>
      <c r="G1234">
        <f t="shared" si="58"/>
        <v>2023</v>
      </c>
      <c r="H1234" s="7" t="str">
        <f t="shared" si="59"/>
        <v>Июль</v>
      </c>
      <c r="I1234" t="s">
        <v>22</v>
      </c>
      <c r="J1234">
        <v>27</v>
      </c>
      <c r="K1234" t="s">
        <v>21</v>
      </c>
      <c r="L1234">
        <v>3</v>
      </c>
      <c r="M1234">
        <v>300</v>
      </c>
      <c r="N1234" s="1">
        <f t="shared" si="60"/>
        <v>900</v>
      </c>
    </row>
    <row r="1235" spans="5:14" x14ac:dyDescent="0.25">
      <c r="E1235">
        <v>866</v>
      </c>
      <c r="F1235" s="7">
        <v>45266</v>
      </c>
      <c r="G1235">
        <f t="shared" si="58"/>
        <v>2023</v>
      </c>
      <c r="H1235" s="7" t="str">
        <f t="shared" si="59"/>
        <v>Декабрь</v>
      </c>
      <c r="I1235" t="s">
        <v>22</v>
      </c>
      <c r="J1235">
        <v>25</v>
      </c>
      <c r="K1235" t="s">
        <v>24</v>
      </c>
      <c r="L1235">
        <v>1</v>
      </c>
      <c r="M1235">
        <v>300</v>
      </c>
      <c r="N1235" s="1">
        <f t="shared" si="60"/>
        <v>300</v>
      </c>
    </row>
    <row r="1236" spans="5:14" x14ac:dyDescent="0.25">
      <c r="E1236">
        <v>367</v>
      </c>
      <c r="F1236" s="7">
        <v>45161</v>
      </c>
      <c r="G1236">
        <f t="shared" si="58"/>
        <v>2023</v>
      </c>
      <c r="H1236" s="7" t="str">
        <f t="shared" si="59"/>
        <v>Август</v>
      </c>
      <c r="I1236" t="s">
        <v>22</v>
      </c>
      <c r="J1236">
        <v>56</v>
      </c>
      <c r="K1236" t="s">
        <v>23</v>
      </c>
      <c r="L1236">
        <v>4</v>
      </c>
      <c r="M1236">
        <v>300</v>
      </c>
      <c r="N1236" s="1">
        <f t="shared" si="60"/>
        <v>1200</v>
      </c>
    </row>
    <row r="1237" spans="5:14" x14ac:dyDescent="0.25">
      <c r="E1237">
        <v>1089</v>
      </c>
      <c r="F1237" s="7">
        <v>45376</v>
      </c>
      <c r="G1237">
        <f t="shared" si="58"/>
        <v>2024</v>
      </c>
      <c r="H1237" s="7" t="str">
        <f t="shared" si="59"/>
        <v>Март</v>
      </c>
      <c r="I1237" t="s">
        <v>22</v>
      </c>
      <c r="J1237">
        <v>51</v>
      </c>
      <c r="K1237" t="s">
        <v>24</v>
      </c>
      <c r="L1237">
        <v>3</v>
      </c>
      <c r="M1237">
        <v>162</v>
      </c>
      <c r="N1237" s="1">
        <f t="shared" si="60"/>
        <v>486</v>
      </c>
    </row>
    <row r="1238" spans="5:14" x14ac:dyDescent="0.25">
      <c r="E1238">
        <v>374</v>
      </c>
      <c r="F1238" s="7">
        <v>45186</v>
      </c>
      <c r="G1238">
        <f t="shared" si="58"/>
        <v>2023</v>
      </c>
      <c r="H1238" s="7" t="str">
        <f t="shared" si="59"/>
        <v>Сентябрь</v>
      </c>
      <c r="I1238" t="s">
        <v>20</v>
      </c>
      <c r="J1238">
        <v>32</v>
      </c>
      <c r="K1238" t="s">
        <v>23</v>
      </c>
      <c r="L1238">
        <v>1</v>
      </c>
      <c r="M1238">
        <v>50</v>
      </c>
      <c r="N1238" s="1">
        <f t="shared" si="60"/>
        <v>50</v>
      </c>
    </row>
    <row r="1239" spans="5:14" x14ac:dyDescent="0.25">
      <c r="E1239">
        <v>453</v>
      </c>
      <c r="F1239" s="7">
        <v>44979</v>
      </c>
      <c r="G1239">
        <f t="shared" si="58"/>
        <v>2023</v>
      </c>
      <c r="H1239" s="7" t="str">
        <f t="shared" si="59"/>
        <v>Февраль</v>
      </c>
      <c r="I1239" t="s">
        <v>22</v>
      </c>
      <c r="J1239">
        <v>46</v>
      </c>
      <c r="K1239" t="s">
        <v>21</v>
      </c>
      <c r="L1239">
        <v>1</v>
      </c>
      <c r="M1239">
        <v>25</v>
      </c>
      <c r="N1239" s="1">
        <f t="shared" si="60"/>
        <v>25</v>
      </c>
    </row>
    <row r="1240" spans="5:14" x14ac:dyDescent="0.25">
      <c r="E1240">
        <v>873</v>
      </c>
      <c r="F1240" s="7">
        <v>45144</v>
      </c>
      <c r="G1240">
        <f t="shared" si="58"/>
        <v>2023</v>
      </c>
      <c r="H1240" s="7" t="str">
        <f t="shared" si="59"/>
        <v>Август</v>
      </c>
      <c r="I1240" t="s">
        <v>22</v>
      </c>
      <c r="J1240">
        <v>51</v>
      </c>
      <c r="K1240" t="s">
        <v>24</v>
      </c>
      <c r="L1240">
        <v>4</v>
      </c>
      <c r="M1240">
        <v>500</v>
      </c>
      <c r="N1240" s="1">
        <f t="shared" si="60"/>
        <v>2000</v>
      </c>
    </row>
    <row r="1241" spans="5:14" x14ac:dyDescent="0.25">
      <c r="E1241">
        <v>1018</v>
      </c>
      <c r="F1241" s="7">
        <v>45601</v>
      </c>
      <c r="G1241">
        <f t="shared" si="58"/>
        <v>2024</v>
      </c>
      <c r="H1241" s="7" t="str">
        <f t="shared" si="59"/>
        <v>Ноябрь</v>
      </c>
      <c r="I1241" t="s">
        <v>20</v>
      </c>
      <c r="J1241">
        <v>19</v>
      </c>
      <c r="K1241" t="s">
        <v>23</v>
      </c>
      <c r="L1241">
        <v>7</v>
      </c>
      <c r="M1241">
        <v>114</v>
      </c>
      <c r="N1241" s="1">
        <f t="shared" si="60"/>
        <v>798</v>
      </c>
    </row>
    <row r="1242" spans="5:14" x14ac:dyDescent="0.25">
      <c r="E1242">
        <v>359</v>
      </c>
      <c r="F1242" s="7">
        <v>44994</v>
      </c>
      <c r="G1242">
        <f t="shared" si="58"/>
        <v>2023</v>
      </c>
      <c r="H1242" s="7" t="str">
        <f t="shared" si="59"/>
        <v>Март</v>
      </c>
      <c r="I1242" t="s">
        <v>20</v>
      </c>
      <c r="J1242">
        <v>42</v>
      </c>
      <c r="K1242" t="s">
        <v>23</v>
      </c>
      <c r="L1242">
        <v>4</v>
      </c>
      <c r="M1242">
        <v>25</v>
      </c>
      <c r="N1242" s="1">
        <f t="shared" si="60"/>
        <v>100</v>
      </c>
    </row>
    <row r="1243" spans="5:14" x14ac:dyDescent="0.25">
      <c r="E1243">
        <v>1395</v>
      </c>
      <c r="F1243" s="7">
        <v>45428</v>
      </c>
      <c r="G1243">
        <f t="shared" si="58"/>
        <v>2024</v>
      </c>
      <c r="H1243" s="7" t="str">
        <f t="shared" si="59"/>
        <v>Май</v>
      </c>
      <c r="I1243" t="s">
        <v>22</v>
      </c>
      <c r="J1243">
        <v>59</v>
      </c>
      <c r="K1243" t="s">
        <v>23</v>
      </c>
      <c r="L1243">
        <v>5</v>
      </c>
      <c r="M1243">
        <v>371</v>
      </c>
      <c r="N1243" s="1">
        <f t="shared" si="60"/>
        <v>1855</v>
      </c>
    </row>
    <row r="1244" spans="5:14" x14ac:dyDescent="0.25">
      <c r="E1244">
        <v>1971</v>
      </c>
      <c r="F1244" s="7">
        <v>45381</v>
      </c>
      <c r="G1244">
        <f t="shared" si="58"/>
        <v>2024</v>
      </c>
      <c r="H1244" s="7" t="str">
        <f t="shared" si="59"/>
        <v>Март</v>
      </c>
      <c r="I1244" t="s">
        <v>22</v>
      </c>
      <c r="J1244">
        <v>62</v>
      </c>
      <c r="K1244" t="s">
        <v>23</v>
      </c>
      <c r="L1244">
        <v>7</v>
      </c>
      <c r="M1244">
        <v>353</v>
      </c>
      <c r="N1244" s="1">
        <f t="shared" si="60"/>
        <v>2471</v>
      </c>
    </row>
    <row r="1245" spans="5:14" x14ac:dyDescent="0.25">
      <c r="E1245">
        <v>1307</v>
      </c>
      <c r="F1245" s="7">
        <v>45577</v>
      </c>
      <c r="G1245">
        <f t="shared" si="58"/>
        <v>2024</v>
      </c>
      <c r="H1245" s="7" t="str">
        <f t="shared" si="59"/>
        <v>Октябрь</v>
      </c>
      <c r="I1245" t="s">
        <v>22</v>
      </c>
      <c r="J1245">
        <v>46</v>
      </c>
      <c r="K1245" t="s">
        <v>21</v>
      </c>
      <c r="L1245">
        <v>3</v>
      </c>
      <c r="M1245">
        <v>334</v>
      </c>
      <c r="N1245" s="1">
        <f t="shared" si="60"/>
        <v>1002</v>
      </c>
    </row>
    <row r="1246" spans="5:14" x14ac:dyDescent="0.25">
      <c r="E1246">
        <v>212</v>
      </c>
      <c r="F1246" s="7">
        <v>45131</v>
      </c>
      <c r="G1246">
        <f t="shared" si="58"/>
        <v>2023</v>
      </c>
      <c r="H1246" s="7" t="str">
        <f t="shared" si="59"/>
        <v>Июль</v>
      </c>
      <c r="I1246" t="s">
        <v>20</v>
      </c>
      <c r="J1246">
        <v>27</v>
      </c>
      <c r="K1246" t="s">
        <v>21</v>
      </c>
      <c r="L1246">
        <v>3</v>
      </c>
      <c r="M1246">
        <v>500</v>
      </c>
      <c r="N1246" s="1">
        <f t="shared" si="60"/>
        <v>1500</v>
      </c>
    </row>
    <row r="1247" spans="5:14" x14ac:dyDescent="0.25">
      <c r="E1247">
        <v>1065</v>
      </c>
      <c r="F1247" s="7">
        <v>45441</v>
      </c>
      <c r="G1247">
        <f t="shared" si="58"/>
        <v>2024</v>
      </c>
      <c r="H1247" s="7" t="str">
        <f t="shared" si="59"/>
        <v>Май</v>
      </c>
      <c r="I1247" t="s">
        <v>22</v>
      </c>
      <c r="J1247">
        <v>48</v>
      </c>
      <c r="K1247" t="s">
        <v>21</v>
      </c>
      <c r="L1247">
        <v>5</v>
      </c>
      <c r="M1247">
        <v>119</v>
      </c>
      <c r="N1247" s="1">
        <f t="shared" si="60"/>
        <v>595</v>
      </c>
    </row>
    <row r="1248" spans="5:14" x14ac:dyDescent="0.25">
      <c r="E1248">
        <v>130</v>
      </c>
      <c r="F1248" s="7">
        <v>44997</v>
      </c>
      <c r="G1248">
        <f t="shared" si="58"/>
        <v>2023</v>
      </c>
      <c r="H1248" s="7" t="str">
        <f t="shared" si="59"/>
        <v>Март</v>
      </c>
      <c r="I1248" t="s">
        <v>22</v>
      </c>
      <c r="J1248">
        <v>57</v>
      </c>
      <c r="K1248" t="s">
        <v>23</v>
      </c>
      <c r="L1248">
        <v>1</v>
      </c>
      <c r="M1248">
        <v>500</v>
      </c>
      <c r="N1248" s="1">
        <f t="shared" si="60"/>
        <v>500</v>
      </c>
    </row>
    <row r="1249" spans="5:14" x14ac:dyDescent="0.25">
      <c r="E1249">
        <v>1933</v>
      </c>
      <c r="F1249" s="7">
        <v>45588</v>
      </c>
      <c r="G1249">
        <f t="shared" si="58"/>
        <v>2024</v>
      </c>
      <c r="H1249" s="7" t="str">
        <f t="shared" si="59"/>
        <v>Октябрь</v>
      </c>
      <c r="I1249" t="s">
        <v>22</v>
      </c>
      <c r="J1249">
        <v>35</v>
      </c>
      <c r="K1249" t="s">
        <v>21</v>
      </c>
      <c r="L1249">
        <v>6</v>
      </c>
      <c r="M1249">
        <v>242</v>
      </c>
      <c r="N1249" s="1">
        <f t="shared" si="60"/>
        <v>1452</v>
      </c>
    </row>
    <row r="1250" spans="5:14" x14ac:dyDescent="0.25">
      <c r="E1250">
        <v>903</v>
      </c>
      <c r="F1250" s="7">
        <v>45018</v>
      </c>
      <c r="G1250">
        <f t="shared" si="58"/>
        <v>2023</v>
      </c>
      <c r="H1250" s="7" t="str">
        <f t="shared" si="59"/>
        <v>Апрель</v>
      </c>
      <c r="I1250" t="s">
        <v>20</v>
      </c>
      <c r="J1250">
        <v>58</v>
      </c>
      <c r="K1250" t="s">
        <v>21</v>
      </c>
      <c r="L1250">
        <v>1</v>
      </c>
      <c r="M1250">
        <v>300</v>
      </c>
      <c r="N1250" s="1">
        <f t="shared" si="60"/>
        <v>300</v>
      </c>
    </row>
    <row r="1251" spans="5:14" x14ac:dyDescent="0.25">
      <c r="E1251">
        <v>768</v>
      </c>
      <c r="F1251" s="7">
        <v>45221</v>
      </c>
      <c r="G1251">
        <f t="shared" si="58"/>
        <v>2023</v>
      </c>
      <c r="H1251" s="7" t="str">
        <f t="shared" si="59"/>
        <v>Октябрь</v>
      </c>
      <c r="I1251" t="s">
        <v>20</v>
      </c>
      <c r="J1251">
        <v>32</v>
      </c>
      <c r="K1251" t="s">
        <v>23</v>
      </c>
      <c r="L1251">
        <v>1</v>
      </c>
      <c r="M1251">
        <v>50</v>
      </c>
      <c r="N1251" s="1">
        <f t="shared" si="60"/>
        <v>50</v>
      </c>
    </row>
    <row r="1252" spans="5:14" x14ac:dyDescent="0.25">
      <c r="E1252">
        <v>1254</v>
      </c>
      <c r="F1252" s="7">
        <v>45341</v>
      </c>
      <c r="G1252">
        <f t="shared" si="58"/>
        <v>2024</v>
      </c>
      <c r="H1252" s="7" t="str">
        <f t="shared" si="59"/>
        <v>Февраль</v>
      </c>
      <c r="I1252" t="s">
        <v>20</v>
      </c>
      <c r="J1252">
        <v>62</v>
      </c>
      <c r="K1252" t="s">
        <v>21</v>
      </c>
      <c r="L1252">
        <v>2</v>
      </c>
      <c r="M1252">
        <v>161</v>
      </c>
      <c r="N1252" s="1">
        <f t="shared" si="60"/>
        <v>322</v>
      </c>
    </row>
    <row r="1253" spans="5:14" x14ac:dyDescent="0.25">
      <c r="E1253">
        <v>231</v>
      </c>
      <c r="F1253" s="7">
        <v>44963</v>
      </c>
      <c r="G1253">
        <f t="shared" si="58"/>
        <v>2023</v>
      </c>
      <c r="H1253" s="7" t="str">
        <f t="shared" si="59"/>
        <v>Февраль</v>
      </c>
      <c r="I1253" t="s">
        <v>22</v>
      </c>
      <c r="J1253">
        <v>43</v>
      </c>
      <c r="K1253" t="s">
        <v>21</v>
      </c>
      <c r="L1253">
        <v>1</v>
      </c>
      <c r="M1253">
        <v>25</v>
      </c>
      <c r="N1253" s="1">
        <f t="shared" si="60"/>
        <v>25</v>
      </c>
    </row>
    <row r="1254" spans="5:14" x14ac:dyDescent="0.25">
      <c r="E1254">
        <v>228</v>
      </c>
      <c r="F1254" s="7">
        <v>45228</v>
      </c>
      <c r="G1254">
        <f t="shared" si="58"/>
        <v>2023</v>
      </c>
      <c r="H1254" s="7" t="str">
        <f t="shared" si="59"/>
        <v>Октябрь</v>
      </c>
      <c r="I1254" t="s">
        <v>20</v>
      </c>
      <c r="J1254">
        <v>58</v>
      </c>
      <c r="K1254" t="s">
        <v>21</v>
      </c>
      <c r="L1254">
        <v>3</v>
      </c>
      <c r="M1254">
        <v>30</v>
      </c>
      <c r="N1254" s="1">
        <f t="shared" si="60"/>
        <v>90</v>
      </c>
    </row>
    <row r="1255" spans="5:14" x14ac:dyDescent="0.25">
      <c r="E1255">
        <v>69</v>
      </c>
      <c r="F1255" s="7">
        <v>45046</v>
      </c>
      <c r="G1255">
        <f t="shared" si="58"/>
        <v>2023</v>
      </c>
      <c r="H1255" s="7" t="str">
        <f t="shared" si="59"/>
        <v>Апрель</v>
      </c>
      <c r="I1255" t="s">
        <v>22</v>
      </c>
      <c r="J1255">
        <v>56</v>
      </c>
      <c r="K1255" t="s">
        <v>21</v>
      </c>
      <c r="L1255">
        <v>3</v>
      </c>
      <c r="M1255">
        <v>25</v>
      </c>
      <c r="N1255" s="1">
        <f t="shared" si="60"/>
        <v>75</v>
      </c>
    </row>
    <row r="1256" spans="5:14" x14ac:dyDescent="0.25">
      <c r="E1256">
        <v>747</v>
      </c>
      <c r="F1256" s="7">
        <v>45049</v>
      </c>
      <c r="G1256">
        <f t="shared" si="58"/>
        <v>2023</v>
      </c>
      <c r="H1256" s="7" t="str">
        <f t="shared" si="59"/>
        <v>Май</v>
      </c>
      <c r="I1256" t="s">
        <v>20</v>
      </c>
      <c r="J1256">
        <v>42</v>
      </c>
      <c r="K1256" t="s">
        <v>21</v>
      </c>
      <c r="L1256">
        <v>1</v>
      </c>
      <c r="M1256">
        <v>30</v>
      </c>
      <c r="N1256" s="1">
        <f t="shared" si="60"/>
        <v>30</v>
      </c>
    </row>
    <row r="1257" spans="5:14" x14ac:dyDescent="0.25">
      <c r="E1257">
        <v>990</v>
      </c>
      <c r="F1257" s="7">
        <v>45159</v>
      </c>
      <c r="G1257">
        <f t="shared" si="58"/>
        <v>2023</v>
      </c>
      <c r="H1257" s="7" t="str">
        <f t="shared" si="59"/>
        <v>Август</v>
      </c>
      <c r="I1257" t="s">
        <v>22</v>
      </c>
      <c r="J1257">
        <v>57</v>
      </c>
      <c r="K1257" t="s">
        <v>24</v>
      </c>
      <c r="L1257">
        <v>2</v>
      </c>
      <c r="M1257">
        <v>30</v>
      </c>
      <c r="N1257" s="1">
        <f t="shared" si="60"/>
        <v>60</v>
      </c>
    </row>
    <row r="1258" spans="5:14" x14ac:dyDescent="0.25">
      <c r="E1258">
        <v>1211</v>
      </c>
      <c r="F1258" s="7">
        <v>45636</v>
      </c>
      <c r="G1258">
        <f t="shared" si="58"/>
        <v>2024</v>
      </c>
      <c r="H1258" s="7" t="str">
        <f t="shared" si="59"/>
        <v>Декабрь</v>
      </c>
      <c r="I1258" t="s">
        <v>20</v>
      </c>
      <c r="J1258">
        <v>27</v>
      </c>
      <c r="K1258" t="s">
        <v>21</v>
      </c>
      <c r="L1258">
        <v>5</v>
      </c>
      <c r="M1258">
        <v>203</v>
      </c>
      <c r="N1258" s="1">
        <f t="shared" si="60"/>
        <v>1015</v>
      </c>
    </row>
    <row r="1259" spans="5:14" x14ac:dyDescent="0.25">
      <c r="E1259">
        <v>517</v>
      </c>
      <c r="F1259" s="7">
        <v>45057</v>
      </c>
      <c r="G1259">
        <f t="shared" si="58"/>
        <v>2023</v>
      </c>
      <c r="H1259" s="7" t="str">
        <f t="shared" si="59"/>
        <v>Май</v>
      </c>
      <c r="I1259" t="s">
        <v>22</v>
      </c>
      <c r="J1259">
        <v>40</v>
      </c>
      <c r="K1259" t="s">
        <v>23</v>
      </c>
      <c r="L1259">
        <v>1</v>
      </c>
      <c r="M1259">
        <v>30</v>
      </c>
      <c r="N1259" s="1">
        <f t="shared" si="60"/>
        <v>30</v>
      </c>
    </row>
    <row r="1260" spans="5:14" x14ac:dyDescent="0.25">
      <c r="E1260">
        <v>63</v>
      </c>
      <c r="F1260" s="7">
        <v>44962</v>
      </c>
      <c r="G1260">
        <f t="shared" si="58"/>
        <v>2023</v>
      </c>
      <c r="H1260" s="7" t="str">
        <f t="shared" si="59"/>
        <v>Февраль</v>
      </c>
      <c r="I1260" t="s">
        <v>20</v>
      </c>
      <c r="J1260">
        <v>57</v>
      </c>
      <c r="K1260" t="s">
        <v>24</v>
      </c>
      <c r="L1260">
        <v>2</v>
      </c>
      <c r="M1260">
        <v>25</v>
      </c>
      <c r="N1260" s="1">
        <f t="shared" si="60"/>
        <v>50</v>
      </c>
    </row>
    <row r="1261" spans="5:14" x14ac:dyDescent="0.25">
      <c r="E1261">
        <v>1587</v>
      </c>
      <c r="F1261" s="7">
        <v>45368</v>
      </c>
      <c r="G1261">
        <f t="shared" si="58"/>
        <v>2024</v>
      </c>
      <c r="H1261" s="7" t="str">
        <f t="shared" si="59"/>
        <v>Март</v>
      </c>
      <c r="I1261" t="s">
        <v>20</v>
      </c>
      <c r="J1261">
        <v>59</v>
      </c>
      <c r="K1261" t="s">
        <v>23</v>
      </c>
      <c r="L1261">
        <v>2</v>
      </c>
      <c r="M1261">
        <v>89</v>
      </c>
      <c r="N1261" s="1">
        <f t="shared" si="60"/>
        <v>178</v>
      </c>
    </row>
    <row r="1262" spans="5:14" x14ac:dyDescent="0.25">
      <c r="E1262">
        <v>1166</v>
      </c>
      <c r="F1262" s="7">
        <v>45346</v>
      </c>
      <c r="G1262">
        <f t="shared" si="58"/>
        <v>2024</v>
      </c>
      <c r="H1262" s="7" t="str">
        <f t="shared" si="59"/>
        <v>Февраль</v>
      </c>
      <c r="I1262" t="s">
        <v>20</v>
      </c>
      <c r="J1262">
        <v>65</v>
      </c>
      <c r="K1262" t="s">
        <v>23</v>
      </c>
      <c r="L1262">
        <v>3</v>
      </c>
      <c r="M1262">
        <v>75</v>
      </c>
      <c r="N1262" s="1">
        <f t="shared" si="60"/>
        <v>225</v>
      </c>
    </row>
    <row r="1263" spans="5:14" x14ac:dyDescent="0.25">
      <c r="E1263">
        <v>752</v>
      </c>
      <c r="F1263" s="7">
        <v>45215</v>
      </c>
      <c r="G1263">
        <f t="shared" si="58"/>
        <v>2023</v>
      </c>
      <c r="H1263" s="7" t="str">
        <f t="shared" si="59"/>
        <v>Октябрь</v>
      </c>
      <c r="I1263" t="s">
        <v>22</v>
      </c>
      <c r="J1263">
        <v>43</v>
      </c>
      <c r="K1263" t="s">
        <v>24</v>
      </c>
      <c r="L1263">
        <v>4</v>
      </c>
      <c r="M1263">
        <v>25</v>
      </c>
      <c r="N1263" s="1">
        <f t="shared" si="60"/>
        <v>100</v>
      </c>
    </row>
    <row r="1264" spans="5:14" x14ac:dyDescent="0.25">
      <c r="E1264">
        <v>1531</v>
      </c>
      <c r="F1264" s="7">
        <v>45453</v>
      </c>
      <c r="G1264">
        <f t="shared" si="58"/>
        <v>2024</v>
      </c>
      <c r="H1264" s="7" t="str">
        <f t="shared" si="59"/>
        <v>Июнь</v>
      </c>
      <c r="I1264" t="s">
        <v>20</v>
      </c>
      <c r="J1264">
        <v>22</v>
      </c>
      <c r="K1264" t="s">
        <v>23</v>
      </c>
      <c r="L1264">
        <v>7</v>
      </c>
      <c r="M1264">
        <v>314</v>
      </c>
      <c r="N1264" s="1">
        <f t="shared" si="60"/>
        <v>2198</v>
      </c>
    </row>
    <row r="1265" spans="5:14" x14ac:dyDescent="0.25">
      <c r="E1265">
        <v>1561</v>
      </c>
      <c r="F1265" s="7">
        <v>45589</v>
      </c>
      <c r="G1265">
        <f t="shared" si="58"/>
        <v>2024</v>
      </c>
      <c r="H1265" s="7" t="str">
        <f t="shared" si="59"/>
        <v>Октябрь</v>
      </c>
      <c r="I1265" t="s">
        <v>20</v>
      </c>
      <c r="J1265">
        <v>19</v>
      </c>
      <c r="K1265" t="s">
        <v>24</v>
      </c>
      <c r="L1265">
        <v>3</v>
      </c>
      <c r="M1265">
        <v>269</v>
      </c>
      <c r="N1265" s="1">
        <f t="shared" si="60"/>
        <v>807</v>
      </c>
    </row>
    <row r="1266" spans="5:14" x14ac:dyDescent="0.25">
      <c r="E1266">
        <v>1840</v>
      </c>
      <c r="F1266" s="7">
        <v>45577</v>
      </c>
      <c r="G1266">
        <f t="shared" si="58"/>
        <v>2024</v>
      </c>
      <c r="H1266" s="7" t="str">
        <f t="shared" si="59"/>
        <v>Октябрь</v>
      </c>
      <c r="I1266" t="s">
        <v>20</v>
      </c>
      <c r="J1266">
        <v>45</v>
      </c>
      <c r="K1266" t="s">
        <v>23</v>
      </c>
      <c r="L1266">
        <v>7</v>
      </c>
      <c r="M1266">
        <v>29</v>
      </c>
      <c r="N1266" s="1">
        <f t="shared" si="60"/>
        <v>203</v>
      </c>
    </row>
    <row r="1267" spans="5:14" x14ac:dyDescent="0.25">
      <c r="E1267">
        <v>1370</v>
      </c>
      <c r="F1267" s="7">
        <v>45568</v>
      </c>
      <c r="G1267">
        <f t="shared" si="58"/>
        <v>2024</v>
      </c>
      <c r="H1267" s="7" t="str">
        <f t="shared" si="59"/>
        <v>Октябрь</v>
      </c>
      <c r="I1267" t="s">
        <v>22</v>
      </c>
      <c r="J1267">
        <v>42</v>
      </c>
      <c r="K1267" t="s">
        <v>21</v>
      </c>
      <c r="L1267">
        <v>4</v>
      </c>
      <c r="M1267">
        <v>250</v>
      </c>
      <c r="N1267" s="1">
        <f t="shared" si="60"/>
        <v>1000</v>
      </c>
    </row>
    <row r="1268" spans="5:14" x14ac:dyDescent="0.25">
      <c r="E1268">
        <v>719</v>
      </c>
      <c r="F1268" s="7">
        <v>45060</v>
      </c>
      <c r="G1268">
        <f t="shared" si="58"/>
        <v>2023</v>
      </c>
      <c r="H1268" s="7" t="str">
        <f t="shared" si="59"/>
        <v>Май</v>
      </c>
      <c r="I1268" t="s">
        <v>22</v>
      </c>
      <c r="J1268">
        <v>52</v>
      </c>
      <c r="K1268" t="s">
        <v>23</v>
      </c>
      <c r="L1268">
        <v>1</v>
      </c>
      <c r="M1268">
        <v>500</v>
      </c>
      <c r="N1268" s="1">
        <f t="shared" si="60"/>
        <v>500</v>
      </c>
    </row>
    <row r="1269" spans="5:14" x14ac:dyDescent="0.25">
      <c r="E1269">
        <v>986</v>
      </c>
      <c r="F1269" s="7">
        <v>45074</v>
      </c>
      <c r="G1269">
        <f t="shared" si="58"/>
        <v>2023</v>
      </c>
      <c r="H1269" s="7" t="str">
        <f t="shared" si="59"/>
        <v>Май</v>
      </c>
      <c r="I1269" t="s">
        <v>22</v>
      </c>
      <c r="J1269">
        <v>63</v>
      </c>
      <c r="K1269" t="s">
        <v>23</v>
      </c>
      <c r="L1269">
        <v>3</v>
      </c>
      <c r="M1269">
        <v>25</v>
      </c>
      <c r="N1269" s="1">
        <f t="shared" si="60"/>
        <v>75</v>
      </c>
    </row>
    <row r="1270" spans="5:14" x14ac:dyDescent="0.25">
      <c r="E1270">
        <v>1365</v>
      </c>
      <c r="F1270" s="7">
        <v>45527</v>
      </c>
      <c r="G1270">
        <f t="shared" si="58"/>
        <v>2024</v>
      </c>
      <c r="H1270" s="7" t="str">
        <f t="shared" si="59"/>
        <v>Август</v>
      </c>
      <c r="I1270" t="s">
        <v>22</v>
      </c>
      <c r="J1270">
        <v>58</v>
      </c>
      <c r="K1270" t="s">
        <v>23</v>
      </c>
      <c r="L1270">
        <v>1</v>
      </c>
      <c r="M1270">
        <v>499</v>
      </c>
      <c r="N1270" s="1">
        <f t="shared" si="60"/>
        <v>499</v>
      </c>
    </row>
    <row r="1271" spans="5:14" x14ac:dyDescent="0.25">
      <c r="E1271">
        <v>138</v>
      </c>
      <c r="F1271" s="7">
        <v>45008</v>
      </c>
      <c r="G1271">
        <f t="shared" si="58"/>
        <v>2023</v>
      </c>
      <c r="H1271" s="7" t="str">
        <f t="shared" si="59"/>
        <v>Март</v>
      </c>
      <c r="I1271" t="s">
        <v>20</v>
      </c>
      <c r="J1271">
        <v>49</v>
      </c>
      <c r="K1271" t="s">
        <v>23</v>
      </c>
      <c r="L1271">
        <v>4</v>
      </c>
      <c r="M1271">
        <v>50</v>
      </c>
      <c r="N1271" s="1">
        <f t="shared" si="60"/>
        <v>200</v>
      </c>
    </row>
    <row r="1272" spans="5:14" x14ac:dyDescent="0.25">
      <c r="E1272">
        <v>1364</v>
      </c>
      <c r="F1272" s="7">
        <v>45296</v>
      </c>
      <c r="G1272">
        <f t="shared" si="58"/>
        <v>2024</v>
      </c>
      <c r="H1272" s="7" t="str">
        <f t="shared" si="59"/>
        <v>Январь</v>
      </c>
      <c r="I1272" t="s">
        <v>22</v>
      </c>
      <c r="J1272">
        <v>24</v>
      </c>
      <c r="K1272" t="s">
        <v>24</v>
      </c>
      <c r="L1272">
        <v>3</v>
      </c>
      <c r="M1272">
        <v>96</v>
      </c>
      <c r="N1272" s="1">
        <f t="shared" si="60"/>
        <v>288</v>
      </c>
    </row>
    <row r="1273" spans="5:14" x14ac:dyDescent="0.25">
      <c r="E1273">
        <v>98</v>
      </c>
      <c r="F1273" s="7">
        <v>45039</v>
      </c>
      <c r="G1273">
        <f t="shared" si="58"/>
        <v>2023</v>
      </c>
      <c r="H1273" s="7" t="str">
        <f t="shared" si="59"/>
        <v>Апрель</v>
      </c>
      <c r="I1273" t="s">
        <v>22</v>
      </c>
      <c r="J1273">
        <v>55</v>
      </c>
      <c r="K1273" t="s">
        <v>21</v>
      </c>
      <c r="L1273">
        <v>2</v>
      </c>
      <c r="M1273">
        <v>50</v>
      </c>
      <c r="N1273" s="1">
        <f t="shared" si="60"/>
        <v>100</v>
      </c>
    </row>
    <row r="1274" spans="5:14" x14ac:dyDescent="0.25">
      <c r="E1274">
        <v>235</v>
      </c>
      <c r="F1274" s="7">
        <v>45044</v>
      </c>
      <c r="G1274">
        <f t="shared" si="58"/>
        <v>2023</v>
      </c>
      <c r="H1274" s="7" t="str">
        <f t="shared" si="59"/>
        <v>Апрель</v>
      </c>
      <c r="I1274" t="s">
        <v>22</v>
      </c>
      <c r="J1274">
        <v>54</v>
      </c>
      <c r="K1274" t="s">
        <v>23</v>
      </c>
      <c r="L1274">
        <v>1</v>
      </c>
      <c r="M1274">
        <v>25</v>
      </c>
      <c r="N1274" s="1">
        <f t="shared" si="60"/>
        <v>25</v>
      </c>
    </row>
    <row r="1275" spans="5:14" x14ac:dyDescent="0.25">
      <c r="E1275">
        <v>1913</v>
      </c>
      <c r="F1275" s="7">
        <v>45357</v>
      </c>
      <c r="G1275">
        <f t="shared" si="58"/>
        <v>2024</v>
      </c>
      <c r="H1275" s="7" t="str">
        <f t="shared" si="59"/>
        <v>Март</v>
      </c>
      <c r="I1275" t="s">
        <v>22</v>
      </c>
      <c r="J1275">
        <v>18</v>
      </c>
      <c r="K1275" t="s">
        <v>24</v>
      </c>
      <c r="L1275">
        <v>2</v>
      </c>
      <c r="M1275">
        <v>415</v>
      </c>
      <c r="N1275" s="1">
        <f t="shared" si="60"/>
        <v>830</v>
      </c>
    </row>
    <row r="1276" spans="5:14" x14ac:dyDescent="0.25">
      <c r="E1276">
        <v>655</v>
      </c>
      <c r="F1276" s="7">
        <v>44968</v>
      </c>
      <c r="G1276">
        <f t="shared" si="58"/>
        <v>2023</v>
      </c>
      <c r="H1276" s="7" t="str">
        <f t="shared" si="59"/>
        <v>Февраль</v>
      </c>
      <c r="I1276" t="s">
        <v>20</v>
      </c>
      <c r="J1276">
        <v>40</v>
      </c>
      <c r="K1276" t="s">
        <v>23</v>
      </c>
      <c r="L1276">
        <v>1</v>
      </c>
      <c r="M1276">
        <v>25</v>
      </c>
      <c r="N1276" s="1">
        <f t="shared" si="60"/>
        <v>25</v>
      </c>
    </row>
    <row r="1277" spans="5:14" x14ac:dyDescent="0.25">
      <c r="E1277">
        <v>1084</v>
      </c>
      <c r="F1277" s="7">
        <v>45604</v>
      </c>
      <c r="G1277">
        <f t="shared" si="58"/>
        <v>2024</v>
      </c>
      <c r="H1277" s="7" t="str">
        <f t="shared" si="59"/>
        <v>Ноябрь</v>
      </c>
      <c r="I1277" t="s">
        <v>20</v>
      </c>
      <c r="J1277">
        <v>32</v>
      </c>
      <c r="K1277" t="s">
        <v>21</v>
      </c>
      <c r="L1277">
        <v>6</v>
      </c>
      <c r="M1277">
        <v>400</v>
      </c>
      <c r="N1277" s="1">
        <f t="shared" si="60"/>
        <v>2400</v>
      </c>
    </row>
    <row r="1278" spans="5:14" x14ac:dyDescent="0.25">
      <c r="E1278">
        <v>1649</v>
      </c>
      <c r="F1278" s="7">
        <v>45432</v>
      </c>
      <c r="G1278">
        <f t="shared" si="58"/>
        <v>2024</v>
      </c>
      <c r="H1278" s="7" t="str">
        <f t="shared" si="59"/>
        <v>Май</v>
      </c>
      <c r="I1278" t="s">
        <v>20</v>
      </c>
      <c r="J1278">
        <v>53</v>
      </c>
      <c r="K1278" t="s">
        <v>23</v>
      </c>
      <c r="L1278">
        <v>1</v>
      </c>
      <c r="M1278">
        <v>47</v>
      </c>
      <c r="N1278" s="1">
        <f t="shared" si="60"/>
        <v>47</v>
      </c>
    </row>
    <row r="1279" spans="5:14" x14ac:dyDescent="0.25">
      <c r="E1279">
        <v>1808</v>
      </c>
      <c r="F1279" s="7">
        <v>45608</v>
      </c>
      <c r="G1279">
        <f t="shared" si="58"/>
        <v>2024</v>
      </c>
      <c r="H1279" s="7" t="str">
        <f t="shared" si="59"/>
        <v>Ноябрь</v>
      </c>
      <c r="I1279" t="s">
        <v>20</v>
      </c>
      <c r="J1279">
        <v>24</v>
      </c>
      <c r="K1279" t="s">
        <v>24</v>
      </c>
      <c r="L1279">
        <v>4</v>
      </c>
      <c r="M1279">
        <v>447</v>
      </c>
      <c r="N1279" s="1">
        <f t="shared" si="60"/>
        <v>1788</v>
      </c>
    </row>
    <row r="1280" spans="5:14" x14ac:dyDescent="0.25">
      <c r="E1280">
        <v>950</v>
      </c>
      <c r="F1280" s="7">
        <v>45243</v>
      </c>
      <c r="G1280">
        <f t="shared" si="58"/>
        <v>2023</v>
      </c>
      <c r="H1280" s="7" t="str">
        <f t="shared" si="59"/>
        <v>Ноябрь</v>
      </c>
      <c r="I1280" t="s">
        <v>22</v>
      </c>
      <c r="J1280">
        <v>57</v>
      </c>
      <c r="K1280" t="s">
        <v>23</v>
      </c>
      <c r="L1280">
        <v>1</v>
      </c>
      <c r="M1280">
        <v>25</v>
      </c>
      <c r="N1280" s="1">
        <f t="shared" si="60"/>
        <v>25</v>
      </c>
    </row>
    <row r="1281" spans="5:14" x14ac:dyDescent="0.25">
      <c r="E1281">
        <v>1101</v>
      </c>
      <c r="F1281" s="7">
        <v>45308</v>
      </c>
      <c r="G1281">
        <f t="shared" si="58"/>
        <v>2024</v>
      </c>
      <c r="H1281" s="7" t="str">
        <f t="shared" si="59"/>
        <v>Январь</v>
      </c>
      <c r="I1281" t="s">
        <v>22</v>
      </c>
      <c r="J1281">
        <v>55</v>
      </c>
      <c r="K1281" t="s">
        <v>23</v>
      </c>
      <c r="L1281">
        <v>2</v>
      </c>
      <c r="M1281">
        <v>261</v>
      </c>
      <c r="N1281" s="1">
        <f t="shared" si="60"/>
        <v>522</v>
      </c>
    </row>
    <row r="1282" spans="5:14" x14ac:dyDescent="0.25">
      <c r="E1282">
        <v>589</v>
      </c>
      <c r="F1282" s="7">
        <v>45002</v>
      </c>
      <c r="G1282">
        <f t="shared" si="58"/>
        <v>2023</v>
      </c>
      <c r="H1282" s="7" t="str">
        <f t="shared" si="59"/>
        <v>Март</v>
      </c>
      <c r="I1282" t="s">
        <v>20</v>
      </c>
      <c r="J1282">
        <v>36</v>
      </c>
      <c r="K1282" t="s">
        <v>23</v>
      </c>
      <c r="L1282">
        <v>3</v>
      </c>
      <c r="M1282">
        <v>300</v>
      </c>
      <c r="N1282" s="1">
        <f t="shared" si="60"/>
        <v>900</v>
      </c>
    </row>
    <row r="1283" spans="5:14" x14ac:dyDescent="0.25">
      <c r="E1283">
        <v>1282</v>
      </c>
      <c r="F1283" s="7">
        <v>45519</v>
      </c>
      <c r="G1283">
        <f t="shared" si="58"/>
        <v>2024</v>
      </c>
      <c r="H1283" s="7" t="str">
        <f t="shared" si="59"/>
        <v>Август</v>
      </c>
      <c r="I1283" t="s">
        <v>22</v>
      </c>
      <c r="J1283">
        <v>60</v>
      </c>
      <c r="K1283" t="s">
        <v>24</v>
      </c>
      <c r="L1283">
        <v>6</v>
      </c>
      <c r="M1283">
        <v>252</v>
      </c>
      <c r="N1283" s="1">
        <f t="shared" si="60"/>
        <v>1512</v>
      </c>
    </row>
    <row r="1284" spans="5:14" x14ac:dyDescent="0.25">
      <c r="E1284">
        <v>466</v>
      </c>
      <c r="F1284" s="7">
        <v>45137</v>
      </c>
      <c r="G1284">
        <f t="shared" si="58"/>
        <v>2023</v>
      </c>
      <c r="H1284" s="7" t="str">
        <f t="shared" si="59"/>
        <v>Июль</v>
      </c>
      <c r="I1284" t="s">
        <v>22</v>
      </c>
      <c r="J1284">
        <v>53</v>
      </c>
      <c r="K1284" t="s">
        <v>24</v>
      </c>
      <c r="L1284">
        <v>3</v>
      </c>
      <c r="M1284">
        <v>50</v>
      </c>
      <c r="N1284" s="1">
        <f t="shared" si="60"/>
        <v>150</v>
      </c>
    </row>
    <row r="1285" spans="5:14" x14ac:dyDescent="0.25">
      <c r="E1285">
        <v>1269</v>
      </c>
      <c r="F1285" s="7">
        <v>45347</v>
      </c>
      <c r="G1285">
        <f t="shared" si="58"/>
        <v>2024</v>
      </c>
      <c r="H1285" s="7" t="str">
        <f t="shared" si="59"/>
        <v>Февраль</v>
      </c>
      <c r="I1285" t="s">
        <v>22</v>
      </c>
      <c r="J1285">
        <v>41</v>
      </c>
      <c r="K1285" t="s">
        <v>24</v>
      </c>
      <c r="L1285">
        <v>5</v>
      </c>
      <c r="M1285">
        <v>128</v>
      </c>
      <c r="N1285" s="1">
        <f t="shared" si="60"/>
        <v>640</v>
      </c>
    </row>
    <row r="1286" spans="5:14" x14ac:dyDescent="0.25">
      <c r="E1286">
        <v>1569</v>
      </c>
      <c r="F1286" s="7">
        <v>45402</v>
      </c>
      <c r="G1286">
        <f t="shared" si="58"/>
        <v>2024</v>
      </c>
      <c r="H1286" s="7" t="str">
        <f t="shared" si="59"/>
        <v>Апрель</v>
      </c>
      <c r="I1286" t="s">
        <v>20</v>
      </c>
      <c r="J1286">
        <v>41</v>
      </c>
      <c r="K1286" t="s">
        <v>23</v>
      </c>
      <c r="L1286">
        <v>3</v>
      </c>
      <c r="M1286">
        <v>323</v>
      </c>
      <c r="N1286" s="1">
        <f t="shared" si="60"/>
        <v>969</v>
      </c>
    </row>
    <row r="1287" spans="5:14" x14ac:dyDescent="0.25">
      <c r="E1287">
        <v>139</v>
      </c>
      <c r="F1287" s="7">
        <v>45275</v>
      </c>
      <c r="G1287">
        <f t="shared" si="58"/>
        <v>2023</v>
      </c>
      <c r="H1287" s="7" t="str">
        <f t="shared" si="59"/>
        <v>Декабрь</v>
      </c>
      <c r="I1287" t="s">
        <v>20</v>
      </c>
      <c r="J1287">
        <v>36</v>
      </c>
      <c r="K1287" t="s">
        <v>21</v>
      </c>
      <c r="L1287">
        <v>4</v>
      </c>
      <c r="M1287">
        <v>500</v>
      </c>
      <c r="N1287" s="1">
        <f t="shared" si="60"/>
        <v>2000</v>
      </c>
    </row>
    <row r="1288" spans="5:14" x14ac:dyDescent="0.25">
      <c r="E1288">
        <v>843</v>
      </c>
      <c r="F1288" s="7">
        <v>44932</v>
      </c>
      <c r="G1288">
        <f t="shared" si="58"/>
        <v>2023</v>
      </c>
      <c r="H1288" s="7" t="str">
        <f t="shared" si="59"/>
        <v>Январь</v>
      </c>
      <c r="I1288" t="s">
        <v>20</v>
      </c>
      <c r="J1288">
        <v>54</v>
      </c>
      <c r="K1288" t="s">
        <v>23</v>
      </c>
      <c r="L1288">
        <v>1</v>
      </c>
      <c r="M1288">
        <v>500</v>
      </c>
      <c r="N1288" s="1">
        <f t="shared" si="60"/>
        <v>500</v>
      </c>
    </row>
    <row r="1289" spans="5:14" x14ac:dyDescent="0.25">
      <c r="E1289">
        <v>1950</v>
      </c>
      <c r="F1289" s="7">
        <v>45560</v>
      </c>
      <c r="G1289">
        <f t="shared" si="58"/>
        <v>2024</v>
      </c>
      <c r="H1289" s="7" t="str">
        <f t="shared" si="59"/>
        <v>Сентябрь</v>
      </c>
      <c r="I1289" t="s">
        <v>22</v>
      </c>
      <c r="J1289">
        <v>57</v>
      </c>
      <c r="K1289" t="s">
        <v>24</v>
      </c>
      <c r="L1289">
        <v>7</v>
      </c>
      <c r="M1289">
        <v>210</v>
      </c>
      <c r="N1289" s="1">
        <f t="shared" si="60"/>
        <v>1470</v>
      </c>
    </row>
    <row r="1290" spans="5:14" x14ac:dyDescent="0.25">
      <c r="E1290">
        <v>764</v>
      </c>
      <c r="F1290" s="7">
        <v>44982</v>
      </c>
      <c r="G1290">
        <f t="shared" ref="G1290:G1353" si="61">YEAR(F1290)</f>
        <v>2023</v>
      </c>
      <c r="H1290" s="7" t="str">
        <f t="shared" ref="H1290:H1353" si="62">TEXT(F1290,"ММММ")</f>
        <v>Февраль</v>
      </c>
      <c r="I1290" t="s">
        <v>20</v>
      </c>
      <c r="J1290">
        <v>38</v>
      </c>
      <c r="K1290" t="s">
        <v>24</v>
      </c>
      <c r="L1290">
        <v>3</v>
      </c>
      <c r="M1290">
        <v>300</v>
      </c>
      <c r="N1290" s="1">
        <f t="shared" ref="N1290:N1353" si="63">L1290*M1290</f>
        <v>900</v>
      </c>
    </row>
    <row r="1291" spans="5:14" x14ac:dyDescent="0.25">
      <c r="E1291">
        <v>871</v>
      </c>
      <c r="F1291" s="7">
        <v>45198</v>
      </c>
      <c r="G1291">
        <f t="shared" si="61"/>
        <v>2023</v>
      </c>
      <c r="H1291" s="7" t="str">
        <f t="shared" si="62"/>
        <v>Сентябрь</v>
      </c>
      <c r="I1291" t="s">
        <v>22</v>
      </c>
      <c r="J1291">
        <v>27</v>
      </c>
      <c r="K1291" t="s">
        <v>24</v>
      </c>
      <c r="L1291">
        <v>4</v>
      </c>
      <c r="M1291">
        <v>25</v>
      </c>
      <c r="N1291" s="1">
        <f t="shared" si="63"/>
        <v>100</v>
      </c>
    </row>
    <row r="1292" spans="5:14" x14ac:dyDescent="0.25">
      <c r="E1292">
        <v>740</v>
      </c>
      <c r="F1292" s="7">
        <v>44947</v>
      </c>
      <c r="G1292">
        <f t="shared" si="61"/>
        <v>2023</v>
      </c>
      <c r="H1292" s="7" t="str">
        <f t="shared" si="62"/>
        <v>Январь</v>
      </c>
      <c r="I1292" t="s">
        <v>22</v>
      </c>
      <c r="J1292">
        <v>38</v>
      </c>
      <c r="K1292" t="s">
        <v>24</v>
      </c>
      <c r="L1292">
        <v>4</v>
      </c>
      <c r="M1292">
        <v>500</v>
      </c>
      <c r="N1292" s="1">
        <f t="shared" si="63"/>
        <v>2000</v>
      </c>
    </row>
    <row r="1293" spans="5:14" x14ac:dyDescent="0.25">
      <c r="E1293">
        <v>1021</v>
      </c>
      <c r="F1293" s="7">
        <v>45394</v>
      </c>
      <c r="G1293">
        <f t="shared" si="61"/>
        <v>2024</v>
      </c>
      <c r="H1293" s="7" t="str">
        <f t="shared" si="62"/>
        <v>Апрель</v>
      </c>
      <c r="I1293" t="s">
        <v>22</v>
      </c>
      <c r="J1293">
        <v>18</v>
      </c>
      <c r="K1293" t="s">
        <v>23</v>
      </c>
      <c r="L1293">
        <v>1</v>
      </c>
      <c r="M1293">
        <v>195</v>
      </c>
      <c r="N1293" s="1">
        <f t="shared" si="63"/>
        <v>195</v>
      </c>
    </row>
    <row r="1294" spans="5:14" x14ac:dyDescent="0.25">
      <c r="E1294">
        <v>1803</v>
      </c>
      <c r="F1294" s="7">
        <v>45515</v>
      </c>
      <c r="G1294">
        <f t="shared" si="61"/>
        <v>2024</v>
      </c>
      <c r="H1294" s="7" t="str">
        <f t="shared" si="62"/>
        <v>Август</v>
      </c>
      <c r="I1294" t="s">
        <v>22</v>
      </c>
      <c r="J1294">
        <v>59</v>
      </c>
      <c r="K1294" t="s">
        <v>24</v>
      </c>
      <c r="L1294">
        <v>1</v>
      </c>
      <c r="M1294">
        <v>483</v>
      </c>
      <c r="N1294" s="1">
        <f t="shared" si="63"/>
        <v>483</v>
      </c>
    </row>
    <row r="1295" spans="5:14" x14ac:dyDescent="0.25">
      <c r="E1295">
        <v>1369</v>
      </c>
      <c r="F1295" s="7">
        <v>45329</v>
      </c>
      <c r="G1295">
        <f t="shared" si="61"/>
        <v>2024</v>
      </c>
      <c r="H1295" s="7" t="str">
        <f t="shared" si="62"/>
        <v>Февраль</v>
      </c>
      <c r="I1295" t="s">
        <v>22</v>
      </c>
      <c r="J1295">
        <v>63</v>
      </c>
      <c r="K1295" t="s">
        <v>21</v>
      </c>
      <c r="L1295">
        <v>4</v>
      </c>
      <c r="M1295">
        <v>335</v>
      </c>
      <c r="N1295" s="1">
        <f t="shared" si="63"/>
        <v>1340</v>
      </c>
    </row>
    <row r="1296" spans="5:14" x14ac:dyDescent="0.25">
      <c r="E1296">
        <v>780</v>
      </c>
      <c r="F1296" s="7">
        <v>45081</v>
      </c>
      <c r="G1296">
        <f t="shared" si="61"/>
        <v>2023</v>
      </c>
      <c r="H1296" s="7" t="str">
        <f t="shared" si="62"/>
        <v>Июнь</v>
      </c>
      <c r="I1296" t="s">
        <v>20</v>
      </c>
      <c r="J1296">
        <v>59</v>
      </c>
      <c r="K1296" t="s">
        <v>23</v>
      </c>
      <c r="L1296">
        <v>3</v>
      </c>
      <c r="M1296">
        <v>300</v>
      </c>
      <c r="N1296" s="1">
        <f t="shared" si="63"/>
        <v>900</v>
      </c>
    </row>
    <row r="1297" spans="5:14" x14ac:dyDescent="0.25">
      <c r="E1297">
        <v>665</v>
      </c>
      <c r="F1297" s="7">
        <v>45139</v>
      </c>
      <c r="G1297">
        <f t="shared" si="61"/>
        <v>2023</v>
      </c>
      <c r="H1297" s="7" t="str">
        <f t="shared" si="62"/>
        <v>Август</v>
      </c>
      <c r="I1297" t="s">
        <v>22</v>
      </c>
      <c r="J1297">
        <v>29</v>
      </c>
      <c r="K1297" t="s">
        <v>24</v>
      </c>
      <c r="L1297">
        <v>1</v>
      </c>
      <c r="M1297">
        <v>500</v>
      </c>
      <c r="N1297" s="1">
        <f t="shared" si="63"/>
        <v>500</v>
      </c>
    </row>
    <row r="1298" spans="5:14" x14ac:dyDescent="0.25">
      <c r="E1298">
        <v>399</v>
      </c>
      <c r="F1298" s="7">
        <v>44981</v>
      </c>
      <c r="G1298">
        <f t="shared" si="61"/>
        <v>2023</v>
      </c>
      <c r="H1298" s="7" t="str">
        <f t="shared" si="62"/>
        <v>Февраль</v>
      </c>
      <c r="I1298" t="s">
        <v>20</v>
      </c>
      <c r="J1298">
        <v>53</v>
      </c>
      <c r="K1298" t="s">
        <v>23</v>
      </c>
      <c r="L1298">
        <v>4</v>
      </c>
      <c r="M1298">
        <v>50</v>
      </c>
      <c r="N1298" s="1">
        <f t="shared" si="63"/>
        <v>200</v>
      </c>
    </row>
    <row r="1299" spans="5:14" x14ac:dyDescent="0.25">
      <c r="E1299">
        <v>1650</v>
      </c>
      <c r="F1299" s="7">
        <v>45464</v>
      </c>
      <c r="G1299">
        <f t="shared" si="61"/>
        <v>2024</v>
      </c>
      <c r="H1299" s="7" t="str">
        <f t="shared" si="62"/>
        <v>Июнь</v>
      </c>
      <c r="I1299" t="s">
        <v>20</v>
      </c>
      <c r="J1299">
        <v>28</v>
      </c>
      <c r="K1299" t="s">
        <v>23</v>
      </c>
      <c r="L1299">
        <v>2</v>
      </c>
      <c r="M1299">
        <v>203</v>
      </c>
      <c r="N1299" s="1">
        <f t="shared" si="63"/>
        <v>406</v>
      </c>
    </row>
    <row r="1300" spans="5:14" x14ac:dyDescent="0.25">
      <c r="E1300">
        <v>688</v>
      </c>
      <c r="F1300" s="7">
        <v>45235</v>
      </c>
      <c r="G1300">
        <f t="shared" si="61"/>
        <v>2023</v>
      </c>
      <c r="H1300" s="7" t="str">
        <f t="shared" si="62"/>
        <v>Ноябрь</v>
      </c>
      <c r="I1300" t="s">
        <v>22</v>
      </c>
      <c r="J1300">
        <v>52</v>
      </c>
      <c r="K1300" t="s">
        <v>23</v>
      </c>
      <c r="L1300">
        <v>3</v>
      </c>
      <c r="M1300">
        <v>300</v>
      </c>
      <c r="N1300" s="1">
        <f t="shared" si="63"/>
        <v>900</v>
      </c>
    </row>
    <row r="1301" spans="5:14" x14ac:dyDescent="0.25">
      <c r="E1301">
        <v>646</v>
      </c>
      <c r="F1301" s="7">
        <v>45067</v>
      </c>
      <c r="G1301">
        <f t="shared" si="61"/>
        <v>2023</v>
      </c>
      <c r="H1301" s="7" t="str">
        <f t="shared" si="62"/>
        <v>Май</v>
      </c>
      <c r="I1301" t="s">
        <v>20</v>
      </c>
      <c r="J1301">
        <v>59</v>
      </c>
      <c r="K1301" t="s">
        <v>23</v>
      </c>
      <c r="L1301">
        <v>3</v>
      </c>
      <c r="M1301">
        <v>500</v>
      </c>
      <c r="N1301" s="1">
        <f t="shared" si="63"/>
        <v>1500</v>
      </c>
    </row>
    <row r="1302" spans="5:14" x14ac:dyDescent="0.25">
      <c r="E1302">
        <v>1884</v>
      </c>
      <c r="F1302" s="7">
        <v>45354</v>
      </c>
      <c r="G1302">
        <f t="shared" si="61"/>
        <v>2024</v>
      </c>
      <c r="H1302" s="7" t="str">
        <f t="shared" si="62"/>
        <v>Март</v>
      </c>
      <c r="I1302" t="s">
        <v>22</v>
      </c>
      <c r="J1302">
        <v>56</v>
      </c>
      <c r="K1302" t="s">
        <v>24</v>
      </c>
      <c r="L1302">
        <v>2</v>
      </c>
      <c r="M1302">
        <v>371</v>
      </c>
      <c r="N1302" s="1">
        <f t="shared" si="63"/>
        <v>742</v>
      </c>
    </row>
    <row r="1303" spans="5:14" x14ac:dyDescent="0.25">
      <c r="E1303">
        <v>610</v>
      </c>
      <c r="F1303" s="7">
        <v>44981</v>
      </c>
      <c r="G1303">
        <f t="shared" si="61"/>
        <v>2023</v>
      </c>
      <c r="H1303" s="7" t="str">
        <f t="shared" si="62"/>
        <v>Февраль</v>
      </c>
      <c r="I1303" t="s">
        <v>20</v>
      </c>
      <c r="J1303">
        <v>51</v>
      </c>
      <c r="K1303" t="s">
        <v>21</v>
      </c>
      <c r="L1303">
        <v>3</v>
      </c>
      <c r="M1303">
        <v>500</v>
      </c>
      <c r="N1303" s="1">
        <f t="shared" si="63"/>
        <v>1500</v>
      </c>
    </row>
    <row r="1304" spans="5:14" x14ac:dyDescent="0.25">
      <c r="E1304">
        <v>1190</v>
      </c>
      <c r="F1304" s="7">
        <v>45332</v>
      </c>
      <c r="G1304">
        <f t="shared" si="61"/>
        <v>2024</v>
      </c>
      <c r="H1304" s="7" t="str">
        <f t="shared" si="62"/>
        <v>Февраль</v>
      </c>
      <c r="I1304" t="s">
        <v>20</v>
      </c>
      <c r="J1304">
        <v>29</v>
      </c>
      <c r="K1304" t="s">
        <v>21</v>
      </c>
      <c r="L1304">
        <v>3</v>
      </c>
      <c r="M1304">
        <v>91</v>
      </c>
      <c r="N1304" s="1">
        <f t="shared" si="63"/>
        <v>273</v>
      </c>
    </row>
    <row r="1305" spans="5:14" x14ac:dyDescent="0.25">
      <c r="E1305">
        <v>469</v>
      </c>
      <c r="F1305" s="7">
        <v>45063</v>
      </c>
      <c r="G1305">
        <f t="shared" si="61"/>
        <v>2023</v>
      </c>
      <c r="H1305" s="7" t="str">
        <f t="shared" si="62"/>
        <v>Май</v>
      </c>
      <c r="I1305" t="s">
        <v>22</v>
      </c>
      <c r="J1305">
        <v>57</v>
      </c>
      <c r="K1305" t="s">
        <v>23</v>
      </c>
      <c r="L1305">
        <v>2</v>
      </c>
      <c r="M1305">
        <v>500</v>
      </c>
      <c r="N1305" s="1">
        <f t="shared" si="63"/>
        <v>1000</v>
      </c>
    </row>
    <row r="1306" spans="5:14" x14ac:dyDescent="0.25">
      <c r="E1306">
        <v>983</v>
      </c>
      <c r="F1306" s="7">
        <v>45076</v>
      </c>
      <c r="G1306">
        <f t="shared" si="61"/>
        <v>2023</v>
      </c>
      <c r="H1306" s="7" t="str">
        <f t="shared" si="62"/>
        <v>Май</v>
      </c>
      <c r="I1306" t="s">
        <v>22</v>
      </c>
      <c r="J1306">
        <v>19</v>
      </c>
      <c r="K1306" t="s">
        <v>24</v>
      </c>
      <c r="L1306">
        <v>2</v>
      </c>
      <c r="M1306">
        <v>25</v>
      </c>
      <c r="N1306" s="1">
        <f t="shared" si="63"/>
        <v>50</v>
      </c>
    </row>
    <row r="1307" spans="5:14" x14ac:dyDescent="0.25">
      <c r="E1307">
        <v>826</v>
      </c>
      <c r="F1307" s="7">
        <v>45269</v>
      </c>
      <c r="G1307">
        <f t="shared" si="61"/>
        <v>2023</v>
      </c>
      <c r="H1307" s="7" t="str">
        <f t="shared" si="62"/>
        <v>Декабрь</v>
      </c>
      <c r="I1307" t="s">
        <v>22</v>
      </c>
      <c r="J1307">
        <v>33</v>
      </c>
      <c r="K1307" t="s">
        <v>24</v>
      </c>
      <c r="L1307">
        <v>4</v>
      </c>
      <c r="M1307">
        <v>300</v>
      </c>
      <c r="N1307" s="1">
        <f t="shared" si="63"/>
        <v>1200</v>
      </c>
    </row>
    <row r="1308" spans="5:14" x14ac:dyDescent="0.25">
      <c r="E1308">
        <v>977</v>
      </c>
      <c r="F1308" s="7">
        <v>44928</v>
      </c>
      <c r="G1308">
        <f t="shared" si="61"/>
        <v>2023</v>
      </c>
      <c r="H1308" s="7" t="str">
        <f t="shared" si="62"/>
        <v>Январь</v>
      </c>
      <c r="I1308" t="s">
        <v>22</v>
      </c>
      <c r="J1308">
        <v>19</v>
      </c>
      <c r="K1308" t="s">
        <v>21</v>
      </c>
      <c r="L1308">
        <v>1</v>
      </c>
      <c r="M1308">
        <v>25</v>
      </c>
      <c r="N1308" s="1">
        <f t="shared" si="63"/>
        <v>25</v>
      </c>
    </row>
    <row r="1309" spans="5:14" x14ac:dyDescent="0.25">
      <c r="E1309">
        <v>1816</v>
      </c>
      <c r="F1309" s="7">
        <v>45418</v>
      </c>
      <c r="G1309">
        <f t="shared" si="61"/>
        <v>2024</v>
      </c>
      <c r="H1309" s="7" t="str">
        <f t="shared" si="62"/>
        <v>Май</v>
      </c>
      <c r="I1309" t="s">
        <v>20</v>
      </c>
      <c r="J1309">
        <v>49</v>
      </c>
      <c r="K1309" t="s">
        <v>24</v>
      </c>
      <c r="L1309">
        <v>1</v>
      </c>
      <c r="M1309">
        <v>492</v>
      </c>
      <c r="N1309" s="1">
        <f t="shared" si="63"/>
        <v>492</v>
      </c>
    </row>
    <row r="1310" spans="5:14" x14ac:dyDescent="0.25">
      <c r="E1310">
        <v>807</v>
      </c>
      <c r="F1310" s="7">
        <v>45194</v>
      </c>
      <c r="G1310">
        <f t="shared" si="61"/>
        <v>2023</v>
      </c>
      <c r="H1310" s="7" t="str">
        <f t="shared" si="62"/>
        <v>Сентябрь</v>
      </c>
      <c r="I1310" t="s">
        <v>22</v>
      </c>
      <c r="J1310">
        <v>62</v>
      </c>
      <c r="K1310" t="s">
        <v>21</v>
      </c>
      <c r="L1310">
        <v>2</v>
      </c>
      <c r="M1310">
        <v>50</v>
      </c>
      <c r="N1310" s="1">
        <f t="shared" si="63"/>
        <v>100</v>
      </c>
    </row>
    <row r="1311" spans="5:14" x14ac:dyDescent="0.25">
      <c r="E1311">
        <v>1147</v>
      </c>
      <c r="F1311" s="7">
        <v>45576</v>
      </c>
      <c r="G1311">
        <f t="shared" si="61"/>
        <v>2024</v>
      </c>
      <c r="H1311" s="7" t="str">
        <f t="shared" si="62"/>
        <v>Октябрь</v>
      </c>
      <c r="I1311" t="s">
        <v>20</v>
      </c>
      <c r="J1311">
        <v>42</v>
      </c>
      <c r="K1311" t="s">
        <v>23</v>
      </c>
      <c r="L1311">
        <v>1</v>
      </c>
      <c r="M1311">
        <v>354</v>
      </c>
      <c r="N1311" s="1">
        <f t="shared" si="63"/>
        <v>354</v>
      </c>
    </row>
    <row r="1312" spans="5:14" x14ac:dyDescent="0.25">
      <c r="E1312">
        <v>772</v>
      </c>
      <c r="F1312" s="7">
        <v>45028</v>
      </c>
      <c r="G1312">
        <f t="shared" si="61"/>
        <v>2023</v>
      </c>
      <c r="H1312" s="7" t="str">
        <f t="shared" si="62"/>
        <v>Апрель</v>
      </c>
      <c r="I1312" t="s">
        <v>22</v>
      </c>
      <c r="J1312">
        <v>40</v>
      </c>
      <c r="K1312" t="s">
        <v>23</v>
      </c>
      <c r="L1312">
        <v>2</v>
      </c>
      <c r="M1312">
        <v>25</v>
      </c>
      <c r="N1312" s="1">
        <f t="shared" si="63"/>
        <v>50</v>
      </c>
    </row>
    <row r="1313" spans="5:14" x14ac:dyDescent="0.25">
      <c r="E1313">
        <v>309</v>
      </c>
      <c r="F1313" s="7">
        <v>45211</v>
      </c>
      <c r="G1313">
        <f t="shared" si="61"/>
        <v>2023</v>
      </c>
      <c r="H1313" s="7" t="str">
        <f t="shared" si="62"/>
        <v>Октябрь</v>
      </c>
      <c r="I1313" t="s">
        <v>22</v>
      </c>
      <c r="J1313">
        <v>28</v>
      </c>
      <c r="K1313" t="s">
        <v>21</v>
      </c>
      <c r="L1313">
        <v>1</v>
      </c>
      <c r="M1313">
        <v>25</v>
      </c>
      <c r="N1313" s="1">
        <f t="shared" si="63"/>
        <v>25</v>
      </c>
    </row>
    <row r="1314" spans="5:14" x14ac:dyDescent="0.25">
      <c r="E1314">
        <v>1381</v>
      </c>
      <c r="F1314" s="7">
        <v>45517</v>
      </c>
      <c r="G1314">
        <f t="shared" si="61"/>
        <v>2024</v>
      </c>
      <c r="H1314" s="7" t="str">
        <f t="shared" si="62"/>
        <v>Август</v>
      </c>
      <c r="I1314" t="s">
        <v>20</v>
      </c>
      <c r="J1314">
        <v>60</v>
      </c>
      <c r="K1314" t="s">
        <v>23</v>
      </c>
      <c r="L1314">
        <v>7</v>
      </c>
      <c r="M1314">
        <v>92</v>
      </c>
      <c r="N1314" s="1">
        <f t="shared" si="63"/>
        <v>644</v>
      </c>
    </row>
    <row r="1315" spans="5:14" x14ac:dyDescent="0.25">
      <c r="E1315">
        <v>946</v>
      </c>
      <c r="F1315" s="7">
        <v>45212</v>
      </c>
      <c r="G1315">
        <f t="shared" si="61"/>
        <v>2023</v>
      </c>
      <c r="H1315" s="7" t="str">
        <f t="shared" si="62"/>
        <v>Октябрь</v>
      </c>
      <c r="I1315" t="s">
        <v>22</v>
      </c>
      <c r="J1315">
        <v>23</v>
      </c>
      <c r="K1315" t="s">
        <v>24</v>
      </c>
      <c r="L1315">
        <v>3</v>
      </c>
      <c r="M1315">
        <v>25</v>
      </c>
      <c r="N1315" s="1">
        <f t="shared" si="63"/>
        <v>75</v>
      </c>
    </row>
    <row r="1316" spans="5:14" x14ac:dyDescent="0.25">
      <c r="E1316">
        <v>1390</v>
      </c>
      <c r="F1316" s="7">
        <v>45576</v>
      </c>
      <c r="G1316">
        <f t="shared" si="61"/>
        <v>2024</v>
      </c>
      <c r="H1316" s="7" t="str">
        <f t="shared" si="62"/>
        <v>Октябрь</v>
      </c>
      <c r="I1316" t="s">
        <v>22</v>
      </c>
      <c r="J1316">
        <v>46</v>
      </c>
      <c r="K1316" t="s">
        <v>21</v>
      </c>
      <c r="L1316">
        <v>7</v>
      </c>
      <c r="M1316">
        <v>232</v>
      </c>
      <c r="N1316" s="1">
        <f t="shared" si="63"/>
        <v>1624</v>
      </c>
    </row>
    <row r="1317" spans="5:14" x14ac:dyDescent="0.25">
      <c r="E1317">
        <v>1143</v>
      </c>
      <c r="F1317" s="7">
        <v>45598</v>
      </c>
      <c r="G1317">
        <f t="shared" si="61"/>
        <v>2024</v>
      </c>
      <c r="H1317" s="7" t="str">
        <f t="shared" si="62"/>
        <v>Ноябрь</v>
      </c>
      <c r="I1317" t="s">
        <v>22</v>
      </c>
      <c r="J1317">
        <v>56</v>
      </c>
      <c r="K1317" t="s">
        <v>23</v>
      </c>
      <c r="L1317">
        <v>6</v>
      </c>
      <c r="M1317">
        <v>130</v>
      </c>
      <c r="N1317" s="1">
        <f t="shared" si="63"/>
        <v>780</v>
      </c>
    </row>
    <row r="1318" spans="5:14" x14ac:dyDescent="0.25">
      <c r="E1318">
        <v>186</v>
      </c>
      <c r="F1318" s="7">
        <v>45112</v>
      </c>
      <c r="G1318">
        <f t="shared" si="61"/>
        <v>2023</v>
      </c>
      <c r="H1318" s="7" t="str">
        <f t="shared" si="62"/>
        <v>Июль</v>
      </c>
      <c r="I1318" t="s">
        <v>20</v>
      </c>
      <c r="J1318">
        <v>20</v>
      </c>
      <c r="K1318" t="s">
        <v>23</v>
      </c>
      <c r="L1318">
        <v>4</v>
      </c>
      <c r="M1318">
        <v>50</v>
      </c>
      <c r="N1318" s="1">
        <f t="shared" si="63"/>
        <v>200</v>
      </c>
    </row>
    <row r="1319" spans="5:14" x14ac:dyDescent="0.25">
      <c r="E1319">
        <v>1296</v>
      </c>
      <c r="F1319" s="7">
        <v>45498</v>
      </c>
      <c r="G1319">
        <f t="shared" si="61"/>
        <v>2024</v>
      </c>
      <c r="H1319" s="7" t="str">
        <f t="shared" si="62"/>
        <v>Июль</v>
      </c>
      <c r="I1319" t="s">
        <v>20</v>
      </c>
      <c r="J1319">
        <v>42</v>
      </c>
      <c r="K1319" t="s">
        <v>24</v>
      </c>
      <c r="L1319">
        <v>2</v>
      </c>
      <c r="M1319">
        <v>37</v>
      </c>
      <c r="N1319" s="1">
        <f t="shared" si="63"/>
        <v>74</v>
      </c>
    </row>
    <row r="1320" spans="5:14" x14ac:dyDescent="0.25">
      <c r="E1320">
        <v>695</v>
      </c>
      <c r="F1320" s="7">
        <v>44941</v>
      </c>
      <c r="G1320">
        <f t="shared" si="61"/>
        <v>2023</v>
      </c>
      <c r="H1320" s="7" t="str">
        <f t="shared" si="62"/>
        <v>Январь</v>
      </c>
      <c r="I1320" t="s">
        <v>20</v>
      </c>
      <c r="J1320">
        <v>53</v>
      </c>
      <c r="K1320" t="s">
        <v>23</v>
      </c>
      <c r="L1320">
        <v>1</v>
      </c>
      <c r="M1320">
        <v>500</v>
      </c>
      <c r="N1320" s="1">
        <f t="shared" si="63"/>
        <v>500</v>
      </c>
    </row>
    <row r="1321" spans="5:14" x14ac:dyDescent="0.25">
      <c r="E1321">
        <v>614</v>
      </c>
      <c r="F1321" s="7">
        <v>45283</v>
      </c>
      <c r="G1321">
        <f t="shared" si="61"/>
        <v>2023</v>
      </c>
      <c r="H1321" s="7" t="str">
        <f t="shared" si="62"/>
        <v>Декабрь</v>
      </c>
      <c r="I1321" t="s">
        <v>22</v>
      </c>
      <c r="J1321">
        <v>61</v>
      </c>
      <c r="K1321" t="s">
        <v>23</v>
      </c>
      <c r="L1321">
        <v>4</v>
      </c>
      <c r="M1321">
        <v>25</v>
      </c>
      <c r="N1321" s="1">
        <f t="shared" si="63"/>
        <v>100</v>
      </c>
    </row>
    <row r="1322" spans="5:14" x14ac:dyDescent="0.25">
      <c r="E1322">
        <v>341</v>
      </c>
      <c r="F1322" s="7">
        <v>45223</v>
      </c>
      <c r="G1322">
        <f t="shared" si="61"/>
        <v>2023</v>
      </c>
      <c r="H1322" s="7" t="str">
        <f t="shared" si="62"/>
        <v>Октябрь</v>
      </c>
      <c r="I1322" t="s">
        <v>22</v>
      </c>
      <c r="J1322">
        <v>43</v>
      </c>
      <c r="K1322" t="s">
        <v>23</v>
      </c>
      <c r="L1322">
        <v>4</v>
      </c>
      <c r="M1322">
        <v>500</v>
      </c>
      <c r="N1322" s="1">
        <f t="shared" si="63"/>
        <v>2000</v>
      </c>
    </row>
    <row r="1323" spans="5:14" x14ac:dyDescent="0.25">
      <c r="E1323">
        <v>685</v>
      </c>
      <c r="F1323" s="7">
        <v>45141</v>
      </c>
      <c r="G1323">
        <f t="shared" si="61"/>
        <v>2023</v>
      </c>
      <c r="H1323" s="7" t="str">
        <f t="shared" si="62"/>
        <v>Август</v>
      </c>
      <c r="I1323" t="s">
        <v>22</v>
      </c>
      <c r="J1323">
        <v>53</v>
      </c>
      <c r="K1323" t="s">
        <v>24</v>
      </c>
      <c r="L1323">
        <v>1</v>
      </c>
      <c r="M1323">
        <v>300</v>
      </c>
      <c r="N1323" s="1">
        <f t="shared" si="63"/>
        <v>300</v>
      </c>
    </row>
    <row r="1324" spans="5:14" x14ac:dyDescent="0.25">
      <c r="E1324">
        <v>471</v>
      </c>
      <c r="F1324" s="7">
        <v>45286</v>
      </c>
      <c r="G1324">
        <f t="shared" si="61"/>
        <v>2023</v>
      </c>
      <c r="H1324" s="7" t="str">
        <f t="shared" si="62"/>
        <v>Декабрь</v>
      </c>
      <c r="I1324" t="s">
        <v>22</v>
      </c>
      <c r="J1324">
        <v>38</v>
      </c>
      <c r="K1324" t="s">
        <v>21</v>
      </c>
      <c r="L1324">
        <v>3</v>
      </c>
      <c r="M1324">
        <v>300</v>
      </c>
      <c r="N1324" s="1">
        <f t="shared" si="63"/>
        <v>900</v>
      </c>
    </row>
    <row r="1325" spans="5:14" x14ac:dyDescent="0.25">
      <c r="E1325">
        <v>1045</v>
      </c>
      <c r="F1325" s="7">
        <v>45602</v>
      </c>
      <c r="G1325">
        <f t="shared" si="61"/>
        <v>2024</v>
      </c>
      <c r="H1325" s="7" t="str">
        <f t="shared" si="62"/>
        <v>Ноябрь</v>
      </c>
      <c r="I1325" t="s">
        <v>22</v>
      </c>
      <c r="J1325">
        <v>43</v>
      </c>
      <c r="K1325" t="s">
        <v>21</v>
      </c>
      <c r="L1325">
        <v>5</v>
      </c>
      <c r="M1325">
        <v>449</v>
      </c>
      <c r="N1325" s="1">
        <f t="shared" si="63"/>
        <v>2245</v>
      </c>
    </row>
    <row r="1326" spans="5:14" x14ac:dyDescent="0.25">
      <c r="E1326">
        <v>1216</v>
      </c>
      <c r="F1326" s="7">
        <v>45524</v>
      </c>
      <c r="G1326">
        <f t="shared" si="61"/>
        <v>2024</v>
      </c>
      <c r="H1326" s="7" t="str">
        <f t="shared" si="62"/>
        <v>Август</v>
      </c>
      <c r="I1326" t="s">
        <v>22</v>
      </c>
      <c r="J1326">
        <v>58</v>
      </c>
      <c r="K1326" t="s">
        <v>24</v>
      </c>
      <c r="L1326">
        <v>1</v>
      </c>
      <c r="M1326">
        <v>142</v>
      </c>
      <c r="N1326" s="1">
        <f t="shared" si="63"/>
        <v>142</v>
      </c>
    </row>
    <row r="1327" spans="5:14" x14ac:dyDescent="0.25">
      <c r="E1327">
        <v>810</v>
      </c>
      <c r="F1327" s="7">
        <v>45242</v>
      </c>
      <c r="G1327">
        <f t="shared" si="61"/>
        <v>2023</v>
      </c>
      <c r="H1327" s="7" t="str">
        <f t="shared" si="62"/>
        <v>Ноябрь</v>
      </c>
      <c r="I1327" t="s">
        <v>20</v>
      </c>
      <c r="J1327">
        <v>19</v>
      </c>
      <c r="K1327" t="s">
        <v>24</v>
      </c>
      <c r="L1327">
        <v>3</v>
      </c>
      <c r="M1327">
        <v>25</v>
      </c>
      <c r="N1327" s="1">
        <f t="shared" si="63"/>
        <v>75</v>
      </c>
    </row>
    <row r="1328" spans="5:14" x14ac:dyDescent="0.25">
      <c r="E1328">
        <v>1817</v>
      </c>
      <c r="F1328" s="7">
        <v>45336</v>
      </c>
      <c r="G1328">
        <f t="shared" si="61"/>
        <v>2024</v>
      </c>
      <c r="H1328" s="7" t="str">
        <f t="shared" si="62"/>
        <v>Февраль</v>
      </c>
      <c r="I1328" t="s">
        <v>20</v>
      </c>
      <c r="J1328">
        <v>30</v>
      </c>
      <c r="K1328" t="s">
        <v>24</v>
      </c>
      <c r="L1328">
        <v>4</v>
      </c>
      <c r="M1328">
        <v>259</v>
      </c>
      <c r="N1328" s="1">
        <f t="shared" si="63"/>
        <v>1036</v>
      </c>
    </row>
    <row r="1329" spans="5:14" x14ac:dyDescent="0.25">
      <c r="E1329">
        <v>727</v>
      </c>
      <c r="F1329" s="7">
        <v>45069</v>
      </c>
      <c r="G1329">
        <f t="shared" si="61"/>
        <v>2023</v>
      </c>
      <c r="H1329" s="7" t="str">
        <f t="shared" si="62"/>
        <v>Май</v>
      </c>
      <c r="I1329" t="s">
        <v>20</v>
      </c>
      <c r="J1329">
        <v>29</v>
      </c>
      <c r="K1329" t="s">
        <v>23</v>
      </c>
      <c r="L1329">
        <v>4</v>
      </c>
      <c r="M1329">
        <v>300</v>
      </c>
      <c r="N1329" s="1">
        <f t="shared" si="63"/>
        <v>1200</v>
      </c>
    </row>
    <row r="1330" spans="5:14" x14ac:dyDescent="0.25">
      <c r="E1330">
        <v>1308</v>
      </c>
      <c r="F1330" s="7">
        <v>45631</v>
      </c>
      <c r="G1330">
        <f t="shared" si="61"/>
        <v>2024</v>
      </c>
      <c r="H1330" s="7" t="str">
        <f t="shared" si="62"/>
        <v>Декабрь</v>
      </c>
      <c r="I1330" t="s">
        <v>22</v>
      </c>
      <c r="J1330">
        <v>28</v>
      </c>
      <c r="K1330" t="s">
        <v>21</v>
      </c>
      <c r="L1330">
        <v>5</v>
      </c>
      <c r="M1330">
        <v>53</v>
      </c>
      <c r="N1330" s="1">
        <f t="shared" si="63"/>
        <v>265</v>
      </c>
    </row>
    <row r="1331" spans="5:14" x14ac:dyDescent="0.25">
      <c r="E1331">
        <v>530</v>
      </c>
      <c r="F1331" s="7">
        <v>45267</v>
      </c>
      <c r="G1331">
        <f t="shared" si="61"/>
        <v>2023</v>
      </c>
      <c r="H1331" s="7" t="str">
        <f t="shared" si="62"/>
        <v>Декабрь</v>
      </c>
      <c r="I1331" t="s">
        <v>20</v>
      </c>
      <c r="J1331">
        <v>31</v>
      </c>
      <c r="K1331" t="s">
        <v>24</v>
      </c>
      <c r="L1331">
        <v>1</v>
      </c>
      <c r="M1331">
        <v>500</v>
      </c>
      <c r="N1331" s="1">
        <f t="shared" si="63"/>
        <v>500</v>
      </c>
    </row>
    <row r="1332" spans="5:14" x14ac:dyDescent="0.25">
      <c r="E1332">
        <v>429</v>
      </c>
      <c r="F1332" s="7">
        <v>45145</v>
      </c>
      <c r="G1332">
        <f t="shared" si="61"/>
        <v>2023</v>
      </c>
      <c r="H1332" s="7" t="str">
        <f t="shared" si="62"/>
        <v>Август</v>
      </c>
      <c r="I1332" t="s">
        <v>22</v>
      </c>
      <c r="J1332">
        <v>43</v>
      </c>
      <c r="K1332" t="s">
        <v>24</v>
      </c>
      <c r="L1332">
        <v>3</v>
      </c>
      <c r="M1332">
        <v>300</v>
      </c>
      <c r="N1332" s="1">
        <f t="shared" si="63"/>
        <v>900</v>
      </c>
    </row>
    <row r="1333" spans="5:14" x14ac:dyDescent="0.25">
      <c r="E1333">
        <v>597</v>
      </c>
      <c r="F1333" s="7">
        <v>45139</v>
      </c>
      <c r="G1333">
        <f t="shared" si="61"/>
        <v>2023</v>
      </c>
      <c r="H1333" s="7" t="str">
        <f t="shared" si="62"/>
        <v>Август</v>
      </c>
      <c r="I1333" t="s">
        <v>20</v>
      </c>
      <c r="J1333">
        <v>37</v>
      </c>
      <c r="K1333" t="s">
        <v>21</v>
      </c>
      <c r="L1333">
        <v>4</v>
      </c>
      <c r="M1333">
        <v>30</v>
      </c>
      <c r="N1333" s="1">
        <f t="shared" si="63"/>
        <v>120</v>
      </c>
    </row>
    <row r="1334" spans="5:14" x14ac:dyDescent="0.25">
      <c r="E1334">
        <v>698</v>
      </c>
      <c r="F1334" s="7">
        <v>45269</v>
      </c>
      <c r="G1334">
        <f t="shared" si="61"/>
        <v>2023</v>
      </c>
      <c r="H1334" s="7" t="str">
        <f t="shared" si="62"/>
        <v>Декабрь</v>
      </c>
      <c r="I1334" t="s">
        <v>20</v>
      </c>
      <c r="J1334">
        <v>36</v>
      </c>
      <c r="K1334" t="s">
        <v>24</v>
      </c>
      <c r="L1334">
        <v>4</v>
      </c>
      <c r="M1334">
        <v>500</v>
      </c>
      <c r="N1334" s="1">
        <f t="shared" si="63"/>
        <v>2000</v>
      </c>
    </row>
    <row r="1335" spans="5:14" x14ac:dyDescent="0.25">
      <c r="E1335">
        <v>1162</v>
      </c>
      <c r="F1335" s="7">
        <v>45427</v>
      </c>
      <c r="G1335">
        <f t="shared" si="61"/>
        <v>2024</v>
      </c>
      <c r="H1335" s="7" t="str">
        <f t="shared" si="62"/>
        <v>Май</v>
      </c>
      <c r="I1335" t="s">
        <v>22</v>
      </c>
      <c r="J1335">
        <v>60</v>
      </c>
      <c r="K1335" t="s">
        <v>21</v>
      </c>
      <c r="L1335">
        <v>5</v>
      </c>
      <c r="M1335">
        <v>377</v>
      </c>
      <c r="N1335" s="1">
        <f t="shared" si="63"/>
        <v>1885</v>
      </c>
    </row>
    <row r="1336" spans="5:14" x14ac:dyDescent="0.25">
      <c r="E1336">
        <v>141</v>
      </c>
      <c r="F1336" s="7">
        <v>45232</v>
      </c>
      <c r="G1336">
        <f t="shared" si="61"/>
        <v>2023</v>
      </c>
      <c r="H1336" s="7" t="str">
        <f t="shared" si="62"/>
        <v>Ноябрь</v>
      </c>
      <c r="I1336" t="s">
        <v>22</v>
      </c>
      <c r="J1336">
        <v>22</v>
      </c>
      <c r="K1336" t="s">
        <v>24</v>
      </c>
      <c r="L1336">
        <v>1</v>
      </c>
      <c r="M1336">
        <v>50</v>
      </c>
      <c r="N1336" s="1">
        <f t="shared" si="63"/>
        <v>50</v>
      </c>
    </row>
    <row r="1337" spans="5:14" x14ac:dyDescent="0.25">
      <c r="E1337">
        <v>320</v>
      </c>
      <c r="F1337" s="7">
        <v>45087</v>
      </c>
      <c r="G1337">
        <f t="shared" si="61"/>
        <v>2023</v>
      </c>
      <c r="H1337" s="7" t="str">
        <f t="shared" si="62"/>
        <v>Июнь</v>
      </c>
      <c r="I1337" t="s">
        <v>22</v>
      </c>
      <c r="J1337">
        <v>26</v>
      </c>
      <c r="K1337" t="s">
        <v>24</v>
      </c>
      <c r="L1337">
        <v>2</v>
      </c>
      <c r="M1337">
        <v>25</v>
      </c>
      <c r="N1337" s="1">
        <f t="shared" si="63"/>
        <v>50</v>
      </c>
    </row>
    <row r="1338" spans="5:14" x14ac:dyDescent="0.25">
      <c r="E1338">
        <v>1119</v>
      </c>
      <c r="F1338" s="7">
        <v>45580</v>
      </c>
      <c r="G1338">
        <f t="shared" si="61"/>
        <v>2024</v>
      </c>
      <c r="H1338" s="7" t="str">
        <f t="shared" si="62"/>
        <v>Октябрь</v>
      </c>
      <c r="I1338" t="s">
        <v>22</v>
      </c>
      <c r="J1338">
        <v>54</v>
      </c>
      <c r="K1338" t="s">
        <v>24</v>
      </c>
      <c r="L1338">
        <v>4</v>
      </c>
      <c r="M1338">
        <v>185</v>
      </c>
      <c r="N1338" s="1">
        <f t="shared" si="63"/>
        <v>740</v>
      </c>
    </row>
    <row r="1339" spans="5:14" x14ac:dyDescent="0.25">
      <c r="E1339">
        <v>254</v>
      </c>
      <c r="F1339" s="7">
        <v>45024</v>
      </c>
      <c r="G1339">
        <f t="shared" si="61"/>
        <v>2023</v>
      </c>
      <c r="H1339" s="7" t="str">
        <f t="shared" si="62"/>
        <v>Апрель</v>
      </c>
      <c r="I1339" t="s">
        <v>20</v>
      </c>
      <c r="J1339">
        <v>48</v>
      </c>
      <c r="K1339" t="s">
        <v>23</v>
      </c>
      <c r="L1339">
        <v>1</v>
      </c>
      <c r="M1339">
        <v>30</v>
      </c>
      <c r="N1339" s="1">
        <f t="shared" si="63"/>
        <v>30</v>
      </c>
    </row>
    <row r="1340" spans="5:14" x14ac:dyDescent="0.25">
      <c r="E1340">
        <v>1516</v>
      </c>
      <c r="F1340" s="7">
        <v>45314</v>
      </c>
      <c r="G1340">
        <f t="shared" si="61"/>
        <v>2024</v>
      </c>
      <c r="H1340" s="7" t="str">
        <f t="shared" si="62"/>
        <v>Январь</v>
      </c>
      <c r="I1340" t="s">
        <v>22</v>
      </c>
      <c r="J1340">
        <v>34</v>
      </c>
      <c r="K1340" t="s">
        <v>24</v>
      </c>
      <c r="L1340">
        <v>5</v>
      </c>
      <c r="M1340">
        <v>45</v>
      </c>
      <c r="N1340" s="1">
        <f t="shared" si="63"/>
        <v>225</v>
      </c>
    </row>
    <row r="1341" spans="5:14" x14ac:dyDescent="0.25">
      <c r="E1341">
        <v>64</v>
      </c>
      <c r="F1341" s="7">
        <v>44950</v>
      </c>
      <c r="G1341">
        <f t="shared" si="61"/>
        <v>2023</v>
      </c>
      <c r="H1341" s="7" t="str">
        <f t="shared" si="62"/>
        <v>Январь</v>
      </c>
      <c r="I1341" t="s">
        <v>20</v>
      </c>
      <c r="J1341">
        <v>49</v>
      </c>
      <c r="K1341" t="s">
        <v>23</v>
      </c>
      <c r="L1341">
        <v>4</v>
      </c>
      <c r="M1341">
        <v>25</v>
      </c>
      <c r="N1341" s="1">
        <f t="shared" si="63"/>
        <v>100</v>
      </c>
    </row>
    <row r="1342" spans="5:14" x14ac:dyDescent="0.25">
      <c r="E1342">
        <v>10</v>
      </c>
      <c r="F1342" s="7">
        <v>45206</v>
      </c>
      <c r="G1342">
        <f t="shared" si="61"/>
        <v>2023</v>
      </c>
      <c r="H1342" s="7" t="str">
        <f t="shared" si="62"/>
        <v>Октябрь</v>
      </c>
      <c r="I1342" t="s">
        <v>22</v>
      </c>
      <c r="J1342">
        <v>52</v>
      </c>
      <c r="K1342" t="s">
        <v>23</v>
      </c>
      <c r="L1342">
        <v>4</v>
      </c>
      <c r="M1342">
        <v>50</v>
      </c>
      <c r="N1342" s="1">
        <f t="shared" si="63"/>
        <v>200</v>
      </c>
    </row>
    <row r="1343" spans="5:14" x14ac:dyDescent="0.25">
      <c r="E1343">
        <v>967</v>
      </c>
      <c r="F1343" s="7">
        <v>45035</v>
      </c>
      <c r="G1343">
        <f t="shared" si="61"/>
        <v>2023</v>
      </c>
      <c r="H1343" s="7" t="str">
        <f t="shared" si="62"/>
        <v>Апрель</v>
      </c>
      <c r="I1343" t="s">
        <v>22</v>
      </c>
      <c r="J1343">
        <v>40</v>
      </c>
      <c r="K1343" t="s">
        <v>23</v>
      </c>
      <c r="L1343">
        <v>3</v>
      </c>
      <c r="M1343">
        <v>300</v>
      </c>
      <c r="N1343" s="1">
        <f t="shared" si="63"/>
        <v>900</v>
      </c>
    </row>
    <row r="1344" spans="5:14" x14ac:dyDescent="0.25">
      <c r="E1344">
        <v>196</v>
      </c>
      <c r="F1344" s="7">
        <v>45199</v>
      </c>
      <c r="G1344">
        <f t="shared" si="61"/>
        <v>2023</v>
      </c>
      <c r="H1344" s="7" t="str">
        <f t="shared" si="62"/>
        <v>Сентябрь</v>
      </c>
      <c r="I1344" t="s">
        <v>22</v>
      </c>
      <c r="J1344">
        <v>32</v>
      </c>
      <c r="K1344" t="s">
        <v>23</v>
      </c>
      <c r="L1344">
        <v>3</v>
      </c>
      <c r="M1344">
        <v>300</v>
      </c>
      <c r="N1344" s="1">
        <f t="shared" si="63"/>
        <v>900</v>
      </c>
    </row>
    <row r="1345" spans="5:14" x14ac:dyDescent="0.25">
      <c r="E1345">
        <v>1537</v>
      </c>
      <c r="F1345" s="7">
        <v>45634</v>
      </c>
      <c r="G1345">
        <f t="shared" si="61"/>
        <v>2024</v>
      </c>
      <c r="H1345" s="7" t="str">
        <f t="shared" si="62"/>
        <v>Декабрь</v>
      </c>
      <c r="I1345" t="s">
        <v>22</v>
      </c>
      <c r="J1345">
        <v>22</v>
      </c>
      <c r="K1345" t="s">
        <v>24</v>
      </c>
      <c r="L1345">
        <v>2</v>
      </c>
      <c r="M1345">
        <v>379</v>
      </c>
      <c r="N1345" s="1">
        <f t="shared" si="63"/>
        <v>758</v>
      </c>
    </row>
    <row r="1346" spans="5:14" x14ac:dyDescent="0.25">
      <c r="E1346">
        <v>1482</v>
      </c>
      <c r="F1346" s="7">
        <v>45630</v>
      </c>
      <c r="G1346">
        <f t="shared" si="61"/>
        <v>2024</v>
      </c>
      <c r="H1346" s="7" t="str">
        <f t="shared" si="62"/>
        <v>Декабрь</v>
      </c>
      <c r="I1346" t="s">
        <v>20</v>
      </c>
      <c r="J1346">
        <v>59</v>
      </c>
      <c r="K1346" t="s">
        <v>24</v>
      </c>
      <c r="L1346">
        <v>4</v>
      </c>
      <c r="M1346">
        <v>246</v>
      </c>
      <c r="N1346" s="1">
        <f t="shared" si="63"/>
        <v>984</v>
      </c>
    </row>
    <row r="1347" spans="5:14" x14ac:dyDescent="0.25">
      <c r="E1347">
        <v>9</v>
      </c>
      <c r="F1347" s="7">
        <v>45273</v>
      </c>
      <c r="G1347">
        <f t="shared" si="61"/>
        <v>2023</v>
      </c>
      <c r="H1347" s="7" t="str">
        <f t="shared" si="62"/>
        <v>Декабрь</v>
      </c>
      <c r="I1347" t="s">
        <v>20</v>
      </c>
      <c r="J1347">
        <v>63</v>
      </c>
      <c r="K1347" t="s">
        <v>24</v>
      </c>
      <c r="L1347">
        <v>2</v>
      </c>
      <c r="M1347">
        <v>300</v>
      </c>
      <c r="N1347" s="1">
        <f t="shared" si="63"/>
        <v>600</v>
      </c>
    </row>
    <row r="1348" spans="5:14" x14ac:dyDescent="0.25">
      <c r="E1348">
        <v>1508</v>
      </c>
      <c r="F1348" s="7">
        <v>45516</v>
      </c>
      <c r="G1348">
        <f t="shared" si="61"/>
        <v>2024</v>
      </c>
      <c r="H1348" s="7" t="str">
        <f t="shared" si="62"/>
        <v>Август</v>
      </c>
      <c r="I1348" t="s">
        <v>20</v>
      </c>
      <c r="J1348">
        <v>62</v>
      </c>
      <c r="K1348" t="s">
        <v>21</v>
      </c>
      <c r="L1348">
        <v>1</v>
      </c>
      <c r="M1348">
        <v>157</v>
      </c>
      <c r="N1348" s="1">
        <f t="shared" si="63"/>
        <v>157</v>
      </c>
    </row>
    <row r="1349" spans="5:14" x14ac:dyDescent="0.25">
      <c r="E1349">
        <v>287</v>
      </c>
      <c r="F1349" s="7">
        <v>44952</v>
      </c>
      <c r="G1349">
        <f t="shared" si="61"/>
        <v>2023</v>
      </c>
      <c r="H1349" s="7" t="str">
        <f t="shared" si="62"/>
        <v>Январь</v>
      </c>
      <c r="I1349" t="s">
        <v>20</v>
      </c>
      <c r="J1349">
        <v>28</v>
      </c>
      <c r="K1349" t="s">
        <v>23</v>
      </c>
      <c r="L1349">
        <v>4</v>
      </c>
      <c r="M1349">
        <v>30</v>
      </c>
      <c r="N1349" s="1">
        <f t="shared" si="63"/>
        <v>120</v>
      </c>
    </row>
    <row r="1350" spans="5:14" x14ac:dyDescent="0.25">
      <c r="E1350">
        <v>111</v>
      </c>
      <c r="F1350" s="7">
        <v>45035</v>
      </c>
      <c r="G1350">
        <f t="shared" si="61"/>
        <v>2023</v>
      </c>
      <c r="H1350" s="7" t="str">
        <f t="shared" si="62"/>
        <v>Апрель</v>
      </c>
      <c r="I1350" t="s">
        <v>22</v>
      </c>
      <c r="J1350">
        <v>34</v>
      </c>
      <c r="K1350" t="s">
        <v>24</v>
      </c>
      <c r="L1350">
        <v>3</v>
      </c>
      <c r="M1350">
        <v>500</v>
      </c>
      <c r="N1350" s="1">
        <f t="shared" si="63"/>
        <v>1500</v>
      </c>
    </row>
    <row r="1351" spans="5:14" x14ac:dyDescent="0.25">
      <c r="E1351">
        <v>1346</v>
      </c>
      <c r="F1351" s="7">
        <v>45591</v>
      </c>
      <c r="G1351">
        <f t="shared" si="61"/>
        <v>2024</v>
      </c>
      <c r="H1351" s="7" t="str">
        <f t="shared" si="62"/>
        <v>Октябрь</v>
      </c>
      <c r="I1351" t="s">
        <v>22</v>
      </c>
      <c r="J1351">
        <v>53</v>
      </c>
      <c r="K1351" t="s">
        <v>21</v>
      </c>
      <c r="L1351">
        <v>3</v>
      </c>
      <c r="M1351">
        <v>218</v>
      </c>
      <c r="N1351" s="1">
        <f t="shared" si="63"/>
        <v>654</v>
      </c>
    </row>
    <row r="1352" spans="5:14" x14ac:dyDescent="0.25">
      <c r="E1352">
        <v>1112</v>
      </c>
      <c r="F1352" s="7">
        <v>45495</v>
      </c>
      <c r="G1352">
        <f t="shared" si="61"/>
        <v>2024</v>
      </c>
      <c r="H1352" s="7" t="str">
        <f t="shared" si="62"/>
        <v>Июль</v>
      </c>
      <c r="I1352" t="s">
        <v>22</v>
      </c>
      <c r="J1352">
        <v>35</v>
      </c>
      <c r="K1352" t="s">
        <v>21</v>
      </c>
      <c r="L1352">
        <v>3</v>
      </c>
      <c r="M1352">
        <v>215</v>
      </c>
      <c r="N1352" s="1">
        <f t="shared" si="63"/>
        <v>645</v>
      </c>
    </row>
    <row r="1353" spans="5:14" x14ac:dyDescent="0.25">
      <c r="E1353">
        <v>457</v>
      </c>
      <c r="F1353" s="7">
        <v>45244</v>
      </c>
      <c r="G1353">
        <f t="shared" si="61"/>
        <v>2023</v>
      </c>
      <c r="H1353" s="7" t="str">
        <f t="shared" si="62"/>
        <v>Ноябрь</v>
      </c>
      <c r="I1353" t="s">
        <v>22</v>
      </c>
      <c r="J1353">
        <v>39</v>
      </c>
      <c r="K1353" t="s">
        <v>24</v>
      </c>
      <c r="L1353">
        <v>4</v>
      </c>
      <c r="M1353">
        <v>25</v>
      </c>
      <c r="N1353" s="1">
        <f t="shared" si="63"/>
        <v>100</v>
      </c>
    </row>
    <row r="1354" spans="5:14" x14ac:dyDescent="0.25">
      <c r="E1354">
        <v>850</v>
      </c>
      <c r="F1354" s="7">
        <v>45211</v>
      </c>
      <c r="G1354">
        <f t="shared" ref="G1354:G1417" si="64">YEAR(F1354)</f>
        <v>2023</v>
      </c>
      <c r="H1354" s="7" t="str">
        <f t="shared" ref="H1354:H1417" si="65">TEXT(F1354,"ММММ")</f>
        <v>Октябрь</v>
      </c>
      <c r="I1354" t="s">
        <v>22</v>
      </c>
      <c r="J1354">
        <v>41</v>
      </c>
      <c r="K1354" t="s">
        <v>23</v>
      </c>
      <c r="L1354">
        <v>1</v>
      </c>
      <c r="M1354">
        <v>300</v>
      </c>
      <c r="N1354" s="1">
        <f t="shared" ref="N1354:N1417" si="66">L1354*M1354</f>
        <v>300</v>
      </c>
    </row>
    <row r="1355" spans="5:14" x14ac:dyDescent="0.25">
      <c r="E1355">
        <v>1493</v>
      </c>
      <c r="F1355" s="7">
        <v>45640</v>
      </c>
      <c r="G1355">
        <f t="shared" si="64"/>
        <v>2024</v>
      </c>
      <c r="H1355" s="7" t="str">
        <f t="shared" si="65"/>
        <v>Декабрь</v>
      </c>
      <c r="I1355" t="s">
        <v>20</v>
      </c>
      <c r="J1355">
        <v>48</v>
      </c>
      <c r="K1355" t="s">
        <v>23</v>
      </c>
      <c r="L1355">
        <v>4</v>
      </c>
      <c r="M1355">
        <v>438</v>
      </c>
      <c r="N1355" s="1">
        <f t="shared" si="66"/>
        <v>1752</v>
      </c>
    </row>
    <row r="1356" spans="5:14" x14ac:dyDescent="0.25">
      <c r="E1356">
        <v>409</v>
      </c>
      <c r="F1356" s="7">
        <v>45251</v>
      </c>
      <c r="G1356">
        <f t="shared" si="64"/>
        <v>2023</v>
      </c>
      <c r="H1356" s="7" t="str">
        <f t="shared" si="65"/>
        <v>Ноябрь</v>
      </c>
      <c r="I1356" t="s">
        <v>22</v>
      </c>
      <c r="J1356">
        <v>29</v>
      </c>
      <c r="K1356" t="s">
        <v>23</v>
      </c>
      <c r="L1356">
        <v>2</v>
      </c>
      <c r="M1356">
        <v>50</v>
      </c>
      <c r="N1356" s="1">
        <f t="shared" si="66"/>
        <v>100</v>
      </c>
    </row>
    <row r="1357" spans="5:14" x14ac:dyDescent="0.25">
      <c r="E1357">
        <v>1091</v>
      </c>
      <c r="F1357" s="7">
        <v>45487</v>
      </c>
      <c r="G1357">
        <f t="shared" si="64"/>
        <v>2024</v>
      </c>
      <c r="H1357" s="7" t="str">
        <f t="shared" si="65"/>
        <v>Июль</v>
      </c>
      <c r="I1357" t="s">
        <v>22</v>
      </c>
      <c r="J1357">
        <v>22</v>
      </c>
      <c r="K1357" t="s">
        <v>21</v>
      </c>
      <c r="L1357">
        <v>3</v>
      </c>
      <c r="M1357">
        <v>54</v>
      </c>
      <c r="N1357" s="1">
        <f t="shared" si="66"/>
        <v>162</v>
      </c>
    </row>
    <row r="1358" spans="5:14" x14ac:dyDescent="0.25">
      <c r="E1358">
        <v>845</v>
      </c>
      <c r="F1358" s="7">
        <v>45024</v>
      </c>
      <c r="G1358">
        <f t="shared" si="64"/>
        <v>2023</v>
      </c>
      <c r="H1358" s="7" t="str">
        <f t="shared" si="65"/>
        <v>Апрель</v>
      </c>
      <c r="I1358" t="s">
        <v>22</v>
      </c>
      <c r="J1358">
        <v>18</v>
      </c>
      <c r="K1358" t="s">
        <v>24</v>
      </c>
      <c r="L1358">
        <v>4</v>
      </c>
      <c r="M1358">
        <v>300</v>
      </c>
      <c r="N1358" s="1">
        <f t="shared" si="66"/>
        <v>1200</v>
      </c>
    </row>
    <row r="1359" spans="5:14" x14ac:dyDescent="0.25">
      <c r="E1359">
        <v>119</v>
      </c>
      <c r="F1359" s="7">
        <v>44998</v>
      </c>
      <c r="G1359">
        <f t="shared" si="64"/>
        <v>2023</v>
      </c>
      <c r="H1359" s="7" t="str">
        <f t="shared" si="65"/>
        <v>Март</v>
      </c>
      <c r="I1359" t="s">
        <v>22</v>
      </c>
      <c r="J1359">
        <v>60</v>
      </c>
      <c r="K1359" t="s">
        <v>23</v>
      </c>
      <c r="L1359">
        <v>3</v>
      </c>
      <c r="M1359">
        <v>50</v>
      </c>
      <c r="N1359" s="1">
        <f t="shared" si="66"/>
        <v>150</v>
      </c>
    </row>
    <row r="1360" spans="5:14" x14ac:dyDescent="0.25">
      <c r="E1360">
        <v>796</v>
      </c>
      <c r="F1360" s="7">
        <v>45142</v>
      </c>
      <c r="G1360">
        <f t="shared" si="64"/>
        <v>2023</v>
      </c>
      <c r="H1360" s="7" t="str">
        <f t="shared" si="65"/>
        <v>Август</v>
      </c>
      <c r="I1360" t="s">
        <v>20</v>
      </c>
      <c r="J1360">
        <v>61</v>
      </c>
      <c r="K1360" t="s">
        <v>23</v>
      </c>
      <c r="L1360">
        <v>1</v>
      </c>
      <c r="M1360">
        <v>50</v>
      </c>
      <c r="N1360" s="1">
        <f t="shared" si="66"/>
        <v>50</v>
      </c>
    </row>
    <row r="1361" spans="5:14" x14ac:dyDescent="0.25">
      <c r="E1361">
        <v>1066</v>
      </c>
      <c r="F1361" s="7">
        <v>45332</v>
      </c>
      <c r="G1361">
        <f t="shared" si="64"/>
        <v>2024</v>
      </c>
      <c r="H1361" s="7" t="str">
        <f t="shared" si="65"/>
        <v>Февраль</v>
      </c>
      <c r="I1361" t="s">
        <v>20</v>
      </c>
      <c r="J1361">
        <v>26</v>
      </c>
      <c r="K1361" t="s">
        <v>24</v>
      </c>
      <c r="L1361">
        <v>4</v>
      </c>
      <c r="M1361">
        <v>240</v>
      </c>
      <c r="N1361" s="1">
        <f t="shared" si="66"/>
        <v>960</v>
      </c>
    </row>
    <row r="1362" spans="5:14" x14ac:dyDescent="0.25">
      <c r="E1362">
        <v>120</v>
      </c>
      <c r="F1362" s="7">
        <v>45053</v>
      </c>
      <c r="G1362">
        <f t="shared" si="64"/>
        <v>2023</v>
      </c>
      <c r="H1362" s="7" t="str">
        <f t="shared" si="65"/>
        <v>Май</v>
      </c>
      <c r="I1362" t="s">
        <v>20</v>
      </c>
      <c r="J1362">
        <v>60</v>
      </c>
      <c r="K1362" t="s">
        <v>21</v>
      </c>
      <c r="L1362">
        <v>1</v>
      </c>
      <c r="M1362">
        <v>50</v>
      </c>
      <c r="N1362" s="1">
        <f t="shared" si="66"/>
        <v>50</v>
      </c>
    </row>
    <row r="1363" spans="5:14" x14ac:dyDescent="0.25">
      <c r="E1363">
        <v>738</v>
      </c>
      <c r="F1363" s="7">
        <v>44962</v>
      </c>
      <c r="G1363">
        <f t="shared" si="64"/>
        <v>2023</v>
      </c>
      <c r="H1363" s="7" t="str">
        <f t="shared" si="65"/>
        <v>Февраль</v>
      </c>
      <c r="I1363" t="s">
        <v>22</v>
      </c>
      <c r="J1363">
        <v>25</v>
      </c>
      <c r="K1363" t="s">
        <v>21</v>
      </c>
      <c r="L1363">
        <v>4</v>
      </c>
      <c r="M1363">
        <v>50</v>
      </c>
      <c r="N1363" s="1">
        <f t="shared" si="66"/>
        <v>200</v>
      </c>
    </row>
    <row r="1364" spans="5:14" x14ac:dyDescent="0.25">
      <c r="E1364">
        <v>1251</v>
      </c>
      <c r="F1364" s="7">
        <v>45501</v>
      </c>
      <c r="G1364">
        <f t="shared" si="64"/>
        <v>2024</v>
      </c>
      <c r="H1364" s="7" t="str">
        <f t="shared" si="65"/>
        <v>Июль</v>
      </c>
      <c r="I1364" t="s">
        <v>20</v>
      </c>
      <c r="J1364">
        <v>57</v>
      </c>
      <c r="K1364" t="s">
        <v>24</v>
      </c>
      <c r="L1364">
        <v>3</v>
      </c>
      <c r="M1364">
        <v>292</v>
      </c>
      <c r="N1364" s="1">
        <f t="shared" si="66"/>
        <v>876</v>
      </c>
    </row>
    <row r="1365" spans="5:14" x14ac:dyDescent="0.25">
      <c r="E1365">
        <v>904</v>
      </c>
      <c r="F1365" s="7">
        <v>45081</v>
      </c>
      <c r="G1365">
        <f t="shared" si="64"/>
        <v>2023</v>
      </c>
      <c r="H1365" s="7" t="str">
        <f t="shared" si="65"/>
        <v>Июнь</v>
      </c>
      <c r="I1365" t="s">
        <v>22</v>
      </c>
      <c r="J1365">
        <v>20</v>
      </c>
      <c r="K1365" t="s">
        <v>23</v>
      </c>
      <c r="L1365">
        <v>1</v>
      </c>
      <c r="M1365">
        <v>50</v>
      </c>
      <c r="N1365" s="1">
        <f t="shared" si="66"/>
        <v>50</v>
      </c>
    </row>
    <row r="1366" spans="5:14" x14ac:dyDescent="0.25">
      <c r="E1366">
        <v>608</v>
      </c>
      <c r="F1366" s="7">
        <v>45279</v>
      </c>
      <c r="G1366">
        <f t="shared" si="64"/>
        <v>2023</v>
      </c>
      <c r="H1366" s="7" t="str">
        <f t="shared" si="65"/>
        <v>Декабрь</v>
      </c>
      <c r="I1366" t="s">
        <v>22</v>
      </c>
      <c r="J1366">
        <v>47</v>
      </c>
      <c r="K1366" t="s">
        <v>23</v>
      </c>
      <c r="L1366">
        <v>2</v>
      </c>
      <c r="M1366">
        <v>50</v>
      </c>
      <c r="N1366" s="1">
        <f t="shared" si="66"/>
        <v>100</v>
      </c>
    </row>
    <row r="1367" spans="5:14" x14ac:dyDescent="0.25">
      <c r="E1367">
        <v>1600</v>
      </c>
      <c r="F1367" s="7">
        <v>45489</v>
      </c>
      <c r="G1367">
        <f t="shared" si="64"/>
        <v>2024</v>
      </c>
      <c r="H1367" s="7" t="str">
        <f t="shared" si="65"/>
        <v>Июль</v>
      </c>
      <c r="I1367" t="s">
        <v>22</v>
      </c>
      <c r="J1367">
        <v>30</v>
      </c>
      <c r="K1367" t="s">
        <v>23</v>
      </c>
      <c r="L1367">
        <v>1</v>
      </c>
      <c r="M1367">
        <v>387</v>
      </c>
      <c r="N1367" s="1">
        <f t="shared" si="66"/>
        <v>387</v>
      </c>
    </row>
    <row r="1368" spans="5:14" x14ac:dyDescent="0.25">
      <c r="E1368">
        <v>1736</v>
      </c>
      <c r="F1368" s="7">
        <v>45327</v>
      </c>
      <c r="G1368">
        <f t="shared" si="64"/>
        <v>2024</v>
      </c>
      <c r="H1368" s="7" t="str">
        <f t="shared" si="65"/>
        <v>Февраль</v>
      </c>
      <c r="I1368" t="s">
        <v>22</v>
      </c>
      <c r="J1368">
        <v>38</v>
      </c>
      <c r="K1368" t="s">
        <v>21</v>
      </c>
      <c r="L1368">
        <v>6</v>
      </c>
      <c r="M1368">
        <v>298</v>
      </c>
      <c r="N1368" s="1">
        <f t="shared" si="66"/>
        <v>1788</v>
      </c>
    </row>
    <row r="1369" spans="5:14" x14ac:dyDescent="0.25">
      <c r="E1369">
        <v>1553</v>
      </c>
      <c r="F1369" s="7">
        <v>45447</v>
      </c>
      <c r="G1369">
        <f t="shared" si="64"/>
        <v>2024</v>
      </c>
      <c r="H1369" s="7" t="str">
        <f t="shared" si="65"/>
        <v>Июнь</v>
      </c>
      <c r="I1369" t="s">
        <v>22</v>
      </c>
      <c r="J1369">
        <v>19</v>
      </c>
      <c r="K1369" t="s">
        <v>24</v>
      </c>
      <c r="L1369">
        <v>6</v>
      </c>
      <c r="M1369">
        <v>426</v>
      </c>
      <c r="N1369" s="1">
        <f t="shared" si="66"/>
        <v>2556</v>
      </c>
    </row>
    <row r="1370" spans="5:14" x14ac:dyDescent="0.25">
      <c r="E1370">
        <v>1643</v>
      </c>
      <c r="F1370" s="7">
        <v>45415</v>
      </c>
      <c r="G1370">
        <f t="shared" si="64"/>
        <v>2024</v>
      </c>
      <c r="H1370" s="7" t="str">
        <f t="shared" si="65"/>
        <v>Май</v>
      </c>
      <c r="I1370" t="s">
        <v>20</v>
      </c>
      <c r="J1370">
        <v>21</v>
      </c>
      <c r="K1370" t="s">
        <v>23</v>
      </c>
      <c r="L1370">
        <v>1</v>
      </c>
      <c r="M1370">
        <v>403</v>
      </c>
      <c r="N1370" s="1">
        <f t="shared" si="66"/>
        <v>403</v>
      </c>
    </row>
    <row r="1371" spans="5:14" x14ac:dyDescent="0.25">
      <c r="E1371">
        <v>1500</v>
      </c>
      <c r="F1371" s="7">
        <v>45590</v>
      </c>
      <c r="G1371">
        <f t="shared" si="64"/>
        <v>2024</v>
      </c>
      <c r="H1371" s="7" t="str">
        <f t="shared" si="65"/>
        <v>Октябрь</v>
      </c>
      <c r="I1371" t="s">
        <v>20</v>
      </c>
      <c r="J1371">
        <v>47</v>
      </c>
      <c r="K1371" t="s">
        <v>21</v>
      </c>
      <c r="L1371">
        <v>2</v>
      </c>
      <c r="M1371">
        <v>166</v>
      </c>
      <c r="N1371" s="1">
        <f t="shared" si="66"/>
        <v>332</v>
      </c>
    </row>
    <row r="1372" spans="5:14" x14ac:dyDescent="0.25">
      <c r="E1372">
        <v>1804</v>
      </c>
      <c r="F1372" s="7">
        <v>45383</v>
      </c>
      <c r="G1372">
        <f t="shared" si="64"/>
        <v>2024</v>
      </c>
      <c r="H1372" s="7" t="str">
        <f t="shared" si="65"/>
        <v>Апрель</v>
      </c>
      <c r="I1372" t="s">
        <v>20</v>
      </c>
      <c r="J1372">
        <v>22</v>
      </c>
      <c r="K1372" t="s">
        <v>21</v>
      </c>
      <c r="L1372">
        <v>1</v>
      </c>
      <c r="M1372">
        <v>300</v>
      </c>
      <c r="N1372" s="1">
        <f t="shared" si="66"/>
        <v>300</v>
      </c>
    </row>
    <row r="1373" spans="5:14" x14ac:dyDescent="0.25">
      <c r="E1373">
        <v>1478</v>
      </c>
      <c r="F1373" s="7">
        <v>45449</v>
      </c>
      <c r="G1373">
        <f t="shared" si="64"/>
        <v>2024</v>
      </c>
      <c r="H1373" s="7" t="str">
        <f t="shared" si="65"/>
        <v>Июнь</v>
      </c>
      <c r="I1373" t="s">
        <v>22</v>
      </c>
      <c r="J1373">
        <v>64</v>
      </c>
      <c r="K1373" t="s">
        <v>24</v>
      </c>
      <c r="L1373">
        <v>3</v>
      </c>
      <c r="M1373">
        <v>333</v>
      </c>
      <c r="N1373" s="1">
        <f t="shared" si="66"/>
        <v>999</v>
      </c>
    </row>
    <row r="1374" spans="5:14" x14ac:dyDescent="0.25">
      <c r="E1374">
        <v>1383</v>
      </c>
      <c r="F1374" s="7">
        <v>45653</v>
      </c>
      <c r="G1374">
        <f t="shared" si="64"/>
        <v>2024</v>
      </c>
      <c r="H1374" s="7" t="str">
        <f t="shared" si="65"/>
        <v>Декабрь</v>
      </c>
      <c r="I1374" t="s">
        <v>22</v>
      </c>
      <c r="J1374">
        <v>55</v>
      </c>
      <c r="K1374" t="s">
        <v>24</v>
      </c>
      <c r="L1374">
        <v>6</v>
      </c>
      <c r="M1374">
        <v>491</v>
      </c>
      <c r="N1374" s="1">
        <f t="shared" si="66"/>
        <v>2946</v>
      </c>
    </row>
    <row r="1375" spans="5:14" x14ac:dyDescent="0.25">
      <c r="E1375">
        <v>476</v>
      </c>
      <c r="F1375" s="7">
        <v>45040</v>
      </c>
      <c r="G1375">
        <f t="shared" si="64"/>
        <v>2023</v>
      </c>
      <c r="H1375" s="7" t="str">
        <f t="shared" si="65"/>
        <v>Апрель</v>
      </c>
      <c r="I1375" t="s">
        <v>20</v>
      </c>
      <c r="J1375">
        <v>43</v>
      </c>
      <c r="K1375" t="s">
        <v>23</v>
      </c>
      <c r="L1375">
        <v>4</v>
      </c>
      <c r="M1375">
        <v>30</v>
      </c>
      <c r="N1375" s="1">
        <f t="shared" si="66"/>
        <v>120</v>
      </c>
    </row>
    <row r="1376" spans="5:14" x14ac:dyDescent="0.25">
      <c r="E1376">
        <v>1799</v>
      </c>
      <c r="F1376" s="7">
        <v>45618</v>
      </c>
      <c r="G1376">
        <f t="shared" si="64"/>
        <v>2024</v>
      </c>
      <c r="H1376" s="7" t="str">
        <f t="shared" si="65"/>
        <v>Ноябрь</v>
      </c>
      <c r="I1376" t="s">
        <v>20</v>
      </c>
      <c r="J1376">
        <v>60</v>
      </c>
      <c r="K1376" t="s">
        <v>23</v>
      </c>
      <c r="L1376">
        <v>3</v>
      </c>
      <c r="M1376">
        <v>187</v>
      </c>
      <c r="N1376" s="1">
        <f t="shared" si="66"/>
        <v>561</v>
      </c>
    </row>
    <row r="1377" spans="5:14" x14ac:dyDescent="0.25">
      <c r="E1377">
        <v>1992</v>
      </c>
      <c r="F1377" s="7">
        <v>45428</v>
      </c>
      <c r="G1377">
        <f t="shared" si="64"/>
        <v>2024</v>
      </c>
      <c r="H1377" s="7" t="str">
        <f t="shared" si="65"/>
        <v>Май</v>
      </c>
      <c r="I1377" t="s">
        <v>20</v>
      </c>
      <c r="J1377">
        <v>25</v>
      </c>
      <c r="K1377" t="s">
        <v>23</v>
      </c>
      <c r="L1377">
        <v>5</v>
      </c>
      <c r="M1377">
        <v>90</v>
      </c>
      <c r="N1377" s="1">
        <f t="shared" si="66"/>
        <v>450</v>
      </c>
    </row>
    <row r="1378" spans="5:14" x14ac:dyDescent="0.25">
      <c r="E1378">
        <v>1777</v>
      </c>
      <c r="F1378" s="7">
        <v>45649</v>
      </c>
      <c r="G1378">
        <f t="shared" si="64"/>
        <v>2024</v>
      </c>
      <c r="H1378" s="7" t="str">
        <f t="shared" si="65"/>
        <v>Декабрь</v>
      </c>
      <c r="I1378" t="s">
        <v>20</v>
      </c>
      <c r="J1378">
        <v>31</v>
      </c>
      <c r="K1378" t="s">
        <v>21</v>
      </c>
      <c r="L1378">
        <v>7</v>
      </c>
      <c r="M1378">
        <v>206</v>
      </c>
      <c r="N1378" s="1">
        <f t="shared" si="66"/>
        <v>1442</v>
      </c>
    </row>
    <row r="1379" spans="5:14" x14ac:dyDescent="0.25">
      <c r="E1379">
        <v>1866</v>
      </c>
      <c r="F1379" s="7">
        <v>45481</v>
      </c>
      <c r="G1379">
        <f t="shared" si="64"/>
        <v>2024</v>
      </c>
      <c r="H1379" s="7" t="str">
        <f t="shared" si="65"/>
        <v>Июль</v>
      </c>
      <c r="I1379" t="s">
        <v>22</v>
      </c>
      <c r="J1379">
        <v>64</v>
      </c>
      <c r="K1379" t="s">
        <v>24</v>
      </c>
      <c r="L1379">
        <v>4</v>
      </c>
      <c r="M1379">
        <v>448</v>
      </c>
      <c r="N1379" s="1">
        <f t="shared" si="66"/>
        <v>1792</v>
      </c>
    </row>
    <row r="1380" spans="5:14" x14ac:dyDescent="0.25">
      <c r="E1380">
        <v>718</v>
      </c>
      <c r="F1380" s="7">
        <v>44952</v>
      </c>
      <c r="G1380">
        <f t="shared" si="64"/>
        <v>2023</v>
      </c>
      <c r="H1380" s="7" t="str">
        <f t="shared" si="65"/>
        <v>Январь</v>
      </c>
      <c r="I1380" t="s">
        <v>22</v>
      </c>
      <c r="J1380">
        <v>56</v>
      </c>
      <c r="K1380" t="s">
        <v>21</v>
      </c>
      <c r="L1380">
        <v>3</v>
      </c>
      <c r="M1380">
        <v>500</v>
      </c>
      <c r="N1380" s="1">
        <f t="shared" si="66"/>
        <v>1500</v>
      </c>
    </row>
    <row r="1381" spans="5:14" x14ac:dyDescent="0.25">
      <c r="E1381">
        <v>1484</v>
      </c>
      <c r="F1381" s="7">
        <v>45497</v>
      </c>
      <c r="G1381">
        <f t="shared" si="64"/>
        <v>2024</v>
      </c>
      <c r="H1381" s="7" t="str">
        <f t="shared" si="65"/>
        <v>Июль</v>
      </c>
      <c r="I1381" t="s">
        <v>20</v>
      </c>
      <c r="J1381">
        <v>44</v>
      </c>
      <c r="K1381" t="s">
        <v>23</v>
      </c>
      <c r="L1381">
        <v>2</v>
      </c>
      <c r="M1381">
        <v>397</v>
      </c>
      <c r="N1381" s="1">
        <f t="shared" si="66"/>
        <v>794</v>
      </c>
    </row>
    <row r="1382" spans="5:14" x14ac:dyDescent="0.25">
      <c r="E1382">
        <v>535</v>
      </c>
      <c r="F1382" s="7">
        <v>44990</v>
      </c>
      <c r="G1382">
        <f t="shared" si="64"/>
        <v>2023</v>
      </c>
      <c r="H1382" s="7" t="str">
        <f t="shared" si="65"/>
        <v>Март</v>
      </c>
      <c r="I1382" t="s">
        <v>22</v>
      </c>
      <c r="J1382">
        <v>55</v>
      </c>
      <c r="K1382" t="s">
        <v>21</v>
      </c>
      <c r="L1382">
        <v>4</v>
      </c>
      <c r="M1382">
        <v>30</v>
      </c>
      <c r="N1382" s="1">
        <f t="shared" si="66"/>
        <v>120</v>
      </c>
    </row>
    <row r="1383" spans="5:14" x14ac:dyDescent="0.25">
      <c r="E1383">
        <v>761</v>
      </c>
      <c r="F1383" s="7">
        <v>44985</v>
      </c>
      <c r="G1383">
        <f t="shared" si="64"/>
        <v>2023</v>
      </c>
      <c r="H1383" s="7" t="str">
        <f t="shared" si="65"/>
        <v>Февраль</v>
      </c>
      <c r="I1383" t="s">
        <v>20</v>
      </c>
      <c r="J1383">
        <v>34</v>
      </c>
      <c r="K1383" t="s">
        <v>23</v>
      </c>
      <c r="L1383">
        <v>2</v>
      </c>
      <c r="M1383">
        <v>25</v>
      </c>
      <c r="N1383" s="1">
        <f t="shared" si="66"/>
        <v>50</v>
      </c>
    </row>
    <row r="1384" spans="5:14" x14ac:dyDescent="0.25">
      <c r="E1384">
        <v>291</v>
      </c>
      <c r="F1384" s="7">
        <v>44974</v>
      </c>
      <c r="G1384">
        <f t="shared" si="64"/>
        <v>2023</v>
      </c>
      <c r="H1384" s="7" t="str">
        <f t="shared" si="65"/>
        <v>Февраль</v>
      </c>
      <c r="I1384" t="s">
        <v>20</v>
      </c>
      <c r="J1384">
        <v>20</v>
      </c>
      <c r="K1384" t="s">
        <v>21</v>
      </c>
      <c r="L1384">
        <v>4</v>
      </c>
      <c r="M1384">
        <v>300</v>
      </c>
      <c r="N1384" s="1">
        <f t="shared" si="66"/>
        <v>1200</v>
      </c>
    </row>
    <row r="1385" spans="5:14" x14ac:dyDescent="0.25">
      <c r="E1385">
        <v>870</v>
      </c>
      <c r="F1385" s="7">
        <v>45210</v>
      </c>
      <c r="G1385">
        <f t="shared" si="64"/>
        <v>2023</v>
      </c>
      <c r="H1385" s="7" t="str">
        <f t="shared" si="65"/>
        <v>Октябрь</v>
      </c>
      <c r="I1385" t="s">
        <v>22</v>
      </c>
      <c r="J1385">
        <v>63</v>
      </c>
      <c r="K1385" t="s">
        <v>21</v>
      </c>
      <c r="L1385">
        <v>3</v>
      </c>
      <c r="M1385">
        <v>25</v>
      </c>
      <c r="N1385" s="1">
        <f t="shared" si="66"/>
        <v>75</v>
      </c>
    </row>
    <row r="1386" spans="5:14" x14ac:dyDescent="0.25">
      <c r="E1386">
        <v>1141</v>
      </c>
      <c r="F1386" s="7">
        <v>45490</v>
      </c>
      <c r="G1386">
        <f t="shared" si="64"/>
        <v>2024</v>
      </c>
      <c r="H1386" s="7" t="str">
        <f t="shared" si="65"/>
        <v>Июль</v>
      </c>
      <c r="I1386" t="s">
        <v>22</v>
      </c>
      <c r="J1386">
        <v>32</v>
      </c>
      <c r="K1386" t="s">
        <v>23</v>
      </c>
      <c r="L1386">
        <v>1</v>
      </c>
      <c r="M1386">
        <v>395</v>
      </c>
      <c r="N1386" s="1">
        <f t="shared" si="66"/>
        <v>395</v>
      </c>
    </row>
    <row r="1387" spans="5:14" x14ac:dyDescent="0.25">
      <c r="E1387">
        <v>1734</v>
      </c>
      <c r="F1387" s="7">
        <v>45407</v>
      </c>
      <c r="G1387">
        <f t="shared" si="64"/>
        <v>2024</v>
      </c>
      <c r="H1387" s="7" t="str">
        <f t="shared" si="65"/>
        <v>Апрель</v>
      </c>
      <c r="I1387" t="s">
        <v>20</v>
      </c>
      <c r="J1387">
        <v>29</v>
      </c>
      <c r="K1387" t="s">
        <v>23</v>
      </c>
      <c r="L1387">
        <v>6</v>
      </c>
      <c r="M1387">
        <v>258</v>
      </c>
      <c r="N1387" s="1">
        <f t="shared" si="66"/>
        <v>1548</v>
      </c>
    </row>
    <row r="1388" spans="5:14" x14ac:dyDescent="0.25">
      <c r="E1388">
        <v>1983</v>
      </c>
      <c r="F1388" s="7">
        <v>45411</v>
      </c>
      <c r="G1388">
        <f t="shared" si="64"/>
        <v>2024</v>
      </c>
      <c r="H1388" s="7" t="str">
        <f t="shared" si="65"/>
        <v>Апрель</v>
      </c>
      <c r="I1388" t="s">
        <v>22</v>
      </c>
      <c r="J1388">
        <v>47</v>
      </c>
      <c r="K1388" t="s">
        <v>23</v>
      </c>
      <c r="L1388">
        <v>2</v>
      </c>
      <c r="M1388">
        <v>426</v>
      </c>
      <c r="N1388" s="1">
        <f t="shared" si="66"/>
        <v>852</v>
      </c>
    </row>
    <row r="1389" spans="5:14" x14ac:dyDescent="0.25">
      <c r="E1389">
        <v>1612</v>
      </c>
      <c r="F1389" s="7">
        <v>45649</v>
      </c>
      <c r="G1389">
        <f t="shared" si="64"/>
        <v>2024</v>
      </c>
      <c r="H1389" s="7" t="str">
        <f t="shared" si="65"/>
        <v>Декабрь</v>
      </c>
      <c r="I1389" t="s">
        <v>22</v>
      </c>
      <c r="J1389">
        <v>27</v>
      </c>
      <c r="K1389" t="s">
        <v>23</v>
      </c>
      <c r="L1389">
        <v>5</v>
      </c>
      <c r="M1389">
        <v>438</v>
      </c>
      <c r="N1389" s="1">
        <f t="shared" si="66"/>
        <v>2190</v>
      </c>
    </row>
    <row r="1390" spans="5:14" x14ac:dyDescent="0.25">
      <c r="E1390">
        <v>954</v>
      </c>
      <c r="F1390" s="7">
        <v>45157</v>
      </c>
      <c r="G1390">
        <f t="shared" si="64"/>
        <v>2023</v>
      </c>
      <c r="H1390" s="7" t="str">
        <f t="shared" si="65"/>
        <v>Август</v>
      </c>
      <c r="I1390" t="s">
        <v>20</v>
      </c>
      <c r="J1390">
        <v>30</v>
      </c>
      <c r="K1390" t="s">
        <v>23</v>
      </c>
      <c r="L1390">
        <v>3</v>
      </c>
      <c r="M1390">
        <v>500</v>
      </c>
      <c r="N1390" s="1">
        <f t="shared" si="66"/>
        <v>1500</v>
      </c>
    </row>
    <row r="1391" spans="5:14" x14ac:dyDescent="0.25">
      <c r="E1391">
        <v>1827</v>
      </c>
      <c r="F1391" s="7">
        <v>45306</v>
      </c>
      <c r="G1391">
        <f t="shared" si="64"/>
        <v>2024</v>
      </c>
      <c r="H1391" s="7" t="str">
        <f t="shared" si="65"/>
        <v>Январь</v>
      </c>
      <c r="I1391" t="s">
        <v>20</v>
      </c>
      <c r="J1391">
        <v>45</v>
      </c>
      <c r="K1391" t="s">
        <v>24</v>
      </c>
      <c r="L1391">
        <v>3</v>
      </c>
      <c r="M1391">
        <v>480</v>
      </c>
      <c r="N1391" s="1">
        <f t="shared" si="66"/>
        <v>1440</v>
      </c>
    </row>
    <row r="1392" spans="5:14" x14ac:dyDescent="0.25">
      <c r="E1392">
        <v>1454</v>
      </c>
      <c r="F1392" s="7">
        <v>45501</v>
      </c>
      <c r="G1392">
        <f t="shared" si="64"/>
        <v>2024</v>
      </c>
      <c r="H1392" s="7" t="str">
        <f t="shared" si="65"/>
        <v>Июль</v>
      </c>
      <c r="I1392" t="s">
        <v>22</v>
      </c>
      <c r="J1392">
        <v>64</v>
      </c>
      <c r="K1392" t="s">
        <v>21</v>
      </c>
      <c r="L1392">
        <v>5</v>
      </c>
      <c r="M1392">
        <v>41</v>
      </c>
      <c r="N1392" s="1">
        <f t="shared" si="66"/>
        <v>205</v>
      </c>
    </row>
    <row r="1393" spans="5:14" x14ac:dyDescent="0.25">
      <c r="E1393">
        <v>105</v>
      </c>
      <c r="F1393" s="7">
        <v>45132</v>
      </c>
      <c r="G1393">
        <f t="shared" si="64"/>
        <v>2023</v>
      </c>
      <c r="H1393" s="7" t="str">
        <f t="shared" si="65"/>
        <v>Июль</v>
      </c>
      <c r="I1393" t="s">
        <v>22</v>
      </c>
      <c r="J1393">
        <v>22</v>
      </c>
      <c r="K1393" t="s">
        <v>24</v>
      </c>
      <c r="L1393">
        <v>1</v>
      </c>
      <c r="M1393">
        <v>500</v>
      </c>
      <c r="N1393" s="1">
        <f t="shared" si="66"/>
        <v>500</v>
      </c>
    </row>
    <row r="1394" spans="5:14" x14ac:dyDescent="0.25">
      <c r="E1394">
        <v>472</v>
      </c>
      <c r="F1394" s="7">
        <v>44982</v>
      </c>
      <c r="G1394">
        <f t="shared" si="64"/>
        <v>2023</v>
      </c>
      <c r="H1394" s="7" t="str">
        <f t="shared" si="65"/>
        <v>Февраль</v>
      </c>
      <c r="I1394" t="s">
        <v>20</v>
      </c>
      <c r="J1394">
        <v>64</v>
      </c>
      <c r="K1394" t="s">
        <v>21</v>
      </c>
      <c r="L1394">
        <v>1</v>
      </c>
      <c r="M1394">
        <v>50</v>
      </c>
      <c r="N1394" s="1">
        <f t="shared" si="66"/>
        <v>50</v>
      </c>
    </row>
    <row r="1395" spans="5:14" x14ac:dyDescent="0.25">
      <c r="E1395">
        <v>1378</v>
      </c>
      <c r="F1395" s="7">
        <v>45482</v>
      </c>
      <c r="G1395">
        <f t="shared" si="64"/>
        <v>2024</v>
      </c>
      <c r="H1395" s="7" t="str">
        <f t="shared" si="65"/>
        <v>Июль</v>
      </c>
      <c r="I1395" t="s">
        <v>22</v>
      </c>
      <c r="J1395">
        <v>18</v>
      </c>
      <c r="K1395" t="s">
        <v>23</v>
      </c>
      <c r="L1395">
        <v>4</v>
      </c>
      <c r="M1395">
        <v>449</v>
      </c>
      <c r="N1395" s="1">
        <f t="shared" si="66"/>
        <v>1796</v>
      </c>
    </row>
    <row r="1396" spans="5:14" x14ac:dyDescent="0.25">
      <c r="E1396">
        <v>200</v>
      </c>
      <c r="F1396" s="7">
        <v>45170</v>
      </c>
      <c r="G1396">
        <f t="shared" si="64"/>
        <v>2023</v>
      </c>
      <c r="H1396" s="7" t="str">
        <f t="shared" si="65"/>
        <v>Сентябрь</v>
      </c>
      <c r="I1396" t="s">
        <v>20</v>
      </c>
      <c r="J1396">
        <v>27</v>
      </c>
      <c r="K1396" t="s">
        <v>21</v>
      </c>
      <c r="L1396">
        <v>3</v>
      </c>
      <c r="M1396">
        <v>50</v>
      </c>
      <c r="N1396" s="1">
        <f t="shared" si="66"/>
        <v>150</v>
      </c>
    </row>
    <row r="1397" spans="5:14" x14ac:dyDescent="0.25">
      <c r="E1397">
        <v>1974</v>
      </c>
      <c r="F1397" s="7">
        <v>45373</v>
      </c>
      <c r="G1397">
        <f t="shared" si="64"/>
        <v>2024</v>
      </c>
      <c r="H1397" s="7" t="str">
        <f t="shared" si="65"/>
        <v>Март</v>
      </c>
      <c r="I1397" t="s">
        <v>22</v>
      </c>
      <c r="J1397">
        <v>59</v>
      </c>
      <c r="K1397" t="s">
        <v>23</v>
      </c>
      <c r="L1397">
        <v>7</v>
      </c>
      <c r="M1397">
        <v>360</v>
      </c>
      <c r="N1397" s="1">
        <f t="shared" si="66"/>
        <v>2520</v>
      </c>
    </row>
    <row r="1398" spans="5:14" x14ac:dyDescent="0.25">
      <c r="E1398">
        <v>175</v>
      </c>
      <c r="F1398" s="7">
        <v>45005</v>
      </c>
      <c r="G1398">
        <f t="shared" si="64"/>
        <v>2023</v>
      </c>
      <c r="H1398" s="7" t="str">
        <f t="shared" si="65"/>
        <v>Март</v>
      </c>
      <c r="I1398" t="s">
        <v>22</v>
      </c>
      <c r="J1398">
        <v>31</v>
      </c>
      <c r="K1398" t="s">
        <v>24</v>
      </c>
      <c r="L1398">
        <v>4</v>
      </c>
      <c r="M1398">
        <v>25</v>
      </c>
      <c r="N1398" s="1">
        <f t="shared" si="66"/>
        <v>100</v>
      </c>
    </row>
    <row r="1399" spans="5:14" x14ac:dyDescent="0.25">
      <c r="E1399">
        <v>1900</v>
      </c>
      <c r="F1399" s="7">
        <v>45477</v>
      </c>
      <c r="G1399">
        <f t="shared" si="64"/>
        <v>2024</v>
      </c>
      <c r="H1399" s="7" t="str">
        <f t="shared" si="65"/>
        <v>Июль</v>
      </c>
      <c r="I1399" t="s">
        <v>20</v>
      </c>
      <c r="J1399">
        <v>48</v>
      </c>
      <c r="K1399" t="s">
        <v>23</v>
      </c>
      <c r="L1399">
        <v>4</v>
      </c>
      <c r="M1399">
        <v>222</v>
      </c>
      <c r="N1399" s="1">
        <f t="shared" si="66"/>
        <v>888</v>
      </c>
    </row>
    <row r="1400" spans="5:14" x14ac:dyDescent="0.25">
      <c r="E1400">
        <v>1037</v>
      </c>
      <c r="F1400" s="7">
        <v>45403</v>
      </c>
      <c r="G1400">
        <f t="shared" si="64"/>
        <v>2024</v>
      </c>
      <c r="H1400" s="7" t="str">
        <f t="shared" si="65"/>
        <v>Апрель</v>
      </c>
      <c r="I1400" t="s">
        <v>20</v>
      </c>
      <c r="J1400">
        <v>36</v>
      </c>
      <c r="K1400" t="s">
        <v>23</v>
      </c>
      <c r="L1400">
        <v>3</v>
      </c>
      <c r="M1400">
        <v>88</v>
      </c>
      <c r="N1400" s="1">
        <f t="shared" si="66"/>
        <v>264</v>
      </c>
    </row>
    <row r="1401" spans="5:14" x14ac:dyDescent="0.25">
      <c r="E1401">
        <v>1063</v>
      </c>
      <c r="F1401" s="7">
        <v>45631</v>
      </c>
      <c r="G1401">
        <f t="shared" si="64"/>
        <v>2024</v>
      </c>
      <c r="H1401" s="7" t="str">
        <f t="shared" si="65"/>
        <v>Декабрь</v>
      </c>
      <c r="I1401" t="s">
        <v>20</v>
      </c>
      <c r="J1401">
        <v>37</v>
      </c>
      <c r="K1401" t="s">
        <v>24</v>
      </c>
      <c r="L1401">
        <v>2</v>
      </c>
      <c r="M1401">
        <v>415</v>
      </c>
      <c r="N1401" s="1">
        <f t="shared" si="66"/>
        <v>830</v>
      </c>
    </row>
    <row r="1402" spans="5:14" x14ac:dyDescent="0.25">
      <c r="E1402">
        <v>1740</v>
      </c>
      <c r="F1402" s="7">
        <v>45419</v>
      </c>
      <c r="G1402">
        <f t="shared" si="64"/>
        <v>2024</v>
      </c>
      <c r="H1402" s="7" t="str">
        <f t="shared" si="65"/>
        <v>Май</v>
      </c>
      <c r="I1402" t="s">
        <v>20</v>
      </c>
      <c r="J1402">
        <v>34</v>
      </c>
      <c r="K1402" t="s">
        <v>24</v>
      </c>
      <c r="L1402">
        <v>3</v>
      </c>
      <c r="M1402">
        <v>54</v>
      </c>
      <c r="N1402" s="1">
        <f t="shared" si="66"/>
        <v>162</v>
      </c>
    </row>
    <row r="1403" spans="5:14" x14ac:dyDescent="0.25">
      <c r="E1403">
        <v>168</v>
      </c>
      <c r="F1403" s="7">
        <v>44981</v>
      </c>
      <c r="G1403">
        <f t="shared" si="64"/>
        <v>2023</v>
      </c>
      <c r="H1403" s="7" t="str">
        <f t="shared" si="65"/>
        <v>Февраль</v>
      </c>
      <c r="I1403" t="s">
        <v>20</v>
      </c>
      <c r="J1403">
        <v>53</v>
      </c>
      <c r="K1403" t="s">
        <v>23</v>
      </c>
      <c r="L1403">
        <v>1</v>
      </c>
      <c r="M1403">
        <v>300</v>
      </c>
      <c r="N1403" s="1">
        <f t="shared" si="66"/>
        <v>300</v>
      </c>
    </row>
    <row r="1404" spans="5:14" x14ac:dyDescent="0.25">
      <c r="E1404">
        <v>259</v>
      </c>
      <c r="F1404" s="7">
        <v>45108</v>
      </c>
      <c r="G1404">
        <f t="shared" si="64"/>
        <v>2023</v>
      </c>
      <c r="H1404" s="7" t="str">
        <f t="shared" si="65"/>
        <v>Июль</v>
      </c>
      <c r="I1404" t="s">
        <v>20</v>
      </c>
      <c r="J1404">
        <v>28</v>
      </c>
      <c r="K1404" t="s">
        <v>21</v>
      </c>
      <c r="L1404">
        <v>2</v>
      </c>
      <c r="M1404">
        <v>30</v>
      </c>
      <c r="N1404" s="1">
        <f t="shared" si="66"/>
        <v>60</v>
      </c>
    </row>
    <row r="1405" spans="5:14" x14ac:dyDescent="0.25">
      <c r="E1405">
        <v>194</v>
      </c>
      <c r="F1405" s="7">
        <v>45175</v>
      </c>
      <c r="G1405">
        <f t="shared" si="64"/>
        <v>2023</v>
      </c>
      <c r="H1405" s="7" t="str">
        <f t="shared" si="65"/>
        <v>Сентябрь</v>
      </c>
      <c r="I1405" t="s">
        <v>20</v>
      </c>
      <c r="J1405">
        <v>55</v>
      </c>
      <c r="K1405" t="s">
        <v>23</v>
      </c>
      <c r="L1405">
        <v>4</v>
      </c>
      <c r="M1405">
        <v>50</v>
      </c>
      <c r="N1405" s="1">
        <f t="shared" si="66"/>
        <v>200</v>
      </c>
    </row>
    <row r="1406" spans="5:14" x14ac:dyDescent="0.25">
      <c r="E1406">
        <v>760</v>
      </c>
      <c r="F1406" s="7">
        <v>45237</v>
      </c>
      <c r="G1406">
        <f t="shared" si="64"/>
        <v>2023</v>
      </c>
      <c r="H1406" s="7" t="str">
        <f t="shared" si="65"/>
        <v>Ноябрь</v>
      </c>
      <c r="I1406" t="s">
        <v>22</v>
      </c>
      <c r="J1406">
        <v>24</v>
      </c>
      <c r="K1406" t="s">
        <v>24</v>
      </c>
      <c r="L1406">
        <v>2</v>
      </c>
      <c r="M1406">
        <v>25</v>
      </c>
      <c r="N1406" s="1">
        <f t="shared" si="66"/>
        <v>50</v>
      </c>
    </row>
    <row r="1407" spans="5:14" x14ac:dyDescent="0.25">
      <c r="E1407">
        <v>858</v>
      </c>
      <c r="F1407" s="7">
        <v>44935</v>
      </c>
      <c r="G1407">
        <f t="shared" si="64"/>
        <v>2023</v>
      </c>
      <c r="H1407" s="7" t="str">
        <f t="shared" si="65"/>
        <v>Январь</v>
      </c>
      <c r="I1407" t="s">
        <v>20</v>
      </c>
      <c r="J1407">
        <v>63</v>
      </c>
      <c r="K1407" t="s">
        <v>23</v>
      </c>
      <c r="L1407">
        <v>4</v>
      </c>
      <c r="M1407">
        <v>50</v>
      </c>
      <c r="N1407" s="1">
        <f t="shared" si="66"/>
        <v>200</v>
      </c>
    </row>
    <row r="1408" spans="5:14" x14ac:dyDescent="0.25">
      <c r="E1408">
        <v>1401</v>
      </c>
      <c r="F1408" s="7">
        <v>45437</v>
      </c>
      <c r="G1408">
        <f t="shared" si="64"/>
        <v>2024</v>
      </c>
      <c r="H1408" s="7" t="str">
        <f t="shared" si="65"/>
        <v>Май</v>
      </c>
      <c r="I1408" t="s">
        <v>20</v>
      </c>
      <c r="J1408">
        <v>41</v>
      </c>
      <c r="K1408" t="s">
        <v>24</v>
      </c>
      <c r="L1408">
        <v>3</v>
      </c>
      <c r="M1408">
        <v>99</v>
      </c>
      <c r="N1408" s="1">
        <f t="shared" si="66"/>
        <v>297</v>
      </c>
    </row>
    <row r="1409" spans="5:14" x14ac:dyDescent="0.25">
      <c r="E1409">
        <v>1758</v>
      </c>
      <c r="F1409" s="7">
        <v>45603</v>
      </c>
      <c r="G1409">
        <f t="shared" si="64"/>
        <v>2024</v>
      </c>
      <c r="H1409" s="7" t="str">
        <f t="shared" si="65"/>
        <v>Ноябрь</v>
      </c>
      <c r="I1409" t="s">
        <v>22</v>
      </c>
      <c r="J1409">
        <v>31</v>
      </c>
      <c r="K1409" t="s">
        <v>24</v>
      </c>
      <c r="L1409">
        <v>3</v>
      </c>
      <c r="M1409">
        <v>191</v>
      </c>
      <c r="N1409" s="1">
        <f t="shared" si="66"/>
        <v>573</v>
      </c>
    </row>
    <row r="1410" spans="5:14" x14ac:dyDescent="0.25">
      <c r="E1410">
        <v>1149</v>
      </c>
      <c r="F1410" s="7">
        <v>45641</v>
      </c>
      <c r="G1410">
        <f t="shared" si="64"/>
        <v>2024</v>
      </c>
      <c r="H1410" s="7" t="str">
        <f t="shared" si="65"/>
        <v>Декабрь</v>
      </c>
      <c r="I1410" t="s">
        <v>20</v>
      </c>
      <c r="J1410">
        <v>35</v>
      </c>
      <c r="K1410" t="s">
        <v>23</v>
      </c>
      <c r="L1410">
        <v>5</v>
      </c>
      <c r="M1410">
        <v>295</v>
      </c>
      <c r="N1410" s="1">
        <f t="shared" si="66"/>
        <v>1475</v>
      </c>
    </row>
    <row r="1411" spans="5:14" x14ac:dyDescent="0.25">
      <c r="E1411">
        <v>1173</v>
      </c>
      <c r="F1411" s="7">
        <v>45371</v>
      </c>
      <c r="G1411">
        <f t="shared" si="64"/>
        <v>2024</v>
      </c>
      <c r="H1411" s="7" t="str">
        <f t="shared" si="65"/>
        <v>Март</v>
      </c>
      <c r="I1411" t="s">
        <v>22</v>
      </c>
      <c r="J1411">
        <v>56</v>
      </c>
      <c r="K1411" t="s">
        <v>24</v>
      </c>
      <c r="L1411">
        <v>4</v>
      </c>
      <c r="M1411">
        <v>12</v>
      </c>
      <c r="N1411" s="1">
        <f t="shared" si="66"/>
        <v>48</v>
      </c>
    </row>
    <row r="1412" spans="5:14" x14ac:dyDescent="0.25">
      <c r="E1412">
        <v>731</v>
      </c>
      <c r="F1412" s="7">
        <v>45167</v>
      </c>
      <c r="G1412">
        <f t="shared" si="64"/>
        <v>2023</v>
      </c>
      <c r="H1412" s="7" t="str">
        <f t="shared" si="65"/>
        <v>Август</v>
      </c>
      <c r="I1412" t="s">
        <v>20</v>
      </c>
      <c r="J1412">
        <v>34</v>
      </c>
      <c r="K1412" t="s">
        <v>21</v>
      </c>
      <c r="L1412">
        <v>1</v>
      </c>
      <c r="M1412">
        <v>30</v>
      </c>
      <c r="N1412" s="1">
        <f t="shared" si="66"/>
        <v>30</v>
      </c>
    </row>
    <row r="1413" spans="5:14" x14ac:dyDescent="0.25">
      <c r="E1413">
        <v>1358</v>
      </c>
      <c r="F1413" s="7">
        <v>45636</v>
      </c>
      <c r="G1413">
        <f t="shared" si="64"/>
        <v>2024</v>
      </c>
      <c r="H1413" s="7" t="str">
        <f t="shared" si="65"/>
        <v>Декабрь</v>
      </c>
      <c r="I1413" t="s">
        <v>22</v>
      </c>
      <c r="J1413">
        <v>33</v>
      </c>
      <c r="K1413" t="s">
        <v>24</v>
      </c>
      <c r="L1413">
        <v>1</v>
      </c>
      <c r="M1413">
        <v>249</v>
      </c>
      <c r="N1413" s="1">
        <f t="shared" si="66"/>
        <v>249</v>
      </c>
    </row>
    <row r="1414" spans="5:14" x14ac:dyDescent="0.25">
      <c r="E1414">
        <v>1127</v>
      </c>
      <c r="F1414" s="7">
        <v>45405</v>
      </c>
      <c r="G1414">
        <f t="shared" si="64"/>
        <v>2024</v>
      </c>
      <c r="H1414" s="7" t="str">
        <f t="shared" si="65"/>
        <v>Апрель</v>
      </c>
      <c r="I1414" t="s">
        <v>22</v>
      </c>
      <c r="J1414">
        <v>39</v>
      </c>
      <c r="K1414" t="s">
        <v>21</v>
      </c>
      <c r="L1414">
        <v>4</v>
      </c>
      <c r="M1414">
        <v>485</v>
      </c>
      <c r="N1414" s="1">
        <f t="shared" si="66"/>
        <v>1940</v>
      </c>
    </row>
    <row r="1415" spans="5:14" x14ac:dyDescent="0.25">
      <c r="E1415">
        <v>1261</v>
      </c>
      <c r="F1415" s="7">
        <v>45319</v>
      </c>
      <c r="G1415">
        <f t="shared" si="64"/>
        <v>2024</v>
      </c>
      <c r="H1415" s="7" t="str">
        <f t="shared" si="65"/>
        <v>Январь</v>
      </c>
      <c r="I1415" t="s">
        <v>20</v>
      </c>
      <c r="J1415">
        <v>57</v>
      </c>
      <c r="K1415" t="s">
        <v>23</v>
      </c>
      <c r="L1415">
        <v>2</v>
      </c>
      <c r="M1415">
        <v>384</v>
      </c>
      <c r="N1415" s="1">
        <f t="shared" si="66"/>
        <v>768</v>
      </c>
    </row>
    <row r="1416" spans="5:14" x14ac:dyDescent="0.25">
      <c r="E1416">
        <v>865</v>
      </c>
      <c r="F1416" s="7">
        <v>45083</v>
      </c>
      <c r="G1416">
        <f t="shared" si="64"/>
        <v>2023</v>
      </c>
      <c r="H1416" s="7" t="str">
        <f t="shared" si="65"/>
        <v>Июнь</v>
      </c>
      <c r="I1416" t="s">
        <v>20</v>
      </c>
      <c r="J1416">
        <v>21</v>
      </c>
      <c r="K1416" t="s">
        <v>24</v>
      </c>
      <c r="L1416">
        <v>1</v>
      </c>
      <c r="M1416">
        <v>500</v>
      </c>
      <c r="N1416" s="1">
        <f t="shared" si="66"/>
        <v>500</v>
      </c>
    </row>
    <row r="1417" spans="5:14" x14ac:dyDescent="0.25">
      <c r="E1417">
        <v>732</v>
      </c>
      <c r="F1417" s="7">
        <v>44936</v>
      </c>
      <c r="G1417">
        <f t="shared" si="64"/>
        <v>2023</v>
      </c>
      <c r="H1417" s="7" t="str">
        <f t="shared" si="65"/>
        <v>Январь</v>
      </c>
      <c r="I1417" t="s">
        <v>22</v>
      </c>
      <c r="J1417">
        <v>27</v>
      </c>
      <c r="K1417" t="s">
        <v>23</v>
      </c>
      <c r="L1417">
        <v>1</v>
      </c>
      <c r="M1417">
        <v>30</v>
      </c>
      <c r="N1417" s="1">
        <f t="shared" si="66"/>
        <v>30</v>
      </c>
    </row>
    <row r="1418" spans="5:14" x14ac:dyDescent="0.25">
      <c r="E1418">
        <v>884</v>
      </c>
      <c r="F1418" s="7">
        <v>45025</v>
      </c>
      <c r="G1418">
        <f t="shared" ref="G1418:G1481" si="67">YEAR(F1418)</f>
        <v>2023</v>
      </c>
      <c r="H1418" s="7" t="str">
        <f t="shared" ref="H1418:H1481" si="68">TEXT(F1418,"ММММ")</f>
        <v>Апрель</v>
      </c>
      <c r="I1418" t="s">
        <v>20</v>
      </c>
      <c r="J1418">
        <v>37</v>
      </c>
      <c r="K1418" t="s">
        <v>24</v>
      </c>
      <c r="L1418">
        <v>3</v>
      </c>
      <c r="M1418">
        <v>300</v>
      </c>
      <c r="N1418" s="1">
        <f t="shared" ref="N1418:N1481" si="69">L1418*M1418</f>
        <v>900</v>
      </c>
    </row>
    <row r="1419" spans="5:14" x14ac:dyDescent="0.25">
      <c r="E1419">
        <v>1871</v>
      </c>
      <c r="F1419" s="7">
        <v>45510</v>
      </c>
      <c r="G1419">
        <f t="shared" si="67"/>
        <v>2024</v>
      </c>
      <c r="H1419" s="7" t="str">
        <f t="shared" si="68"/>
        <v>Август</v>
      </c>
      <c r="I1419" t="s">
        <v>22</v>
      </c>
      <c r="J1419">
        <v>63</v>
      </c>
      <c r="K1419" t="s">
        <v>24</v>
      </c>
      <c r="L1419">
        <v>5</v>
      </c>
      <c r="M1419">
        <v>388</v>
      </c>
      <c r="N1419" s="1">
        <f t="shared" si="69"/>
        <v>1940</v>
      </c>
    </row>
    <row r="1420" spans="5:14" x14ac:dyDescent="0.25">
      <c r="E1420">
        <v>1654</v>
      </c>
      <c r="F1420" s="7">
        <v>45363</v>
      </c>
      <c r="G1420">
        <f t="shared" si="67"/>
        <v>2024</v>
      </c>
      <c r="H1420" s="7" t="str">
        <f t="shared" si="68"/>
        <v>Март</v>
      </c>
      <c r="I1420" t="s">
        <v>20</v>
      </c>
      <c r="J1420">
        <v>23</v>
      </c>
      <c r="K1420" t="s">
        <v>23</v>
      </c>
      <c r="L1420">
        <v>1</v>
      </c>
      <c r="M1420">
        <v>496</v>
      </c>
      <c r="N1420" s="1">
        <f t="shared" si="69"/>
        <v>496</v>
      </c>
    </row>
    <row r="1421" spans="5:14" x14ac:dyDescent="0.25">
      <c r="E1421">
        <v>217</v>
      </c>
      <c r="F1421" s="7">
        <v>45191</v>
      </c>
      <c r="G1421">
        <f t="shared" si="67"/>
        <v>2023</v>
      </c>
      <c r="H1421" s="7" t="str">
        <f t="shared" si="68"/>
        <v>Сентябрь</v>
      </c>
      <c r="I1421" t="s">
        <v>20</v>
      </c>
      <c r="J1421">
        <v>64</v>
      </c>
      <c r="K1421" t="s">
        <v>21</v>
      </c>
      <c r="L1421">
        <v>3</v>
      </c>
      <c r="M1421">
        <v>30</v>
      </c>
      <c r="N1421" s="1">
        <f t="shared" si="69"/>
        <v>90</v>
      </c>
    </row>
    <row r="1422" spans="5:14" x14ac:dyDescent="0.25">
      <c r="E1422">
        <v>1227</v>
      </c>
      <c r="F1422" s="7">
        <v>45405</v>
      </c>
      <c r="G1422">
        <f t="shared" si="67"/>
        <v>2024</v>
      </c>
      <c r="H1422" s="7" t="str">
        <f t="shared" si="68"/>
        <v>Апрель</v>
      </c>
      <c r="I1422" t="s">
        <v>20</v>
      </c>
      <c r="J1422">
        <v>47</v>
      </c>
      <c r="K1422" t="s">
        <v>21</v>
      </c>
      <c r="L1422">
        <v>7</v>
      </c>
      <c r="M1422">
        <v>242</v>
      </c>
      <c r="N1422" s="1">
        <f t="shared" si="69"/>
        <v>1694</v>
      </c>
    </row>
    <row r="1423" spans="5:14" x14ac:dyDescent="0.25">
      <c r="E1423">
        <v>20</v>
      </c>
      <c r="F1423" s="7">
        <v>45235</v>
      </c>
      <c r="G1423">
        <f t="shared" si="67"/>
        <v>2023</v>
      </c>
      <c r="H1423" s="7" t="str">
        <f t="shared" si="68"/>
        <v>Ноябрь</v>
      </c>
      <c r="I1423" t="s">
        <v>20</v>
      </c>
      <c r="J1423">
        <v>22</v>
      </c>
      <c r="K1423" t="s">
        <v>23</v>
      </c>
      <c r="L1423">
        <v>3</v>
      </c>
      <c r="M1423">
        <v>300</v>
      </c>
      <c r="N1423" s="1">
        <f t="shared" si="69"/>
        <v>900</v>
      </c>
    </row>
    <row r="1424" spans="5:14" x14ac:dyDescent="0.25">
      <c r="E1424">
        <v>529</v>
      </c>
      <c r="F1424" s="7">
        <v>44962</v>
      </c>
      <c r="G1424">
        <f t="shared" si="67"/>
        <v>2023</v>
      </c>
      <c r="H1424" s="7" t="str">
        <f t="shared" si="68"/>
        <v>Февраль</v>
      </c>
      <c r="I1424" t="s">
        <v>22</v>
      </c>
      <c r="J1424">
        <v>18</v>
      </c>
      <c r="K1424" t="s">
        <v>24</v>
      </c>
      <c r="L1424">
        <v>4</v>
      </c>
      <c r="M1424">
        <v>30</v>
      </c>
      <c r="N1424" s="1">
        <f t="shared" si="69"/>
        <v>120</v>
      </c>
    </row>
    <row r="1425" spans="5:14" x14ac:dyDescent="0.25">
      <c r="E1425">
        <v>970</v>
      </c>
      <c r="F1425" s="7">
        <v>44968</v>
      </c>
      <c r="G1425">
        <f t="shared" si="67"/>
        <v>2023</v>
      </c>
      <c r="H1425" s="7" t="str">
        <f t="shared" si="68"/>
        <v>Февраль</v>
      </c>
      <c r="I1425" t="s">
        <v>20</v>
      </c>
      <c r="J1425">
        <v>49</v>
      </c>
      <c r="K1425" t="s">
        <v>21</v>
      </c>
      <c r="L1425">
        <v>4</v>
      </c>
      <c r="M1425">
        <v>25</v>
      </c>
      <c r="N1425" s="1">
        <f t="shared" si="69"/>
        <v>100</v>
      </c>
    </row>
    <row r="1426" spans="5:14" x14ac:dyDescent="0.25">
      <c r="E1426">
        <v>1772</v>
      </c>
      <c r="F1426" s="7">
        <v>45596</v>
      </c>
      <c r="G1426">
        <f t="shared" si="67"/>
        <v>2024</v>
      </c>
      <c r="H1426" s="7" t="str">
        <f t="shared" si="68"/>
        <v>Октябрь</v>
      </c>
      <c r="I1426" t="s">
        <v>20</v>
      </c>
      <c r="J1426">
        <v>35</v>
      </c>
      <c r="K1426" t="s">
        <v>23</v>
      </c>
      <c r="L1426">
        <v>6</v>
      </c>
      <c r="M1426">
        <v>336</v>
      </c>
      <c r="N1426" s="1">
        <f t="shared" si="69"/>
        <v>2016</v>
      </c>
    </row>
    <row r="1427" spans="5:14" x14ac:dyDescent="0.25">
      <c r="E1427">
        <v>1072</v>
      </c>
      <c r="F1427" s="7">
        <v>45618</v>
      </c>
      <c r="G1427">
        <f t="shared" si="67"/>
        <v>2024</v>
      </c>
      <c r="H1427" s="7" t="str">
        <f t="shared" si="68"/>
        <v>Ноябрь</v>
      </c>
      <c r="I1427" t="s">
        <v>22</v>
      </c>
      <c r="J1427">
        <v>43</v>
      </c>
      <c r="K1427" t="s">
        <v>21</v>
      </c>
      <c r="L1427">
        <v>3</v>
      </c>
      <c r="M1427">
        <v>210</v>
      </c>
      <c r="N1427" s="1">
        <f t="shared" si="69"/>
        <v>630</v>
      </c>
    </row>
    <row r="1428" spans="5:14" x14ac:dyDescent="0.25">
      <c r="E1428">
        <v>601</v>
      </c>
      <c r="F1428" s="7">
        <v>45283</v>
      </c>
      <c r="G1428">
        <f t="shared" si="67"/>
        <v>2023</v>
      </c>
      <c r="H1428" s="7" t="str">
        <f t="shared" si="68"/>
        <v>Декабрь</v>
      </c>
      <c r="I1428" t="s">
        <v>22</v>
      </c>
      <c r="J1428">
        <v>20</v>
      </c>
      <c r="K1428" t="s">
        <v>24</v>
      </c>
      <c r="L1428">
        <v>1</v>
      </c>
      <c r="M1428">
        <v>300</v>
      </c>
      <c r="N1428" s="1">
        <f t="shared" si="69"/>
        <v>300</v>
      </c>
    </row>
    <row r="1429" spans="5:14" x14ac:dyDescent="0.25">
      <c r="E1429">
        <v>932</v>
      </c>
      <c r="F1429" s="7">
        <v>45132</v>
      </c>
      <c r="G1429">
        <f t="shared" si="67"/>
        <v>2023</v>
      </c>
      <c r="H1429" s="7" t="str">
        <f t="shared" si="68"/>
        <v>Июль</v>
      </c>
      <c r="I1429" t="s">
        <v>20</v>
      </c>
      <c r="J1429">
        <v>30</v>
      </c>
      <c r="K1429" t="s">
        <v>21</v>
      </c>
      <c r="L1429">
        <v>1</v>
      </c>
      <c r="M1429">
        <v>500</v>
      </c>
      <c r="N1429" s="1">
        <f t="shared" si="69"/>
        <v>500</v>
      </c>
    </row>
    <row r="1430" spans="5:14" x14ac:dyDescent="0.25">
      <c r="E1430">
        <v>261</v>
      </c>
      <c r="F1430" s="7">
        <v>45137</v>
      </c>
      <c r="G1430">
        <f t="shared" si="67"/>
        <v>2023</v>
      </c>
      <c r="H1430" s="7" t="str">
        <f t="shared" si="68"/>
        <v>Июль</v>
      </c>
      <c r="I1430" t="s">
        <v>22</v>
      </c>
      <c r="J1430">
        <v>32</v>
      </c>
      <c r="K1430" t="s">
        <v>21</v>
      </c>
      <c r="L1430">
        <v>4</v>
      </c>
      <c r="M1430">
        <v>30</v>
      </c>
      <c r="N1430" s="1">
        <f t="shared" si="69"/>
        <v>120</v>
      </c>
    </row>
    <row r="1431" spans="5:14" x14ac:dyDescent="0.25">
      <c r="E1431">
        <v>197</v>
      </c>
      <c r="F1431" s="7">
        <v>44991</v>
      </c>
      <c r="G1431">
        <f t="shared" si="67"/>
        <v>2023</v>
      </c>
      <c r="H1431" s="7" t="str">
        <f t="shared" si="68"/>
        <v>Март</v>
      </c>
      <c r="I1431" t="s">
        <v>22</v>
      </c>
      <c r="J1431">
        <v>42</v>
      </c>
      <c r="K1431" t="s">
        <v>23</v>
      </c>
      <c r="L1431">
        <v>4</v>
      </c>
      <c r="M1431">
        <v>50</v>
      </c>
      <c r="N1431" s="1">
        <f t="shared" si="69"/>
        <v>200</v>
      </c>
    </row>
    <row r="1432" spans="5:14" x14ac:dyDescent="0.25">
      <c r="E1432">
        <v>1770</v>
      </c>
      <c r="F1432" s="7">
        <v>45394</v>
      </c>
      <c r="G1432">
        <f t="shared" si="67"/>
        <v>2024</v>
      </c>
      <c r="H1432" s="7" t="str">
        <f t="shared" si="68"/>
        <v>Апрель</v>
      </c>
      <c r="I1432" t="s">
        <v>22</v>
      </c>
      <c r="J1432">
        <v>40</v>
      </c>
      <c r="K1432" t="s">
        <v>23</v>
      </c>
      <c r="L1432">
        <v>7</v>
      </c>
      <c r="M1432">
        <v>392</v>
      </c>
      <c r="N1432" s="1">
        <f t="shared" si="69"/>
        <v>2744</v>
      </c>
    </row>
    <row r="1433" spans="5:14" x14ac:dyDescent="0.25">
      <c r="E1433">
        <v>156</v>
      </c>
      <c r="F1433" s="7">
        <v>45255</v>
      </c>
      <c r="G1433">
        <f t="shared" si="67"/>
        <v>2023</v>
      </c>
      <c r="H1433" s="7" t="str">
        <f t="shared" si="68"/>
        <v>Ноябрь</v>
      </c>
      <c r="I1433" t="s">
        <v>22</v>
      </c>
      <c r="J1433">
        <v>43</v>
      </c>
      <c r="K1433" t="s">
        <v>23</v>
      </c>
      <c r="L1433">
        <v>4</v>
      </c>
      <c r="M1433">
        <v>25</v>
      </c>
      <c r="N1433" s="1">
        <f t="shared" si="69"/>
        <v>100</v>
      </c>
    </row>
    <row r="1434" spans="5:14" x14ac:dyDescent="0.25">
      <c r="E1434">
        <v>1170</v>
      </c>
      <c r="F1434" s="7">
        <v>45552</v>
      </c>
      <c r="G1434">
        <f t="shared" si="67"/>
        <v>2024</v>
      </c>
      <c r="H1434" s="7" t="str">
        <f t="shared" si="68"/>
        <v>Сентябрь</v>
      </c>
      <c r="I1434" t="s">
        <v>20</v>
      </c>
      <c r="J1434">
        <v>51</v>
      </c>
      <c r="K1434" t="s">
        <v>21</v>
      </c>
      <c r="L1434">
        <v>5</v>
      </c>
      <c r="M1434">
        <v>112</v>
      </c>
      <c r="N1434" s="1">
        <f t="shared" si="69"/>
        <v>560</v>
      </c>
    </row>
    <row r="1435" spans="5:14" x14ac:dyDescent="0.25">
      <c r="E1435">
        <v>132</v>
      </c>
      <c r="F1435" s="7">
        <v>45179</v>
      </c>
      <c r="G1435">
        <f t="shared" si="67"/>
        <v>2023</v>
      </c>
      <c r="H1435" s="7" t="str">
        <f t="shared" si="68"/>
        <v>Сентябрь</v>
      </c>
      <c r="I1435" t="s">
        <v>20</v>
      </c>
      <c r="J1435">
        <v>42</v>
      </c>
      <c r="K1435" t="s">
        <v>24</v>
      </c>
      <c r="L1435">
        <v>4</v>
      </c>
      <c r="M1435">
        <v>50</v>
      </c>
      <c r="N1435" s="1">
        <f t="shared" si="69"/>
        <v>200</v>
      </c>
    </row>
    <row r="1436" spans="5:14" x14ac:dyDescent="0.25">
      <c r="E1436">
        <v>638</v>
      </c>
      <c r="F1436" s="7">
        <v>45059</v>
      </c>
      <c r="G1436">
        <f t="shared" si="67"/>
        <v>2023</v>
      </c>
      <c r="H1436" s="7" t="str">
        <f t="shared" si="68"/>
        <v>Май</v>
      </c>
      <c r="I1436" t="s">
        <v>22</v>
      </c>
      <c r="J1436">
        <v>62</v>
      </c>
      <c r="K1436" t="s">
        <v>21</v>
      </c>
      <c r="L1436">
        <v>4</v>
      </c>
      <c r="M1436">
        <v>50</v>
      </c>
      <c r="N1436" s="1">
        <f t="shared" si="69"/>
        <v>200</v>
      </c>
    </row>
    <row r="1437" spans="5:14" x14ac:dyDescent="0.25">
      <c r="E1437">
        <v>1581</v>
      </c>
      <c r="F1437" s="7">
        <v>45339</v>
      </c>
      <c r="G1437">
        <f t="shared" si="67"/>
        <v>2024</v>
      </c>
      <c r="H1437" s="7" t="str">
        <f t="shared" si="68"/>
        <v>Февраль</v>
      </c>
      <c r="I1437" t="s">
        <v>22</v>
      </c>
      <c r="J1437">
        <v>52</v>
      </c>
      <c r="K1437" t="s">
        <v>21</v>
      </c>
      <c r="L1437">
        <v>4</v>
      </c>
      <c r="M1437">
        <v>499</v>
      </c>
      <c r="N1437" s="1">
        <f t="shared" si="69"/>
        <v>1996</v>
      </c>
    </row>
    <row r="1438" spans="5:14" x14ac:dyDescent="0.25">
      <c r="E1438">
        <v>1330</v>
      </c>
      <c r="F1438" s="7">
        <v>45327</v>
      </c>
      <c r="G1438">
        <f t="shared" si="67"/>
        <v>2024</v>
      </c>
      <c r="H1438" s="7" t="str">
        <f t="shared" si="68"/>
        <v>Февраль</v>
      </c>
      <c r="I1438" t="s">
        <v>22</v>
      </c>
      <c r="J1438">
        <v>18</v>
      </c>
      <c r="K1438" t="s">
        <v>24</v>
      </c>
      <c r="L1438">
        <v>5</v>
      </c>
      <c r="M1438">
        <v>442</v>
      </c>
      <c r="N1438" s="1">
        <f t="shared" si="69"/>
        <v>2210</v>
      </c>
    </row>
    <row r="1439" spans="5:14" x14ac:dyDescent="0.25">
      <c r="E1439">
        <v>603</v>
      </c>
      <c r="F1439" s="7">
        <v>45180</v>
      </c>
      <c r="G1439">
        <f t="shared" si="67"/>
        <v>2023</v>
      </c>
      <c r="H1439" s="7" t="str">
        <f t="shared" si="68"/>
        <v>Сентябрь</v>
      </c>
      <c r="I1439" t="s">
        <v>22</v>
      </c>
      <c r="J1439">
        <v>29</v>
      </c>
      <c r="K1439" t="s">
        <v>24</v>
      </c>
      <c r="L1439">
        <v>4</v>
      </c>
      <c r="M1439">
        <v>50</v>
      </c>
      <c r="N1439" s="1">
        <f t="shared" si="69"/>
        <v>200</v>
      </c>
    </row>
    <row r="1440" spans="5:14" x14ac:dyDescent="0.25">
      <c r="E1440">
        <v>1605</v>
      </c>
      <c r="F1440" s="7">
        <v>45628</v>
      </c>
      <c r="G1440">
        <f t="shared" si="67"/>
        <v>2024</v>
      </c>
      <c r="H1440" s="7" t="str">
        <f t="shared" si="68"/>
        <v>Декабрь</v>
      </c>
      <c r="I1440" t="s">
        <v>22</v>
      </c>
      <c r="J1440">
        <v>37</v>
      </c>
      <c r="K1440" t="s">
        <v>24</v>
      </c>
      <c r="L1440">
        <v>3</v>
      </c>
      <c r="M1440">
        <v>281</v>
      </c>
      <c r="N1440" s="1">
        <f t="shared" si="69"/>
        <v>843</v>
      </c>
    </row>
    <row r="1441" spans="5:14" x14ac:dyDescent="0.25">
      <c r="E1441">
        <v>73</v>
      </c>
      <c r="F1441" s="7">
        <v>45159</v>
      </c>
      <c r="G1441">
        <f t="shared" si="67"/>
        <v>2023</v>
      </c>
      <c r="H1441" s="7" t="str">
        <f t="shared" si="68"/>
        <v>Август</v>
      </c>
      <c r="I1441" t="s">
        <v>20</v>
      </c>
      <c r="J1441">
        <v>29</v>
      </c>
      <c r="K1441" t="s">
        <v>24</v>
      </c>
      <c r="L1441">
        <v>3</v>
      </c>
      <c r="M1441">
        <v>30</v>
      </c>
      <c r="N1441" s="1">
        <f t="shared" si="69"/>
        <v>90</v>
      </c>
    </row>
    <row r="1442" spans="5:14" x14ac:dyDescent="0.25">
      <c r="E1442">
        <v>737</v>
      </c>
      <c r="F1442" s="7">
        <v>45259</v>
      </c>
      <c r="G1442">
        <f t="shared" si="67"/>
        <v>2023</v>
      </c>
      <c r="H1442" s="7" t="str">
        <f t="shared" si="68"/>
        <v>Ноябрь</v>
      </c>
      <c r="I1442" t="s">
        <v>20</v>
      </c>
      <c r="J1442">
        <v>36</v>
      </c>
      <c r="K1442" t="s">
        <v>21</v>
      </c>
      <c r="L1442">
        <v>1</v>
      </c>
      <c r="M1442">
        <v>25</v>
      </c>
      <c r="N1442" s="1">
        <f t="shared" si="69"/>
        <v>25</v>
      </c>
    </row>
    <row r="1443" spans="5:14" x14ac:dyDescent="0.25">
      <c r="E1443">
        <v>1191</v>
      </c>
      <c r="F1443" s="7">
        <v>45335</v>
      </c>
      <c r="G1443">
        <f t="shared" si="67"/>
        <v>2024</v>
      </c>
      <c r="H1443" s="7" t="str">
        <f t="shared" si="68"/>
        <v>Февраль</v>
      </c>
      <c r="I1443" t="s">
        <v>20</v>
      </c>
      <c r="J1443">
        <v>49</v>
      </c>
      <c r="K1443" t="s">
        <v>21</v>
      </c>
      <c r="L1443">
        <v>3</v>
      </c>
      <c r="M1443">
        <v>461</v>
      </c>
      <c r="N1443" s="1">
        <f t="shared" si="69"/>
        <v>1383</v>
      </c>
    </row>
    <row r="1444" spans="5:14" x14ac:dyDescent="0.25">
      <c r="E1444">
        <v>793</v>
      </c>
      <c r="F1444" s="7">
        <v>45258</v>
      </c>
      <c r="G1444">
        <f t="shared" si="67"/>
        <v>2023</v>
      </c>
      <c r="H1444" s="7" t="str">
        <f t="shared" si="68"/>
        <v>Ноябрь</v>
      </c>
      <c r="I1444" t="s">
        <v>20</v>
      </c>
      <c r="J1444">
        <v>57</v>
      </c>
      <c r="K1444" t="s">
        <v>24</v>
      </c>
      <c r="L1444">
        <v>1</v>
      </c>
      <c r="M1444">
        <v>300</v>
      </c>
      <c r="N1444" s="1">
        <f t="shared" si="69"/>
        <v>300</v>
      </c>
    </row>
    <row r="1445" spans="5:14" x14ac:dyDescent="0.25">
      <c r="E1445">
        <v>253</v>
      </c>
      <c r="F1445" s="7">
        <v>45135</v>
      </c>
      <c r="G1445">
        <f t="shared" si="67"/>
        <v>2023</v>
      </c>
      <c r="H1445" s="7" t="str">
        <f t="shared" si="68"/>
        <v>Июль</v>
      </c>
      <c r="I1445" t="s">
        <v>20</v>
      </c>
      <c r="J1445">
        <v>41</v>
      </c>
      <c r="K1445" t="s">
        <v>24</v>
      </c>
      <c r="L1445">
        <v>1</v>
      </c>
      <c r="M1445">
        <v>500</v>
      </c>
      <c r="N1445" s="1">
        <f t="shared" si="69"/>
        <v>500</v>
      </c>
    </row>
    <row r="1446" spans="5:14" x14ac:dyDescent="0.25">
      <c r="E1446">
        <v>1910</v>
      </c>
      <c r="F1446" s="7">
        <v>45576</v>
      </c>
      <c r="G1446">
        <f t="shared" si="67"/>
        <v>2024</v>
      </c>
      <c r="H1446" s="7" t="str">
        <f t="shared" si="68"/>
        <v>Октябрь</v>
      </c>
      <c r="I1446" t="s">
        <v>22</v>
      </c>
      <c r="J1446">
        <v>58</v>
      </c>
      <c r="K1446" t="s">
        <v>24</v>
      </c>
      <c r="L1446">
        <v>6</v>
      </c>
      <c r="M1446">
        <v>80</v>
      </c>
      <c r="N1446" s="1">
        <f t="shared" si="69"/>
        <v>480</v>
      </c>
    </row>
    <row r="1447" spans="5:14" x14ac:dyDescent="0.25">
      <c r="E1447">
        <v>232</v>
      </c>
      <c r="F1447" s="7">
        <v>45289</v>
      </c>
      <c r="G1447">
        <f t="shared" si="67"/>
        <v>2023</v>
      </c>
      <c r="H1447" s="7" t="str">
        <f t="shared" si="68"/>
        <v>Декабрь</v>
      </c>
      <c r="I1447" t="s">
        <v>22</v>
      </c>
      <c r="J1447">
        <v>51</v>
      </c>
      <c r="K1447" t="s">
        <v>21</v>
      </c>
      <c r="L1447">
        <v>2</v>
      </c>
      <c r="M1447">
        <v>300</v>
      </c>
      <c r="N1447" s="1">
        <f t="shared" si="69"/>
        <v>600</v>
      </c>
    </row>
    <row r="1448" spans="5:14" x14ac:dyDescent="0.25">
      <c r="E1448">
        <v>491</v>
      </c>
      <c r="F1448" s="7">
        <v>45106</v>
      </c>
      <c r="G1448">
        <f t="shared" si="67"/>
        <v>2023</v>
      </c>
      <c r="H1448" s="7" t="str">
        <f t="shared" si="68"/>
        <v>Июнь</v>
      </c>
      <c r="I1448" t="s">
        <v>20</v>
      </c>
      <c r="J1448">
        <v>61</v>
      </c>
      <c r="K1448" t="s">
        <v>21</v>
      </c>
      <c r="L1448">
        <v>4</v>
      </c>
      <c r="M1448">
        <v>25</v>
      </c>
      <c r="N1448" s="1">
        <f t="shared" si="69"/>
        <v>100</v>
      </c>
    </row>
    <row r="1449" spans="5:14" x14ac:dyDescent="0.25">
      <c r="E1449">
        <v>290</v>
      </c>
      <c r="F1449" s="7">
        <v>44934</v>
      </c>
      <c r="G1449">
        <f t="shared" si="67"/>
        <v>2023</v>
      </c>
      <c r="H1449" s="7" t="str">
        <f t="shared" si="68"/>
        <v>Январь</v>
      </c>
      <c r="I1449" t="s">
        <v>20</v>
      </c>
      <c r="J1449">
        <v>60</v>
      </c>
      <c r="K1449" t="s">
        <v>23</v>
      </c>
      <c r="L1449">
        <v>2</v>
      </c>
      <c r="M1449">
        <v>300</v>
      </c>
      <c r="N1449" s="1">
        <f t="shared" si="69"/>
        <v>600</v>
      </c>
    </row>
    <row r="1450" spans="5:14" x14ac:dyDescent="0.25">
      <c r="E1450">
        <v>956</v>
      </c>
      <c r="F1450" s="7">
        <v>45079</v>
      </c>
      <c r="G1450">
        <f t="shared" si="67"/>
        <v>2023</v>
      </c>
      <c r="H1450" s="7" t="str">
        <f t="shared" si="68"/>
        <v>Июнь</v>
      </c>
      <c r="I1450" t="s">
        <v>20</v>
      </c>
      <c r="J1450">
        <v>62</v>
      </c>
      <c r="K1450" t="s">
        <v>24</v>
      </c>
      <c r="L1450">
        <v>2</v>
      </c>
      <c r="M1450">
        <v>25</v>
      </c>
      <c r="N1450" s="1">
        <f t="shared" si="69"/>
        <v>50</v>
      </c>
    </row>
    <row r="1451" spans="5:14" x14ac:dyDescent="0.25">
      <c r="E1451">
        <v>690</v>
      </c>
      <c r="F1451" s="7">
        <v>45176</v>
      </c>
      <c r="G1451">
        <f t="shared" si="67"/>
        <v>2023</v>
      </c>
      <c r="H1451" s="7" t="str">
        <f t="shared" si="68"/>
        <v>Сентябрь</v>
      </c>
      <c r="I1451" t="s">
        <v>22</v>
      </c>
      <c r="J1451">
        <v>64</v>
      </c>
      <c r="K1451" t="s">
        <v>23</v>
      </c>
      <c r="L1451">
        <v>2</v>
      </c>
      <c r="M1451">
        <v>50</v>
      </c>
      <c r="N1451" s="1">
        <f t="shared" si="69"/>
        <v>100</v>
      </c>
    </row>
    <row r="1452" spans="5:14" x14ac:dyDescent="0.25">
      <c r="E1452">
        <v>189</v>
      </c>
      <c r="F1452" s="7">
        <v>44956</v>
      </c>
      <c r="G1452">
        <f t="shared" si="67"/>
        <v>2023</v>
      </c>
      <c r="H1452" s="7" t="str">
        <f t="shared" si="68"/>
        <v>Январь</v>
      </c>
      <c r="I1452" t="s">
        <v>20</v>
      </c>
      <c r="J1452">
        <v>63</v>
      </c>
      <c r="K1452" t="s">
        <v>21</v>
      </c>
      <c r="L1452">
        <v>1</v>
      </c>
      <c r="M1452">
        <v>50</v>
      </c>
      <c r="N1452" s="1">
        <f t="shared" si="69"/>
        <v>50</v>
      </c>
    </row>
    <row r="1453" spans="5:14" x14ac:dyDescent="0.25">
      <c r="E1453">
        <v>682</v>
      </c>
      <c r="F1453" s="7">
        <v>45107</v>
      </c>
      <c r="G1453">
        <f t="shared" si="67"/>
        <v>2023</v>
      </c>
      <c r="H1453" s="7" t="str">
        <f t="shared" si="68"/>
        <v>Июнь</v>
      </c>
      <c r="I1453" t="s">
        <v>22</v>
      </c>
      <c r="J1453">
        <v>28</v>
      </c>
      <c r="K1453" t="s">
        <v>23</v>
      </c>
      <c r="L1453">
        <v>2</v>
      </c>
      <c r="M1453">
        <v>500</v>
      </c>
      <c r="N1453" s="1">
        <f t="shared" si="69"/>
        <v>1000</v>
      </c>
    </row>
    <row r="1454" spans="5:14" x14ac:dyDescent="0.25">
      <c r="E1454">
        <v>313</v>
      </c>
      <c r="F1454" s="7">
        <v>45024</v>
      </c>
      <c r="G1454">
        <f t="shared" si="67"/>
        <v>2023</v>
      </c>
      <c r="H1454" s="7" t="str">
        <f t="shared" si="68"/>
        <v>Апрель</v>
      </c>
      <c r="I1454" t="s">
        <v>20</v>
      </c>
      <c r="J1454">
        <v>52</v>
      </c>
      <c r="K1454" t="s">
        <v>23</v>
      </c>
      <c r="L1454">
        <v>4</v>
      </c>
      <c r="M1454">
        <v>30</v>
      </c>
      <c r="N1454" s="1">
        <f t="shared" si="69"/>
        <v>120</v>
      </c>
    </row>
    <row r="1455" spans="5:14" x14ac:dyDescent="0.25">
      <c r="E1455">
        <v>1109</v>
      </c>
      <c r="F1455" s="7">
        <v>45401</v>
      </c>
      <c r="G1455">
        <f t="shared" si="67"/>
        <v>2024</v>
      </c>
      <c r="H1455" s="7" t="str">
        <f t="shared" si="68"/>
        <v>Апрель</v>
      </c>
      <c r="I1455" t="s">
        <v>22</v>
      </c>
      <c r="J1455">
        <v>38</v>
      </c>
      <c r="K1455" t="s">
        <v>24</v>
      </c>
      <c r="L1455">
        <v>1</v>
      </c>
      <c r="M1455">
        <v>114</v>
      </c>
      <c r="N1455" s="1">
        <f t="shared" si="69"/>
        <v>114</v>
      </c>
    </row>
    <row r="1456" spans="5:14" x14ac:dyDescent="0.25">
      <c r="E1456">
        <v>723</v>
      </c>
      <c r="F1456" s="7">
        <v>45159</v>
      </c>
      <c r="G1456">
        <f t="shared" si="67"/>
        <v>2023</v>
      </c>
      <c r="H1456" s="7" t="str">
        <f t="shared" si="68"/>
        <v>Август</v>
      </c>
      <c r="I1456" t="s">
        <v>20</v>
      </c>
      <c r="J1456">
        <v>61</v>
      </c>
      <c r="K1456" t="s">
        <v>24</v>
      </c>
      <c r="L1456">
        <v>1</v>
      </c>
      <c r="M1456">
        <v>300</v>
      </c>
      <c r="N1456" s="1">
        <f t="shared" si="69"/>
        <v>300</v>
      </c>
    </row>
    <row r="1457" spans="5:14" x14ac:dyDescent="0.25">
      <c r="E1457">
        <v>482</v>
      </c>
      <c r="F1457" s="7">
        <v>45041</v>
      </c>
      <c r="G1457">
        <f t="shared" si="67"/>
        <v>2023</v>
      </c>
      <c r="H1457" s="7" t="str">
        <f t="shared" si="68"/>
        <v>Апрель</v>
      </c>
      <c r="I1457" t="s">
        <v>20</v>
      </c>
      <c r="J1457">
        <v>55</v>
      </c>
      <c r="K1457" t="s">
        <v>23</v>
      </c>
      <c r="L1457">
        <v>1</v>
      </c>
      <c r="M1457">
        <v>30</v>
      </c>
      <c r="N1457" s="1">
        <f t="shared" si="69"/>
        <v>30</v>
      </c>
    </row>
    <row r="1458" spans="5:14" x14ac:dyDescent="0.25">
      <c r="E1458">
        <v>1630</v>
      </c>
      <c r="F1458" s="7">
        <v>45511</v>
      </c>
      <c r="G1458">
        <f t="shared" si="67"/>
        <v>2024</v>
      </c>
      <c r="H1458" s="7" t="str">
        <f t="shared" si="68"/>
        <v>Август</v>
      </c>
      <c r="I1458" t="s">
        <v>20</v>
      </c>
      <c r="J1458">
        <v>41</v>
      </c>
      <c r="K1458" t="s">
        <v>21</v>
      </c>
      <c r="L1458">
        <v>1</v>
      </c>
      <c r="M1458">
        <v>384</v>
      </c>
      <c r="N1458" s="1">
        <f t="shared" si="69"/>
        <v>384</v>
      </c>
    </row>
    <row r="1459" spans="5:14" x14ac:dyDescent="0.25">
      <c r="E1459">
        <v>1761</v>
      </c>
      <c r="F1459" s="7">
        <v>45452</v>
      </c>
      <c r="G1459">
        <f t="shared" si="67"/>
        <v>2024</v>
      </c>
      <c r="H1459" s="7" t="str">
        <f t="shared" si="68"/>
        <v>Июнь</v>
      </c>
      <c r="I1459" t="s">
        <v>20</v>
      </c>
      <c r="J1459">
        <v>19</v>
      </c>
      <c r="K1459" t="s">
        <v>23</v>
      </c>
      <c r="L1459">
        <v>6</v>
      </c>
      <c r="M1459">
        <v>406</v>
      </c>
      <c r="N1459" s="1">
        <f t="shared" si="69"/>
        <v>2436</v>
      </c>
    </row>
    <row r="1460" spans="5:14" x14ac:dyDescent="0.25">
      <c r="E1460">
        <v>136</v>
      </c>
      <c r="F1460" s="7">
        <v>45005</v>
      </c>
      <c r="G1460">
        <f t="shared" si="67"/>
        <v>2023</v>
      </c>
      <c r="H1460" s="7" t="str">
        <f t="shared" si="68"/>
        <v>Март</v>
      </c>
      <c r="I1460" t="s">
        <v>20</v>
      </c>
      <c r="J1460">
        <v>44</v>
      </c>
      <c r="K1460" t="s">
        <v>24</v>
      </c>
      <c r="L1460">
        <v>2</v>
      </c>
      <c r="M1460">
        <v>300</v>
      </c>
      <c r="N1460" s="1">
        <f t="shared" si="69"/>
        <v>600</v>
      </c>
    </row>
    <row r="1461" spans="5:14" x14ac:dyDescent="0.25">
      <c r="E1461">
        <v>1049</v>
      </c>
      <c r="F1461" s="7">
        <v>45567</v>
      </c>
      <c r="G1461">
        <f t="shared" si="67"/>
        <v>2024</v>
      </c>
      <c r="H1461" s="7" t="str">
        <f t="shared" si="68"/>
        <v>Октябрь</v>
      </c>
      <c r="I1461" t="s">
        <v>20</v>
      </c>
      <c r="J1461">
        <v>20</v>
      </c>
      <c r="K1461" t="s">
        <v>21</v>
      </c>
      <c r="L1461">
        <v>5</v>
      </c>
      <c r="M1461">
        <v>270</v>
      </c>
      <c r="N1461" s="1">
        <f t="shared" si="69"/>
        <v>1350</v>
      </c>
    </row>
    <row r="1462" spans="5:14" x14ac:dyDescent="0.25">
      <c r="E1462">
        <v>1902</v>
      </c>
      <c r="F1462" s="7">
        <v>45447</v>
      </c>
      <c r="G1462">
        <f t="shared" si="67"/>
        <v>2024</v>
      </c>
      <c r="H1462" s="7" t="str">
        <f t="shared" si="68"/>
        <v>Июнь</v>
      </c>
      <c r="I1462" t="s">
        <v>22</v>
      </c>
      <c r="J1462">
        <v>25</v>
      </c>
      <c r="K1462" t="s">
        <v>23</v>
      </c>
      <c r="L1462">
        <v>5</v>
      </c>
      <c r="M1462">
        <v>209</v>
      </c>
      <c r="N1462" s="1">
        <f t="shared" si="69"/>
        <v>1045</v>
      </c>
    </row>
    <row r="1463" spans="5:14" x14ac:dyDescent="0.25">
      <c r="E1463">
        <v>1519</v>
      </c>
      <c r="F1463" s="7">
        <v>45292</v>
      </c>
      <c r="G1463">
        <f t="shared" si="67"/>
        <v>2024</v>
      </c>
      <c r="H1463" s="7" t="str">
        <f t="shared" si="68"/>
        <v>Январь</v>
      </c>
      <c r="I1463" t="s">
        <v>20</v>
      </c>
      <c r="J1463">
        <v>34</v>
      </c>
      <c r="K1463" t="s">
        <v>21</v>
      </c>
      <c r="L1463">
        <v>2</v>
      </c>
      <c r="M1463">
        <v>149</v>
      </c>
      <c r="N1463" s="1">
        <f t="shared" si="69"/>
        <v>298</v>
      </c>
    </row>
    <row r="1464" spans="5:14" x14ac:dyDescent="0.25">
      <c r="E1464">
        <v>711</v>
      </c>
      <c r="F1464" s="7">
        <v>44940</v>
      </c>
      <c r="G1464">
        <f t="shared" si="67"/>
        <v>2023</v>
      </c>
      <c r="H1464" s="7" t="str">
        <f t="shared" si="68"/>
        <v>Январь</v>
      </c>
      <c r="I1464" t="s">
        <v>20</v>
      </c>
      <c r="J1464">
        <v>34</v>
      </c>
      <c r="K1464" t="s">
        <v>21</v>
      </c>
      <c r="L1464">
        <v>3</v>
      </c>
      <c r="M1464">
        <v>25</v>
      </c>
      <c r="N1464" s="1">
        <f t="shared" si="69"/>
        <v>75</v>
      </c>
    </row>
    <row r="1465" spans="5:14" x14ac:dyDescent="0.25">
      <c r="E1465">
        <v>1122</v>
      </c>
      <c r="F1465" s="7">
        <v>45592</v>
      </c>
      <c r="G1465">
        <f t="shared" si="67"/>
        <v>2024</v>
      </c>
      <c r="H1465" s="7" t="str">
        <f t="shared" si="68"/>
        <v>Октябрь</v>
      </c>
      <c r="I1465" t="s">
        <v>20</v>
      </c>
      <c r="J1465">
        <v>64</v>
      </c>
      <c r="K1465" t="s">
        <v>23</v>
      </c>
      <c r="L1465">
        <v>1</v>
      </c>
      <c r="M1465">
        <v>197</v>
      </c>
      <c r="N1465" s="1">
        <f t="shared" si="69"/>
        <v>197</v>
      </c>
    </row>
    <row r="1466" spans="5:14" x14ac:dyDescent="0.25">
      <c r="E1466">
        <v>1786</v>
      </c>
      <c r="F1466" s="7">
        <v>45512</v>
      </c>
      <c r="G1466">
        <f t="shared" si="67"/>
        <v>2024</v>
      </c>
      <c r="H1466" s="7" t="str">
        <f t="shared" si="68"/>
        <v>Август</v>
      </c>
      <c r="I1466" t="s">
        <v>20</v>
      </c>
      <c r="J1466">
        <v>60</v>
      </c>
      <c r="K1466" t="s">
        <v>23</v>
      </c>
      <c r="L1466">
        <v>6</v>
      </c>
      <c r="M1466">
        <v>410</v>
      </c>
      <c r="N1466" s="1">
        <f t="shared" si="69"/>
        <v>2460</v>
      </c>
    </row>
    <row r="1467" spans="5:14" x14ac:dyDescent="0.25">
      <c r="E1467">
        <v>835</v>
      </c>
      <c r="F1467" s="7">
        <v>45108</v>
      </c>
      <c r="G1467">
        <f t="shared" si="67"/>
        <v>2023</v>
      </c>
      <c r="H1467" s="7" t="str">
        <f t="shared" si="68"/>
        <v>Июль</v>
      </c>
      <c r="I1467" t="s">
        <v>20</v>
      </c>
      <c r="J1467">
        <v>18</v>
      </c>
      <c r="K1467" t="s">
        <v>21</v>
      </c>
      <c r="L1467">
        <v>3</v>
      </c>
      <c r="M1467">
        <v>30</v>
      </c>
      <c r="N1467" s="1">
        <f t="shared" si="69"/>
        <v>90</v>
      </c>
    </row>
    <row r="1468" spans="5:14" x14ac:dyDescent="0.25">
      <c r="E1468">
        <v>923</v>
      </c>
      <c r="F1468" s="7">
        <v>45172</v>
      </c>
      <c r="G1468">
        <f t="shared" si="67"/>
        <v>2023</v>
      </c>
      <c r="H1468" s="7" t="str">
        <f t="shared" si="68"/>
        <v>Сентябрь</v>
      </c>
      <c r="I1468" t="s">
        <v>20</v>
      </c>
      <c r="J1468">
        <v>25</v>
      </c>
      <c r="K1468" t="s">
        <v>24</v>
      </c>
      <c r="L1468">
        <v>1</v>
      </c>
      <c r="M1468">
        <v>300</v>
      </c>
      <c r="N1468" s="1">
        <f t="shared" si="69"/>
        <v>300</v>
      </c>
    </row>
    <row r="1469" spans="5:14" x14ac:dyDescent="0.25">
      <c r="E1469">
        <v>1394</v>
      </c>
      <c r="F1469" s="7">
        <v>45361</v>
      </c>
      <c r="G1469">
        <f t="shared" si="67"/>
        <v>2024</v>
      </c>
      <c r="H1469" s="7" t="str">
        <f t="shared" si="68"/>
        <v>Март</v>
      </c>
      <c r="I1469" t="s">
        <v>22</v>
      </c>
      <c r="J1469">
        <v>25</v>
      </c>
      <c r="K1469" t="s">
        <v>21</v>
      </c>
      <c r="L1469">
        <v>4</v>
      </c>
      <c r="M1469">
        <v>36</v>
      </c>
      <c r="N1469" s="1">
        <f t="shared" si="69"/>
        <v>144</v>
      </c>
    </row>
    <row r="1470" spans="5:14" x14ac:dyDescent="0.25">
      <c r="E1470">
        <v>637</v>
      </c>
      <c r="F1470" s="7">
        <v>45157</v>
      </c>
      <c r="G1470">
        <f t="shared" si="67"/>
        <v>2023</v>
      </c>
      <c r="H1470" s="7" t="str">
        <f t="shared" si="68"/>
        <v>Август</v>
      </c>
      <c r="I1470" t="s">
        <v>20</v>
      </c>
      <c r="J1470">
        <v>46</v>
      </c>
      <c r="K1470" t="s">
        <v>24</v>
      </c>
      <c r="L1470">
        <v>1</v>
      </c>
      <c r="M1470">
        <v>500</v>
      </c>
      <c r="N1470" s="1">
        <f t="shared" si="69"/>
        <v>500</v>
      </c>
    </row>
    <row r="1471" spans="5:14" x14ac:dyDescent="0.25">
      <c r="E1471">
        <v>1685</v>
      </c>
      <c r="F1471" s="7">
        <v>45572</v>
      </c>
      <c r="G1471">
        <f t="shared" si="67"/>
        <v>2024</v>
      </c>
      <c r="H1471" s="7" t="str">
        <f t="shared" si="68"/>
        <v>Октябрь</v>
      </c>
      <c r="I1471" t="s">
        <v>20</v>
      </c>
      <c r="J1471">
        <v>35</v>
      </c>
      <c r="K1471" t="s">
        <v>24</v>
      </c>
      <c r="L1471">
        <v>3</v>
      </c>
      <c r="M1471">
        <v>178</v>
      </c>
      <c r="N1471" s="1">
        <f t="shared" si="69"/>
        <v>534</v>
      </c>
    </row>
    <row r="1472" spans="5:14" x14ac:dyDescent="0.25">
      <c r="E1472">
        <v>1006</v>
      </c>
      <c r="F1472" s="7">
        <v>45344</v>
      </c>
      <c r="G1472">
        <f t="shared" si="67"/>
        <v>2024</v>
      </c>
      <c r="H1472" s="7" t="str">
        <f t="shared" si="68"/>
        <v>Февраль</v>
      </c>
      <c r="I1472" t="s">
        <v>20</v>
      </c>
      <c r="J1472">
        <v>25</v>
      </c>
      <c r="K1472" t="s">
        <v>24</v>
      </c>
      <c r="L1472">
        <v>3</v>
      </c>
      <c r="M1472">
        <v>485</v>
      </c>
      <c r="N1472" s="1">
        <f t="shared" si="69"/>
        <v>1455</v>
      </c>
    </row>
    <row r="1473" spans="5:14" x14ac:dyDescent="0.25">
      <c r="E1473">
        <v>474</v>
      </c>
      <c r="F1473" s="7">
        <v>44946</v>
      </c>
      <c r="G1473">
        <f t="shared" si="67"/>
        <v>2023</v>
      </c>
      <c r="H1473" s="7" t="str">
        <f t="shared" si="68"/>
        <v>Январь</v>
      </c>
      <c r="I1473" t="s">
        <v>20</v>
      </c>
      <c r="J1473">
        <v>26</v>
      </c>
      <c r="K1473" t="s">
        <v>23</v>
      </c>
      <c r="L1473">
        <v>3</v>
      </c>
      <c r="M1473">
        <v>25</v>
      </c>
      <c r="N1473" s="1">
        <f t="shared" si="69"/>
        <v>75</v>
      </c>
    </row>
    <row r="1474" spans="5:14" x14ac:dyDescent="0.25">
      <c r="E1474">
        <v>1907</v>
      </c>
      <c r="F1474" s="7">
        <v>45433</v>
      </c>
      <c r="G1474">
        <f t="shared" si="67"/>
        <v>2024</v>
      </c>
      <c r="H1474" s="7" t="str">
        <f t="shared" si="68"/>
        <v>Май</v>
      </c>
      <c r="I1474" t="s">
        <v>20</v>
      </c>
      <c r="J1474">
        <v>52</v>
      </c>
      <c r="K1474" t="s">
        <v>24</v>
      </c>
      <c r="L1474">
        <v>1</v>
      </c>
      <c r="M1474">
        <v>249</v>
      </c>
      <c r="N1474" s="1">
        <f t="shared" si="69"/>
        <v>249</v>
      </c>
    </row>
    <row r="1475" spans="5:14" x14ac:dyDescent="0.25">
      <c r="E1475">
        <v>1207</v>
      </c>
      <c r="F1475" s="7">
        <v>45646</v>
      </c>
      <c r="G1475">
        <f t="shared" si="67"/>
        <v>2024</v>
      </c>
      <c r="H1475" s="7" t="str">
        <f t="shared" si="68"/>
        <v>Декабрь</v>
      </c>
      <c r="I1475" t="s">
        <v>22</v>
      </c>
      <c r="J1475">
        <v>36</v>
      </c>
      <c r="K1475" t="s">
        <v>24</v>
      </c>
      <c r="L1475">
        <v>5</v>
      </c>
      <c r="M1475">
        <v>368</v>
      </c>
      <c r="N1475" s="1">
        <f t="shared" si="69"/>
        <v>1840</v>
      </c>
    </row>
    <row r="1476" spans="5:14" x14ac:dyDescent="0.25">
      <c r="E1476">
        <v>355</v>
      </c>
      <c r="F1476" s="7">
        <v>45087</v>
      </c>
      <c r="G1476">
        <f t="shared" si="67"/>
        <v>2023</v>
      </c>
      <c r="H1476" s="7" t="str">
        <f t="shared" si="68"/>
        <v>Июнь</v>
      </c>
      <c r="I1476" t="s">
        <v>20</v>
      </c>
      <c r="J1476">
        <v>50</v>
      </c>
      <c r="K1476" t="s">
        <v>24</v>
      </c>
      <c r="L1476">
        <v>3</v>
      </c>
      <c r="M1476">
        <v>500</v>
      </c>
      <c r="N1476" s="1">
        <f t="shared" si="69"/>
        <v>1500</v>
      </c>
    </row>
    <row r="1477" spans="5:14" x14ac:dyDescent="0.25">
      <c r="E1477">
        <v>21</v>
      </c>
      <c r="F1477" s="7">
        <v>44940</v>
      </c>
      <c r="G1477">
        <f t="shared" si="67"/>
        <v>2023</v>
      </c>
      <c r="H1477" s="7" t="str">
        <f t="shared" si="68"/>
        <v>Январь</v>
      </c>
      <c r="I1477" t="s">
        <v>22</v>
      </c>
      <c r="J1477">
        <v>50</v>
      </c>
      <c r="K1477" t="s">
        <v>21</v>
      </c>
      <c r="L1477">
        <v>1</v>
      </c>
      <c r="M1477">
        <v>500</v>
      </c>
      <c r="N1477" s="1">
        <f t="shared" si="69"/>
        <v>500</v>
      </c>
    </row>
    <row r="1478" spans="5:14" x14ac:dyDescent="0.25">
      <c r="E1478">
        <v>1310</v>
      </c>
      <c r="F1478" s="7">
        <v>45372</v>
      </c>
      <c r="G1478">
        <f t="shared" si="67"/>
        <v>2024</v>
      </c>
      <c r="H1478" s="7" t="str">
        <f t="shared" si="68"/>
        <v>Март</v>
      </c>
      <c r="I1478" t="s">
        <v>22</v>
      </c>
      <c r="J1478">
        <v>45</v>
      </c>
      <c r="K1478" t="s">
        <v>21</v>
      </c>
      <c r="L1478">
        <v>3</v>
      </c>
      <c r="M1478">
        <v>428</v>
      </c>
      <c r="N1478" s="1">
        <f t="shared" si="69"/>
        <v>1284</v>
      </c>
    </row>
    <row r="1479" spans="5:14" x14ac:dyDescent="0.25">
      <c r="E1479">
        <v>1848</v>
      </c>
      <c r="F1479" s="7">
        <v>45577</v>
      </c>
      <c r="G1479">
        <f t="shared" si="67"/>
        <v>2024</v>
      </c>
      <c r="H1479" s="7" t="str">
        <f t="shared" si="68"/>
        <v>Октябрь</v>
      </c>
      <c r="I1479" t="s">
        <v>22</v>
      </c>
      <c r="J1479">
        <v>20</v>
      </c>
      <c r="K1479" t="s">
        <v>23</v>
      </c>
      <c r="L1479">
        <v>1</v>
      </c>
      <c r="M1479">
        <v>135</v>
      </c>
      <c r="N1479" s="1">
        <f t="shared" si="69"/>
        <v>135</v>
      </c>
    </row>
    <row r="1480" spans="5:14" x14ac:dyDescent="0.25">
      <c r="E1480">
        <v>1771</v>
      </c>
      <c r="F1480" s="7">
        <v>45330</v>
      </c>
      <c r="G1480">
        <f t="shared" si="67"/>
        <v>2024</v>
      </c>
      <c r="H1480" s="7" t="str">
        <f t="shared" si="68"/>
        <v>Февраль</v>
      </c>
      <c r="I1480" t="s">
        <v>22</v>
      </c>
      <c r="J1480">
        <v>35</v>
      </c>
      <c r="K1480" t="s">
        <v>24</v>
      </c>
      <c r="L1480">
        <v>6</v>
      </c>
      <c r="M1480">
        <v>23</v>
      </c>
      <c r="N1480" s="1">
        <f t="shared" si="69"/>
        <v>138</v>
      </c>
    </row>
    <row r="1481" spans="5:14" x14ac:dyDescent="0.25">
      <c r="E1481">
        <v>467</v>
      </c>
      <c r="F1481" s="7">
        <v>45269</v>
      </c>
      <c r="G1481">
        <f t="shared" si="67"/>
        <v>2023</v>
      </c>
      <c r="H1481" s="7" t="str">
        <f t="shared" si="68"/>
        <v>Декабрь</v>
      </c>
      <c r="I1481" t="s">
        <v>20</v>
      </c>
      <c r="J1481">
        <v>40</v>
      </c>
      <c r="K1481" t="s">
        <v>24</v>
      </c>
      <c r="L1481">
        <v>1</v>
      </c>
      <c r="M1481">
        <v>25</v>
      </c>
      <c r="N1481" s="1">
        <f t="shared" si="69"/>
        <v>25</v>
      </c>
    </row>
    <row r="1482" spans="5:14" x14ac:dyDescent="0.25">
      <c r="E1482">
        <v>279</v>
      </c>
      <c r="F1482" s="7">
        <v>45020</v>
      </c>
      <c r="G1482">
        <f t="shared" ref="G1482:G1545" si="70">YEAR(F1482)</f>
        <v>2023</v>
      </c>
      <c r="H1482" s="7" t="str">
        <f t="shared" ref="H1482:H1545" si="71">TEXT(F1482,"ММММ")</f>
        <v>Апрель</v>
      </c>
      <c r="I1482" t="s">
        <v>22</v>
      </c>
      <c r="J1482">
        <v>37</v>
      </c>
      <c r="K1482" t="s">
        <v>23</v>
      </c>
      <c r="L1482">
        <v>3</v>
      </c>
      <c r="M1482">
        <v>500</v>
      </c>
      <c r="N1482" s="1">
        <f t="shared" ref="N1482:N1545" si="72">L1482*M1482</f>
        <v>1500</v>
      </c>
    </row>
    <row r="1483" spans="5:14" x14ac:dyDescent="0.25">
      <c r="E1483">
        <v>974</v>
      </c>
      <c r="F1483" s="7">
        <v>45209</v>
      </c>
      <c r="G1483">
        <f t="shared" si="70"/>
        <v>2023</v>
      </c>
      <c r="H1483" s="7" t="str">
        <f t="shared" si="71"/>
        <v>Октябрь</v>
      </c>
      <c r="I1483" t="s">
        <v>22</v>
      </c>
      <c r="J1483">
        <v>48</v>
      </c>
      <c r="K1483" t="s">
        <v>21</v>
      </c>
      <c r="L1483">
        <v>2</v>
      </c>
      <c r="M1483">
        <v>300</v>
      </c>
      <c r="N1483" s="1">
        <f t="shared" si="72"/>
        <v>600</v>
      </c>
    </row>
    <row r="1484" spans="5:14" x14ac:dyDescent="0.25">
      <c r="E1484">
        <v>1276</v>
      </c>
      <c r="F1484" s="7">
        <v>45509</v>
      </c>
      <c r="G1484">
        <f t="shared" si="70"/>
        <v>2024</v>
      </c>
      <c r="H1484" s="7" t="str">
        <f t="shared" si="71"/>
        <v>Август</v>
      </c>
      <c r="I1484" t="s">
        <v>20</v>
      </c>
      <c r="J1484">
        <v>58</v>
      </c>
      <c r="K1484" t="s">
        <v>23</v>
      </c>
      <c r="L1484">
        <v>4</v>
      </c>
      <c r="M1484">
        <v>165</v>
      </c>
      <c r="N1484" s="1">
        <f t="shared" si="72"/>
        <v>660</v>
      </c>
    </row>
    <row r="1485" spans="5:14" x14ac:dyDescent="0.25">
      <c r="E1485">
        <v>479</v>
      </c>
      <c r="F1485" s="7">
        <v>45106</v>
      </c>
      <c r="G1485">
        <f t="shared" si="70"/>
        <v>2023</v>
      </c>
      <c r="H1485" s="7" t="str">
        <f t="shared" si="71"/>
        <v>Июнь</v>
      </c>
      <c r="I1485" t="s">
        <v>22</v>
      </c>
      <c r="J1485">
        <v>42</v>
      </c>
      <c r="K1485" t="s">
        <v>21</v>
      </c>
      <c r="L1485">
        <v>4</v>
      </c>
      <c r="M1485">
        <v>500</v>
      </c>
      <c r="N1485" s="1">
        <f t="shared" si="72"/>
        <v>2000</v>
      </c>
    </row>
    <row r="1486" spans="5:14" x14ac:dyDescent="0.25">
      <c r="E1486">
        <v>81</v>
      </c>
      <c r="F1486" s="7">
        <v>45063</v>
      </c>
      <c r="G1486">
        <f t="shared" si="70"/>
        <v>2023</v>
      </c>
      <c r="H1486" s="7" t="str">
        <f t="shared" si="71"/>
        <v>Май</v>
      </c>
      <c r="I1486" t="s">
        <v>20</v>
      </c>
      <c r="J1486">
        <v>40</v>
      </c>
      <c r="K1486" t="s">
        <v>24</v>
      </c>
      <c r="L1486">
        <v>1</v>
      </c>
      <c r="M1486">
        <v>50</v>
      </c>
      <c r="N1486" s="1">
        <f t="shared" si="72"/>
        <v>50</v>
      </c>
    </row>
    <row r="1487" spans="5:14" x14ac:dyDescent="0.25">
      <c r="E1487">
        <v>95</v>
      </c>
      <c r="F1487" s="7">
        <v>45254</v>
      </c>
      <c r="G1487">
        <f t="shared" si="70"/>
        <v>2023</v>
      </c>
      <c r="H1487" s="7" t="str">
        <f t="shared" si="71"/>
        <v>Ноябрь</v>
      </c>
      <c r="I1487" t="s">
        <v>22</v>
      </c>
      <c r="J1487">
        <v>32</v>
      </c>
      <c r="K1487" t="s">
        <v>23</v>
      </c>
      <c r="L1487">
        <v>2</v>
      </c>
      <c r="M1487">
        <v>30</v>
      </c>
      <c r="N1487" s="1">
        <f t="shared" si="72"/>
        <v>60</v>
      </c>
    </row>
    <row r="1488" spans="5:14" x14ac:dyDescent="0.25">
      <c r="E1488">
        <v>1514</v>
      </c>
      <c r="F1488" s="7">
        <v>45390</v>
      </c>
      <c r="G1488">
        <f t="shared" si="70"/>
        <v>2024</v>
      </c>
      <c r="H1488" s="7" t="str">
        <f t="shared" si="71"/>
        <v>Апрель</v>
      </c>
      <c r="I1488" t="s">
        <v>22</v>
      </c>
      <c r="J1488">
        <v>49</v>
      </c>
      <c r="K1488" t="s">
        <v>23</v>
      </c>
      <c r="L1488">
        <v>2</v>
      </c>
      <c r="M1488">
        <v>351</v>
      </c>
      <c r="N1488" s="1">
        <f t="shared" si="72"/>
        <v>702</v>
      </c>
    </row>
    <row r="1489" spans="5:14" x14ac:dyDescent="0.25">
      <c r="E1489">
        <v>1199</v>
      </c>
      <c r="F1489" s="7">
        <v>45574</v>
      </c>
      <c r="G1489">
        <f t="shared" si="70"/>
        <v>2024</v>
      </c>
      <c r="H1489" s="7" t="str">
        <f t="shared" si="71"/>
        <v>Октябрь</v>
      </c>
      <c r="I1489" t="s">
        <v>20</v>
      </c>
      <c r="J1489">
        <v>30</v>
      </c>
      <c r="K1489" t="s">
        <v>24</v>
      </c>
      <c r="L1489">
        <v>3</v>
      </c>
      <c r="M1489">
        <v>189</v>
      </c>
      <c r="N1489" s="1">
        <f t="shared" si="72"/>
        <v>567</v>
      </c>
    </row>
    <row r="1490" spans="5:14" x14ac:dyDescent="0.25">
      <c r="E1490">
        <v>351</v>
      </c>
      <c r="F1490" s="7">
        <v>45088</v>
      </c>
      <c r="G1490">
        <f t="shared" si="70"/>
        <v>2023</v>
      </c>
      <c r="H1490" s="7" t="str">
        <f t="shared" si="71"/>
        <v>Июнь</v>
      </c>
      <c r="I1490" t="s">
        <v>20</v>
      </c>
      <c r="J1490">
        <v>57</v>
      </c>
      <c r="K1490" t="s">
        <v>24</v>
      </c>
      <c r="L1490">
        <v>2</v>
      </c>
      <c r="M1490">
        <v>500</v>
      </c>
      <c r="N1490" s="1">
        <f t="shared" si="72"/>
        <v>1000</v>
      </c>
    </row>
    <row r="1491" spans="5:14" x14ac:dyDescent="0.25">
      <c r="E1491">
        <v>1546</v>
      </c>
      <c r="F1491" s="7">
        <v>45508</v>
      </c>
      <c r="G1491">
        <f t="shared" si="70"/>
        <v>2024</v>
      </c>
      <c r="H1491" s="7" t="str">
        <f t="shared" si="71"/>
        <v>Август</v>
      </c>
      <c r="I1491" t="s">
        <v>22</v>
      </c>
      <c r="J1491">
        <v>47</v>
      </c>
      <c r="K1491" t="s">
        <v>21</v>
      </c>
      <c r="L1491">
        <v>5</v>
      </c>
      <c r="M1491">
        <v>415</v>
      </c>
      <c r="N1491" s="1">
        <f t="shared" si="72"/>
        <v>2075</v>
      </c>
    </row>
    <row r="1492" spans="5:14" x14ac:dyDescent="0.25">
      <c r="E1492">
        <v>905</v>
      </c>
      <c r="F1492" s="7">
        <v>44934</v>
      </c>
      <c r="G1492">
        <f t="shared" si="70"/>
        <v>2023</v>
      </c>
      <c r="H1492" s="7" t="str">
        <f t="shared" si="71"/>
        <v>Январь</v>
      </c>
      <c r="I1492" t="s">
        <v>22</v>
      </c>
      <c r="J1492">
        <v>45</v>
      </c>
      <c r="K1492" t="s">
        <v>24</v>
      </c>
      <c r="L1492">
        <v>1</v>
      </c>
      <c r="M1492">
        <v>25</v>
      </c>
      <c r="N1492" s="1">
        <f t="shared" si="72"/>
        <v>25</v>
      </c>
    </row>
    <row r="1493" spans="5:14" x14ac:dyDescent="0.25">
      <c r="E1493">
        <v>365</v>
      </c>
      <c r="F1493" s="7">
        <v>44964</v>
      </c>
      <c r="G1493">
        <f t="shared" si="70"/>
        <v>2023</v>
      </c>
      <c r="H1493" s="7" t="str">
        <f t="shared" si="71"/>
        <v>Февраль</v>
      </c>
      <c r="I1493" t="s">
        <v>20</v>
      </c>
      <c r="J1493">
        <v>57</v>
      </c>
      <c r="K1493" t="s">
        <v>23</v>
      </c>
      <c r="L1493">
        <v>2</v>
      </c>
      <c r="M1493">
        <v>50</v>
      </c>
      <c r="N1493" s="1">
        <f t="shared" si="72"/>
        <v>100</v>
      </c>
    </row>
    <row r="1494" spans="5:14" x14ac:dyDescent="0.25">
      <c r="E1494">
        <v>1140</v>
      </c>
      <c r="F1494" s="7">
        <v>45324</v>
      </c>
      <c r="G1494">
        <f t="shared" si="70"/>
        <v>2024</v>
      </c>
      <c r="H1494" s="7" t="str">
        <f t="shared" si="71"/>
        <v>Февраль</v>
      </c>
      <c r="I1494" t="s">
        <v>20</v>
      </c>
      <c r="J1494">
        <v>43</v>
      </c>
      <c r="K1494" t="s">
        <v>24</v>
      </c>
      <c r="L1494">
        <v>1</v>
      </c>
      <c r="M1494">
        <v>310</v>
      </c>
      <c r="N1494" s="1">
        <f t="shared" si="72"/>
        <v>310</v>
      </c>
    </row>
    <row r="1495" spans="5:14" x14ac:dyDescent="0.25">
      <c r="E1495">
        <v>1126</v>
      </c>
      <c r="F1495" s="7">
        <v>45478</v>
      </c>
      <c r="G1495">
        <f t="shared" si="70"/>
        <v>2024</v>
      </c>
      <c r="H1495" s="7" t="str">
        <f t="shared" si="71"/>
        <v>Июль</v>
      </c>
      <c r="I1495" t="s">
        <v>20</v>
      </c>
      <c r="J1495">
        <v>24</v>
      </c>
      <c r="K1495" t="s">
        <v>21</v>
      </c>
      <c r="L1495">
        <v>2</v>
      </c>
      <c r="M1495">
        <v>231</v>
      </c>
      <c r="N1495" s="1">
        <f t="shared" si="72"/>
        <v>462</v>
      </c>
    </row>
    <row r="1496" spans="5:14" x14ac:dyDescent="0.25">
      <c r="E1496">
        <v>585</v>
      </c>
      <c r="F1496" s="7">
        <v>45271</v>
      </c>
      <c r="G1496">
        <f t="shared" si="70"/>
        <v>2023</v>
      </c>
      <c r="H1496" s="7" t="str">
        <f t="shared" si="71"/>
        <v>Декабрь</v>
      </c>
      <c r="I1496" t="s">
        <v>20</v>
      </c>
      <c r="J1496">
        <v>50</v>
      </c>
      <c r="K1496" t="s">
        <v>24</v>
      </c>
      <c r="L1496">
        <v>1</v>
      </c>
      <c r="M1496">
        <v>50</v>
      </c>
      <c r="N1496" s="1">
        <f t="shared" si="72"/>
        <v>50</v>
      </c>
    </row>
    <row r="1497" spans="5:14" x14ac:dyDescent="0.25">
      <c r="E1497">
        <v>877</v>
      </c>
      <c r="F1497" s="7">
        <v>45286</v>
      </c>
      <c r="G1497">
        <f t="shared" si="70"/>
        <v>2023</v>
      </c>
      <c r="H1497" s="7" t="str">
        <f t="shared" si="71"/>
        <v>Декабрь</v>
      </c>
      <c r="I1497" t="s">
        <v>20</v>
      </c>
      <c r="J1497">
        <v>23</v>
      </c>
      <c r="K1497" t="s">
        <v>23</v>
      </c>
      <c r="L1497">
        <v>1</v>
      </c>
      <c r="M1497">
        <v>30</v>
      </c>
      <c r="N1497" s="1">
        <f t="shared" si="72"/>
        <v>30</v>
      </c>
    </row>
    <row r="1498" spans="5:14" x14ac:dyDescent="0.25">
      <c r="E1498">
        <v>1318</v>
      </c>
      <c r="F1498" s="7">
        <v>45453</v>
      </c>
      <c r="G1498">
        <f t="shared" si="70"/>
        <v>2024</v>
      </c>
      <c r="H1498" s="7" t="str">
        <f t="shared" si="71"/>
        <v>Июнь</v>
      </c>
      <c r="I1498" t="s">
        <v>22</v>
      </c>
      <c r="J1498">
        <v>34</v>
      </c>
      <c r="K1498" t="s">
        <v>24</v>
      </c>
      <c r="L1498">
        <v>6</v>
      </c>
      <c r="M1498">
        <v>396</v>
      </c>
      <c r="N1498" s="1">
        <f t="shared" si="72"/>
        <v>2376</v>
      </c>
    </row>
    <row r="1499" spans="5:14" x14ac:dyDescent="0.25">
      <c r="E1499">
        <v>325</v>
      </c>
      <c r="F1499" s="7">
        <v>45184</v>
      </c>
      <c r="G1499">
        <f t="shared" si="70"/>
        <v>2023</v>
      </c>
      <c r="H1499" s="7" t="str">
        <f t="shared" si="71"/>
        <v>Сентябрь</v>
      </c>
      <c r="I1499" t="s">
        <v>22</v>
      </c>
      <c r="J1499">
        <v>18</v>
      </c>
      <c r="K1499" t="s">
        <v>23</v>
      </c>
      <c r="L1499">
        <v>3</v>
      </c>
      <c r="M1499">
        <v>25</v>
      </c>
      <c r="N1499" s="1">
        <f t="shared" si="72"/>
        <v>75</v>
      </c>
    </row>
    <row r="1500" spans="5:14" x14ac:dyDescent="0.25">
      <c r="E1500">
        <v>721</v>
      </c>
      <c r="F1500" s="7">
        <v>45094</v>
      </c>
      <c r="G1500">
        <f t="shared" si="70"/>
        <v>2023</v>
      </c>
      <c r="H1500" s="7" t="str">
        <f t="shared" si="71"/>
        <v>Июнь</v>
      </c>
      <c r="I1500" t="s">
        <v>22</v>
      </c>
      <c r="J1500">
        <v>54</v>
      </c>
      <c r="K1500" t="s">
        <v>21</v>
      </c>
      <c r="L1500">
        <v>4</v>
      </c>
      <c r="M1500">
        <v>50</v>
      </c>
      <c r="N1500" s="1">
        <f t="shared" si="72"/>
        <v>200</v>
      </c>
    </row>
    <row r="1501" spans="5:14" x14ac:dyDescent="0.25">
      <c r="E1501">
        <v>1272</v>
      </c>
      <c r="F1501" s="7">
        <v>45390</v>
      </c>
      <c r="G1501">
        <f t="shared" si="70"/>
        <v>2024</v>
      </c>
      <c r="H1501" s="7" t="str">
        <f t="shared" si="71"/>
        <v>Апрель</v>
      </c>
      <c r="I1501" t="s">
        <v>20</v>
      </c>
      <c r="J1501">
        <v>47</v>
      </c>
      <c r="K1501" t="s">
        <v>23</v>
      </c>
      <c r="L1501">
        <v>4</v>
      </c>
      <c r="M1501">
        <v>405</v>
      </c>
      <c r="N1501" s="1">
        <f t="shared" si="72"/>
        <v>1620</v>
      </c>
    </row>
    <row r="1502" spans="5:14" x14ac:dyDescent="0.25">
      <c r="E1502">
        <v>285</v>
      </c>
      <c r="F1502" s="7">
        <v>45208</v>
      </c>
      <c r="G1502">
        <f t="shared" si="70"/>
        <v>2023</v>
      </c>
      <c r="H1502" s="7" t="str">
        <f t="shared" si="71"/>
        <v>Октябрь</v>
      </c>
      <c r="I1502" t="s">
        <v>20</v>
      </c>
      <c r="J1502">
        <v>55</v>
      </c>
      <c r="K1502" t="s">
        <v>24</v>
      </c>
      <c r="L1502">
        <v>2</v>
      </c>
      <c r="M1502">
        <v>25</v>
      </c>
      <c r="N1502" s="1">
        <f t="shared" si="72"/>
        <v>50</v>
      </c>
    </row>
    <row r="1503" spans="5:14" x14ac:dyDescent="0.25">
      <c r="E1503">
        <v>1988</v>
      </c>
      <c r="F1503" s="7">
        <v>45525</v>
      </c>
      <c r="G1503">
        <f t="shared" si="70"/>
        <v>2024</v>
      </c>
      <c r="H1503" s="7" t="str">
        <f t="shared" si="71"/>
        <v>Август</v>
      </c>
      <c r="I1503" t="s">
        <v>22</v>
      </c>
      <c r="J1503">
        <v>18</v>
      </c>
      <c r="K1503" t="s">
        <v>24</v>
      </c>
      <c r="L1503">
        <v>7</v>
      </c>
      <c r="M1503">
        <v>344</v>
      </c>
      <c r="N1503" s="1">
        <f t="shared" si="72"/>
        <v>2408</v>
      </c>
    </row>
    <row r="1504" spans="5:14" x14ac:dyDescent="0.25">
      <c r="E1504">
        <v>1825</v>
      </c>
      <c r="F1504" s="7">
        <v>45487</v>
      </c>
      <c r="G1504">
        <f t="shared" si="70"/>
        <v>2024</v>
      </c>
      <c r="H1504" s="7" t="str">
        <f t="shared" si="71"/>
        <v>Июль</v>
      </c>
      <c r="I1504" t="s">
        <v>20</v>
      </c>
      <c r="J1504">
        <v>28</v>
      </c>
      <c r="K1504" t="s">
        <v>21</v>
      </c>
      <c r="L1504">
        <v>1</v>
      </c>
      <c r="M1504">
        <v>399</v>
      </c>
      <c r="N1504" s="1">
        <f t="shared" si="72"/>
        <v>399</v>
      </c>
    </row>
    <row r="1505" spans="5:14" x14ac:dyDescent="0.25">
      <c r="E1505">
        <v>1165</v>
      </c>
      <c r="F1505" s="7">
        <v>45552</v>
      </c>
      <c r="G1505">
        <f t="shared" si="70"/>
        <v>2024</v>
      </c>
      <c r="H1505" s="7" t="str">
        <f t="shared" si="71"/>
        <v>Сентябрь</v>
      </c>
      <c r="I1505" t="s">
        <v>22</v>
      </c>
      <c r="J1505">
        <v>35</v>
      </c>
      <c r="K1505" t="s">
        <v>23</v>
      </c>
      <c r="L1505">
        <v>6</v>
      </c>
      <c r="M1505">
        <v>430</v>
      </c>
      <c r="N1505" s="1">
        <f t="shared" si="72"/>
        <v>2580</v>
      </c>
    </row>
    <row r="1506" spans="5:14" x14ac:dyDescent="0.25">
      <c r="E1506">
        <v>984</v>
      </c>
      <c r="F1506" s="7">
        <v>44943</v>
      </c>
      <c r="G1506">
        <f t="shared" si="70"/>
        <v>2023</v>
      </c>
      <c r="H1506" s="7" t="str">
        <f t="shared" si="71"/>
        <v>Январь</v>
      </c>
      <c r="I1506" t="s">
        <v>22</v>
      </c>
      <c r="J1506">
        <v>49</v>
      </c>
      <c r="K1506" t="s">
        <v>23</v>
      </c>
      <c r="L1506">
        <v>2</v>
      </c>
      <c r="M1506">
        <v>500</v>
      </c>
      <c r="N1506" s="1">
        <f t="shared" si="72"/>
        <v>1000</v>
      </c>
    </row>
    <row r="1507" spans="5:14" x14ac:dyDescent="0.25">
      <c r="E1507">
        <v>393</v>
      </c>
      <c r="F1507" s="7">
        <v>45080</v>
      </c>
      <c r="G1507">
        <f t="shared" si="70"/>
        <v>2023</v>
      </c>
      <c r="H1507" s="7" t="str">
        <f t="shared" si="71"/>
        <v>Июнь</v>
      </c>
      <c r="I1507" t="s">
        <v>22</v>
      </c>
      <c r="J1507">
        <v>27</v>
      </c>
      <c r="K1507" t="s">
        <v>23</v>
      </c>
      <c r="L1507">
        <v>1</v>
      </c>
      <c r="M1507">
        <v>500</v>
      </c>
      <c r="N1507" s="1">
        <f t="shared" si="72"/>
        <v>500</v>
      </c>
    </row>
    <row r="1508" spans="5:14" x14ac:dyDescent="0.25">
      <c r="E1508">
        <v>1314</v>
      </c>
      <c r="F1508" s="7">
        <v>45321</v>
      </c>
      <c r="G1508">
        <f t="shared" si="70"/>
        <v>2024</v>
      </c>
      <c r="H1508" s="7" t="str">
        <f t="shared" si="71"/>
        <v>Январь</v>
      </c>
      <c r="I1508" t="s">
        <v>20</v>
      </c>
      <c r="J1508">
        <v>39</v>
      </c>
      <c r="K1508" t="s">
        <v>24</v>
      </c>
      <c r="L1508">
        <v>2</v>
      </c>
      <c r="M1508">
        <v>132</v>
      </c>
      <c r="N1508" s="1">
        <f t="shared" si="72"/>
        <v>264</v>
      </c>
    </row>
    <row r="1509" spans="5:14" x14ac:dyDescent="0.25">
      <c r="E1509">
        <v>498</v>
      </c>
      <c r="F1509" s="7">
        <v>44941</v>
      </c>
      <c r="G1509">
        <f t="shared" si="70"/>
        <v>2023</v>
      </c>
      <c r="H1509" s="7" t="str">
        <f t="shared" si="71"/>
        <v>Январь</v>
      </c>
      <c r="I1509" t="s">
        <v>20</v>
      </c>
      <c r="J1509">
        <v>46</v>
      </c>
      <c r="K1509" t="s">
        <v>21</v>
      </c>
      <c r="L1509">
        <v>2</v>
      </c>
      <c r="M1509">
        <v>30</v>
      </c>
      <c r="N1509" s="1">
        <f t="shared" si="72"/>
        <v>60</v>
      </c>
    </row>
    <row r="1510" spans="5:14" x14ac:dyDescent="0.25">
      <c r="E1510">
        <v>48</v>
      </c>
      <c r="F1510" s="7">
        <v>45062</v>
      </c>
      <c r="G1510">
        <f t="shared" si="70"/>
        <v>2023</v>
      </c>
      <c r="H1510" s="7" t="str">
        <f t="shared" si="71"/>
        <v>Май</v>
      </c>
      <c r="I1510" t="s">
        <v>20</v>
      </c>
      <c r="J1510">
        <v>54</v>
      </c>
      <c r="K1510" t="s">
        <v>24</v>
      </c>
      <c r="L1510">
        <v>3</v>
      </c>
      <c r="M1510">
        <v>300</v>
      </c>
      <c r="N1510" s="1">
        <f t="shared" si="72"/>
        <v>900</v>
      </c>
    </row>
    <row r="1511" spans="5:14" x14ac:dyDescent="0.25">
      <c r="E1511">
        <v>966</v>
      </c>
      <c r="F1511" s="7">
        <v>45247</v>
      </c>
      <c r="G1511">
        <f t="shared" si="70"/>
        <v>2023</v>
      </c>
      <c r="H1511" s="7" t="str">
        <f t="shared" si="71"/>
        <v>Ноябрь</v>
      </c>
      <c r="I1511" t="s">
        <v>22</v>
      </c>
      <c r="J1511">
        <v>48</v>
      </c>
      <c r="K1511" t="s">
        <v>23</v>
      </c>
      <c r="L1511">
        <v>3</v>
      </c>
      <c r="M1511">
        <v>300</v>
      </c>
      <c r="N1511" s="1">
        <f t="shared" si="72"/>
        <v>900</v>
      </c>
    </row>
    <row r="1512" spans="5:14" x14ac:dyDescent="0.25">
      <c r="E1512">
        <v>800</v>
      </c>
      <c r="F1512" s="7">
        <v>45112</v>
      </c>
      <c r="G1512">
        <f t="shared" si="70"/>
        <v>2023</v>
      </c>
      <c r="H1512" s="7" t="str">
        <f t="shared" si="71"/>
        <v>Июль</v>
      </c>
      <c r="I1512" t="s">
        <v>22</v>
      </c>
      <c r="J1512">
        <v>46</v>
      </c>
      <c r="K1512" t="s">
        <v>21</v>
      </c>
      <c r="L1512">
        <v>1</v>
      </c>
      <c r="M1512">
        <v>30</v>
      </c>
      <c r="N1512" s="1">
        <f t="shared" si="72"/>
        <v>30</v>
      </c>
    </row>
    <row r="1513" spans="5:14" x14ac:dyDescent="0.25">
      <c r="E1513">
        <v>1033</v>
      </c>
      <c r="F1513" s="7">
        <v>45509</v>
      </c>
      <c r="G1513">
        <f t="shared" si="70"/>
        <v>2024</v>
      </c>
      <c r="H1513" s="7" t="str">
        <f t="shared" si="71"/>
        <v>Август</v>
      </c>
      <c r="I1513" t="s">
        <v>22</v>
      </c>
      <c r="J1513">
        <v>48</v>
      </c>
      <c r="K1513" t="s">
        <v>21</v>
      </c>
      <c r="L1513">
        <v>3</v>
      </c>
      <c r="M1513">
        <v>436</v>
      </c>
      <c r="N1513" s="1">
        <f t="shared" si="72"/>
        <v>1308</v>
      </c>
    </row>
    <row r="1514" spans="5:14" x14ac:dyDescent="0.25">
      <c r="E1514">
        <v>1751</v>
      </c>
      <c r="F1514" s="7">
        <v>45404</v>
      </c>
      <c r="G1514">
        <f t="shared" si="70"/>
        <v>2024</v>
      </c>
      <c r="H1514" s="7" t="str">
        <f t="shared" si="71"/>
        <v>Апрель</v>
      </c>
      <c r="I1514" t="s">
        <v>22</v>
      </c>
      <c r="J1514">
        <v>62</v>
      </c>
      <c r="K1514" t="s">
        <v>23</v>
      </c>
      <c r="L1514">
        <v>3</v>
      </c>
      <c r="M1514">
        <v>227</v>
      </c>
      <c r="N1514" s="1">
        <f t="shared" si="72"/>
        <v>681</v>
      </c>
    </row>
    <row r="1515" spans="5:14" x14ac:dyDescent="0.25">
      <c r="E1515">
        <v>1077</v>
      </c>
      <c r="F1515" s="7">
        <v>45400</v>
      </c>
      <c r="G1515">
        <f t="shared" si="70"/>
        <v>2024</v>
      </c>
      <c r="H1515" s="7" t="str">
        <f t="shared" si="71"/>
        <v>Апрель</v>
      </c>
      <c r="I1515" t="s">
        <v>20</v>
      </c>
      <c r="J1515">
        <v>60</v>
      </c>
      <c r="K1515" t="s">
        <v>21</v>
      </c>
      <c r="L1515">
        <v>4</v>
      </c>
      <c r="M1515">
        <v>121</v>
      </c>
      <c r="N1515" s="1">
        <f t="shared" si="72"/>
        <v>484</v>
      </c>
    </row>
    <row r="1516" spans="5:14" x14ac:dyDescent="0.25">
      <c r="E1516">
        <v>1</v>
      </c>
      <c r="F1516" s="7">
        <v>45254</v>
      </c>
      <c r="G1516">
        <f t="shared" si="70"/>
        <v>2023</v>
      </c>
      <c r="H1516" s="7" t="str">
        <f t="shared" si="71"/>
        <v>Ноябрь</v>
      </c>
      <c r="I1516" t="s">
        <v>20</v>
      </c>
      <c r="J1516">
        <v>34</v>
      </c>
      <c r="K1516" t="s">
        <v>21</v>
      </c>
      <c r="L1516">
        <v>3</v>
      </c>
      <c r="M1516">
        <v>50</v>
      </c>
      <c r="N1516" s="1">
        <f t="shared" si="72"/>
        <v>150</v>
      </c>
    </row>
    <row r="1517" spans="5:14" x14ac:dyDescent="0.25">
      <c r="E1517">
        <v>1455</v>
      </c>
      <c r="F1517" s="7">
        <v>45610</v>
      </c>
      <c r="G1517">
        <f t="shared" si="70"/>
        <v>2024</v>
      </c>
      <c r="H1517" s="7" t="str">
        <f t="shared" si="71"/>
        <v>Ноябрь</v>
      </c>
      <c r="I1517" t="s">
        <v>22</v>
      </c>
      <c r="J1517">
        <v>28</v>
      </c>
      <c r="K1517" t="s">
        <v>24</v>
      </c>
      <c r="L1517">
        <v>4</v>
      </c>
      <c r="M1517">
        <v>163</v>
      </c>
      <c r="N1517" s="1">
        <f t="shared" si="72"/>
        <v>652</v>
      </c>
    </row>
    <row r="1518" spans="5:14" x14ac:dyDescent="0.25">
      <c r="E1518">
        <v>925</v>
      </c>
      <c r="F1518" s="7">
        <v>45101</v>
      </c>
      <c r="G1518">
        <f t="shared" si="70"/>
        <v>2023</v>
      </c>
      <c r="H1518" s="7" t="str">
        <f t="shared" si="71"/>
        <v>Июнь</v>
      </c>
      <c r="I1518" t="s">
        <v>20</v>
      </c>
      <c r="J1518">
        <v>43</v>
      </c>
      <c r="K1518" t="s">
        <v>24</v>
      </c>
      <c r="L1518">
        <v>4</v>
      </c>
      <c r="M1518">
        <v>500</v>
      </c>
      <c r="N1518" s="1">
        <f t="shared" si="72"/>
        <v>2000</v>
      </c>
    </row>
    <row r="1519" spans="5:14" x14ac:dyDescent="0.25">
      <c r="E1519">
        <v>24</v>
      </c>
      <c r="F1519" s="7">
        <v>45259</v>
      </c>
      <c r="G1519">
        <f t="shared" si="70"/>
        <v>2023</v>
      </c>
      <c r="H1519" s="7" t="str">
        <f t="shared" si="71"/>
        <v>Ноябрь</v>
      </c>
      <c r="I1519" t="s">
        <v>22</v>
      </c>
      <c r="J1519">
        <v>49</v>
      </c>
      <c r="K1519" t="s">
        <v>23</v>
      </c>
      <c r="L1519">
        <v>1</v>
      </c>
      <c r="M1519">
        <v>300</v>
      </c>
      <c r="N1519" s="1">
        <f t="shared" si="72"/>
        <v>300</v>
      </c>
    </row>
    <row r="1520" spans="5:14" x14ac:dyDescent="0.25">
      <c r="E1520">
        <v>1366</v>
      </c>
      <c r="F1520" s="7">
        <v>45611</v>
      </c>
      <c r="G1520">
        <f t="shared" si="70"/>
        <v>2024</v>
      </c>
      <c r="H1520" s="7" t="str">
        <f t="shared" si="71"/>
        <v>Ноябрь</v>
      </c>
      <c r="I1520" t="s">
        <v>20</v>
      </c>
      <c r="J1520">
        <v>18</v>
      </c>
      <c r="K1520" t="s">
        <v>24</v>
      </c>
      <c r="L1520">
        <v>7</v>
      </c>
      <c r="M1520">
        <v>31</v>
      </c>
      <c r="N1520" s="1">
        <f t="shared" si="72"/>
        <v>217</v>
      </c>
    </row>
    <row r="1521" spans="5:14" x14ac:dyDescent="0.25">
      <c r="E1521">
        <v>1922</v>
      </c>
      <c r="F1521" s="7">
        <v>45518</v>
      </c>
      <c r="G1521">
        <f t="shared" si="70"/>
        <v>2024</v>
      </c>
      <c r="H1521" s="7" t="str">
        <f t="shared" si="71"/>
        <v>Август</v>
      </c>
      <c r="I1521" t="s">
        <v>20</v>
      </c>
      <c r="J1521">
        <v>64</v>
      </c>
      <c r="K1521" t="s">
        <v>24</v>
      </c>
      <c r="L1521">
        <v>1</v>
      </c>
      <c r="M1521">
        <v>270</v>
      </c>
      <c r="N1521" s="1">
        <f t="shared" si="72"/>
        <v>270</v>
      </c>
    </row>
    <row r="1522" spans="5:14" x14ac:dyDescent="0.25">
      <c r="E1522">
        <v>1750</v>
      </c>
      <c r="F1522" s="7">
        <v>45581</v>
      </c>
      <c r="G1522">
        <f t="shared" si="70"/>
        <v>2024</v>
      </c>
      <c r="H1522" s="7" t="str">
        <f t="shared" si="71"/>
        <v>Октябрь</v>
      </c>
      <c r="I1522" t="s">
        <v>22</v>
      </c>
      <c r="J1522">
        <v>25</v>
      </c>
      <c r="K1522" t="s">
        <v>24</v>
      </c>
      <c r="L1522">
        <v>4</v>
      </c>
      <c r="M1522">
        <v>161</v>
      </c>
      <c r="N1522" s="1">
        <f t="shared" si="72"/>
        <v>644</v>
      </c>
    </row>
    <row r="1523" spans="5:14" x14ac:dyDescent="0.25">
      <c r="E1523">
        <v>1870</v>
      </c>
      <c r="F1523" s="7">
        <v>45469</v>
      </c>
      <c r="G1523">
        <f t="shared" si="70"/>
        <v>2024</v>
      </c>
      <c r="H1523" s="7" t="str">
        <f t="shared" si="71"/>
        <v>Июнь</v>
      </c>
      <c r="I1523" t="s">
        <v>20</v>
      </c>
      <c r="J1523">
        <v>37</v>
      </c>
      <c r="K1523" t="s">
        <v>21</v>
      </c>
      <c r="L1523">
        <v>4</v>
      </c>
      <c r="M1523">
        <v>18</v>
      </c>
      <c r="N1523" s="1">
        <f t="shared" si="72"/>
        <v>72</v>
      </c>
    </row>
    <row r="1524" spans="5:14" x14ac:dyDescent="0.25">
      <c r="E1524">
        <v>1551</v>
      </c>
      <c r="F1524" s="7">
        <v>45608</v>
      </c>
      <c r="G1524">
        <f t="shared" si="70"/>
        <v>2024</v>
      </c>
      <c r="H1524" s="7" t="str">
        <f t="shared" si="71"/>
        <v>Ноябрь</v>
      </c>
      <c r="I1524" t="s">
        <v>22</v>
      </c>
      <c r="J1524">
        <v>53</v>
      </c>
      <c r="K1524" t="s">
        <v>21</v>
      </c>
      <c r="L1524">
        <v>6</v>
      </c>
      <c r="M1524">
        <v>240</v>
      </c>
      <c r="N1524" s="1">
        <f t="shared" si="72"/>
        <v>1440</v>
      </c>
    </row>
    <row r="1525" spans="5:14" x14ac:dyDescent="0.25">
      <c r="E1525">
        <v>1410</v>
      </c>
      <c r="F1525" s="7">
        <v>45543</v>
      </c>
      <c r="G1525">
        <f t="shared" si="70"/>
        <v>2024</v>
      </c>
      <c r="H1525" s="7" t="str">
        <f t="shared" si="71"/>
        <v>Сентябрь</v>
      </c>
      <c r="I1525" t="s">
        <v>22</v>
      </c>
      <c r="J1525">
        <v>45</v>
      </c>
      <c r="K1525" t="s">
        <v>21</v>
      </c>
      <c r="L1525">
        <v>4</v>
      </c>
      <c r="M1525">
        <v>50</v>
      </c>
      <c r="N1525" s="1">
        <f t="shared" si="72"/>
        <v>200</v>
      </c>
    </row>
    <row r="1526" spans="5:14" x14ac:dyDescent="0.25">
      <c r="E1526">
        <v>112</v>
      </c>
      <c r="F1526" s="7">
        <v>45262</v>
      </c>
      <c r="G1526">
        <f t="shared" si="70"/>
        <v>2023</v>
      </c>
      <c r="H1526" s="7" t="str">
        <f t="shared" si="71"/>
        <v>Декабрь</v>
      </c>
      <c r="I1526" t="s">
        <v>20</v>
      </c>
      <c r="J1526">
        <v>37</v>
      </c>
      <c r="K1526" t="s">
        <v>23</v>
      </c>
      <c r="L1526">
        <v>3</v>
      </c>
      <c r="M1526">
        <v>500</v>
      </c>
      <c r="N1526" s="1">
        <f t="shared" si="72"/>
        <v>1500</v>
      </c>
    </row>
    <row r="1527" spans="5:14" x14ac:dyDescent="0.25">
      <c r="E1527">
        <v>814</v>
      </c>
      <c r="F1527" s="7">
        <v>45150</v>
      </c>
      <c r="G1527">
        <f t="shared" si="70"/>
        <v>2023</v>
      </c>
      <c r="H1527" s="7" t="str">
        <f t="shared" si="71"/>
        <v>Август</v>
      </c>
      <c r="I1527" t="s">
        <v>20</v>
      </c>
      <c r="J1527">
        <v>47</v>
      </c>
      <c r="K1527" t="s">
        <v>21</v>
      </c>
      <c r="L1527">
        <v>2</v>
      </c>
      <c r="M1527">
        <v>500</v>
      </c>
      <c r="N1527" s="1">
        <f t="shared" si="72"/>
        <v>1000</v>
      </c>
    </row>
    <row r="1528" spans="5:14" x14ac:dyDescent="0.25">
      <c r="E1528">
        <v>757</v>
      </c>
      <c r="F1528" s="7">
        <v>45115</v>
      </c>
      <c r="G1528">
        <f t="shared" si="70"/>
        <v>2023</v>
      </c>
      <c r="H1528" s="7" t="str">
        <f t="shared" si="71"/>
        <v>Июль</v>
      </c>
      <c r="I1528" t="s">
        <v>20</v>
      </c>
      <c r="J1528">
        <v>49</v>
      </c>
      <c r="K1528" t="s">
        <v>24</v>
      </c>
      <c r="L1528">
        <v>2</v>
      </c>
      <c r="M1528">
        <v>50</v>
      </c>
      <c r="N1528" s="1">
        <f t="shared" si="72"/>
        <v>100</v>
      </c>
    </row>
    <row r="1529" spans="5:14" x14ac:dyDescent="0.25">
      <c r="E1529">
        <v>195</v>
      </c>
      <c r="F1529" s="7">
        <v>44962</v>
      </c>
      <c r="G1529">
        <f t="shared" si="70"/>
        <v>2023</v>
      </c>
      <c r="H1529" s="7" t="str">
        <f t="shared" si="71"/>
        <v>Февраль</v>
      </c>
      <c r="I1529" t="s">
        <v>20</v>
      </c>
      <c r="J1529">
        <v>52</v>
      </c>
      <c r="K1529" t="s">
        <v>23</v>
      </c>
      <c r="L1529">
        <v>1</v>
      </c>
      <c r="M1529">
        <v>30</v>
      </c>
      <c r="N1529" s="1">
        <f t="shared" si="72"/>
        <v>30</v>
      </c>
    </row>
    <row r="1530" spans="5:14" x14ac:dyDescent="0.25">
      <c r="E1530">
        <v>400</v>
      </c>
      <c r="F1530" s="7">
        <v>45210</v>
      </c>
      <c r="G1530">
        <f t="shared" si="70"/>
        <v>2023</v>
      </c>
      <c r="H1530" s="7" t="str">
        <f t="shared" si="71"/>
        <v>Октябрь</v>
      </c>
      <c r="I1530" t="s">
        <v>22</v>
      </c>
      <c r="J1530">
        <v>62</v>
      </c>
      <c r="K1530" t="s">
        <v>23</v>
      </c>
      <c r="L1530">
        <v>1</v>
      </c>
      <c r="M1530">
        <v>300</v>
      </c>
      <c r="N1530" s="1">
        <f t="shared" si="72"/>
        <v>300</v>
      </c>
    </row>
    <row r="1531" spans="5:14" x14ac:dyDescent="0.25">
      <c r="E1531">
        <v>371</v>
      </c>
      <c r="F1531" s="7">
        <v>44964</v>
      </c>
      <c r="G1531">
        <f t="shared" si="70"/>
        <v>2023</v>
      </c>
      <c r="H1531" s="7" t="str">
        <f t="shared" si="71"/>
        <v>Февраль</v>
      </c>
      <c r="I1531" t="s">
        <v>22</v>
      </c>
      <c r="J1531">
        <v>24</v>
      </c>
      <c r="K1531" t="s">
        <v>21</v>
      </c>
      <c r="L1531">
        <v>3</v>
      </c>
      <c r="M1531">
        <v>500</v>
      </c>
      <c r="N1531" s="1">
        <f t="shared" si="72"/>
        <v>1500</v>
      </c>
    </row>
    <row r="1532" spans="5:14" x14ac:dyDescent="0.25">
      <c r="E1532">
        <v>1726</v>
      </c>
      <c r="F1532" s="7">
        <v>45508</v>
      </c>
      <c r="G1532">
        <f t="shared" si="70"/>
        <v>2024</v>
      </c>
      <c r="H1532" s="7" t="str">
        <f t="shared" si="71"/>
        <v>Август</v>
      </c>
      <c r="I1532" t="s">
        <v>22</v>
      </c>
      <c r="J1532">
        <v>61</v>
      </c>
      <c r="K1532" t="s">
        <v>23</v>
      </c>
      <c r="L1532">
        <v>2</v>
      </c>
      <c r="M1532">
        <v>13</v>
      </c>
      <c r="N1532" s="1">
        <f t="shared" si="72"/>
        <v>26</v>
      </c>
    </row>
    <row r="1533" spans="5:14" x14ac:dyDescent="0.25">
      <c r="E1533">
        <v>1139</v>
      </c>
      <c r="F1533" s="7">
        <v>45598</v>
      </c>
      <c r="G1533">
        <f t="shared" si="70"/>
        <v>2024</v>
      </c>
      <c r="H1533" s="7" t="str">
        <f t="shared" si="71"/>
        <v>Ноябрь</v>
      </c>
      <c r="I1533" t="s">
        <v>22</v>
      </c>
      <c r="J1533">
        <v>50</v>
      </c>
      <c r="K1533" t="s">
        <v>24</v>
      </c>
      <c r="L1533">
        <v>6</v>
      </c>
      <c r="M1533">
        <v>112</v>
      </c>
      <c r="N1533" s="1">
        <f t="shared" si="72"/>
        <v>672</v>
      </c>
    </row>
    <row r="1534" spans="5:14" x14ac:dyDescent="0.25">
      <c r="E1534">
        <v>1944</v>
      </c>
      <c r="F1534" s="7">
        <v>45578</v>
      </c>
      <c r="G1534">
        <f t="shared" si="70"/>
        <v>2024</v>
      </c>
      <c r="H1534" s="7" t="str">
        <f t="shared" si="71"/>
        <v>Октябрь</v>
      </c>
      <c r="I1534" t="s">
        <v>22</v>
      </c>
      <c r="J1534">
        <v>37</v>
      </c>
      <c r="K1534" t="s">
        <v>24</v>
      </c>
      <c r="L1534">
        <v>2</v>
      </c>
      <c r="M1534">
        <v>304</v>
      </c>
      <c r="N1534" s="1">
        <f t="shared" si="72"/>
        <v>608</v>
      </c>
    </row>
    <row r="1535" spans="5:14" x14ac:dyDescent="0.25">
      <c r="E1535">
        <v>1336</v>
      </c>
      <c r="F1535" s="7">
        <v>45354</v>
      </c>
      <c r="G1535">
        <f t="shared" si="70"/>
        <v>2024</v>
      </c>
      <c r="H1535" s="7" t="str">
        <f t="shared" si="71"/>
        <v>Март</v>
      </c>
      <c r="I1535" t="s">
        <v>22</v>
      </c>
      <c r="J1535">
        <v>62</v>
      </c>
      <c r="K1535" t="s">
        <v>24</v>
      </c>
      <c r="L1535">
        <v>2</v>
      </c>
      <c r="M1535">
        <v>432</v>
      </c>
      <c r="N1535" s="1">
        <f t="shared" si="72"/>
        <v>864</v>
      </c>
    </row>
    <row r="1536" spans="5:14" x14ac:dyDescent="0.25">
      <c r="E1536">
        <v>376</v>
      </c>
      <c r="F1536" s="7">
        <v>44994</v>
      </c>
      <c r="G1536">
        <f t="shared" si="70"/>
        <v>2023</v>
      </c>
      <c r="H1536" s="7" t="str">
        <f t="shared" si="71"/>
        <v>Март</v>
      </c>
      <c r="I1536" t="s">
        <v>22</v>
      </c>
      <c r="J1536">
        <v>46</v>
      </c>
      <c r="K1536" t="s">
        <v>23</v>
      </c>
      <c r="L1536">
        <v>4</v>
      </c>
      <c r="M1536">
        <v>50</v>
      </c>
      <c r="N1536" s="1">
        <f t="shared" si="72"/>
        <v>200</v>
      </c>
    </row>
    <row r="1537" spans="5:14" x14ac:dyDescent="0.25">
      <c r="E1537">
        <v>1985</v>
      </c>
      <c r="F1537" s="7">
        <v>45654</v>
      </c>
      <c r="G1537">
        <f t="shared" si="70"/>
        <v>2024</v>
      </c>
      <c r="H1537" s="7" t="str">
        <f t="shared" si="71"/>
        <v>Декабрь</v>
      </c>
      <c r="I1537" t="s">
        <v>22</v>
      </c>
      <c r="J1537">
        <v>23</v>
      </c>
      <c r="K1537" t="s">
        <v>24</v>
      </c>
      <c r="L1537">
        <v>7</v>
      </c>
      <c r="M1537">
        <v>104</v>
      </c>
      <c r="N1537" s="1">
        <f t="shared" si="72"/>
        <v>728</v>
      </c>
    </row>
    <row r="1538" spans="5:14" x14ac:dyDescent="0.25">
      <c r="E1538">
        <v>1636</v>
      </c>
      <c r="F1538" s="7">
        <v>45425</v>
      </c>
      <c r="G1538">
        <f t="shared" si="70"/>
        <v>2024</v>
      </c>
      <c r="H1538" s="7" t="str">
        <f t="shared" si="71"/>
        <v>Май</v>
      </c>
      <c r="I1538" t="s">
        <v>22</v>
      </c>
      <c r="J1538">
        <v>41</v>
      </c>
      <c r="K1538" t="s">
        <v>21</v>
      </c>
      <c r="L1538">
        <v>3</v>
      </c>
      <c r="M1538">
        <v>331</v>
      </c>
      <c r="N1538" s="1">
        <f t="shared" si="72"/>
        <v>993</v>
      </c>
    </row>
    <row r="1539" spans="5:14" x14ac:dyDescent="0.25">
      <c r="E1539">
        <v>382</v>
      </c>
      <c r="F1539" s="7">
        <v>45007</v>
      </c>
      <c r="G1539">
        <f t="shared" si="70"/>
        <v>2023</v>
      </c>
      <c r="H1539" s="7" t="str">
        <f t="shared" si="71"/>
        <v>Март</v>
      </c>
      <c r="I1539" t="s">
        <v>22</v>
      </c>
      <c r="J1539">
        <v>46</v>
      </c>
      <c r="K1539" t="s">
        <v>21</v>
      </c>
      <c r="L1539">
        <v>3</v>
      </c>
      <c r="M1539">
        <v>30</v>
      </c>
      <c r="N1539" s="1">
        <f t="shared" si="72"/>
        <v>90</v>
      </c>
    </row>
    <row r="1540" spans="5:14" x14ac:dyDescent="0.25">
      <c r="E1540">
        <v>209</v>
      </c>
      <c r="F1540" s="7">
        <v>45280</v>
      </c>
      <c r="G1540">
        <f t="shared" si="70"/>
        <v>2023</v>
      </c>
      <c r="H1540" s="7" t="str">
        <f t="shared" si="71"/>
        <v>Декабрь</v>
      </c>
      <c r="I1540" t="s">
        <v>22</v>
      </c>
      <c r="J1540">
        <v>30</v>
      </c>
      <c r="K1540" t="s">
        <v>24</v>
      </c>
      <c r="L1540">
        <v>4</v>
      </c>
      <c r="M1540">
        <v>50</v>
      </c>
      <c r="N1540" s="1">
        <f t="shared" si="72"/>
        <v>200</v>
      </c>
    </row>
    <row r="1541" spans="5:14" x14ac:dyDescent="0.25">
      <c r="E1541">
        <v>851</v>
      </c>
      <c r="F1541" s="7">
        <v>45050</v>
      </c>
      <c r="G1541">
        <f t="shared" si="70"/>
        <v>2023</v>
      </c>
      <c r="H1541" s="7" t="str">
        <f t="shared" si="71"/>
        <v>Май</v>
      </c>
      <c r="I1541" t="s">
        <v>20</v>
      </c>
      <c r="J1541">
        <v>21</v>
      </c>
      <c r="K1541" t="s">
        <v>21</v>
      </c>
      <c r="L1541">
        <v>2</v>
      </c>
      <c r="M1541">
        <v>500</v>
      </c>
      <c r="N1541" s="1">
        <f t="shared" si="72"/>
        <v>1000</v>
      </c>
    </row>
    <row r="1542" spans="5:14" x14ac:dyDescent="0.25">
      <c r="E1542">
        <v>404</v>
      </c>
      <c r="F1542" s="7">
        <v>45236</v>
      </c>
      <c r="G1542">
        <f t="shared" si="70"/>
        <v>2023</v>
      </c>
      <c r="H1542" s="7" t="str">
        <f t="shared" si="71"/>
        <v>Ноябрь</v>
      </c>
      <c r="I1542" t="s">
        <v>22</v>
      </c>
      <c r="J1542">
        <v>25</v>
      </c>
      <c r="K1542" t="s">
        <v>23</v>
      </c>
      <c r="L1542">
        <v>4</v>
      </c>
      <c r="M1542">
        <v>300</v>
      </c>
      <c r="N1542" s="1">
        <f t="shared" si="72"/>
        <v>1200</v>
      </c>
    </row>
    <row r="1543" spans="5:14" x14ac:dyDescent="0.25">
      <c r="E1543">
        <v>1943</v>
      </c>
      <c r="F1543" s="7">
        <v>45353</v>
      </c>
      <c r="G1543">
        <f t="shared" si="70"/>
        <v>2024</v>
      </c>
      <c r="H1543" s="7" t="str">
        <f t="shared" si="71"/>
        <v>Март</v>
      </c>
      <c r="I1543" t="s">
        <v>20</v>
      </c>
      <c r="J1543">
        <v>62</v>
      </c>
      <c r="K1543" t="s">
        <v>21</v>
      </c>
      <c r="L1543">
        <v>7</v>
      </c>
      <c r="M1543">
        <v>186</v>
      </c>
      <c r="N1543" s="1">
        <f t="shared" si="72"/>
        <v>1302</v>
      </c>
    </row>
    <row r="1544" spans="5:14" x14ac:dyDescent="0.25">
      <c r="E1544">
        <v>632</v>
      </c>
      <c r="F1544" s="7">
        <v>45145</v>
      </c>
      <c r="G1544">
        <f t="shared" si="70"/>
        <v>2023</v>
      </c>
      <c r="H1544" s="7" t="str">
        <f t="shared" si="71"/>
        <v>Август</v>
      </c>
      <c r="I1544" t="s">
        <v>20</v>
      </c>
      <c r="J1544">
        <v>39</v>
      </c>
      <c r="K1544" t="s">
        <v>21</v>
      </c>
      <c r="L1544">
        <v>4</v>
      </c>
      <c r="M1544">
        <v>30</v>
      </c>
      <c r="N1544" s="1">
        <f t="shared" si="72"/>
        <v>120</v>
      </c>
    </row>
    <row r="1545" spans="5:14" x14ac:dyDescent="0.25">
      <c r="E1545">
        <v>1555</v>
      </c>
      <c r="F1545" s="7">
        <v>45573</v>
      </c>
      <c r="G1545">
        <f t="shared" si="70"/>
        <v>2024</v>
      </c>
      <c r="H1545" s="7" t="str">
        <f t="shared" si="71"/>
        <v>Октябрь</v>
      </c>
      <c r="I1545" t="s">
        <v>22</v>
      </c>
      <c r="J1545">
        <v>47</v>
      </c>
      <c r="K1545" t="s">
        <v>23</v>
      </c>
      <c r="L1545">
        <v>1</v>
      </c>
      <c r="M1545">
        <v>207</v>
      </c>
      <c r="N1545" s="1">
        <f t="shared" si="72"/>
        <v>207</v>
      </c>
    </row>
    <row r="1546" spans="5:14" x14ac:dyDescent="0.25">
      <c r="E1546">
        <v>651</v>
      </c>
      <c r="F1546" s="7">
        <v>45066</v>
      </c>
      <c r="G1546">
        <f t="shared" ref="G1546:G1609" si="73">YEAR(F1546)</f>
        <v>2023</v>
      </c>
      <c r="H1546" s="7" t="str">
        <f t="shared" ref="H1546:H1609" si="74">TEXT(F1546,"ММММ")</f>
        <v>Май</v>
      </c>
      <c r="I1546" t="s">
        <v>20</v>
      </c>
      <c r="J1546">
        <v>54</v>
      </c>
      <c r="K1546" t="s">
        <v>23</v>
      </c>
      <c r="L1546">
        <v>3</v>
      </c>
      <c r="M1546">
        <v>25</v>
      </c>
      <c r="N1546" s="1">
        <f t="shared" ref="N1546:N1609" si="75">L1546*M1546</f>
        <v>75</v>
      </c>
    </row>
    <row r="1547" spans="5:14" x14ac:dyDescent="0.25">
      <c r="E1547">
        <v>1205</v>
      </c>
      <c r="F1547" s="7">
        <v>45401</v>
      </c>
      <c r="G1547">
        <f t="shared" si="73"/>
        <v>2024</v>
      </c>
      <c r="H1547" s="7" t="str">
        <f t="shared" si="74"/>
        <v>Апрель</v>
      </c>
      <c r="I1547" t="s">
        <v>22</v>
      </c>
      <c r="J1547">
        <v>26</v>
      </c>
      <c r="K1547" t="s">
        <v>21</v>
      </c>
      <c r="L1547">
        <v>7</v>
      </c>
      <c r="M1547">
        <v>366</v>
      </c>
      <c r="N1547" s="1">
        <f t="shared" si="75"/>
        <v>2562</v>
      </c>
    </row>
    <row r="1548" spans="5:14" x14ac:dyDescent="0.25">
      <c r="E1548">
        <v>1104</v>
      </c>
      <c r="F1548" s="7">
        <v>45430</v>
      </c>
      <c r="G1548">
        <f t="shared" si="73"/>
        <v>2024</v>
      </c>
      <c r="H1548" s="7" t="str">
        <f t="shared" si="74"/>
        <v>Май</v>
      </c>
      <c r="I1548" t="s">
        <v>22</v>
      </c>
      <c r="J1548">
        <v>50</v>
      </c>
      <c r="K1548" t="s">
        <v>23</v>
      </c>
      <c r="L1548">
        <v>7</v>
      </c>
      <c r="M1548">
        <v>90</v>
      </c>
      <c r="N1548" s="1">
        <f t="shared" si="75"/>
        <v>630</v>
      </c>
    </row>
    <row r="1549" spans="5:14" x14ac:dyDescent="0.25">
      <c r="E1549">
        <v>1898</v>
      </c>
      <c r="F1549" s="7">
        <v>45444</v>
      </c>
      <c r="G1549">
        <f t="shared" si="73"/>
        <v>2024</v>
      </c>
      <c r="H1549" s="7" t="str">
        <f t="shared" si="74"/>
        <v>Июнь</v>
      </c>
      <c r="I1549" t="s">
        <v>22</v>
      </c>
      <c r="J1549">
        <v>31</v>
      </c>
      <c r="K1549" t="s">
        <v>21</v>
      </c>
      <c r="L1549">
        <v>2</v>
      </c>
      <c r="M1549">
        <v>298</v>
      </c>
      <c r="N1549" s="1">
        <f t="shared" si="75"/>
        <v>596</v>
      </c>
    </row>
    <row r="1550" spans="5:14" x14ac:dyDescent="0.25">
      <c r="E1550">
        <v>709</v>
      </c>
      <c r="F1550" s="7">
        <v>45215</v>
      </c>
      <c r="G1550">
        <f t="shared" si="73"/>
        <v>2023</v>
      </c>
      <c r="H1550" s="7" t="str">
        <f t="shared" si="74"/>
        <v>Октябрь</v>
      </c>
      <c r="I1550" t="s">
        <v>20</v>
      </c>
      <c r="J1550">
        <v>26</v>
      </c>
      <c r="K1550" t="s">
        <v>24</v>
      </c>
      <c r="L1550">
        <v>3</v>
      </c>
      <c r="M1550">
        <v>500</v>
      </c>
      <c r="N1550" s="1">
        <f t="shared" si="75"/>
        <v>1500</v>
      </c>
    </row>
    <row r="1551" spans="5:14" x14ac:dyDescent="0.25">
      <c r="E1551">
        <v>734</v>
      </c>
      <c r="F1551" s="7">
        <v>44953</v>
      </c>
      <c r="G1551">
        <f t="shared" si="73"/>
        <v>2023</v>
      </c>
      <c r="H1551" s="7" t="str">
        <f t="shared" si="74"/>
        <v>Январь</v>
      </c>
      <c r="I1551" t="s">
        <v>20</v>
      </c>
      <c r="J1551">
        <v>29</v>
      </c>
      <c r="K1551" t="s">
        <v>23</v>
      </c>
      <c r="L1551">
        <v>4</v>
      </c>
      <c r="M1551">
        <v>25</v>
      </c>
      <c r="N1551" s="1">
        <f t="shared" si="75"/>
        <v>100</v>
      </c>
    </row>
    <row r="1552" spans="5:14" x14ac:dyDescent="0.25">
      <c r="E1552">
        <v>1796</v>
      </c>
      <c r="F1552" s="7">
        <v>45346</v>
      </c>
      <c r="G1552">
        <f t="shared" si="73"/>
        <v>2024</v>
      </c>
      <c r="H1552" s="7" t="str">
        <f t="shared" si="74"/>
        <v>Февраль</v>
      </c>
      <c r="I1552" t="s">
        <v>20</v>
      </c>
      <c r="J1552">
        <v>35</v>
      </c>
      <c r="K1552" t="s">
        <v>23</v>
      </c>
      <c r="L1552">
        <v>2</v>
      </c>
      <c r="M1552">
        <v>231</v>
      </c>
      <c r="N1552" s="1">
        <f t="shared" si="75"/>
        <v>462</v>
      </c>
    </row>
    <row r="1553" spans="5:14" x14ac:dyDescent="0.25">
      <c r="E1553">
        <v>426</v>
      </c>
      <c r="F1553" s="7">
        <v>45153</v>
      </c>
      <c r="G1553">
        <f t="shared" si="73"/>
        <v>2023</v>
      </c>
      <c r="H1553" s="7" t="str">
        <f t="shared" si="74"/>
        <v>Август</v>
      </c>
      <c r="I1553" t="s">
        <v>20</v>
      </c>
      <c r="J1553">
        <v>25</v>
      </c>
      <c r="K1553" t="s">
        <v>24</v>
      </c>
      <c r="L1553">
        <v>1</v>
      </c>
      <c r="M1553">
        <v>25</v>
      </c>
      <c r="N1553" s="1">
        <f t="shared" si="75"/>
        <v>25</v>
      </c>
    </row>
    <row r="1554" spans="5:14" x14ac:dyDescent="0.25">
      <c r="E1554">
        <v>982</v>
      </c>
      <c r="F1554" s="7">
        <v>45167</v>
      </c>
      <c r="G1554">
        <f t="shared" si="73"/>
        <v>2023</v>
      </c>
      <c r="H1554" s="7" t="str">
        <f t="shared" si="74"/>
        <v>Август</v>
      </c>
      <c r="I1554" t="s">
        <v>20</v>
      </c>
      <c r="J1554">
        <v>56</v>
      </c>
      <c r="K1554" t="s">
        <v>23</v>
      </c>
      <c r="L1554">
        <v>1</v>
      </c>
      <c r="M1554">
        <v>500</v>
      </c>
      <c r="N1554" s="1">
        <f t="shared" si="75"/>
        <v>500</v>
      </c>
    </row>
    <row r="1555" spans="5:14" x14ac:dyDescent="0.25">
      <c r="E1555">
        <v>728</v>
      </c>
      <c r="F1555" s="7">
        <v>45142</v>
      </c>
      <c r="G1555">
        <f t="shared" si="73"/>
        <v>2023</v>
      </c>
      <c r="H1555" s="7" t="str">
        <f t="shared" si="74"/>
        <v>Август</v>
      </c>
      <c r="I1555" t="s">
        <v>22</v>
      </c>
      <c r="J1555">
        <v>36</v>
      </c>
      <c r="K1555" t="s">
        <v>23</v>
      </c>
      <c r="L1555">
        <v>2</v>
      </c>
      <c r="M1555">
        <v>25</v>
      </c>
      <c r="N1555" s="1">
        <f t="shared" si="75"/>
        <v>50</v>
      </c>
    </row>
    <row r="1556" spans="5:14" x14ac:dyDescent="0.25">
      <c r="E1556">
        <v>1439</v>
      </c>
      <c r="F1556" s="7">
        <v>45368</v>
      </c>
      <c r="G1556">
        <f t="shared" si="73"/>
        <v>2024</v>
      </c>
      <c r="H1556" s="7" t="str">
        <f t="shared" si="74"/>
        <v>Март</v>
      </c>
      <c r="I1556" t="s">
        <v>22</v>
      </c>
      <c r="J1556">
        <v>23</v>
      </c>
      <c r="K1556" t="s">
        <v>23</v>
      </c>
      <c r="L1556">
        <v>3</v>
      </c>
      <c r="M1556">
        <v>377</v>
      </c>
      <c r="N1556" s="1">
        <f t="shared" si="75"/>
        <v>1131</v>
      </c>
    </row>
    <row r="1557" spans="5:14" x14ac:dyDescent="0.25">
      <c r="E1557">
        <v>418</v>
      </c>
      <c r="F1557" s="7">
        <v>45068</v>
      </c>
      <c r="G1557">
        <f t="shared" si="73"/>
        <v>2023</v>
      </c>
      <c r="H1557" s="7" t="str">
        <f t="shared" si="74"/>
        <v>Май</v>
      </c>
      <c r="I1557" t="s">
        <v>22</v>
      </c>
      <c r="J1557">
        <v>44</v>
      </c>
      <c r="K1557" t="s">
        <v>23</v>
      </c>
      <c r="L1557">
        <v>3</v>
      </c>
      <c r="M1557">
        <v>30</v>
      </c>
      <c r="N1557" s="1">
        <f t="shared" si="75"/>
        <v>90</v>
      </c>
    </row>
    <row r="1558" spans="5:14" x14ac:dyDescent="0.25">
      <c r="E1558">
        <v>817</v>
      </c>
      <c r="F1558" s="7">
        <v>45092</v>
      </c>
      <c r="G1558">
        <f t="shared" si="73"/>
        <v>2023</v>
      </c>
      <c r="H1558" s="7" t="str">
        <f t="shared" si="74"/>
        <v>Июнь</v>
      </c>
      <c r="I1558" t="s">
        <v>22</v>
      </c>
      <c r="J1558">
        <v>35</v>
      </c>
      <c r="K1558" t="s">
        <v>21</v>
      </c>
      <c r="L1558">
        <v>2</v>
      </c>
      <c r="M1558">
        <v>50</v>
      </c>
      <c r="N1558" s="1">
        <f t="shared" si="75"/>
        <v>100</v>
      </c>
    </row>
    <row r="1559" spans="5:14" x14ac:dyDescent="0.25">
      <c r="E1559">
        <v>1901</v>
      </c>
      <c r="F1559" s="7">
        <v>45384</v>
      </c>
      <c r="G1559">
        <f t="shared" si="73"/>
        <v>2024</v>
      </c>
      <c r="H1559" s="7" t="str">
        <f t="shared" si="74"/>
        <v>Апрель</v>
      </c>
      <c r="I1559" t="s">
        <v>20</v>
      </c>
      <c r="J1559">
        <v>52</v>
      </c>
      <c r="K1559" t="s">
        <v>21</v>
      </c>
      <c r="L1559">
        <v>3</v>
      </c>
      <c r="M1559">
        <v>298</v>
      </c>
      <c r="N1559" s="1">
        <f t="shared" si="75"/>
        <v>894</v>
      </c>
    </row>
    <row r="1560" spans="5:14" x14ac:dyDescent="0.25">
      <c r="E1560">
        <v>1890</v>
      </c>
      <c r="F1560" s="7">
        <v>45540</v>
      </c>
      <c r="G1560">
        <f t="shared" si="73"/>
        <v>2024</v>
      </c>
      <c r="H1560" s="7" t="str">
        <f t="shared" si="74"/>
        <v>Сентябрь</v>
      </c>
      <c r="I1560" t="s">
        <v>20</v>
      </c>
      <c r="J1560">
        <v>63</v>
      </c>
      <c r="K1560" t="s">
        <v>24</v>
      </c>
      <c r="L1560">
        <v>5</v>
      </c>
      <c r="M1560">
        <v>467</v>
      </c>
      <c r="N1560" s="1">
        <f t="shared" si="75"/>
        <v>2335</v>
      </c>
    </row>
    <row r="1561" spans="5:14" x14ac:dyDescent="0.25">
      <c r="E1561">
        <v>1098</v>
      </c>
      <c r="F1561" s="7">
        <v>45459</v>
      </c>
      <c r="G1561">
        <f t="shared" si="73"/>
        <v>2024</v>
      </c>
      <c r="H1561" s="7" t="str">
        <f t="shared" si="74"/>
        <v>Июнь</v>
      </c>
      <c r="I1561" t="s">
        <v>20</v>
      </c>
      <c r="J1561">
        <v>27</v>
      </c>
      <c r="K1561" t="s">
        <v>24</v>
      </c>
      <c r="L1561">
        <v>6</v>
      </c>
      <c r="M1561">
        <v>96</v>
      </c>
      <c r="N1561" s="1">
        <f t="shared" si="75"/>
        <v>576</v>
      </c>
    </row>
    <row r="1562" spans="5:14" x14ac:dyDescent="0.25">
      <c r="E1562">
        <v>1833</v>
      </c>
      <c r="F1562" s="7">
        <v>45474</v>
      </c>
      <c r="G1562">
        <f t="shared" si="73"/>
        <v>2024</v>
      </c>
      <c r="H1562" s="7" t="str">
        <f t="shared" si="74"/>
        <v>Июль</v>
      </c>
      <c r="I1562" t="s">
        <v>20</v>
      </c>
      <c r="J1562">
        <v>65</v>
      </c>
      <c r="K1562" t="s">
        <v>21</v>
      </c>
      <c r="L1562">
        <v>4</v>
      </c>
      <c r="M1562">
        <v>24</v>
      </c>
      <c r="N1562" s="1">
        <f t="shared" si="75"/>
        <v>96</v>
      </c>
    </row>
    <row r="1563" spans="5:14" x14ac:dyDescent="0.25">
      <c r="E1563">
        <v>1589</v>
      </c>
      <c r="F1563" s="7">
        <v>45315</v>
      </c>
      <c r="G1563">
        <f t="shared" si="73"/>
        <v>2024</v>
      </c>
      <c r="H1563" s="7" t="str">
        <f t="shared" si="74"/>
        <v>Январь</v>
      </c>
      <c r="I1563" t="s">
        <v>22</v>
      </c>
      <c r="J1563">
        <v>54</v>
      </c>
      <c r="K1563" t="s">
        <v>21</v>
      </c>
      <c r="L1563">
        <v>7</v>
      </c>
      <c r="M1563">
        <v>320</v>
      </c>
      <c r="N1563" s="1">
        <f t="shared" si="75"/>
        <v>2240</v>
      </c>
    </row>
    <row r="1564" spans="5:14" x14ac:dyDescent="0.25">
      <c r="E1564">
        <v>1899</v>
      </c>
      <c r="F1564" s="7">
        <v>45409</v>
      </c>
      <c r="G1564">
        <f t="shared" si="73"/>
        <v>2024</v>
      </c>
      <c r="H1564" s="7" t="str">
        <f t="shared" si="74"/>
        <v>Апрель</v>
      </c>
      <c r="I1564" t="s">
        <v>22</v>
      </c>
      <c r="J1564">
        <v>53</v>
      </c>
      <c r="K1564" t="s">
        <v>21</v>
      </c>
      <c r="L1564">
        <v>2</v>
      </c>
      <c r="M1564">
        <v>70</v>
      </c>
      <c r="N1564" s="1">
        <f t="shared" si="75"/>
        <v>140</v>
      </c>
    </row>
    <row r="1565" spans="5:14" x14ac:dyDescent="0.25">
      <c r="E1565">
        <v>789</v>
      </c>
      <c r="F1565" s="7">
        <v>45265</v>
      </c>
      <c r="G1565">
        <f t="shared" si="73"/>
        <v>2023</v>
      </c>
      <c r="H1565" s="7" t="str">
        <f t="shared" si="74"/>
        <v>Декабрь</v>
      </c>
      <c r="I1565" t="s">
        <v>22</v>
      </c>
      <c r="J1565">
        <v>51</v>
      </c>
      <c r="K1565" t="s">
        <v>21</v>
      </c>
      <c r="L1565">
        <v>1</v>
      </c>
      <c r="M1565">
        <v>25</v>
      </c>
      <c r="N1565" s="1">
        <f t="shared" si="75"/>
        <v>25</v>
      </c>
    </row>
    <row r="1566" spans="5:14" x14ac:dyDescent="0.25">
      <c r="E1566">
        <v>1536</v>
      </c>
      <c r="F1566" s="7">
        <v>45451</v>
      </c>
      <c r="G1566">
        <f t="shared" si="73"/>
        <v>2024</v>
      </c>
      <c r="H1566" s="7" t="str">
        <f t="shared" si="74"/>
        <v>Июнь</v>
      </c>
      <c r="I1566" t="s">
        <v>20</v>
      </c>
      <c r="J1566">
        <v>44</v>
      </c>
      <c r="K1566" t="s">
        <v>21</v>
      </c>
      <c r="L1566">
        <v>3</v>
      </c>
      <c r="M1566">
        <v>108</v>
      </c>
      <c r="N1566" s="1">
        <f t="shared" si="75"/>
        <v>324</v>
      </c>
    </row>
    <row r="1567" spans="5:14" x14ac:dyDescent="0.25">
      <c r="E1567">
        <v>334</v>
      </c>
      <c r="F1567" s="7">
        <v>44961</v>
      </c>
      <c r="G1567">
        <f t="shared" si="73"/>
        <v>2023</v>
      </c>
      <c r="H1567" s="7" t="str">
        <f t="shared" si="74"/>
        <v>Февраль</v>
      </c>
      <c r="I1567" t="s">
        <v>22</v>
      </c>
      <c r="J1567">
        <v>47</v>
      </c>
      <c r="K1567" t="s">
        <v>21</v>
      </c>
      <c r="L1567">
        <v>4</v>
      </c>
      <c r="M1567">
        <v>30</v>
      </c>
      <c r="N1567" s="1">
        <f t="shared" si="75"/>
        <v>120</v>
      </c>
    </row>
    <row r="1568" spans="5:14" x14ac:dyDescent="0.25">
      <c r="E1568">
        <v>275</v>
      </c>
      <c r="F1568" s="7">
        <v>45201</v>
      </c>
      <c r="G1568">
        <f t="shared" si="73"/>
        <v>2023</v>
      </c>
      <c r="H1568" s="7" t="str">
        <f t="shared" si="74"/>
        <v>Октябрь</v>
      </c>
      <c r="I1568" t="s">
        <v>22</v>
      </c>
      <c r="J1568">
        <v>21</v>
      </c>
      <c r="K1568" t="s">
        <v>21</v>
      </c>
      <c r="L1568">
        <v>4</v>
      </c>
      <c r="M1568">
        <v>25</v>
      </c>
      <c r="N1568" s="1">
        <f t="shared" si="75"/>
        <v>100</v>
      </c>
    </row>
    <row r="1569" spans="5:14" x14ac:dyDescent="0.25">
      <c r="E1569">
        <v>1543</v>
      </c>
      <c r="F1569" s="7">
        <v>45576</v>
      </c>
      <c r="G1569">
        <f t="shared" si="73"/>
        <v>2024</v>
      </c>
      <c r="H1569" s="7" t="str">
        <f t="shared" si="74"/>
        <v>Октябрь</v>
      </c>
      <c r="I1569" t="s">
        <v>22</v>
      </c>
      <c r="J1569">
        <v>27</v>
      </c>
      <c r="K1569" t="s">
        <v>24</v>
      </c>
      <c r="L1569">
        <v>1</v>
      </c>
      <c r="M1569">
        <v>204</v>
      </c>
      <c r="N1569" s="1">
        <f t="shared" si="75"/>
        <v>204</v>
      </c>
    </row>
    <row r="1570" spans="5:14" x14ac:dyDescent="0.25">
      <c r="E1570">
        <v>602</v>
      </c>
      <c r="F1570" s="7">
        <v>45123</v>
      </c>
      <c r="G1570">
        <f t="shared" si="73"/>
        <v>2023</v>
      </c>
      <c r="H1570" s="7" t="str">
        <f t="shared" si="74"/>
        <v>Июль</v>
      </c>
      <c r="I1570" t="s">
        <v>22</v>
      </c>
      <c r="J1570">
        <v>40</v>
      </c>
      <c r="K1570" t="s">
        <v>23</v>
      </c>
      <c r="L1570">
        <v>3</v>
      </c>
      <c r="M1570">
        <v>30</v>
      </c>
      <c r="N1570" s="1">
        <f t="shared" si="75"/>
        <v>90</v>
      </c>
    </row>
    <row r="1571" spans="5:14" x14ac:dyDescent="0.25">
      <c r="E1571">
        <v>468</v>
      </c>
      <c r="F1571" s="7">
        <v>45054</v>
      </c>
      <c r="G1571">
        <f t="shared" si="73"/>
        <v>2023</v>
      </c>
      <c r="H1571" s="7" t="str">
        <f t="shared" si="74"/>
        <v>Май</v>
      </c>
      <c r="I1571" t="s">
        <v>20</v>
      </c>
      <c r="J1571">
        <v>18</v>
      </c>
      <c r="K1571" t="s">
        <v>21</v>
      </c>
      <c r="L1571">
        <v>3</v>
      </c>
      <c r="M1571">
        <v>25</v>
      </c>
      <c r="N1571" s="1">
        <f t="shared" si="75"/>
        <v>75</v>
      </c>
    </row>
    <row r="1572" spans="5:14" x14ac:dyDescent="0.25">
      <c r="E1572">
        <v>894</v>
      </c>
      <c r="F1572" s="7">
        <v>45228</v>
      </c>
      <c r="G1572">
        <f t="shared" si="73"/>
        <v>2023</v>
      </c>
      <c r="H1572" s="7" t="str">
        <f t="shared" si="74"/>
        <v>Октябрь</v>
      </c>
      <c r="I1572" t="s">
        <v>22</v>
      </c>
      <c r="J1572">
        <v>30</v>
      </c>
      <c r="K1572" t="s">
        <v>24</v>
      </c>
      <c r="L1572">
        <v>2</v>
      </c>
      <c r="M1572">
        <v>25</v>
      </c>
      <c r="N1572" s="1">
        <f t="shared" si="75"/>
        <v>50</v>
      </c>
    </row>
    <row r="1573" spans="5:14" x14ac:dyDescent="0.25">
      <c r="E1573">
        <v>1533</v>
      </c>
      <c r="F1573" s="7">
        <v>45356</v>
      </c>
      <c r="G1573">
        <f t="shared" si="73"/>
        <v>2024</v>
      </c>
      <c r="H1573" s="7" t="str">
        <f t="shared" si="74"/>
        <v>Март</v>
      </c>
      <c r="I1573" t="s">
        <v>22</v>
      </c>
      <c r="J1573">
        <v>42</v>
      </c>
      <c r="K1573" t="s">
        <v>21</v>
      </c>
      <c r="L1573">
        <v>4</v>
      </c>
      <c r="M1573">
        <v>129</v>
      </c>
      <c r="N1573" s="1">
        <f t="shared" si="75"/>
        <v>516</v>
      </c>
    </row>
    <row r="1574" spans="5:14" x14ac:dyDescent="0.25">
      <c r="E1574">
        <v>1878</v>
      </c>
      <c r="F1574" s="7">
        <v>45449</v>
      </c>
      <c r="G1574">
        <f t="shared" si="73"/>
        <v>2024</v>
      </c>
      <c r="H1574" s="7" t="str">
        <f t="shared" si="74"/>
        <v>Июнь</v>
      </c>
      <c r="I1574" t="s">
        <v>22</v>
      </c>
      <c r="J1574">
        <v>49</v>
      </c>
      <c r="K1574" t="s">
        <v>24</v>
      </c>
      <c r="L1574">
        <v>6</v>
      </c>
      <c r="M1574">
        <v>496</v>
      </c>
      <c r="N1574" s="1">
        <f t="shared" si="75"/>
        <v>2976</v>
      </c>
    </row>
    <row r="1575" spans="5:14" x14ac:dyDescent="0.25">
      <c r="E1575">
        <v>1480</v>
      </c>
      <c r="F1575" s="7">
        <v>45407</v>
      </c>
      <c r="G1575">
        <f t="shared" si="73"/>
        <v>2024</v>
      </c>
      <c r="H1575" s="7" t="str">
        <f t="shared" si="74"/>
        <v>Апрель</v>
      </c>
      <c r="I1575" t="s">
        <v>20</v>
      </c>
      <c r="J1575">
        <v>37</v>
      </c>
      <c r="K1575" t="s">
        <v>23</v>
      </c>
      <c r="L1575">
        <v>7</v>
      </c>
      <c r="M1575">
        <v>370</v>
      </c>
      <c r="N1575" s="1">
        <f t="shared" si="75"/>
        <v>2590</v>
      </c>
    </row>
    <row r="1576" spans="5:14" x14ac:dyDescent="0.25">
      <c r="E1576">
        <v>215</v>
      </c>
      <c r="F1576" s="7">
        <v>45118</v>
      </c>
      <c r="G1576">
        <f t="shared" si="73"/>
        <v>2023</v>
      </c>
      <c r="H1576" s="7" t="str">
        <f t="shared" si="74"/>
        <v>Июль</v>
      </c>
      <c r="I1576" t="s">
        <v>20</v>
      </c>
      <c r="J1576">
        <v>62</v>
      </c>
      <c r="K1576" t="s">
        <v>24</v>
      </c>
      <c r="L1576">
        <v>2</v>
      </c>
      <c r="M1576">
        <v>50</v>
      </c>
      <c r="N1576" s="1">
        <f t="shared" si="75"/>
        <v>100</v>
      </c>
    </row>
    <row r="1577" spans="5:14" x14ac:dyDescent="0.25">
      <c r="E1577">
        <v>1513</v>
      </c>
      <c r="F1577" s="7">
        <v>45588</v>
      </c>
      <c r="G1577">
        <f t="shared" si="73"/>
        <v>2024</v>
      </c>
      <c r="H1577" s="7" t="str">
        <f t="shared" si="74"/>
        <v>Октябрь</v>
      </c>
      <c r="I1577" t="s">
        <v>20</v>
      </c>
      <c r="J1577">
        <v>49</v>
      </c>
      <c r="K1577" t="s">
        <v>21</v>
      </c>
      <c r="L1577">
        <v>1</v>
      </c>
      <c r="M1577">
        <v>151</v>
      </c>
      <c r="N1577" s="1">
        <f t="shared" si="75"/>
        <v>151</v>
      </c>
    </row>
    <row r="1578" spans="5:14" x14ac:dyDescent="0.25">
      <c r="E1578">
        <v>1588</v>
      </c>
      <c r="F1578" s="7">
        <v>45304</v>
      </c>
      <c r="G1578">
        <f t="shared" si="73"/>
        <v>2024</v>
      </c>
      <c r="H1578" s="7" t="str">
        <f t="shared" si="74"/>
        <v>Январь</v>
      </c>
      <c r="I1578" t="s">
        <v>20</v>
      </c>
      <c r="J1578">
        <v>33</v>
      </c>
      <c r="K1578" t="s">
        <v>24</v>
      </c>
      <c r="L1578">
        <v>6</v>
      </c>
      <c r="M1578">
        <v>252</v>
      </c>
      <c r="N1578" s="1">
        <f t="shared" si="75"/>
        <v>1512</v>
      </c>
    </row>
    <row r="1579" spans="5:14" x14ac:dyDescent="0.25">
      <c r="E1579">
        <v>170</v>
      </c>
      <c r="F1579" s="7">
        <v>45079</v>
      </c>
      <c r="G1579">
        <f t="shared" si="73"/>
        <v>2023</v>
      </c>
      <c r="H1579" s="7" t="str">
        <f t="shared" si="74"/>
        <v>Июнь</v>
      </c>
      <c r="I1579" t="s">
        <v>22</v>
      </c>
      <c r="J1579">
        <v>25</v>
      </c>
      <c r="K1579" t="s">
        <v>23</v>
      </c>
      <c r="L1579">
        <v>2</v>
      </c>
      <c r="M1579">
        <v>25</v>
      </c>
      <c r="N1579" s="1">
        <f t="shared" si="75"/>
        <v>50</v>
      </c>
    </row>
    <row r="1580" spans="5:14" x14ac:dyDescent="0.25">
      <c r="E1580">
        <v>744</v>
      </c>
      <c r="F1580" s="7">
        <v>44937</v>
      </c>
      <c r="G1580">
        <f t="shared" si="73"/>
        <v>2023</v>
      </c>
      <c r="H1580" s="7" t="str">
        <f t="shared" si="74"/>
        <v>Январь</v>
      </c>
      <c r="I1580" t="s">
        <v>22</v>
      </c>
      <c r="J1580">
        <v>33</v>
      </c>
      <c r="K1580" t="s">
        <v>23</v>
      </c>
      <c r="L1580">
        <v>3</v>
      </c>
      <c r="M1580">
        <v>30</v>
      </c>
      <c r="N1580" s="1">
        <f t="shared" si="75"/>
        <v>90</v>
      </c>
    </row>
    <row r="1581" spans="5:14" x14ac:dyDescent="0.25">
      <c r="E1581">
        <v>108</v>
      </c>
      <c r="F1581" s="7">
        <v>45035</v>
      </c>
      <c r="G1581">
        <f t="shared" si="73"/>
        <v>2023</v>
      </c>
      <c r="H1581" s="7" t="str">
        <f t="shared" si="74"/>
        <v>Апрель</v>
      </c>
      <c r="I1581" t="s">
        <v>22</v>
      </c>
      <c r="J1581">
        <v>27</v>
      </c>
      <c r="K1581" t="s">
        <v>21</v>
      </c>
      <c r="L1581">
        <v>3</v>
      </c>
      <c r="M1581">
        <v>25</v>
      </c>
      <c r="N1581" s="1">
        <f t="shared" si="75"/>
        <v>75</v>
      </c>
    </row>
    <row r="1582" spans="5:14" x14ac:dyDescent="0.25">
      <c r="E1582">
        <v>558</v>
      </c>
      <c r="F1582" s="7">
        <v>44927</v>
      </c>
      <c r="G1582">
        <f t="shared" si="73"/>
        <v>2023</v>
      </c>
      <c r="H1582" s="7" t="str">
        <f t="shared" si="74"/>
        <v>Январь</v>
      </c>
      <c r="I1582" t="s">
        <v>22</v>
      </c>
      <c r="J1582">
        <v>40</v>
      </c>
      <c r="K1582" t="s">
        <v>23</v>
      </c>
      <c r="L1582">
        <v>4</v>
      </c>
      <c r="M1582">
        <v>300</v>
      </c>
      <c r="N1582" s="1">
        <f t="shared" si="75"/>
        <v>1200</v>
      </c>
    </row>
    <row r="1583" spans="5:14" x14ac:dyDescent="0.25">
      <c r="E1583">
        <v>1075</v>
      </c>
      <c r="F1583" s="7">
        <v>45482</v>
      </c>
      <c r="G1583">
        <f t="shared" si="73"/>
        <v>2024</v>
      </c>
      <c r="H1583" s="7" t="str">
        <f t="shared" si="74"/>
        <v>Июль</v>
      </c>
      <c r="I1583" t="s">
        <v>22</v>
      </c>
      <c r="J1583">
        <v>53</v>
      </c>
      <c r="K1583" t="s">
        <v>23</v>
      </c>
      <c r="L1583">
        <v>2</v>
      </c>
      <c r="M1583">
        <v>352</v>
      </c>
      <c r="N1583" s="1">
        <f t="shared" si="75"/>
        <v>704</v>
      </c>
    </row>
    <row r="1584" spans="5:14" x14ac:dyDescent="0.25">
      <c r="E1584">
        <v>346</v>
      </c>
      <c r="F1584" s="7">
        <v>45141</v>
      </c>
      <c r="G1584">
        <f t="shared" si="73"/>
        <v>2023</v>
      </c>
      <c r="H1584" s="7" t="str">
        <f t="shared" si="74"/>
        <v>Август</v>
      </c>
      <c r="I1584" t="s">
        <v>20</v>
      </c>
      <c r="J1584">
        <v>42</v>
      </c>
      <c r="K1584" t="s">
        <v>24</v>
      </c>
      <c r="L1584">
        <v>1</v>
      </c>
      <c r="M1584">
        <v>25</v>
      </c>
      <c r="N1584" s="1">
        <f t="shared" si="75"/>
        <v>25</v>
      </c>
    </row>
    <row r="1585" spans="5:14" x14ac:dyDescent="0.25">
      <c r="E1585">
        <v>1951</v>
      </c>
      <c r="F1585" s="7">
        <v>45487</v>
      </c>
      <c r="G1585">
        <f t="shared" si="73"/>
        <v>2024</v>
      </c>
      <c r="H1585" s="7" t="str">
        <f t="shared" si="74"/>
        <v>Июль</v>
      </c>
      <c r="I1585" t="s">
        <v>20</v>
      </c>
      <c r="J1585">
        <v>20</v>
      </c>
      <c r="K1585" t="s">
        <v>23</v>
      </c>
      <c r="L1585">
        <v>7</v>
      </c>
      <c r="M1585">
        <v>394</v>
      </c>
      <c r="N1585" s="1">
        <f t="shared" si="75"/>
        <v>2758</v>
      </c>
    </row>
    <row r="1586" spans="5:14" x14ac:dyDescent="0.25">
      <c r="E1586">
        <v>1557</v>
      </c>
      <c r="F1586" s="7">
        <v>45448</v>
      </c>
      <c r="G1586">
        <f t="shared" si="73"/>
        <v>2024</v>
      </c>
      <c r="H1586" s="7" t="str">
        <f t="shared" si="74"/>
        <v>Июнь</v>
      </c>
      <c r="I1586" t="s">
        <v>22</v>
      </c>
      <c r="J1586">
        <v>55</v>
      </c>
      <c r="K1586" t="s">
        <v>24</v>
      </c>
      <c r="L1586">
        <v>2</v>
      </c>
      <c r="M1586">
        <v>211</v>
      </c>
      <c r="N1586" s="1">
        <f t="shared" si="75"/>
        <v>422</v>
      </c>
    </row>
    <row r="1587" spans="5:14" x14ac:dyDescent="0.25">
      <c r="E1587">
        <v>962</v>
      </c>
      <c r="F1587" s="7">
        <v>44957</v>
      </c>
      <c r="G1587">
        <f t="shared" si="73"/>
        <v>2023</v>
      </c>
      <c r="H1587" s="7" t="str">
        <f t="shared" si="74"/>
        <v>Январь</v>
      </c>
      <c r="I1587" t="s">
        <v>20</v>
      </c>
      <c r="J1587">
        <v>24</v>
      </c>
      <c r="K1587" t="s">
        <v>23</v>
      </c>
      <c r="L1587">
        <v>3</v>
      </c>
      <c r="M1587">
        <v>300</v>
      </c>
      <c r="N1587" s="1">
        <f t="shared" si="75"/>
        <v>900</v>
      </c>
    </row>
    <row r="1588" spans="5:14" x14ac:dyDescent="0.25">
      <c r="E1588">
        <v>1425</v>
      </c>
      <c r="F1588" s="7">
        <v>45575</v>
      </c>
      <c r="G1588">
        <f t="shared" si="73"/>
        <v>2024</v>
      </c>
      <c r="H1588" s="7" t="str">
        <f t="shared" si="74"/>
        <v>Октябрь</v>
      </c>
      <c r="I1588" t="s">
        <v>22</v>
      </c>
      <c r="J1588">
        <v>57</v>
      </c>
      <c r="K1588" t="s">
        <v>24</v>
      </c>
      <c r="L1588">
        <v>3</v>
      </c>
      <c r="M1588">
        <v>30</v>
      </c>
      <c r="N1588" s="1">
        <f t="shared" si="75"/>
        <v>90</v>
      </c>
    </row>
    <row r="1589" spans="5:14" x14ac:dyDescent="0.25">
      <c r="E1589">
        <v>328</v>
      </c>
      <c r="F1589" s="7">
        <v>44956</v>
      </c>
      <c r="G1589">
        <f t="shared" si="73"/>
        <v>2023</v>
      </c>
      <c r="H1589" s="7" t="str">
        <f t="shared" si="74"/>
        <v>Январь</v>
      </c>
      <c r="I1589" t="s">
        <v>22</v>
      </c>
      <c r="J1589">
        <v>46</v>
      </c>
      <c r="K1589" t="s">
        <v>24</v>
      </c>
      <c r="L1589">
        <v>4</v>
      </c>
      <c r="M1589">
        <v>25</v>
      </c>
      <c r="N1589" s="1">
        <f t="shared" si="75"/>
        <v>100</v>
      </c>
    </row>
    <row r="1590" spans="5:14" x14ac:dyDescent="0.25">
      <c r="E1590">
        <v>501</v>
      </c>
      <c r="F1590" s="7">
        <v>45018</v>
      </c>
      <c r="G1590">
        <f t="shared" si="73"/>
        <v>2023</v>
      </c>
      <c r="H1590" s="7" t="str">
        <f t="shared" si="74"/>
        <v>Апрель</v>
      </c>
      <c r="I1590" t="s">
        <v>20</v>
      </c>
      <c r="J1590">
        <v>43</v>
      </c>
      <c r="K1590" t="s">
        <v>24</v>
      </c>
      <c r="L1590">
        <v>3</v>
      </c>
      <c r="M1590">
        <v>50</v>
      </c>
      <c r="N1590" s="1">
        <f t="shared" si="75"/>
        <v>150</v>
      </c>
    </row>
    <row r="1591" spans="5:14" x14ac:dyDescent="0.25">
      <c r="E1591">
        <v>1585</v>
      </c>
      <c r="F1591" s="7">
        <v>45408</v>
      </c>
      <c r="G1591">
        <f t="shared" si="73"/>
        <v>2024</v>
      </c>
      <c r="H1591" s="7" t="str">
        <f t="shared" si="74"/>
        <v>Апрель</v>
      </c>
      <c r="I1591" t="s">
        <v>20</v>
      </c>
      <c r="J1591">
        <v>41</v>
      </c>
      <c r="K1591" t="s">
        <v>24</v>
      </c>
      <c r="L1591">
        <v>7</v>
      </c>
      <c r="M1591">
        <v>186</v>
      </c>
      <c r="N1591" s="1">
        <f t="shared" si="75"/>
        <v>1302</v>
      </c>
    </row>
    <row r="1592" spans="5:14" x14ac:dyDescent="0.25">
      <c r="E1592">
        <v>1535</v>
      </c>
      <c r="F1592" s="7">
        <v>45552</v>
      </c>
      <c r="G1592">
        <f t="shared" si="73"/>
        <v>2024</v>
      </c>
      <c r="H1592" s="7" t="str">
        <f t="shared" si="74"/>
        <v>Сентябрь</v>
      </c>
      <c r="I1592" t="s">
        <v>20</v>
      </c>
      <c r="J1592">
        <v>31</v>
      </c>
      <c r="K1592" t="s">
        <v>23</v>
      </c>
      <c r="L1592">
        <v>2</v>
      </c>
      <c r="M1592">
        <v>281</v>
      </c>
      <c r="N1592" s="1">
        <f t="shared" si="75"/>
        <v>562</v>
      </c>
    </row>
    <row r="1593" spans="5:14" x14ac:dyDescent="0.25">
      <c r="E1593">
        <v>89</v>
      </c>
      <c r="F1593" s="7">
        <v>45200</v>
      </c>
      <c r="G1593">
        <f t="shared" si="73"/>
        <v>2023</v>
      </c>
      <c r="H1593" s="7" t="str">
        <f t="shared" si="74"/>
        <v>Октябрь</v>
      </c>
      <c r="I1593" t="s">
        <v>22</v>
      </c>
      <c r="J1593">
        <v>55</v>
      </c>
      <c r="K1593" t="s">
        <v>24</v>
      </c>
      <c r="L1593">
        <v>4</v>
      </c>
      <c r="M1593">
        <v>500</v>
      </c>
      <c r="N1593" s="1">
        <f t="shared" si="75"/>
        <v>2000</v>
      </c>
    </row>
    <row r="1594" spans="5:14" x14ac:dyDescent="0.25">
      <c r="E1594">
        <v>145</v>
      </c>
      <c r="F1594" s="7">
        <v>45232</v>
      </c>
      <c r="G1594">
        <f t="shared" si="73"/>
        <v>2023</v>
      </c>
      <c r="H1594" s="7" t="str">
        <f t="shared" si="74"/>
        <v>Ноябрь</v>
      </c>
      <c r="I1594" t="s">
        <v>22</v>
      </c>
      <c r="J1594">
        <v>39</v>
      </c>
      <c r="K1594" t="s">
        <v>23</v>
      </c>
      <c r="L1594">
        <v>3</v>
      </c>
      <c r="M1594">
        <v>25</v>
      </c>
      <c r="N1594" s="1">
        <f t="shared" si="75"/>
        <v>75</v>
      </c>
    </row>
    <row r="1595" spans="5:14" x14ac:dyDescent="0.25">
      <c r="E1595">
        <v>1436</v>
      </c>
      <c r="F1595" s="7">
        <v>45482</v>
      </c>
      <c r="G1595">
        <f t="shared" si="73"/>
        <v>2024</v>
      </c>
      <c r="H1595" s="7" t="str">
        <f t="shared" si="74"/>
        <v>Июль</v>
      </c>
      <c r="I1595" t="s">
        <v>20</v>
      </c>
      <c r="J1595">
        <v>29</v>
      </c>
      <c r="K1595" t="s">
        <v>23</v>
      </c>
      <c r="L1595">
        <v>7</v>
      </c>
      <c r="M1595">
        <v>466</v>
      </c>
      <c r="N1595" s="1">
        <f t="shared" si="75"/>
        <v>3262</v>
      </c>
    </row>
    <row r="1596" spans="5:14" x14ac:dyDescent="0.25">
      <c r="E1596">
        <v>1213</v>
      </c>
      <c r="F1596" s="7">
        <v>45484</v>
      </c>
      <c r="G1596">
        <f t="shared" si="73"/>
        <v>2024</v>
      </c>
      <c r="H1596" s="7" t="str">
        <f t="shared" si="74"/>
        <v>Июль</v>
      </c>
      <c r="I1596" t="s">
        <v>20</v>
      </c>
      <c r="J1596">
        <v>56</v>
      </c>
      <c r="K1596" t="s">
        <v>24</v>
      </c>
      <c r="L1596">
        <v>2</v>
      </c>
      <c r="M1596">
        <v>264</v>
      </c>
      <c r="N1596" s="1">
        <f t="shared" si="75"/>
        <v>528</v>
      </c>
    </row>
    <row r="1597" spans="5:14" x14ac:dyDescent="0.25">
      <c r="E1597">
        <v>1086</v>
      </c>
      <c r="F1597" s="7">
        <v>45380</v>
      </c>
      <c r="G1597">
        <f t="shared" si="73"/>
        <v>2024</v>
      </c>
      <c r="H1597" s="7" t="str">
        <f t="shared" si="74"/>
        <v>Март</v>
      </c>
      <c r="I1597" t="s">
        <v>20</v>
      </c>
      <c r="J1597">
        <v>23</v>
      </c>
      <c r="K1597" t="s">
        <v>23</v>
      </c>
      <c r="L1597">
        <v>4</v>
      </c>
      <c r="M1597">
        <v>198</v>
      </c>
      <c r="N1597" s="1">
        <f t="shared" si="75"/>
        <v>792</v>
      </c>
    </row>
    <row r="1598" spans="5:14" x14ac:dyDescent="0.25">
      <c r="E1598">
        <v>1936</v>
      </c>
      <c r="F1598" s="7">
        <v>45319</v>
      </c>
      <c r="G1598">
        <f t="shared" si="73"/>
        <v>2024</v>
      </c>
      <c r="H1598" s="7" t="str">
        <f t="shared" si="74"/>
        <v>Январь</v>
      </c>
      <c r="I1598" t="s">
        <v>22</v>
      </c>
      <c r="J1598">
        <v>35</v>
      </c>
      <c r="K1598" t="s">
        <v>24</v>
      </c>
      <c r="L1598">
        <v>3</v>
      </c>
      <c r="M1598">
        <v>212</v>
      </c>
      <c r="N1598" s="1">
        <f t="shared" si="75"/>
        <v>636</v>
      </c>
    </row>
    <row r="1599" spans="5:14" x14ac:dyDescent="0.25">
      <c r="E1599">
        <v>1565</v>
      </c>
      <c r="F1599" s="7">
        <v>45531</v>
      </c>
      <c r="G1599">
        <f t="shared" si="73"/>
        <v>2024</v>
      </c>
      <c r="H1599" s="7" t="str">
        <f t="shared" si="74"/>
        <v>Август</v>
      </c>
      <c r="I1599" t="s">
        <v>22</v>
      </c>
      <c r="J1599">
        <v>18</v>
      </c>
      <c r="K1599" t="s">
        <v>24</v>
      </c>
      <c r="L1599">
        <v>1</v>
      </c>
      <c r="M1599">
        <v>477</v>
      </c>
      <c r="N1599" s="1">
        <f t="shared" si="75"/>
        <v>477</v>
      </c>
    </row>
    <row r="1600" spans="5:14" x14ac:dyDescent="0.25">
      <c r="E1600">
        <v>1467</v>
      </c>
      <c r="F1600" s="7">
        <v>45429</v>
      </c>
      <c r="G1600">
        <f t="shared" si="73"/>
        <v>2024</v>
      </c>
      <c r="H1600" s="7" t="str">
        <f t="shared" si="74"/>
        <v>Май</v>
      </c>
      <c r="I1600" t="s">
        <v>22</v>
      </c>
      <c r="J1600">
        <v>18</v>
      </c>
      <c r="K1600" t="s">
        <v>23</v>
      </c>
      <c r="L1600">
        <v>2</v>
      </c>
      <c r="M1600">
        <v>186</v>
      </c>
      <c r="N1600" s="1">
        <f t="shared" si="75"/>
        <v>372</v>
      </c>
    </row>
    <row r="1601" spans="5:14" x14ac:dyDescent="0.25">
      <c r="E1601">
        <v>1609</v>
      </c>
      <c r="F1601" s="7">
        <v>45510</v>
      </c>
      <c r="G1601">
        <f t="shared" si="73"/>
        <v>2024</v>
      </c>
      <c r="H1601" s="7" t="str">
        <f t="shared" si="74"/>
        <v>Август</v>
      </c>
      <c r="I1601" t="s">
        <v>22</v>
      </c>
      <c r="J1601">
        <v>52</v>
      </c>
      <c r="K1601" t="s">
        <v>24</v>
      </c>
      <c r="L1601">
        <v>5</v>
      </c>
      <c r="M1601">
        <v>135</v>
      </c>
      <c r="N1601" s="1">
        <f t="shared" si="75"/>
        <v>675</v>
      </c>
    </row>
    <row r="1602" spans="5:14" x14ac:dyDescent="0.25">
      <c r="E1602">
        <v>140</v>
      </c>
      <c r="F1602" s="7">
        <v>45143</v>
      </c>
      <c r="G1602">
        <f t="shared" si="73"/>
        <v>2023</v>
      </c>
      <c r="H1602" s="7" t="str">
        <f t="shared" si="74"/>
        <v>Август</v>
      </c>
      <c r="I1602" t="s">
        <v>20</v>
      </c>
      <c r="J1602">
        <v>38</v>
      </c>
      <c r="K1602" t="s">
        <v>24</v>
      </c>
      <c r="L1602">
        <v>1</v>
      </c>
      <c r="M1602">
        <v>30</v>
      </c>
      <c r="N1602" s="1">
        <f t="shared" si="75"/>
        <v>30</v>
      </c>
    </row>
    <row r="1603" spans="5:14" x14ac:dyDescent="0.25">
      <c r="E1603">
        <v>135</v>
      </c>
      <c r="F1603" s="7">
        <v>44983</v>
      </c>
      <c r="G1603">
        <f t="shared" si="73"/>
        <v>2023</v>
      </c>
      <c r="H1603" s="7" t="str">
        <f t="shared" si="74"/>
        <v>Февраль</v>
      </c>
      <c r="I1603" t="s">
        <v>20</v>
      </c>
      <c r="J1603">
        <v>20</v>
      </c>
      <c r="K1603" t="s">
        <v>23</v>
      </c>
      <c r="L1603">
        <v>2</v>
      </c>
      <c r="M1603">
        <v>25</v>
      </c>
      <c r="N1603" s="1">
        <f t="shared" si="75"/>
        <v>50</v>
      </c>
    </row>
    <row r="1604" spans="5:14" x14ac:dyDescent="0.25">
      <c r="E1604">
        <v>75</v>
      </c>
      <c r="F1604" s="7">
        <v>45113</v>
      </c>
      <c r="G1604">
        <f t="shared" si="73"/>
        <v>2023</v>
      </c>
      <c r="H1604" s="7" t="str">
        <f t="shared" si="74"/>
        <v>Июль</v>
      </c>
      <c r="I1604" t="s">
        <v>20</v>
      </c>
      <c r="J1604">
        <v>61</v>
      </c>
      <c r="K1604" t="s">
        <v>21</v>
      </c>
      <c r="L1604">
        <v>4</v>
      </c>
      <c r="M1604">
        <v>50</v>
      </c>
      <c r="N1604" s="1">
        <f t="shared" si="75"/>
        <v>200</v>
      </c>
    </row>
    <row r="1605" spans="5:14" x14ac:dyDescent="0.25">
      <c r="E1605">
        <v>1973</v>
      </c>
      <c r="F1605" s="7">
        <v>45330</v>
      </c>
      <c r="G1605">
        <f t="shared" si="73"/>
        <v>2024</v>
      </c>
      <c r="H1605" s="7" t="str">
        <f t="shared" si="74"/>
        <v>Февраль</v>
      </c>
      <c r="I1605" t="s">
        <v>22</v>
      </c>
      <c r="J1605">
        <v>19</v>
      </c>
      <c r="K1605" t="s">
        <v>24</v>
      </c>
      <c r="L1605">
        <v>4</v>
      </c>
      <c r="M1605">
        <v>388</v>
      </c>
      <c r="N1605" s="1">
        <f t="shared" si="75"/>
        <v>1552</v>
      </c>
    </row>
    <row r="1606" spans="5:14" x14ac:dyDescent="0.25">
      <c r="E1606">
        <v>1292</v>
      </c>
      <c r="F1606" s="7">
        <v>45501</v>
      </c>
      <c r="G1606">
        <f t="shared" si="73"/>
        <v>2024</v>
      </c>
      <c r="H1606" s="7" t="str">
        <f t="shared" si="74"/>
        <v>Июль</v>
      </c>
      <c r="I1606" t="s">
        <v>22</v>
      </c>
      <c r="J1606">
        <v>32</v>
      </c>
      <c r="K1606" t="s">
        <v>21</v>
      </c>
      <c r="L1606">
        <v>3</v>
      </c>
      <c r="M1606">
        <v>229</v>
      </c>
      <c r="N1606" s="1">
        <f t="shared" si="75"/>
        <v>687</v>
      </c>
    </row>
    <row r="1607" spans="5:14" x14ac:dyDescent="0.25">
      <c r="E1607">
        <v>1273</v>
      </c>
      <c r="F1607" s="7">
        <v>45567</v>
      </c>
      <c r="G1607">
        <f t="shared" si="73"/>
        <v>2024</v>
      </c>
      <c r="H1607" s="7" t="str">
        <f t="shared" si="74"/>
        <v>Октябрь</v>
      </c>
      <c r="I1607" t="s">
        <v>22</v>
      </c>
      <c r="J1607">
        <v>34</v>
      </c>
      <c r="K1607" t="s">
        <v>21</v>
      </c>
      <c r="L1607">
        <v>5</v>
      </c>
      <c r="M1607">
        <v>304</v>
      </c>
      <c r="N1607" s="1">
        <f t="shared" si="75"/>
        <v>1520</v>
      </c>
    </row>
    <row r="1608" spans="5:14" x14ac:dyDescent="0.25">
      <c r="E1608">
        <v>1879</v>
      </c>
      <c r="F1608" s="7">
        <v>45421</v>
      </c>
      <c r="G1608">
        <f t="shared" si="73"/>
        <v>2024</v>
      </c>
      <c r="H1608" s="7" t="str">
        <f t="shared" si="74"/>
        <v>Май</v>
      </c>
      <c r="I1608" t="s">
        <v>20</v>
      </c>
      <c r="J1608">
        <v>61</v>
      </c>
      <c r="K1608" t="s">
        <v>24</v>
      </c>
      <c r="L1608">
        <v>6</v>
      </c>
      <c r="M1608">
        <v>254</v>
      </c>
      <c r="N1608" s="1">
        <f t="shared" si="75"/>
        <v>1524</v>
      </c>
    </row>
    <row r="1609" spans="5:14" x14ac:dyDescent="0.25">
      <c r="E1609">
        <v>964</v>
      </c>
      <c r="F1609" s="7">
        <v>44977</v>
      </c>
      <c r="G1609">
        <f t="shared" si="73"/>
        <v>2023</v>
      </c>
      <c r="H1609" s="7" t="str">
        <f t="shared" si="74"/>
        <v>Февраль</v>
      </c>
      <c r="I1609" t="s">
        <v>20</v>
      </c>
      <c r="J1609">
        <v>60</v>
      </c>
      <c r="K1609" t="s">
        <v>24</v>
      </c>
      <c r="L1609">
        <v>2</v>
      </c>
      <c r="M1609">
        <v>500</v>
      </c>
      <c r="N1609" s="1">
        <f t="shared" si="75"/>
        <v>1000</v>
      </c>
    </row>
    <row r="1610" spans="5:14" x14ac:dyDescent="0.25">
      <c r="E1610">
        <v>1932</v>
      </c>
      <c r="F1610" s="7">
        <v>45329</v>
      </c>
      <c r="G1610">
        <f t="shared" ref="G1610:G1673" si="76">YEAR(F1610)</f>
        <v>2024</v>
      </c>
      <c r="H1610" s="7" t="str">
        <f t="shared" ref="H1610:H1673" si="77">TEXT(F1610,"ММММ")</f>
        <v>Февраль</v>
      </c>
      <c r="I1610" t="s">
        <v>20</v>
      </c>
      <c r="J1610">
        <v>38</v>
      </c>
      <c r="K1610" t="s">
        <v>21</v>
      </c>
      <c r="L1610">
        <v>6</v>
      </c>
      <c r="M1610">
        <v>497</v>
      </c>
      <c r="N1610" s="1">
        <f t="shared" ref="N1610:N1673" si="78">L1610*M1610</f>
        <v>2982</v>
      </c>
    </row>
    <row r="1611" spans="5:14" x14ac:dyDescent="0.25">
      <c r="E1611">
        <v>1248</v>
      </c>
      <c r="F1611" s="7">
        <v>45535</v>
      </c>
      <c r="G1611">
        <f t="shared" si="76"/>
        <v>2024</v>
      </c>
      <c r="H1611" s="7" t="str">
        <f t="shared" si="77"/>
        <v>Август</v>
      </c>
      <c r="I1611" t="s">
        <v>22</v>
      </c>
      <c r="J1611">
        <v>46</v>
      </c>
      <c r="K1611" t="s">
        <v>21</v>
      </c>
      <c r="L1611">
        <v>5</v>
      </c>
      <c r="M1611">
        <v>106</v>
      </c>
      <c r="N1611" s="1">
        <f t="shared" si="78"/>
        <v>530</v>
      </c>
    </row>
    <row r="1612" spans="5:14" x14ac:dyDescent="0.25">
      <c r="E1612">
        <v>936</v>
      </c>
      <c r="F1612" s="7">
        <v>45249</v>
      </c>
      <c r="G1612">
        <f t="shared" si="76"/>
        <v>2023</v>
      </c>
      <c r="H1612" s="7" t="str">
        <f t="shared" si="77"/>
        <v>Ноябрь</v>
      </c>
      <c r="I1612" t="s">
        <v>20</v>
      </c>
      <c r="J1612">
        <v>49</v>
      </c>
      <c r="K1612" t="s">
        <v>23</v>
      </c>
      <c r="L1612">
        <v>4</v>
      </c>
      <c r="M1612">
        <v>50</v>
      </c>
      <c r="N1612" s="1">
        <f t="shared" si="78"/>
        <v>200</v>
      </c>
    </row>
    <row r="1613" spans="5:14" x14ac:dyDescent="0.25">
      <c r="E1613">
        <v>1666</v>
      </c>
      <c r="F1613" s="7">
        <v>45570</v>
      </c>
      <c r="G1613">
        <f t="shared" si="76"/>
        <v>2024</v>
      </c>
      <c r="H1613" s="7" t="str">
        <f t="shared" si="77"/>
        <v>Октябрь</v>
      </c>
      <c r="I1613" t="s">
        <v>20</v>
      </c>
      <c r="J1613">
        <v>19</v>
      </c>
      <c r="K1613" t="s">
        <v>21</v>
      </c>
      <c r="L1613">
        <v>2</v>
      </c>
      <c r="M1613">
        <v>285</v>
      </c>
      <c r="N1613" s="1">
        <f t="shared" si="78"/>
        <v>570</v>
      </c>
    </row>
    <row r="1614" spans="5:14" x14ac:dyDescent="0.25">
      <c r="E1614">
        <v>66</v>
      </c>
      <c r="F1614" s="7">
        <v>45043</v>
      </c>
      <c r="G1614">
        <f t="shared" si="76"/>
        <v>2023</v>
      </c>
      <c r="H1614" s="7" t="str">
        <f t="shared" si="77"/>
        <v>Апрель</v>
      </c>
      <c r="I1614" t="s">
        <v>22</v>
      </c>
      <c r="J1614">
        <v>45</v>
      </c>
      <c r="K1614" t="s">
        <v>24</v>
      </c>
      <c r="L1614">
        <v>1</v>
      </c>
      <c r="M1614">
        <v>30</v>
      </c>
      <c r="N1614" s="1">
        <f t="shared" si="78"/>
        <v>30</v>
      </c>
    </row>
    <row r="1615" spans="5:14" x14ac:dyDescent="0.25">
      <c r="E1615">
        <v>1262</v>
      </c>
      <c r="F1615" s="7">
        <v>45637</v>
      </c>
      <c r="G1615">
        <f t="shared" si="76"/>
        <v>2024</v>
      </c>
      <c r="H1615" s="7" t="str">
        <f t="shared" si="77"/>
        <v>Декабрь</v>
      </c>
      <c r="I1615" t="s">
        <v>20</v>
      </c>
      <c r="J1615">
        <v>24</v>
      </c>
      <c r="K1615" t="s">
        <v>23</v>
      </c>
      <c r="L1615">
        <v>5</v>
      </c>
      <c r="M1615">
        <v>365</v>
      </c>
      <c r="N1615" s="1">
        <f t="shared" si="78"/>
        <v>1825</v>
      </c>
    </row>
    <row r="1616" spans="5:14" x14ac:dyDescent="0.25">
      <c r="E1616">
        <v>1085</v>
      </c>
      <c r="F1616" s="7">
        <v>45618</v>
      </c>
      <c r="G1616">
        <f t="shared" si="76"/>
        <v>2024</v>
      </c>
      <c r="H1616" s="7" t="str">
        <f t="shared" si="77"/>
        <v>Ноябрь</v>
      </c>
      <c r="I1616" t="s">
        <v>22</v>
      </c>
      <c r="J1616">
        <v>38</v>
      </c>
      <c r="K1616" t="s">
        <v>21</v>
      </c>
      <c r="L1616">
        <v>6</v>
      </c>
      <c r="M1616">
        <v>34</v>
      </c>
      <c r="N1616" s="1">
        <f t="shared" si="78"/>
        <v>204</v>
      </c>
    </row>
    <row r="1617" spans="5:14" x14ac:dyDescent="0.25">
      <c r="E1617">
        <v>465</v>
      </c>
      <c r="F1617" s="7">
        <v>45097</v>
      </c>
      <c r="G1617">
        <f t="shared" si="76"/>
        <v>2023</v>
      </c>
      <c r="H1617" s="7" t="str">
        <f t="shared" si="77"/>
        <v>Июнь</v>
      </c>
      <c r="I1617" t="s">
        <v>20</v>
      </c>
      <c r="J1617">
        <v>63</v>
      </c>
      <c r="K1617" t="s">
        <v>24</v>
      </c>
      <c r="L1617">
        <v>4</v>
      </c>
      <c r="M1617">
        <v>25</v>
      </c>
      <c r="N1617" s="1">
        <f t="shared" si="78"/>
        <v>100</v>
      </c>
    </row>
    <row r="1618" spans="5:14" x14ac:dyDescent="0.25">
      <c r="E1618">
        <v>1389</v>
      </c>
      <c r="F1618" s="7">
        <v>45634</v>
      </c>
      <c r="G1618">
        <f t="shared" si="76"/>
        <v>2024</v>
      </c>
      <c r="H1618" s="7" t="str">
        <f t="shared" si="77"/>
        <v>Декабрь</v>
      </c>
      <c r="I1618" t="s">
        <v>20</v>
      </c>
      <c r="J1618">
        <v>27</v>
      </c>
      <c r="K1618" t="s">
        <v>23</v>
      </c>
      <c r="L1618">
        <v>1</v>
      </c>
      <c r="M1618">
        <v>268</v>
      </c>
      <c r="N1618" s="1">
        <f t="shared" si="78"/>
        <v>268</v>
      </c>
    </row>
    <row r="1619" spans="5:14" x14ac:dyDescent="0.25">
      <c r="E1619">
        <v>520</v>
      </c>
      <c r="F1619" s="7">
        <v>45150</v>
      </c>
      <c r="G1619">
        <f t="shared" si="76"/>
        <v>2023</v>
      </c>
      <c r="H1619" s="7" t="str">
        <f t="shared" si="77"/>
        <v>Август</v>
      </c>
      <c r="I1619" t="s">
        <v>22</v>
      </c>
      <c r="J1619">
        <v>47</v>
      </c>
      <c r="K1619" t="s">
        <v>23</v>
      </c>
      <c r="L1619">
        <v>4</v>
      </c>
      <c r="M1619">
        <v>30</v>
      </c>
      <c r="N1619" s="1">
        <f t="shared" si="78"/>
        <v>120</v>
      </c>
    </row>
    <row r="1620" spans="5:14" x14ac:dyDescent="0.25">
      <c r="E1620">
        <v>1694</v>
      </c>
      <c r="F1620" s="7">
        <v>45492</v>
      </c>
      <c r="G1620">
        <f t="shared" si="76"/>
        <v>2024</v>
      </c>
      <c r="H1620" s="7" t="str">
        <f t="shared" si="77"/>
        <v>Июль</v>
      </c>
      <c r="I1620" t="s">
        <v>22</v>
      </c>
      <c r="J1620">
        <v>42</v>
      </c>
      <c r="K1620" t="s">
        <v>24</v>
      </c>
      <c r="L1620">
        <v>5</v>
      </c>
      <c r="M1620">
        <v>34</v>
      </c>
      <c r="N1620" s="1">
        <f t="shared" si="78"/>
        <v>170</v>
      </c>
    </row>
    <row r="1621" spans="5:14" x14ac:dyDescent="0.25">
      <c r="E1621">
        <v>1110</v>
      </c>
      <c r="F1621" s="7">
        <v>45628</v>
      </c>
      <c r="G1621">
        <f t="shared" si="76"/>
        <v>2024</v>
      </c>
      <c r="H1621" s="7" t="str">
        <f t="shared" si="77"/>
        <v>Декабрь</v>
      </c>
      <c r="I1621" t="s">
        <v>20</v>
      </c>
      <c r="J1621">
        <v>26</v>
      </c>
      <c r="K1621" t="s">
        <v>23</v>
      </c>
      <c r="L1621">
        <v>4</v>
      </c>
      <c r="M1621">
        <v>100</v>
      </c>
      <c r="N1621" s="1">
        <f t="shared" si="78"/>
        <v>400</v>
      </c>
    </row>
    <row r="1622" spans="5:14" x14ac:dyDescent="0.25">
      <c r="E1622">
        <v>1527</v>
      </c>
      <c r="F1622" s="7">
        <v>45327</v>
      </c>
      <c r="G1622">
        <f t="shared" si="76"/>
        <v>2024</v>
      </c>
      <c r="H1622" s="7" t="str">
        <f t="shared" si="77"/>
        <v>Февраль</v>
      </c>
      <c r="I1622" t="s">
        <v>22</v>
      </c>
      <c r="J1622">
        <v>29</v>
      </c>
      <c r="K1622" t="s">
        <v>24</v>
      </c>
      <c r="L1622">
        <v>5</v>
      </c>
      <c r="M1622">
        <v>468</v>
      </c>
      <c r="N1622" s="1">
        <f t="shared" si="78"/>
        <v>2340</v>
      </c>
    </row>
    <row r="1623" spans="5:14" x14ac:dyDescent="0.25">
      <c r="E1623">
        <v>1471</v>
      </c>
      <c r="F1623" s="7">
        <v>45488</v>
      </c>
      <c r="G1623">
        <f t="shared" si="76"/>
        <v>2024</v>
      </c>
      <c r="H1623" s="7" t="str">
        <f t="shared" si="77"/>
        <v>Июль</v>
      </c>
      <c r="I1623" t="s">
        <v>22</v>
      </c>
      <c r="J1623">
        <v>60</v>
      </c>
      <c r="K1623" t="s">
        <v>23</v>
      </c>
      <c r="L1623">
        <v>4</v>
      </c>
      <c r="M1623">
        <v>243</v>
      </c>
      <c r="N1623" s="1">
        <f t="shared" si="78"/>
        <v>972</v>
      </c>
    </row>
    <row r="1624" spans="5:14" x14ac:dyDescent="0.25">
      <c r="E1624">
        <v>514</v>
      </c>
      <c r="F1624" s="7">
        <v>45124</v>
      </c>
      <c r="G1624">
        <f t="shared" si="76"/>
        <v>2023</v>
      </c>
      <c r="H1624" s="7" t="str">
        <f t="shared" si="77"/>
        <v>Июль</v>
      </c>
      <c r="I1624" t="s">
        <v>22</v>
      </c>
      <c r="J1624">
        <v>49</v>
      </c>
      <c r="K1624" t="s">
        <v>23</v>
      </c>
      <c r="L1624">
        <v>3</v>
      </c>
      <c r="M1624">
        <v>300</v>
      </c>
      <c r="N1624" s="1">
        <f t="shared" si="78"/>
        <v>900</v>
      </c>
    </row>
    <row r="1625" spans="5:14" x14ac:dyDescent="0.25">
      <c r="E1625">
        <v>581</v>
      </c>
      <c r="F1625" s="7">
        <v>45244</v>
      </c>
      <c r="G1625">
        <f t="shared" si="76"/>
        <v>2023</v>
      </c>
      <c r="H1625" s="7" t="str">
        <f t="shared" si="77"/>
        <v>Ноябрь</v>
      </c>
      <c r="I1625" t="s">
        <v>20</v>
      </c>
      <c r="J1625">
        <v>35</v>
      </c>
      <c r="K1625" t="s">
        <v>23</v>
      </c>
      <c r="L1625">
        <v>3</v>
      </c>
      <c r="M1625">
        <v>300</v>
      </c>
      <c r="N1625" s="1">
        <f t="shared" si="78"/>
        <v>900</v>
      </c>
    </row>
    <row r="1626" spans="5:14" x14ac:dyDescent="0.25">
      <c r="E1626">
        <v>1047</v>
      </c>
      <c r="F1626" s="7">
        <v>45314</v>
      </c>
      <c r="G1626">
        <f t="shared" si="76"/>
        <v>2024</v>
      </c>
      <c r="H1626" s="7" t="str">
        <f t="shared" si="77"/>
        <v>Январь</v>
      </c>
      <c r="I1626" t="s">
        <v>22</v>
      </c>
      <c r="J1626">
        <v>26</v>
      </c>
      <c r="K1626" t="s">
        <v>24</v>
      </c>
      <c r="L1626">
        <v>6</v>
      </c>
      <c r="M1626">
        <v>301</v>
      </c>
      <c r="N1626" s="1">
        <f t="shared" si="78"/>
        <v>1806</v>
      </c>
    </row>
    <row r="1627" spans="5:14" x14ac:dyDescent="0.25">
      <c r="E1627">
        <v>1349</v>
      </c>
      <c r="F1627" s="7">
        <v>45454</v>
      </c>
      <c r="G1627">
        <f t="shared" si="76"/>
        <v>2024</v>
      </c>
      <c r="H1627" s="7" t="str">
        <f t="shared" si="77"/>
        <v>Июнь</v>
      </c>
      <c r="I1627" t="s">
        <v>20</v>
      </c>
      <c r="J1627">
        <v>18</v>
      </c>
      <c r="K1627" t="s">
        <v>24</v>
      </c>
      <c r="L1627">
        <v>4</v>
      </c>
      <c r="M1627">
        <v>180</v>
      </c>
      <c r="N1627" s="1">
        <f t="shared" si="78"/>
        <v>720</v>
      </c>
    </row>
    <row r="1628" spans="5:14" x14ac:dyDescent="0.25">
      <c r="E1628">
        <v>106</v>
      </c>
      <c r="F1628" s="7">
        <v>45064</v>
      </c>
      <c r="G1628">
        <f t="shared" si="76"/>
        <v>2023</v>
      </c>
      <c r="H1628" s="7" t="str">
        <f t="shared" si="77"/>
        <v>Май</v>
      </c>
      <c r="I1628" t="s">
        <v>22</v>
      </c>
      <c r="J1628">
        <v>46</v>
      </c>
      <c r="K1628" t="s">
        <v>23</v>
      </c>
      <c r="L1628">
        <v>1</v>
      </c>
      <c r="M1628">
        <v>50</v>
      </c>
      <c r="N1628" s="1">
        <f t="shared" si="78"/>
        <v>50</v>
      </c>
    </row>
    <row r="1629" spans="5:14" x14ac:dyDescent="0.25">
      <c r="E1629">
        <v>775</v>
      </c>
      <c r="F1629" s="7">
        <v>45280</v>
      </c>
      <c r="G1629">
        <f t="shared" si="76"/>
        <v>2023</v>
      </c>
      <c r="H1629" s="7" t="str">
        <f t="shared" si="77"/>
        <v>Декабрь</v>
      </c>
      <c r="I1629" t="s">
        <v>20</v>
      </c>
      <c r="J1629">
        <v>48</v>
      </c>
      <c r="K1629" t="s">
        <v>24</v>
      </c>
      <c r="L1629">
        <v>3</v>
      </c>
      <c r="M1629">
        <v>50</v>
      </c>
      <c r="N1629" s="1">
        <f t="shared" si="78"/>
        <v>150</v>
      </c>
    </row>
    <row r="1630" spans="5:14" x14ac:dyDescent="0.25">
      <c r="E1630">
        <v>753</v>
      </c>
      <c r="F1630" s="7">
        <v>45038</v>
      </c>
      <c r="G1630">
        <f t="shared" si="76"/>
        <v>2023</v>
      </c>
      <c r="H1630" s="7" t="str">
        <f t="shared" si="77"/>
        <v>Апрель</v>
      </c>
      <c r="I1630" t="s">
        <v>22</v>
      </c>
      <c r="J1630">
        <v>58</v>
      </c>
      <c r="K1630" t="s">
        <v>23</v>
      </c>
      <c r="L1630">
        <v>3</v>
      </c>
      <c r="M1630">
        <v>25</v>
      </c>
      <c r="N1630" s="1">
        <f t="shared" si="78"/>
        <v>75</v>
      </c>
    </row>
    <row r="1631" spans="5:14" x14ac:dyDescent="0.25">
      <c r="E1631">
        <v>123</v>
      </c>
      <c r="F1631" s="7">
        <v>45061</v>
      </c>
      <c r="G1631">
        <f t="shared" si="76"/>
        <v>2023</v>
      </c>
      <c r="H1631" s="7" t="str">
        <f t="shared" si="77"/>
        <v>Май</v>
      </c>
      <c r="I1631" t="s">
        <v>22</v>
      </c>
      <c r="J1631">
        <v>40</v>
      </c>
      <c r="K1631" t="s">
        <v>24</v>
      </c>
      <c r="L1631">
        <v>2</v>
      </c>
      <c r="M1631">
        <v>30</v>
      </c>
      <c r="N1631" s="1">
        <f t="shared" si="78"/>
        <v>60</v>
      </c>
    </row>
    <row r="1632" spans="5:14" x14ac:dyDescent="0.25">
      <c r="E1632">
        <v>592</v>
      </c>
      <c r="F1632" s="7">
        <v>45052</v>
      </c>
      <c r="G1632">
        <f t="shared" si="76"/>
        <v>2023</v>
      </c>
      <c r="H1632" s="7" t="str">
        <f t="shared" si="77"/>
        <v>Май</v>
      </c>
      <c r="I1632" t="s">
        <v>20</v>
      </c>
      <c r="J1632">
        <v>35</v>
      </c>
      <c r="K1632" t="s">
        <v>24</v>
      </c>
      <c r="L1632">
        <v>2</v>
      </c>
      <c r="M1632">
        <v>30</v>
      </c>
      <c r="N1632" s="1">
        <f t="shared" si="78"/>
        <v>60</v>
      </c>
    </row>
    <row r="1633" spans="5:14" x14ac:dyDescent="0.25">
      <c r="E1633">
        <v>580</v>
      </c>
      <c r="F1633" s="7">
        <v>45251</v>
      </c>
      <c r="G1633">
        <f t="shared" si="76"/>
        <v>2023</v>
      </c>
      <c r="H1633" s="7" t="str">
        <f t="shared" si="77"/>
        <v>Ноябрь</v>
      </c>
      <c r="I1633" t="s">
        <v>22</v>
      </c>
      <c r="J1633">
        <v>48</v>
      </c>
      <c r="K1633" t="s">
        <v>21</v>
      </c>
      <c r="L1633">
        <v>2</v>
      </c>
      <c r="M1633">
        <v>30</v>
      </c>
      <c r="N1633" s="1">
        <f t="shared" si="78"/>
        <v>60</v>
      </c>
    </row>
    <row r="1634" spans="5:14" x14ac:dyDescent="0.25">
      <c r="E1634">
        <v>43</v>
      </c>
      <c r="F1634" s="7">
        <v>45121</v>
      </c>
      <c r="G1634">
        <f t="shared" si="76"/>
        <v>2023</v>
      </c>
      <c r="H1634" s="7" t="str">
        <f t="shared" si="77"/>
        <v>Июль</v>
      </c>
      <c r="I1634" t="s">
        <v>22</v>
      </c>
      <c r="J1634">
        <v>48</v>
      </c>
      <c r="K1634" t="s">
        <v>23</v>
      </c>
      <c r="L1634">
        <v>1</v>
      </c>
      <c r="M1634">
        <v>300</v>
      </c>
      <c r="N1634" s="1">
        <f t="shared" si="78"/>
        <v>300</v>
      </c>
    </row>
    <row r="1635" spans="5:14" x14ac:dyDescent="0.25">
      <c r="E1635">
        <v>630</v>
      </c>
      <c r="F1635" s="7">
        <v>45240</v>
      </c>
      <c r="G1635">
        <f t="shared" si="76"/>
        <v>2023</v>
      </c>
      <c r="H1635" s="7" t="str">
        <f t="shared" si="77"/>
        <v>Ноябрь</v>
      </c>
      <c r="I1635" t="s">
        <v>20</v>
      </c>
      <c r="J1635">
        <v>56</v>
      </c>
      <c r="K1635" t="s">
        <v>24</v>
      </c>
      <c r="L1635">
        <v>3</v>
      </c>
      <c r="M1635">
        <v>30</v>
      </c>
      <c r="N1635" s="1">
        <f t="shared" si="78"/>
        <v>90</v>
      </c>
    </row>
    <row r="1636" spans="5:14" x14ac:dyDescent="0.25">
      <c r="E1636">
        <v>1218</v>
      </c>
      <c r="F1636" s="7">
        <v>45419</v>
      </c>
      <c r="G1636">
        <f t="shared" si="76"/>
        <v>2024</v>
      </c>
      <c r="H1636" s="7" t="str">
        <f t="shared" si="77"/>
        <v>Май</v>
      </c>
      <c r="I1636" t="s">
        <v>20</v>
      </c>
      <c r="J1636">
        <v>64</v>
      </c>
      <c r="K1636" t="s">
        <v>21</v>
      </c>
      <c r="L1636">
        <v>3</v>
      </c>
      <c r="M1636">
        <v>188</v>
      </c>
      <c r="N1636" s="1">
        <f t="shared" si="78"/>
        <v>564</v>
      </c>
    </row>
    <row r="1637" spans="5:14" x14ac:dyDescent="0.25">
      <c r="E1637">
        <v>885</v>
      </c>
      <c r="F1637" s="7">
        <v>45088</v>
      </c>
      <c r="G1637">
        <f t="shared" si="76"/>
        <v>2023</v>
      </c>
      <c r="H1637" s="7" t="str">
        <f t="shared" si="77"/>
        <v>Июнь</v>
      </c>
      <c r="I1637" t="s">
        <v>20</v>
      </c>
      <c r="J1637">
        <v>59</v>
      </c>
      <c r="K1637" t="s">
        <v>23</v>
      </c>
      <c r="L1637">
        <v>4</v>
      </c>
      <c r="M1637">
        <v>25</v>
      </c>
      <c r="N1637" s="1">
        <f t="shared" si="78"/>
        <v>100</v>
      </c>
    </row>
    <row r="1638" spans="5:14" x14ac:dyDescent="0.25">
      <c r="E1638">
        <v>868</v>
      </c>
      <c r="F1638" s="7">
        <v>45115</v>
      </c>
      <c r="G1638">
        <f t="shared" si="76"/>
        <v>2023</v>
      </c>
      <c r="H1638" s="7" t="str">
        <f t="shared" si="77"/>
        <v>Июль</v>
      </c>
      <c r="I1638" t="s">
        <v>22</v>
      </c>
      <c r="J1638">
        <v>46</v>
      </c>
      <c r="K1638" t="s">
        <v>24</v>
      </c>
      <c r="L1638">
        <v>4</v>
      </c>
      <c r="M1638">
        <v>30</v>
      </c>
      <c r="N1638" s="1">
        <f t="shared" si="78"/>
        <v>120</v>
      </c>
    </row>
    <row r="1639" spans="5:14" x14ac:dyDescent="0.25">
      <c r="E1639">
        <v>99</v>
      </c>
      <c r="F1639" s="7">
        <v>45277</v>
      </c>
      <c r="G1639">
        <f t="shared" si="76"/>
        <v>2023</v>
      </c>
      <c r="H1639" s="7" t="str">
        <f t="shared" si="77"/>
        <v>Декабрь</v>
      </c>
      <c r="I1639" t="s">
        <v>22</v>
      </c>
      <c r="J1639">
        <v>50</v>
      </c>
      <c r="K1639" t="s">
        <v>24</v>
      </c>
      <c r="L1639">
        <v>4</v>
      </c>
      <c r="M1639">
        <v>300</v>
      </c>
      <c r="N1639" s="1">
        <f t="shared" si="78"/>
        <v>1200</v>
      </c>
    </row>
    <row r="1640" spans="5:14" x14ac:dyDescent="0.25">
      <c r="E1640">
        <v>179</v>
      </c>
      <c r="F1640" s="7">
        <v>45198</v>
      </c>
      <c r="G1640">
        <f t="shared" si="76"/>
        <v>2023</v>
      </c>
      <c r="H1640" s="7" t="str">
        <f t="shared" si="77"/>
        <v>Сентябрь</v>
      </c>
      <c r="I1640" t="s">
        <v>20</v>
      </c>
      <c r="J1640">
        <v>31</v>
      </c>
      <c r="K1640" t="s">
        <v>24</v>
      </c>
      <c r="L1640">
        <v>1</v>
      </c>
      <c r="M1640">
        <v>300</v>
      </c>
      <c r="N1640" s="1">
        <f t="shared" si="78"/>
        <v>300</v>
      </c>
    </row>
    <row r="1641" spans="5:14" x14ac:dyDescent="0.25">
      <c r="E1641">
        <v>53</v>
      </c>
      <c r="F1641" s="7">
        <v>45120</v>
      </c>
      <c r="G1641">
        <f t="shared" si="76"/>
        <v>2023</v>
      </c>
      <c r="H1641" s="7" t="str">
        <f t="shared" si="77"/>
        <v>Июль</v>
      </c>
      <c r="I1641" t="s">
        <v>20</v>
      </c>
      <c r="J1641">
        <v>34</v>
      </c>
      <c r="K1641" t="s">
        <v>24</v>
      </c>
      <c r="L1641">
        <v>2</v>
      </c>
      <c r="M1641">
        <v>50</v>
      </c>
      <c r="N1641" s="1">
        <f t="shared" si="78"/>
        <v>100</v>
      </c>
    </row>
    <row r="1642" spans="5:14" x14ac:dyDescent="0.25">
      <c r="E1642">
        <v>607</v>
      </c>
      <c r="F1642" s="7">
        <v>45262</v>
      </c>
      <c r="G1642">
        <f t="shared" si="76"/>
        <v>2023</v>
      </c>
      <c r="H1642" s="7" t="str">
        <f t="shared" si="77"/>
        <v>Декабрь</v>
      </c>
      <c r="I1642" t="s">
        <v>22</v>
      </c>
      <c r="J1642">
        <v>55</v>
      </c>
      <c r="K1642" t="s">
        <v>24</v>
      </c>
      <c r="L1642">
        <v>3</v>
      </c>
      <c r="M1642">
        <v>500</v>
      </c>
      <c r="N1642" s="1">
        <f t="shared" si="78"/>
        <v>1500</v>
      </c>
    </row>
    <row r="1643" spans="5:14" x14ac:dyDescent="0.25">
      <c r="E1643">
        <v>249</v>
      </c>
      <c r="F1643" s="7">
        <v>45222</v>
      </c>
      <c r="G1643">
        <f t="shared" si="76"/>
        <v>2023</v>
      </c>
      <c r="H1643" s="7" t="str">
        <f t="shared" si="77"/>
        <v>Октябрь</v>
      </c>
      <c r="I1643" t="s">
        <v>20</v>
      </c>
      <c r="J1643">
        <v>48</v>
      </c>
      <c r="K1643" t="s">
        <v>24</v>
      </c>
      <c r="L1643">
        <v>1</v>
      </c>
      <c r="M1643">
        <v>50</v>
      </c>
      <c r="N1643" s="1">
        <f t="shared" si="78"/>
        <v>50</v>
      </c>
    </row>
    <row r="1644" spans="5:14" x14ac:dyDescent="0.25">
      <c r="E1644">
        <v>1197</v>
      </c>
      <c r="F1644" s="7">
        <v>45630</v>
      </c>
      <c r="G1644">
        <f t="shared" si="76"/>
        <v>2024</v>
      </c>
      <c r="H1644" s="7" t="str">
        <f t="shared" si="77"/>
        <v>Декабрь</v>
      </c>
      <c r="I1644" t="s">
        <v>20</v>
      </c>
      <c r="J1644">
        <v>32</v>
      </c>
      <c r="K1644" t="s">
        <v>21</v>
      </c>
      <c r="L1644">
        <v>6</v>
      </c>
      <c r="M1644">
        <v>11</v>
      </c>
      <c r="N1644" s="1">
        <f t="shared" si="78"/>
        <v>66</v>
      </c>
    </row>
    <row r="1645" spans="5:14" x14ac:dyDescent="0.25">
      <c r="E1645">
        <v>1560</v>
      </c>
      <c r="F1645" s="7">
        <v>45513</v>
      </c>
      <c r="G1645">
        <f t="shared" si="76"/>
        <v>2024</v>
      </c>
      <c r="H1645" s="7" t="str">
        <f t="shared" si="77"/>
        <v>Август</v>
      </c>
      <c r="I1645" t="s">
        <v>20</v>
      </c>
      <c r="J1645">
        <v>26</v>
      </c>
      <c r="K1645" t="s">
        <v>23</v>
      </c>
      <c r="L1645">
        <v>6</v>
      </c>
      <c r="M1645">
        <v>246</v>
      </c>
      <c r="N1645" s="1">
        <f t="shared" si="78"/>
        <v>1476</v>
      </c>
    </row>
    <row r="1646" spans="5:14" x14ac:dyDescent="0.25">
      <c r="E1646">
        <v>1061</v>
      </c>
      <c r="F1646" s="7">
        <v>45327</v>
      </c>
      <c r="G1646">
        <f t="shared" si="76"/>
        <v>2024</v>
      </c>
      <c r="H1646" s="7" t="str">
        <f t="shared" si="77"/>
        <v>Февраль</v>
      </c>
      <c r="I1646" t="s">
        <v>20</v>
      </c>
      <c r="J1646">
        <v>29</v>
      </c>
      <c r="K1646" t="s">
        <v>24</v>
      </c>
      <c r="L1646">
        <v>1</v>
      </c>
      <c r="M1646">
        <v>213</v>
      </c>
      <c r="N1646" s="1">
        <f t="shared" si="78"/>
        <v>213</v>
      </c>
    </row>
    <row r="1647" spans="5:14" x14ac:dyDescent="0.25">
      <c r="E1647">
        <v>444</v>
      </c>
      <c r="F1647" s="7">
        <v>44948</v>
      </c>
      <c r="G1647">
        <f t="shared" si="76"/>
        <v>2023</v>
      </c>
      <c r="H1647" s="7" t="str">
        <f t="shared" si="77"/>
        <v>Январь</v>
      </c>
      <c r="I1647" t="s">
        <v>22</v>
      </c>
      <c r="J1647">
        <v>53</v>
      </c>
      <c r="K1647" t="s">
        <v>24</v>
      </c>
      <c r="L1647">
        <v>1</v>
      </c>
      <c r="M1647">
        <v>300</v>
      </c>
      <c r="N1647" s="1">
        <f t="shared" si="78"/>
        <v>300</v>
      </c>
    </row>
    <row r="1648" spans="5:14" x14ac:dyDescent="0.25">
      <c r="E1648">
        <v>1317</v>
      </c>
      <c r="F1648" s="7">
        <v>45323</v>
      </c>
      <c r="G1648">
        <f t="shared" si="76"/>
        <v>2024</v>
      </c>
      <c r="H1648" s="7" t="str">
        <f t="shared" si="77"/>
        <v>Февраль</v>
      </c>
      <c r="I1648" t="s">
        <v>22</v>
      </c>
      <c r="J1648">
        <v>36</v>
      </c>
      <c r="K1648" t="s">
        <v>24</v>
      </c>
      <c r="L1648">
        <v>1</v>
      </c>
      <c r="M1648">
        <v>84</v>
      </c>
      <c r="N1648" s="1">
        <f t="shared" si="78"/>
        <v>84</v>
      </c>
    </row>
    <row r="1649" spans="5:14" x14ac:dyDescent="0.25">
      <c r="E1649">
        <v>1064</v>
      </c>
      <c r="F1649" s="7">
        <v>45409</v>
      </c>
      <c r="G1649">
        <f t="shared" si="76"/>
        <v>2024</v>
      </c>
      <c r="H1649" s="7" t="str">
        <f t="shared" si="77"/>
        <v>Апрель</v>
      </c>
      <c r="I1649" t="s">
        <v>22</v>
      </c>
      <c r="J1649">
        <v>25</v>
      </c>
      <c r="K1649" t="s">
        <v>24</v>
      </c>
      <c r="L1649">
        <v>3</v>
      </c>
      <c r="M1649">
        <v>33</v>
      </c>
      <c r="N1649" s="1">
        <f t="shared" si="78"/>
        <v>99</v>
      </c>
    </row>
    <row r="1650" spans="5:14" x14ac:dyDescent="0.25">
      <c r="E1650">
        <v>829</v>
      </c>
      <c r="F1650" s="7">
        <v>44941</v>
      </c>
      <c r="G1650">
        <f t="shared" si="76"/>
        <v>2023</v>
      </c>
      <c r="H1650" s="7" t="str">
        <f t="shared" si="77"/>
        <v>Январь</v>
      </c>
      <c r="I1650" t="s">
        <v>20</v>
      </c>
      <c r="J1650">
        <v>27</v>
      </c>
      <c r="K1650" t="s">
        <v>24</v>
      </c>
      <c r="L1650">
        <v>4</v>
      </c>
      <c r="M1650">
        <v>25</v>
      </c>
      <c r="N1650" s="1">
        <f t="shared" si="78"/>
        <v>100</v>
      </c>
    </row>
    <row r="1651" spans="5:14" x14ac:dyDescent="0.25">
      <c r="E1651">
        <v>1549</v>
      </c>
      <c r="F1651" s="7">
        <v>45639</v>
      </c>
      <c r="G1651">
        <f t="shared" si="76"/>
        <v>2024</v>
      </c>
      <c r="H1651" s="7" t="str">
        <f t="shared" si="77"/>
        <v>Декабрь</v>
      </c>
      <c r="I1651" t="s">
        <v>22</v>
      </c>
      <c r="J1651">
        <v>41</v>
      </c>
      <c r="K1651" t="s">
        <v>24</v>
      </c>
      <c r="L1651">
        <v>6</v>
      </c>
      <c r="M1651">
        <v>237</v>
      </c>
      <c r="N1651" s="1">
        <f t="shared" si="78"/>
        <v>1422</v>
      </c>
    </row>
    <row r="1652" spans="5:14" x14ac:dyDescent="0.25">
      <c r="E1652">
        <v>1347</v>
      </c>
      <c r="F1652" s="7">
        <v>45582</v>
      </c>
      <c r="G1652">
        <f t="shared" si="76"/>
        <v>2024</v>
      </c>
      <c r="H1652" s="7" t="str">
        <f t="shared" si="77"/>
        <v>Октябрь</v>
      </c>
      <c r="I1652" t="s">
        <v>20</v>
      </c>
      <c r="J1652">
        <v>27</v>
      </c>
      <c r="K1652" t="s">
        <v>21</v>
      </c>
      <c r="L1652">
        <v>3</v>
      </c>
      <c r="M1652">
        <v>174</v>
      </c>
      <c r="N1652" s="1">
        <f t="shared" si="78"/>
        <v>522</v>
      </c>
    </row>
    <row r="1653" spans="5:14" x14ac:dyDescent="0.25">
      <c r="E1653">
        <v>1225</v>
      </c>
      <c r="F1653" s="7">
        <v>45410</v>
      </c>
      <c r="G1653">
        <f t="shared" si="76"/>
        <v>2024</v>
      </c>
      <c r="H1653" s="7" t="str">
        <f t="shared" si="77"/>
        <v>Апрель</v>
      </c>
      <c r="I1653" t="s">
        <v>22</v>
      </c>
      <c r="J1653">
        <v>53</v>
      </c>
      <c r="K1653" t="s">
        <v>24</v>
      </c>
      <c r="L1653">
        <v>2</v>
      </c>
      <c r="M1653">
        <v>207</v>
      </c>
      <c r="N1653" s="1">
        <f t="shared" si="78"/>
        <v>414</v>
      </c>
    </row>
    <row r="1654" spans="5:14" x14ac:dyDescent="0.25">
      <c r="E1654">
        <v>1463</v>
      </c>
      <c r="F1654" s="7">
        <v>45463</v>
      </c>
      <c r="G1654">
        <f t="shared" si="76"/>
        <v>2024</v>
      </c>
      <c r="H1654" s="7" t="str">
        <f t="shared" si="77"/>
        <v>Июнь</v>
      </c>
      <c r="I1654" t="s">
        <v>20</v>
      </c>
      <c r="J1654">
        <v>38</v>
      </c>
      <c r="K1654" t="s">
        <v>24</v>
      </c>
      <c r="L1654">
        <v>6</v>
      </c>
      <c r="M1654">
        <v>257</v>
      </c>
      <c r="N1654" s="1">
        <f t="shared" si="78"/>
        <v>1542</v>
      </c>
    </row>
    <row r="1655" spans="5:14" x14ac:dyDescent="0.25">
      <c r="E1655">
        <v>1984</v>
      </c>
      <c r="F1655" s="7">
        <v>45440</v>
      </c>
      <c r="G1655">
        <f t="shared" si="76"/>
        <v>2024</v>
      </c>
      <c r="H1655" s="7" t="str">
        <f t="shared" si="77"/>
        <v>Май</v>
      </c>
      <c r="I1655" t="s">
        <v>22</v>
      </c>
      <c r="J1655">
        <v>49</v>
      </c>
      <c r="K1655" t="s">
        <v>23</v>
      </c>
      <c r="L1655">
        <v>6</v>
      </c>
      <c r="M1655">
        <v>89</v>
      </c>
      <c r="N1655" s="1">
        <f t="shared" si="78"/>
        <v>534</v>
      </c>
    </row>
    <row r="1656" spans="5:14" x14ac:dyDescent="0.25">
      <c r="E1656">
        <v>799</v>
      </c>
      <c r="F1656" s="7">
        <v>45148</v>
      </c>
      <c r="G1656">
        <f t="shared" si="76"/>
        <v>2023</v>
      </c>
      <c r="H1656" s="7" t="str">
        <f t="shared" si="77"/>
        <v>Август</v>
      </c>
      <c r="I1656" t="s">
        <v>20</v>
      </c>
      <c r="J1656">
        <v>21</v>
      </c>
      <c r="K1656" t="s">
        <v>23</v>
      </c>
      <c r="L1656">
        <v>4</v>
      </c>
      <c r="M1656">
        <v>50</v>
      </c>
      <c r="N1656" s="1">
        <f t="shared" si="78"/>
        <v>200</v>
      </c>
    </row>
    <row r="1657" spans="5:14" x14ac:dyDescent="0.25">
      <c r="E1657">
        <v>1238</v>
      </c>
      <c r="F1657" s="7">
        <v>45556</v>
      </c>
      <c r="G1657">
        <f t="shared" si="76"/>
        <v>2024</v>
      </c>
      <c r="H1657" s="7" t="str">
        <f t="shared" si="77"/>
        <v>Сентябрь</v>
      </c>
      <c r="I1657" t="s">
        <v>22</v>
      </c>
      <c r="J1657">
        <v>46</v>
      </c>
      <c r="K1657" t="s">
        <v>24</v>
      </c>
      <c r="L1657">
        <v>4</v>
      </c>
      <c r="M1657">
        <v>116</v>
      </c>
      <c r="N1657" s="1">
        <f t="shared" si="78"/>
        <v>464</v>
      </c>
    </row>
    <row r="1658" spans="5:14" x14ac:dyDescent="0.25">
      <c r="E1658">
        <v>896</v>
      </c>
      <c r="F1658" s="7">
        <v>45232</v>
      </c>
      <c r="G1658">
        <f t="shared" si="76"/>
        <v>2023</v>
      </c>
      <c r="H1658" s="7" t="str">
        <f t="shared" si="77"/>
        <v>Ноябрь</v>
      </c>
      <c r="I1658" t="s">
        <v>22</v>
      </c>
      <c r="J1658">
        <v>42</v>
      </c>
      <c r="K1658" t="s">
        <v>23</v>
      </c>
      <c r="L1658">
        <v>3</v>
      </c>
      <c r="M1658">
        <v>30</v>
      </c>
      <c r="N1658" s="1">
        <f t="shared" si="78"/>
        <v>90</v>
      </c>
    </row>
    <row r="1659" spans="5:14" x14ac:dyDescent="0.25">
      <c r="E1659">
        <v>1776</v>
      </c>
      <c r="F1659" s="7">
        <v>45344</v>
      </c>
      <c r="G1659">
        <f t="shared" si="76"/>
        <v>2024</v>
      </c>
      <c r="H1659" s="7" t="str">
        <f t="shared" si="77"/>
        <v>Февраль</v>
      </c>
      <c r="I1659" t="s">
        <v>20</v>
      </c>
      <c r="J1659">
        <v>50</v>
      </c>
      <c r="K1659" t="s">
        <v>24</v>
      </c>
      <c r="L1659">
        <v>4</v>
      </c>
      <c r="M1659">
        <v>313</v>
      </c>
      <c r="N1659" s="1">
        <f t="shared" si="78"/>
        <v>1252</v>
      </c>
    </row>
    <row r="1660" spans="5:14" x14ac:dyDescent="0.25">
      <c r="E1660">
        <v>1811</v>
      </c>
      <c r="F1660" s="7">
        <v>45531</v>
      </c>
      <c r="G1660">
        <f t="shared" si="76"/>
        <v>2024</v>
      </c>
      <c r="H1660" s="7" t="str">
        <f t="shared" si="77"/>
        <v>Август</v>
      </c>
      <c r="I1660" t="s">
        <v>22</v>
      </c>
      <c r="J1660">
        <v>43</v>
      </c>
      <c r="K1660" t="s">
        <v>23</v>
      </c>
      <c r="L1660">
        <v>4</v>
      </c>
      <c r="M1660">
        <v>73</v>
      </c>
      <c r="N1660" s="1">
        <f t="shared" si="78"/>
        <v>292</v>
      </c>
    </row>
    <row r="1661" spans="5:14" x14ac:dyDescent="0.25">
      <c r="E1661">
        <v>598</v>
      </c>
      <c r="F1661" s="7">
        <v>45249</v>
      </c>
      <c r="G1661">
        <f t="shared" si="76"/>
        <v>2023</v>
      </c>
      <c r="H1661" s="7" t="str">
        <f t="shared" si="77"/>
        <v>Ноябрь</v>
      </c>
      <c r="I1661" t="s">
        <v>22</v>
      </c>
      <c r="J1661">
        <v>28</v>
      </c>
      <c r="K1661" t="s">
        <v>21</v>
      </c>
      <c r="L1661">
        <v>2</v>
      </c>
      <c r="M1661">
        <v>50</v>
      </c>
      <c r="N1661" s="1">
        <f t="shared" si="78"/>
        <v>100</v>
      </c>
    </row>
    <row r="1662" spans="5:14" x14ac:dyDescent="0.25">
      <c r="E1662">
        <v>574</v>
      </c>
      <c r="F1662" s="7">
        <v>45013</v>
      </c>
      <c r="G1662">
        <f t="shared" si="76"/>
        <v>2023</v>
      </c>
      <c r="H1662" s="7" t="str">
        <f t="shared" si="77"/>
        <v>Март</v>
      </c>
      <c r="I1662" t="s">
        <v>20</v>
      </c>
      <c r="J1662">
        <v>60</v>
      </c>
      <c r="K1662" t="s">
        <v>23</v>
      </c>
      <c r="L1662">
        <v>2</v>
      </c>
      <c r="M1662">
        <v>50</v>
      </c>
      <c r="N1662" s="1">
        <f t="shared" si="78"/>
        <v>100</v>
      </c>
    </row>
    <row r="1663" spans="5:14" x14ac:dyDescent="0.25">
      <c r="E1663">
        <v>1005</v>
      </c>
      <c r="F1663" s="7">
        <v>45364</v>
      </c>
      <c r="G1663">
        <f t="shared" si="76"/>
        <v>2024</v>
      </c>
      <c r="H1663" s="7" t="str">
        <f t="shared" si="77"/>
        <v>Март</v>
      </c>
      <c r="I1663" t="s">
        <v>20</v>
      </c>
      <c r="J1663">
        <v>36</v>
      </c>
      <c r="K1663" t="s">
        <v>23</v>
      </c>
      <c r="L1663">
        <v>6</v>
      </c>
      <c r="M1663">
        <v>448</v>
      </c>
      <c r="N1663" s="1">
        <f t="shared" si="78"/>
        <v>2688</v>
      </c>
    </row>
    <row r="1664" spans="5:14" x14ac:dyDescent="0.25">
      <c r="E1664">
        <v>1687</v>
      </c>
      <c r="F1664" s="7">
        <v>45405</v>
      </c>
      <c r="G1664">
        <f t="shared" si="76"/>
        <v>2024</v>
      </c>
      <c r="H1664" s="7" t="str">
        <f t="shared" si="77"/>
        <v>Апрель</v>
      </c>
      <c r="I1664" t="s">
        <v>22</v>
      </c>
      <c r="J1664">
        <v>46</v>
      </c>
      <c r="K1664" t="s">
        <v>23</v>
      </c>
      <c r="L1664">
        <v>6</v>
      </c>
      <c r="M1664">
        <v>189</v>
      </c>
      <c r="N1664" s="1">
        <f t="shared" si="78"/>
        <v>1134</v>
      </c>
    </row>
    <row r="1665" spans="5:14" x14ac:dyDescent="0.25">
      <c r="E1665">
        <v>1715</v>
      </c>
      <c r="F1665" s="7">
        <v>45386</v>
      </c>
      <c r="G1665">
        <f t="shared" si="76"/>
        <v>2024</v>
      </c>
      <c r="H1665" s="7" t="str">
        <f t="shared" si="77"/>
        <v>Апрель</v>
      </c>
      <c r="I1665" t="s">
        <v>22</v>
      </c>
      <c r="J1665">
        <v>51</v>
      </c>
      <c r="K1665" t="s">
        <v>23</v>
      </c>
      <c r="L1665">
        <v>3</v>
      </c>
      <c r="M1665">
        <v>416</v>
      </c>
      <c r="N1665" s="1">
        <f t="shared" si="78"/>
        <v>1248</v>
      </c>
    </row>
    <row r="1666" spans="5:14" x14ac:dyDescent="0.25">
      <c r="E1666">
        <v>942</v>
      </c>
      <c r="F1666" s="7">
        <v>45082</v>
      </c>
      <c r="G1666">
        <f t="shared" si="76"/>
        <v>2023</v>
      </c>
      <c r="H1666" s="7" t="str">
        <f t="shared" si="77"/>
        <v>Июнь</v>
      </c>
      <c r="I1666" t="s">
        <v>20</v>
      </c>
      <c r="J1666">
        <v>44</v>
      </c>
      <c r="K1666" t="s">
        <v>23</v>
      </c>
      <c r="L1666">
        <v>2</v>
      </c>
      <c r="M1666">
        <v>25</v>
      </c>
      <c r="N1666" s="1">
        <f t="shared" si="78"/>
        <v>50</v>
      </c>
    </row>
    <row r="1667" spans="5:14" x14ac:dyDescent="0.25">
      <c r="E1667">
        <v>541</v>
      </c>
      <c r="F1667" s="7">
        <v>45094</v>
      </c>
      <c r="G1667">
        <f t="shared" si="76"/>
        <v>2023</v>
      </c>
      <c r="H1667" s="7" t="str">
        <f t="shared" si="77"/>
        <v>Июнь</v>
      </c>
      <c r="I1667" t="s">
        <v>22</v>
      </c>
      <c r="J1667">
        <v>20</v>
      </c>
      <c r="K1667" t="s">
        <v>21</v>
      </c>
      <c r="L1667">
        <v>1</v>
      </c>
      <c r="M1667">
        <v>50</v>
      </c>
      <c r="N1667" s="1">
        <f t="shared" si="78"/>
        <v>50</v>
      </c>
    </row>
    <row r="1668" spans="5:14" x14ac:dyDescent="0.25">
      <c r="E1668">
        <v>821</v>
      </c>
      <c r="F1668" s="7">
        <v>45157</v>
      </c>
      <c r="G1668">
        <f t="shared" si="76"/>
        <v>2023</v>
      </c>
      <c r="H1668" s="7" t="str">
        <f t="shared" si="77"/>
        <v>Август</v>
      </c>
      <c r="I1668" t="s">
        <v>22</v>
      </c>
      <c r="J1668">
        <v>56</v>
      </c>
      <c r="K1668" t="s">
        <v>24</v>
      </c>
      <c r="L1668">
        <v>2</v>
      </c>
      <c r="M1668">
        <v>50</v>
      </c>
      <c r="N1668" s="1">
        <f t="shared" si="78"/>
        <v>100</v>
      </c>
    </row>
    <row r="1669" spans="5:14" x14ac:dyDescent="0.25">
      <c r="E1669">
        <v>1380</v>
      </c>
      <c r="F1669" s="7">
        <v>45373</v>
      </c>
      <c r="G1669">
        <f t="shared" si="76"/>
        <v>2024</v>
      </c>
      <c r="H1669" s="7" t="str">
        <f t="shared" si="77"/>
        <v>Март</v>
      </c>
      <c r="I1669" t="s">
        <v>22</v>
      </c>
      <c r="J1669">
        <v>29</v>
      </c>
      <c r="K1669" t="s">
        <v>21</v>
      </c>
      <c r="L1669">
        <v>2</v>
      </c>
      <c r="M1669">
        <v>376</v>
      </c>
      <c r="N1669" s="1">
        <f t="shared" si="78"/>
        <v>752</v>
      </c>
    </row>
    <row r="1670" spans="5:14" x14ac:dyDescent="0.25">
      <c r="E1670">
        <v>892</v>
      </c>
      <c r="F1670" s="7">
        <v>45174</v>
      </c>
      <c r="G1670">
        <f t="shared" si="76"/>
        <v>2023</v>
      </c>
      <c r="H1670" s="7" t="str">
        <f t="shared" si="77"/>
        <v>Сентябрь</v>
      </c>
      <c r="I1670" t="s">
        <v>20</v>
      </c>
      <c r="J1670">
        <v>52</v>
      </c>
      <c r="K1670" t="s">
        <v>24</v>
      </c>
      <c r="L1670">
        <v>1</v>
      </c>
      <c r="M1670">
        <v>30</v>
      </c>
      <c r="N1670" s="1">
        <f t="shared" si="78"/>
        <v>30</v>
      </c>
    </row>
    <row r="1671" spans="5:14" x14ac:dyDescent="0.25">
      <c r="E1671">
        <v>329</v>
      </c>
      <c r="F1671" s="7">
        <v>45187</v>
      </c>
      <c r="G1671">
        <f t="shared" si="76"/>
        <v>2023</v>
      </c>
      <c r="H1671" s="7" t="str">
        <f t="shared" si="77"/>
        <v>Сентябрь</v>
      </c>
      <c r="I1671" t="s">
        <v>22</v>
      </c>
      <c r="J1671">
        <v>25</v>
      </c>
      <c r="K1671" t="s">
        <v>21</v>
      </c>
      <c r="L1671">
        <v>4</v>
      </c>
      <c r="M1671">
        <v>50</v>
      </c>
      <c r="N1671" s="1">
        <f t="shared" si="78"/>
        <v>200</v>
      </c>
    </row>
    <row r="1672" spans="5:14" x14ac:dyDescent="0.25">
      <c r="E1672">
        <v>1397</v>
      </c>
      <c r="F1672" s="7">
        <v>45346</v>
      </c>
      <c r="G1672">
        <f t="shared" si="76"/>
        <v>2024</v>
      </c>
      <c r="H1672" s="7" t="str">
        <f t="shared" si="77"/>
        <v>Февраль</v>
      </c>
      <c r="I1672" t="s">
        <v>20</v>
      </c>
      <c r="J1672">
        <v>60</v>
      </c>
      <c r="K1672" t="s">
        <v>23</v>
      </c>
      <c r="L1672">
        <v>7</v>
      </c>
      <c r="M1672">
        <v>254</v>
      </c>
      <c r="N1672" s="1">
        <f t="shared" si="78"/>
        <v>1778</v>
      </c>
    </row>
    <row r="1673" spans="5:14" x14ac:dyDescent="0.25">
      <c r="E1673">
        <v>1117</v>
      </c>
      <c r="F1673" s="7">
        <v>45364</v>
      </c>
      <c r="G1673">
        <f t="shared" si="76"/>
        <v>2024</v>
      </c>
      <c r="H1673" s="7" t="str">
        <f t="shared" si="77"/>
        <v>Март</v>
      </c>
      <c r="I1673" t="s">
        <v>22</v>
      </c>
      <c r="J1673">
        <v>41</v>
      </c>
      <c r="K1673" t="s">
        <v>23</v>
      </c>
      <c r="L1673">
        <v>7</v>
      </c>
      <c r="M1673">
        <v>109</v>
      </c>
      <c r="N1673" s="1">
        <f t="shared" si="78"/>
        <v>763</v>
      </c>
    </row>
    <row r="1674" spans="5:14" x14ac:dyDescent="0.25">
      <c r="E1674">
        <v>1830</v>
      </c>
      <c r="F1674" s="7">
        <v>45386</v>
      </c>
      <c r="G1674">
        <f t="shared" ref="G1674:G1737" si="79">YEAR(F1674)</f>
        <v>2024</v>
      </c>
      <c r="H1674" s="7" t="str">
        <f t="shared" ref="H1674:H1737" si="80">TEXT(F1674,"ММММ")</f>
        <v>Апрель</v>
      </c>
      <c r="I1674" t="s">
        <v>22</v>
      </c>
      <c r="J1674">
        <v>42</v>
      </c>
      <c r="K1674" t="s">
        <v>21</v>
      </c>
      <c r="L1674">
        <v>5</v>
      </c>
      <c r="M1674">
        <v>354</v>
      </c>
      <c r="N1674" s="1">
        <f t="shared" ref="N1674:N1737" si="81">L1674*M1674</f>
        <v>1770</v>
      </c>
    </row>
    <row r="1675" spans="5:14" x14ac:dyDescent="0.25">
      <c r="E1675">
        <v>360</v>
      </c>
      <c r="F1675" s="7">
        <v>45270</v>
      </c>
      <c r="G1675">
        <f t="shared" si="79"/>
        <v>2023</v>
      </c>
      <c r="H1675" s="7" t="str">
        <f t="shared" si="80"/>
        <v>Декабрь</v>
      </c>
      <c r="I1675" t="s">
        <v>22</v>
      </c>
      <c r="J1675">
        <v>34</v>
      </c>
      <c r="K1675" t="s">
        <v>24</v>
      </c>
      <c r="L1675">
        <v>4</v>
      </c>
      <c r="M1675">
        <v>300</v>
      </c>
      <c r="N1675" s="1">
        <f t="shared" si="81"/>
        <v>1200</v>
      </c>
    </row>
    <row r="1676" spans="5:14" x14ac:dyDescent="0.25">
      <c r="E1676">
        <v>37</v>
      </c>
      <c r="F1676" s="7">
        <v>45069</v>
      </c>
      <c r="G1676">
        <f t="shared" si="79"/>
        <v>2023</v>
      </c>
      <c r="H1676" s="7" t="str">
        <f t="shared" si="80"/>
        <v>Май</v>
      </c>
      <c r="I1676" t="s">
        <v>22</v>
      </c>
      <c r="J1676">
        <v>18</v>
      </c>
      <c r="K1676" t="s">
        <v>21</v>
      </c>
      <c r="L1676">
        <v>3</v>
      </c>
      <c r="M1676">
        <v>25</v>
      </c>
      <c r="N1676" s="1">
        <f t="shared" si="81"/>
        <v>75</v>
      </c>
    </row>
    <row r="1677" spans="5:14" x14ac:dyDescent="0.25">
      <c r="E1677">
        <v>561</v>
      </c>
      <c r="F1677" s="7">
        <v>45034</v>
      </c>
      <c r="G1677">
        <f t="shared" si="79"/>
        <v>2023</v>
      </c>
      <c r="H1677" s="7" t="str">
        <f t="shared" si="80"/>
        <v>Апрель</v>
      </c>
      <c r="I1677" t="s">
        <v>20</v>
      </c>
      <c r="J1677">
        <v>54</v>
      </c>
      <c r="K1677" t="s">
        <v>24</v>
      </c>
      <c r="L1677">
        <v>2</v>
      </c>
      <c r="M1677">
        <v>25</v>
      </c>
      <c r="N1677" s="1">
        <f t="shared" si="81"/>
        <v>50</v>
      </c>
    </row>
    <row r="1678" spans="5:14" x14ac:dyDescent="0.25">
      <c r="E1678">
        <v>1277</v>
      </c>
      <c r="F1678" s="7">
        <v>45386</v>
      </c>
      <c r="G1678">
        <f t="shared" si="79"/>
        <v>2024</v>
      </c>
      <c r="H1678" s="7" t="str">
        <f t="shared" si="80"/>
        <v>Апрель</v>
      </c>
      <c r="I1678" t="s">
        <v>22</v>
      </c>
      <c r="J1678">
        <v>49</v>
      </c>
      <c r="K1678" t="s">
        <v>23</v>
      </c>
      <c r="L1678">
        <v>3</v>
      </c>
      <c r="M1678">
        <v>479</v>
      </c>
      <c r="N1678" s="1">
        <f t="shared" si="81"/>
        <v>1437</v>
      </c>
    </row>
    <row r="1679" spans="5:14" x14ac:dyDescent="0.25">
      <c r="E1679">
        <v>1446</v>
      </c>
      <c r="F1679" s="7">
        <v>45476</v>
      </c>
      <c r="G1679">
        <f t="shared" si="79"/>
        <v>2024</v>
      </c>
      <c r="H1679" s="7" t="str">
        <f t="shared" si="80"/>
        <v>Июль</v>
      </c>
      <c r="I1679" t="s">
        <v>20</v>
      </c>
      <c r="J1679">
        <v>18</v>
      </c>
      <c r="K1679" t="s">
        <v>24</v>
      </c>
      <c r="L1679">
        <v>4</v>
      </c>
      <c r="M1679">
        <v>234</v>
      </c>
      <c r="N1679" s="1">
        <f t="shared" si="81"/>
        <v>936</v>
      </c>
    </row>
    <row r="1680" spans="5:14" x14ac:dyDescent="0.25">
      <c r="E1680">
        <v>1769</v>
      </c>
      <c r="F1680" s="7">
        <v>45496</v>
      </c>
      <c r="G1680">
        <f t="shared" si="79"/>
        <v>2024</v>
      </c>
      <c r="H1680" s="7" t="str">
        <f t="shared" si="80"/>
        <v>Июль</v>
      </c>
      <c r="I1680" t="s">
        <v>20</v>
      </c>
      <c r="J1680">
        <v>32</v>
      </c>
      <c r="K1680" t="s">
        <v>24</v>
      </c>
      <c r="L1680">
        <v>1</v>
      </c>
      <c r="M1680">
        <v>447</v>
      </c>
      <c r="N1680" s="1">
        <f t="shared" si="81"/>
        <v>447</v>
      </c>
    </row>
    <row r="1681" spans="5:14" x14ac:dyDescent="0.25">
      <c r="E1681">
        <v>1716</v>
      </c>
      <c r="F1681" s="7">
        <v>45317</v>
      </c>
      <c r="G1681">
        <f t="shared" si="79"/>
        <v>2024</v>
      </c>
      <c r="H1681" s="7" t="str">
        <f t="shared" si="80"/>
        <v>Январь</v>
      </c>
      <c r="I1681" t="s">
        <v>22</v>
      </c>
      <c r="J1681">
        <v>45</v>
      </c>
      <c r="K1681" t="s">
        <v>21</v>
      </c>
      <c r="L1681">
        <v>2</v>
      </c>
      <c r="M1681">
        <v>437</v>
      </c>
      <c r="N1681" s="1">
        <f t="shared" si="81"/>
        <v>874</v>
      </c>
    </row>
    <row r="1682" spans="5:14" x14ac:dyDescent="0.25">
      <c r="E1682">
        <v>703</v>
      </c>
      <c r="F1682" s="7">
        <v>44992</v>
      </c>
      <c r="G1682">
        <f t="shared" si="79"/>
        <v>2023</v>
      </c>
      <c r="H1682" s="7" t="str">
        <f t="shared" si="80"/>
        <v>Март</v>
      </c>
      <c r="I1682" t="s">
        <v>20</v>
      </c>
      <c r="J1682">
        <v>60</v>
      </c>
      <c r="K1682" t="s">
        <v>24</v>
      </c>
      <c r="L1682">
        <v>2</v>
      </c>
      <c r="M1682">
        <v>25</v>
      </c>
      <c r="N1682" s="1">
        <f t="shared" si="81"/>
        <v>50</v>
      </c>
    </row>
    <row r="1683" spans="5:14" x14ac:dyDescent="0.25">
      <c r="E1683">
        <v>1893</v>
      </c>
      <c r="F1683" s="7">
        <v>45561</v>
      </c>
      <c r="G1683">
        <f t="shared" si="79"/>
        <v>2024</v>
      </c>
      <c r="H1683" s="7" t="str">
        <f t="shared" si="80"/>
        <v>Сентябрь</v>
      </c>
      <c r="I1683" t="s">
        <v>22</v>
      </c>
      <c r="J1683">
        <v>41</v>
      </c>
      <c r="K1683" t="s">
        <v>24</v>
      </c>
      <c r="L1683">
        <v>1</v>
      </c>
      <c r="M1683">
        <v>40</v>
      </c>
      <c r="N1683" s="1">
        <f t="shared" si="81"/>
        <v>40</v>
      </c>
    </row>
    <row r="1684" spans="5:14" x14ac:dyDescent="0.25">
      <c r="E1684">
        <v>1419</v>
      </c>
      <c r="F1684" s="7">
        <v>45463</v>
      </c>
      <c r="G1684">
        <f t="shared" si="79"/>
        <v>2024</v>
      </c>
      <c r="H1684" s="7" t="str">
        <f t="shared" si="80"/>
        <v>Июнь</v>
      </c>
      <c r="I1684" t="s">
        <v>22</v>
      </c>
      <c r="J1684">
        <v>35</v>
      </c>
      <c r="K1684" t="s">
        <v>23</v>
      </c>
      <c r="L1684">
        <v>5</v>
      </c>
      <c r="M1684">
        <v>409</v>
      </c>
      <c r="N1684" s="1">
        <f t="shared" si="81"/>
        <v>2045</v>
      </c>
    </row>
    <row r="1685" spans="5:14" x14ac:dyDescent="0.25">
      <c r="E1685">
        <v>1829</v>
      </c>
      <c r="F1685" s="7">
        <v>45459</v>
      </c>
      <c r="G1685">
        <f t="shared" si="79"/>
        <v>2024</v>
      </c>
      <c r="H1685" s="7" t="str">
        <f t="shared" si="80"/>
        <v>Июнь</v>
      </c>
      <c r="I1685" t="s">
        <v>20</v>
      </c>
      <c r="J1685">
        <v>52</v>
      </c>
      <c r="K1685" t="s">
        <v>21</v>
      </c>
      <c r="L1685">
        <v>6</v>
      </c>
      <c r="M1685">
        <v>335</v>
      </c>
      <c r="N1685" s="1">
        <f t="shared" si="81"/>
        <v>2010</v>
      </c>
    </row>
    <row r="1686" spans="5:14" x14ac:dyDescent="0.25">
      <c r="E1686">
        <v>1889</v>
      </c>
      <c r="F1686" s="7">
        <v>45403</v>
      </c>
      <c r="G1686">
        <f t="shared" si="79"/>
        <v>2024</v>
      </c>
      <c r="H1686" s="7" t="str">
        <f t="shared" si="80"/>
        <v>Апрель</v>
      </c>
      <c r="I1686" t="s">
        <v>20</v>
      </c>
      <c r="J1686">
        <v>39</v>
      </c>
      <c r="K1686" t="s">
        <v>24</v>
      </c>
      <c r="L1686">
        <v>4</v>
      </c>
      <c r="M1686">
        <v>481</v>
      </c>
      <c r="N1686" s="1">
        <f t="shared" si="81"/>
        <v>1924</v>
      </c>
    </row>
    <row r="1687" spans="5:14" x14ac:dyDescent="0.25">
      <c r="E1687">
        <v>1280</v>
      </c>
      <c r="F1687" s="7">
        <v>45420</v>
      </c>
      <c r="G1687">
        <f t="shared" si="79"/>
        <v>2024</v>
      </c>
      <c r="H1687" s="7" t="str">
        <f t="shared" si="80"/>
        <v>Май</v>
      </c>
      <c r="I1687" t="s">
        <v>22</v>
      </c>
      <c r="J1687">
        <v>49</v>
      </c>
      <c r="K1687" t="s">
        <v>24</v>
      </c>
      <c r="L1687">
        <v>7</v>
      </c>
      <c r="M1687">
        <v>174</v>
      </c>
      <c r="N1687" s="1">
        <f t="shared" si="81"/>
        <v>1218</v>
      </c>
    </row>
    <row r="1688" spans="5:14" x14ac:dyDescent="0.25">
      <c r="E1688">
        <v>1520</v>
      </c>
      <c r="F1688" s="7">
        <v>45559</v>
      </c>
      <c r="G1688">
        <f t="shared" si="79"/>
        <v>2024</v>
      </c>
      <c r="H1688" s="7" t="str">
        <f t="shared" si="80"/>
        <v>Сентябрь</v>
      </c>
      <c r="I1688" t="s">
        <v>22</v>
      </c>
      <c r="J1688">
        <v>65</v>
      </c>
      <c r="K1688" t="s">
        <v>24</v>
      </c>
      <c r="L1688">
        <v>4</v>
      </c>
      <c r="M1688">
        <v>443</v>
      </c>
      <c r="N1688" s="1">
        <f t="shared" si="81"/>
        <v>1772</v>
      </c>
    </row>
    <row r="1689" spans="5:14" x14ac:dyDescent="0.25">
      <c r="E1689">
        <v>832</v>
      </c>
      <c r="F1689" s="7">
        <v>45020</v>
      </c>
      <c r="G1689">
        <f t="shared" si="79"/>
        <v>2023</v>
      </c>
      <c r="H1689" s="7" t="str">
        <f t="shared" si="80"/>
        <v>Апрель</v>
      </c>
      <c r="I1689" t="s">
        <v>22</v>
      </c>
      <c r="J1689">
        <v>56</v>
      </c>
      <c r="K1689" t="s">
        <v>21</v>
      </c>
      <c r="L1689">
        <v>2</v>
      </c>
      <c r="M1689">
        <v>30</v>
      </c>
      <c r="N1689" s="1">
        <f t="shared" si="81"/>
        <v>60</v>
      </c>
    </row>
    <row r="1690" spans="5:14" x14ac:dyDescent="0.25">
      <c r="E1690">
        <v>1645</v>
      </c>
      <c r="F1690" s="7">
        <v>45518</v>
      </c>
      <c r="G1690">
        <f t="shared" si="79"/>
        <v>2024</v>
      </c>
      <c r="H1690" s="7" t="str">
        <f t="shared" si="80"/>
        <v>Август</v>
      </c>
      <c r="I1690" t="s">
        <v>20</v>
      </c>
      <c r="J1690">
        <v>46</v>
      </c>
      <c r="K1690" t="s">
        <v>21</v>
      </c>
      <c r="L1690">
        <v>7</v>
      </c>
      <c r="M1690">
        <v>243</v>
      </c>
      <c r="N1690" s="1">
        <f t="shared" si="81"/>
        <v>1701</v>
      </c>
    </row>
    <row r="1691" spans="5:14" x14ac:dyDescent="0.25">
      <c r="E1691">
        <v>1451</v>
      </c>
      <c r="F1691" s="7">
        <v>45344</v>
      </c>
      <c r="G1691">
        <f t="shared" si="79"/>
        <v>2024</v>
      </c>
      <c r="H1691" s="7" t="str">
        <f t="shared" si="80"/>
        <v>Февраль</v>
      </c>
      <c r="I1691" t="s">
        <v>22</v>
      </c>
      <c r="J1691">
        <v>22</v>
      </c>
      <c r="K1691" t="s">
        <v>21</v>
      </c>
      <c r="L1691">
        <v>2</v>
      </c>
      <c r="M1691">
        <v>284</v>
      </c>
      <c r="N1691" s="1">
        <f t="shared" si="81"/>
        <v>568</v>
      </c>
    </row>
    <row r="1692" spans="5:14" x14ac:dyDescent="0.25">
      <c r="E1692">
        <v>652</v>
      </c>
      <c r="F1692" s="7">
        <v>45098</v>
      </c>
      <c r="G1692">
        <f t="shared" si="79"/>
        <v>2023</v>
      </c>
      <c r="H1692" s="7" t="str">
        <f t="shared" si="80"/>
        <v>Июнь</v>
      </c>
      <c r="I1692" t="s">
        <v>20</v>
      </c>
      <c r="J1692">
        <v>42</v>
      </c>
      <c r="K1692" t="s">
        <v>23</v>
      </c>
      <c r="L1692">
        <v>3</v>
      </c>
      <c r="M1692">
        <v>25</v>
      </c>
      <c r="N1692" s="1">
        <f t="shared" si="81"/>
        <v>75</v>
      </c>
    </row>
    <row r="1693" spans="5:14" x14ac:dyDescent="0.25">
      <c r="E1693">
        <v>1315</v>
      </c>
      <c r="F1693" s="7">
        <v>45589</v>
      </c>
      <c r="G1693">
        <f t="shared" si="79"/>
        <v>2024</v>
      </c>
      <c r="H1693" s="7" t="str">
        <f t="shared" si="80"/>
        <v>Октябрь</v>
      </c>
      <c r="I1693" t="s">
        <v>20</v>
      </c>
      <c r="J1693">
        <v>60</v>
      </c>
      <c r="K1693" t="s">
        <v>23</v>
      </c>
      <c r="L1693">
        <v>3</v>
      </c>
      <c r="M1693">
        <v>125</v>
      </c>
      <c r="N1693" s="1">
        <f t="shared" si="81"/>
        <v>375</v>
      </c>
    </row>
    <row r="1694" spans="5:14" x14ac:dyDescent="0.25">
      <c r="E1694">
        <v>803</v>
      </c>
      <c r="F1694" s="7">
        <v>45289</v>
      </c>
      <c r="G1694">
        <f t="shared" si="79"/>
        <v>2023</v>
      </c>
      <c r="H1694" s="7" t="str">
        <f t="shared" si="80"/>
        <v>Декабрь</v>
      </c>
      <c r="I1694" t="s">
        <v>22</v>
      </c>
      <c r="J1694">
        <v>30</v>
      </c>
      <c r="K1694" t="s">
        <v>21</v>
      </c>
      <c r="L1694">
        <v>3</v>
      </c>
      <c r="M1694">
        <v>500</v>
      </c>
      <c r="N1694" s="1">
        <f t="shared" si="81"/>
        <v>1500</v>
      </c>
    </row>
    <row r="1695" spans="5:14" x14ac:dyDescent="0.25">
      <c r="E1695">
        <v>251</v>
      </c>
      <c r="F1695" s="7">
        <v>45051</v>
      </c>
      <c r="G1695">
        <f t="shared" si="79"/>
        <v>2023</v>
      </c>
      <c r="H1695" s="7" t="str">
        <f t="shared" si="80"/>
        <v>Май</v>
      </c>
      <c r="I1695" t="s">
        <v>20</v>
      </c>
      <c r="J1695">
        <v>54</v>
      </c>
      <c r="K1695" t="s">
        <v>24</v>
      </c>
      <c r="L1695">
        <v>1</v>
      </c>
      <c r="M1695">
        <v>300</v>
      </c>
      <c r="N1695" s="1">
        <f t="shared" si="81"/>
        <v>300</v>
      </c>
    </row>
    <row r="1696" spans="5:14" x14ac:dyDescent="0.25">
      <c r="E1696">
        <v>32</v>
      </c>
      <c r="F1696" s="7">
        <v>44930</v>
      </c>
      <c r="G1696">
        <f t="shared" si="79"/>
        <v>2023</v>
      </c>
      <c r="H1696" s="7" t="str">
        <f t="shared" si="80"/>
        <v>Январь</v>
      </c>
      <c r="I1696" t="s">
        <v>20</v>
      </c>
      <c r="J1696">
        <v>30</v>
      </c>
      <c r="K1696" t="s">
        <v>21</v>
      </c>
      <c r="L1696">
        <v>3</v>
      </c>
      <c r="M1696">
        <v>30</v>
      </c>
      <c r="N1696" s="1">
        <f t="shared" si="81"/>
        <v>90</v>
      </c>
    </row>
    <row r="1697" spans="5:14" x14ac:dyDescent="0.25">
      <c r="E1697">
        <v>1828</v>
      </c>
      <c r="F1697" s="7">
        <v>45546</v>
      </c>
      <c r="G1697">
        <f t="shared" si="79"/>
        <v>2024</v>
      </c>
      <c r="H1697" s="7" t="str">
        <f t="shared" si="80"/>
        <v>Сентябрь</v>
      </c>
      <c r="I1697" t="s">
        <v>20</v>
      </c>
      <c r="J1697">
        <v>46</v>
      </c>
      <c r="K1697" t="s">
        <v>21</v>
      </c>
      <c r="L1697">
        <v>2</v>
      </c>
      <c r="M1697">
        <v>421</v>
      </c>
      <c r="N1697" s="1">
        <f t="shared" si="81"/>
        <v>842</v>
      </c>
    </row>
    <row r="1698" spans="5:14" x14ac:dyDescent="0.25">
      <c r="E1698">
        <v>1858</v>
      </c>
      <c r="F1698" s="7">
        <v>45443</v>
      </c>
      <c r="G1698">
        <f t="shared" si="79"/>
        <v>2024</v>
      </c>
      <c r="H1698" s="7" t="str">
        <f t="shared" si="80"/>
        <v>Май</v>
      </c>
      <c r="I1698" t="s">
        <v>20</v>
      </c>
      <c r="J1698">
        <v>59</v>
      </c>
      <c r="K1698" t="s">
        <v>24</v>
      </c>
      <c r="L1698">
        <v>5</v>
      </c>
      <c r="M1698">
        <v>31</v>
      </c>
      <c r="N1698" s="1">
        <f t="shared" si="81"/>
        <v>155</v>
      </c>
    </row>
    <row r="1699" spans="5:14" x14ac:dyDescent="0.25">
      <c r="E1699">
        <v>635</v>
      </c>
      <c r="F1699" s="7">
        <v>45008</v>
      </c>
      <c r="G1699">
        <f t="shared" si="79"/>
        <v>2023</v>
      </c>
      <c r="H1699" s="7" t="str">
        <f t="shared" si="80"/>
        <v>Март</v>
      </c>
      <c r="I1699" t="s">
        <v>22</v>
      </c>
      <c r="J1699">
        <v>21</v>
      </c>
      <c r="K1699" t="s">
        <v>21</v>
      </c>
      <c r="L1699">
        <v>3</v>
      </c>
      <c r="M1699">
        <v>500</v>
      </c>
      <c r="N1699" s="1">
        <f t="shared" si="81"/>
        <v>1500</v>
      </c>
    </row>
    <row r="1700" spans="5:14" x14ac:dyDescent="0.25">
      <c r="E1700">
        <v>226</v>
      </c>
      <c r="F1700" s="7">
        <v>45210</v>
      </c>
      <c r="G1700">
        <f t="shared" si="79"/>
        <v>2023</v>
      </c>
      <c r="H1700" s="7" t="str">
        <f t="shared" si="80"/>
        <v>Октябрь</v>
      </c>
      <c r="I1700" t="s">
        <v>20</v>
      </c>
      <c r="J1700">
        <v>36</v>
      </c>
      <c r="K1700" t="s">
        <v>24</v>
      </c>
      <c r="L1700">
        <v>2</v>
      </c>
      <c r="M1700">
        <v>50</v>
      </c>
      <c r="N1700" s="1">
        <f t="shared" si="81"/>
        <v>100</v>
      </c>
    </row>
    <row r="1701" spans="5:14" x14ac:dyDescent="0.25">
      <c r="E1701">
        <v>696</v>
      </c>
      <c r="F1701" s="7">
        <v>45126</v>
      </c>
      <c r="G1701">
        <f t="shared" si="79"/>
        <v>2023</v>
      </c>
      <c r="H1701" s="7" t="str">
        <f t="shared" si="80"/>
        <v>Июль</v>
      </c>
      <c r="I1701" t="s">
        <v>22</v>
      </c>
      <c r="J1701">
        <v>64</v>
      </c>
      <c r="K1701" t="s">
        <v>24</v>
      </c>
      <c r="L1701">
        <v>1</v>
      </c>
      <c r="M1701">
        <v>300</v>
      </c>
      <c r="N1701" s="1">
        <f t="shared" si="81"/>
        <v>300</v>
      </c>
    </row>
    <row r="1702" spans="5:14" x14ac:dyDescent="0.25">
      <c r="E1702">
        <v>250</v>
      </c>
      <c r="F1702" s="7">
        <v>45169</v>
      </c>
      <c r="G1702">
        <f t="shared" si="79"/>
        <v>2023</v>
      </c>
      <c r="H1702" s="7" t="str">
        <f t="shared" si="80"/>
        <v>Август</v>
      </c>
      <c r="I1702" t="s">
        <v>22</v>
      </c>
      <c r="J1702">
        <v>57</v>
      </c>
      <c r="K1702" t="s">
        <v>21</v>
      </c>
      <c r="L1702">
        <v>4</v>
      </c>
      <c r="M1702">
        <v>50</v>
      </c>
      <c r="N1702" s="1">
        <f t="shared" si="81"/>
        <v>200</v>
      </c>
    </row>
    <row r="1703" spans="5:14" x14ac:dyDescent="0.25">
      <c r="E1703">
        <v>1684</v>
      </c>
      <c r="F1703" s="7">
        <v>45568</v>
      </c>
      <c r="G1703">
        <f t="shared" si="79"/>
        <v>2024</v>
      </c>
      <c r="H1703" s="7" t="str">
        <f t="shared" si="80"/>
        <v>Октябрь</v>
      </c>
      <c r="I1703" t="s">
        <v>20</v>
      </c>
      <c r="J1703">
        <v>55</v>
      </c>
      <c r="K1703" t="s">
        <v>23</v>
      </c>
      <c r="L1703">
        <v>3</v>
      </c>
      <c r="M1703">
        <v>60</v>
      </c>
      <c r="N1703" s="1">
        <f t="shared" si="81"/>
        <v>180</v>
      </c>
    </row>
    <row r="1704" spans="5:14" x14ac:dyDescent="0.25">
      <c r="E1704">
        <v>1215</v>
      </c>
      <c r="F1704" s="7">
        <v>45557</v>
      </c>
      <c r="G1704">
        <f t="shared" si="79"/>
        <v>2024</v>
      </c>
      <c r="H1704" s="7" t="str">
        <f t="shared" si="80"/>
        <v>Сентябрь</v>
      </c>
      <c r="I1704" t="s">
        <v>20</v>
      </c>
      <c r="J1704">
        <v>31</v>
      </c>
      <c r="K1704" t="s">
        <v>21</v>
      </c>
      <c r="L1704">
        <v>5</v>
      </c>
      <c r="M1704">
        <v>239</v>
      </c>
      <c r="N1704" s="1">
        <f t="shared" si="81"/>
        <v>1195</v>
      </c>
    </row>
    <row r="1705" spans="5:14" x14ac:dyDescent="0.25">
      <c r="E1705">
        <v>443</v>
      </c>
      <c r="F1705" s="7">
        <v>44992</v>
      </c>
      <c r="G1705">
        <f t="shared" si="79"/>
        <v>2023</v>
      </c>
      <c r="H1705" s="7" t="str">
        <f t="shared" si="80"/>
        <v>Март</v>
      </c>
      <c r="I1705" t="s">
        <v>22</v>
      </c>
      <c r="J1705">
        <v>61</v>
      </c>
      <c r="K1705" t="s">
        <v>23</v>
      </c>
      <c r="L1705">
        <v>3</v>
      </c>
      <c r="M1705">
        <v>30</v>
      </c>
      <c r="N1705" s="1">
        <f t="shared" si="81"/>
        <v>90</v>
      </c>
    </row>
    <row r="1706" spans="5:14" x14ac:dyDescent="0.25">
      <c r="E1706">
        <v>736</v>
      </c>
      <c r="F1706" s="7">
        <v>45041</v>
      </c>
      <c r="G1706">
        <f t="shared" si="79"/>
        <v>2023</v>
      </c>
      <c r="H1706" s="7" t="str">
        <f t="shared" si="80"/>
        <v>Апрель</v>
      </c>
      <c r="I1706" t="s">
        <v>20</v>
      </c>
      <c r="J1706">
        <v>41</v>
      </c>
      <c r="K1706" t="s">
        <v>23</v>
      </c>
      <c r="L1706">
        <v>2</v>
      </c>
      <c r="M1706">
        <v>50</v>
      </c>
      <c r="N1706" s="1">
        <f t="shared" si="81"/>
        <v>100</v>
      </c>
    </row>
    <row r="1707" spans="5:14" x14ac:dyDescent="0.25">
      <c r="E1707">
        <v>1312</v>
      </c>
      <c r="F1707" s="7">
        <v>45444</v>
      </c>
      <c r="G1707">
        <f t="shared" si="79"/>
        <v>2024</v>
      </c>
      <c r="H1707" s="7" t="str">
        <f t="shared" si="80"/>
        <v>Июнь</v>
      </c>
      <c r="I1707" t="s">
        <v>20</v>
      </c>
      <c r="J1707">
        <v>65</v>
      </c>
      <c r="K1707" t="s">
        <v>23</v>
      </c>
      <c r="L1707">
        <v>2</v>
      </c>
      <c r="M1707">
        <v>427</v>
      </c>
      <c r="N1707" s="1">
        <f t="shared" si="81"/>
        <v>854</v>
      </c>
    </row>
    <row r="1708" spans="5:14" x14ac:dyDescent="0.25">
      <c r="E1708">
        <v>1773</v>
      </c>
      <c r="F1708" s="7">
        <v>45646</v>
      </c>
      <c r="G1708">
        <f t="shared" si="79"/>
        <v>2024</v>
      </c>
      <c r="H1708" s="7" t="str">
        <f t="shared" si="80"/>
        <v>Декабрь</v>
      </c>
      <c r="I1708" t="s">
        <v>20</v>
      </c>
      <c r="J1708">
        <v>42</v>
      </c>
      <c r="K1708" t="s">
        <v>24</v>
      </c>
      <c r="L1708">
        <v>5</v>
      </c>
      <c r="M1708">
        <v>487</v>
      </c>
      <c r="N1708" s="1">
        <f t="shared" si="81"/>
        <v>2435</v>
      </c>
    </row>
    <row r="1709" spans="5:14" x14ac:dyDescent="0.25">
      <c r="E1709">
        <v>739</v>
      </c>
      <c r="F1709" s="7">
        <v>45260</v>
      </c>
      <c r="G1709">
        <f t="shared" si="79"/>
        <v>2023</v>
      </c>
      <c r="H1709" s="7" t="str">
        <f t="shared" si="80"/>
        <v>Ноябрь</v>
      </c>
      <c r="I1709" t="s">
        <v>20</v>
      </c>
      <c r="J1709">
        <v>48</v>
      </c>
      <c r="K1709" t="s">
        <v>23</v>
      </c>
      <c r="L1709">
        <v>1</v>
      </c>
      <c r="M1709">
        <v>300</v>
      </c>
      <c r="N1709" s="1">
        <f t="shared" si="81"/>
        <v>300</v>
      </c>
    </row>
    <row r="1710" spans="5:14" x14ac:dyDescent="0.25">
      <c r="E1710">
        <v>1622</v>
      </c>
      <c r="F1710" s="7">
        <v>45634</v>
      </c>
      <c r="G1710">
        <f t="shared" si="79"/>
        <v>2024</v>
      </c>
      <c r="H1710" s="7" t="str">
        <f t="shared" si="80"/>
        <v>Декабрь</v>
      </c>
      <c r="I1710" t="s">
        <v>20</v>
      </c>
      <c r="J1710">
        <v>42</v>
      </c>
      <c r="K1710" t="s">
        <v>23</v>
      </c>
      <c r="L1710">
        <v>3</v>
      </c>
      <c r="M1710">
        <v>85</v>
      </c>
      <c r="N1710" s="1">
        <f t="shared" si="81"/>
        <v>255</v>
      </c>
    </row>
    <row r="1711" spans="5:14" x14ac:dyDescent="0.25">
      <c r="E1711">
        <v>798</v>
      </c>
      <c r="F1711" s="7">
        <v>44981</v>
      </c>
      <c r="G1711">
        <f t="shared" si="79"/>
        <v>2023</v>
      </c>
      <c r="H1711" s="7" t="str">
        <f t="shared" si="80"/>
        <v>Февраль</v>
      </c>
      <c r="I1711" t="s">
        <v>20</v>
      </c>
      <c r="J1711">
        <v>32</v>
      </c>
      <c r="K1711" t="s">
        <v>23</v>
      </c>
      <c r="L1711">
        <v>4</v>
      </c>
      <c r="M1711">
        <v>300</v>
      </c>
      <c r="N1711" s="1">
        <f t="shared" si="81"/>
        <v>1200</v>
      </c>
    </row>
    <row r="1712" spans="5:14" x14ac:dyDescent="0.25">
      <c r="E1712">
        <v>1512</v>
      </c>
      <c r="F1712" s="7">
        <v>45490</v>
      </c>
      <c r="G1712">
        <f t="shared" si="79"/>
        <v>2024</v>
      </c>
      <c r="H1712" s="7" t="str">
        <f t="shared" si="80"/>
        <v>Июль</v>
      </c>
      <c r="I1712" t="s">
        <v>22</v>
      </c>
      <c r="J1712">
        <v>33</v>
      </c>
      <c r="K1712" t="s">
        <v>23</v>
      </c>
      <c r="L1712">
        <v>3</v>
      </c>
      <c r="M1712">
        <v>51</v>
      </c>
      <c r="N1712" s="1">
        <f t="shared" si="81"/>
        <v>153</v>
      </c>
    </row>
    <row r="1713" spans="5:14" x14ac:dyDescent="0.25">
      <c r="E1713">
        <v>176</v>
      </c>
      <c r="F1713" s="7">
        <v>45118</v>
      </c>
      <c r="G1713">
        <f t="shared" si="79"/>
        <v>2023</v>
      </c>
      <c r="H1713" s="7" t="str">
        <f t="shared" si="80"/>
        <v>Июль</v>
      </c>
      <c r="I1713" t="s">
        <v>22</v>
      </c>
      <c r="J1713">
        <v>43</v>
      </c>
      <c r="K1713" t="s">
        <v>21</v>
      </c>
      <c r="L1713">
        <v>2</v>
      </c>
      <c r="M1713">
        <v>50</v>
      </c>
      <c r="N1713" s="1">
        <f t="shared" si="81"/>
        <v>100</v>
      </c>
    </row>
    <row r="1714" spans="5:14" x14ac:dyDescent="0.25">
      <c r="E1714">
        <v>149</v>
      </c>
      <c r="F1714" s="7">
        <v>45210</v>
      </c>
      <c r="G1714">
        <f t="shared" si="79"/>
        <v>2023</v>
      </c>
      <c r="H1714" s="7" t="str">
        <f t="shared" si="80"/>
        <v>Октябрь</v>
      </c>
      <c r="I1714" t="s">
        <v>20</v>
      </c>
      <c r="J1714">
        <v>22</v>
      </c>
      <c r="K1714" t="s">
        <v>23</v>
      </c>
      <c r="L1714">
        <v>3</v>
      </c>
      <c r="M1714">
        <v>25</v>
      </c>
      <c r="N1714" s="1">
        <f t="shared" si="81"/>
        <v>75</v>
      </c>
    </row>
    <row r="1715" spans="5:14" x14ac:dyDescent="0.25">
      <c r="E1715">
        <v>624</v>
      </c>
      <c r="F1715" s="7">
        <v>45268</v>
      </c>
      <c r="G1715">
        <f t="shared" si="79"/>
        <v>2023</v>
      </c>
      <c r="H1715" s="7" t="str">
        <f t="shared" si="80"/>
        <v>Декабрь</v>
      </c>
      <c r="I1715" t="s">
        <v>20</v>
      </c>
      <c r="J1715">
        <v>31</v>
      </c>
      <c r="K1715" t="s">
        <v>23</v>
      </c>
      <c r="L1715">
        <v>1</v>
      </c>
      <c r="M1715">
        <v>300</v>
      </c>
      <c r="N1715" s="1">
        <f t="shared" si="81"/>
        <v>300</v>
      </c>
    </row>
    <row r="1716" spans="5:14" x14ac:dyDescent="0.25">
      <c r="E1716">
        <v>447</v>
      </c>
      <c r="F1716" s="7">
        <v>44947</v>
      </c>
      <c r="G1716">
        <f t="shared" si="79"/>
        <v>2023</v>
      </c>
      <c r="H1716" s="7" t="str">
        <f t="shared" si="80"/>
        <v>Январь</v>
      </c>
      <c r="I1716" t="s">
        <v>22</v>
      </c>
      <c r="J1716">
        <v>54</v>
      </c>
      <c r="K1716" t="s">
        <v>21</v>
      </c>
      <c r="L1716">
        <v>2</v>
      </c>
      <c r="M1716">
        <v>30</v>
      </c>
      <c r="N1716" s="1">
        <f t="shared" si="81"/>
        <v>60</v>
      </c>
    </row>
    <row r="1717" spans="5:14" x14ac:dyDescent="0.25">
      <c r="E1717">
        <v>1152</v>
      </c>
      <c r="F1717" s="7">
        <v>45567</v>
      </c>
      <c r="G1717">
        <f t="shared" si="79"/>
        <v>2024</v>
      </c>
      <c r="H1717" s="7" t="str">
        <f t="shared" si="80"/>
        <v>Октябрь</v>
      </c>
      <c r="I1717" t="s">
        <v>20</v>
      </c>
      <c r="J1717">
        <v>23</v>
      </c>
      <c r="K1717" t="s">
        <v>24</v>
      </c>
      <c r="L1717">
        <v>3</v>
      </c>
      <c r="M1717">
        <v>364</v>
      </c>
      <c r="N1717" s="1">
        <f t="shared" si="81"/>
        <v>1092</v>
      </c>
    </row>
    <row r="1718" spans="5:14" x14ac:dyDescent="0.25">
      <c r="E1718">
        <v>1644</v>
      </c>
      <c r="F1718" s="7">
        <v>45433</v>
      </c>
      <c r="G1718">
        <f t="shared" si="79"/>
        <v>2024</v>
      </c>
      <c r="H1718" s="7" t="str">
        <f t="shared" si="80"/>
        <v>Май</v>
      </c>
      <c r="I1718" t="s">
        <v>20</v>
      </c>
      <c r="J1718">
        <v>24</v>
      </c>
      <c r="K1718" t="s">
        <v>23</v>
      </c>
      <c r="L1718">
        <v>5</v>
      </c>
      <c r="M1718">
        <v>419</v>
      </c>
      <c r="N1718" s="1">
        <f t="shared" si="81"/>
        <v>2095</v>
      </c>
    </row>
    <row r="1719" spans="5:14" x14ac:dyDescent="0.25">
      <c r="E1719">
        <v>1894</v>
      </c>
      <c r="F1719" s="7">
        <v>45598</v>
      </c>
      <c r="G1719">
        <f t="shared" si="79"/>
        <v>2024</v>
      </c>
      <c r="H1719" s="7" t="str">
        <f t="shared" si="80"/>
        <v>Ноябрь</v>
      </c>
      <c r="I1719" t="s">
        <v>22</v>
      </c>
      <c r="J1719">
        <v>59</v>
      </c>
      <c r="K1719" t="s">
        <v>23</v>
      </c>
      <c r="L1719">
        <v>3</v>
      </c>
      <c r="M1719">
        <v>390</v>
      </c>
      <c r="N1719" s="1">
        <f t="shared" si="81"/>
        <v>1170</v>
      </c>
    </row>
    <row r="1720" spans="5:14" x14ac:dyDescent="0.25">
      <c r="E1720">
        <v>1578</v>
      </c>
      <c r="F1720" s="7">
        <v>45617</v>
      </c>
      <c r="G1720">
        <f t="shared" si="79"/>
        <v>2024</v>
      </c>
      <c r="H1720" s="7" t="str">
        <f t="shared" si="80"/>
        <v>Ноябрь</v>
      </c>
      <c r="I1720" t="s">
        <v>22</v>
      </c>
      <c r="J1720">
        <v>46</v>
      </c>
      <c r="K1720" t="s">
        <v>21</v>
      </c>
      <c r="L1720">
        <v>2</v>
      </c>
      <c r="M1720">
        <v>192</v>
      </c>
      <c r="N1720" s="1">
        <f t="shared" si="81"/>
        <v>384</v>
      </c>
    </row>
    <row r="1721" spans="5:14" x14ac:dyDescent="0.25">
      <c r="E1721">
        <v>1120</v>
      </c>
      <c r="F1721" s="7">
        <v>45568</v>
      </c>
      <c r="G1721">
        <f t="shared" si="79"/>
        <v>2024</v>
      </c>
      <c r="H1721" s="7" t="str">
        <f t="shared" si="80"/>
        <v>Октябрь</v>
      </c>
      <c r="I1721" t="s">
        <v>20</v>
      </c>
      <c r="J1721">
        <v>29</v>
      </c>
      <c r="K1721" t="s">
        <v>24</v>
      </c>
      <c r="L1721">
        <v>7</v>
      </c>
      <c r="M1721">
        <v>92</v>
      </c>
      <c r="N1721" s="1">
        <f t="shared" si="81"/>
        <v>644</v>
      </c>
    </row>
    <row r="1722" spans="5:14" x14ac:dyDescent="0.25">
      <c r="E1722">
        <v>917</v>
      </c>
      <c r="F1722" s="7">
        <v>45178</v>
      </c>
      <c r="G1722">
        <f t="shared" si="79"/>
        <v>2023</v>
      </c>
      <c r="H1722" s="7" t="str">
        <f t="shared" si="80"/>
        <v>Сентябрь</v>
      </c>
      <c r="I1722" t="s">
        <v>22</v>
      </c>
      <c r="J1722">
        <v>22</v>
      </c>
      <c r="K1722" t="s">
        <v>21</v>
      </c>
      <c r="L1722">
        <v>2</v>
      </c>
      <c r="M1722">
        <v>25</v>
      </c>
      <c r="N1722" s="1">
        <f t="shared" si="81"/>
        <v>50</v>
      </c>
    </row>
    <row r="1723" spans="5:14" x14ac:dyDescent="0.25">
      <c r="E1723">
        <v>1930</v>
      </c>
      <c r="F1723" s="7">
        <v>45498</v>
      </c>
      <c r="G1723">
        <f t="shared" si="79"/>
        <v>2024</v>
      </c>
      <c r="H1723" s="7" t="str">
        <f t="shared" si="80"/>
        <v>Июль</v>
      </c>
      <c r="I1723" t="s">
        <v>20</v>
      </c>
      <c r="J1723">
        <v>29</v>
      </c>
      <c r="K1723" t="s">
        <v>21</v>
      </c>
      <c r="L1723">
        <v>6</v>
      </c>
      <c r="M1723">
        <v>313</v>
      </c>
      <c r="N1723" s="1">
        <f t="shared" si="81"/>
        <v>1878</v>
      </c>
    </row>
    <row r="1724" spans="5:14" x14ac:dyDescent="0.25">
      <c r="E1724">
        <v>1937</v>
      </c>
      <c r="F1724" s="7">
        <v>45370</v>
      </c>
      <c r="G1724">
        <f t="shared" si="79"/>
        <v>2024</v>
      </c>
      <c r="H1724" s="7" t="str">
        <f t="shared" si="80"/>
        <v>Март</v>
      </c>
      <c r="I1724" t="s">
        <v>22</v>
      </c>
      <c r="J1724">
        <v>61</v>
      </c>
      <c r="K1724" t="s">
        <v>23</v>
      </c>
      <c r="L1724">
        <v>5</v>
      </c>
      <c r="M1724">
        <v>146</v>
      </c>
      <c r="N1724" s="1">
        <f t="shared" si="81"/>
        <v>730</v>
      </c>
    </row>
    <row r="1725" spans="5:14" x14ac:dyDescent="0.25">
      <c r="E1725">
        <v>50</v>
      </c>
      <c r="F1725" s="7">
        <v>45162</v>
      </c>
      <c r="G1725">
        <f t="shared" si="79"/>
        <v>2023</v>
      </c>
      <c r="H1725" s="7" t="str">
        <f t="shared" si="80"/>
        <v>Август</v>
      </c>
      <c r="I1725" t="s">
        <v>22</v>
      </c>
      <c r="J1725">
        <v>27</v>
      </c>
      <c r="K1725" t="s">
        <v>21</v>
      </c>
      <c r="L1725">
        <v>3</v>
      </c>
      <c r="M1725">
        <v>25</v>
      </c>
      <c r="N1725" s="1">
        <f t="shared" si="81"/>
        <v>75</v>
      </c>
    </row>
    <row r="1726" spans="5:14" x14ac:dyDescent="0.25">
      <c r="E1726">
        <v>1927</v>
      </c>
      <c r="F1726" s="7">
        <v>45537</v>
      </c>
      <c r="G1726">
        <f t="shared" si="79"/>
        <v>2024</v>
      </c>
      <c r="H1726" s="7" t="str">
        <f t="shared" si="80"/>
        <v>Сентябрь</v>
      </c>
      <c r="I1726" t="s">
        <v>20</v>
      </c>
      <c r="J1726">
        <v>36</v>
      </c>
      <c r="K1726" t="s">
        <v>21</v>
      </c>
      <c r="L1726">
        <v>2</v>
      </c>
      <c r="M1726">
        <v>392</v>
      </c>
      <c r="N1726" s="1">
        <f t="shared" si="81"/>
        <v>784</v>
      </c>
    </row>
    <row r="1727" spans="5:14" x14ac:dyDescent="0.25">
      <c r="E1727">
        <v>157</v>
      </c>
      <c r="F1727" s="7">
        <v>45101</v>
      </c>
      <c r="G1727">
        <f t="shared" si="79"/>
        <v>2023</v>
      </c>
      <c r="H1727" s="7" t="str">
        <f t="shared" si="80"/>
        <v>Июнь</v>
      </c>
      <c r="I1727" t="s">
        <v>20</v>
      </c>
      <c r="J1727">
        <v>62</v>
      </c>
      <c r="K1727" t="s">
        <v>24</v>
      </c>
      <c r="L1727">
        <v>4</v>
      </c>
      <c r="M1727">
        <v>500</v>
      </c>
      <c r="N1727" s="1">
        <f t="shared" si="81"/>
        <v>2000</v>
      </c>
    </row>
    <row r="1728" spans="5:14" x14ac:dyDescent="0.25">
      <c r="E1728">
        <v>527</v>
      </c>
      <c r="F1728" s="7">
        <v>45113</v>
      </c>
      <c r="G1728">
        <f t="shared" si="79"/>
        <v>2023</v>
      </c>
      <c r="H1728" s="7" t="str">
        <f t="shared" si="80"/>
        <v>Июль</v>
      </c>
      <c r="I1728" t="s">
        <v>22</v>
      </c>
      <c r="J1728">
        <v>36</v>
      </c>
      <c r="K1728" t="s">
        <v>23</v>
      </c>
      <c r="L1728">
        <v>2</v>
      </c>
      <c r="M1728">
        <v>30</v>
      </c>
      <c r="N1728" s="1">
        <f t="shared" si="81"/>
        <v>60</v>
      </c>
    </row>
    <row r="1729" spans="5:14" x14ac:dyDescent="0.25">
      <c r="E1729">
        <v>51</v>
      </c>
      <c r="F1729" s="7">
        <v>45201</v>
      </c>
      <c r="G1729">
        <f t="shared" si="79"/>
        <v>2023</v>
      </c>
      <c r="H1729" s="7" t="str">
        <f t="shared" si="80"/>
        <v>Октябрь</v>
      </c>
      <c r="I1729" t="s">
        <v>20</v>
      </c>
      <c r="J1729">
        <v>27</v>
      </c>
      <c r="K1729" t="s">
        <v>21</v>
      </c>
      <c r="L1729">
        <v>3</v>
      </c>
      <c r="M1729">
        <v>25</v>
      </c>
      <c r="N1729" s="1">
        <f t="shared" si="81"/>
        <v>75</v>
      </c>
    </row>
    <row r="1730" spans="5:14" x14ac:dyDescent="0.25">
      <c r="E1730">
        <v>658</v>
      </c>
      <c r="F1730" s="7">
        <v>45045</v>
      </c>
      <c r="G1730">
        <f t="shared" si="79"/>
        <v>2023</v>
      </c>
      <c r="H1730" s="7" t="str">
        <f t="shared" si="80"/>
        <v>Апрель</v>
      </c>
      <c r="I1730" t="s">
        <v>22</v>
      </c>
      <c r="J1730">
        <v>38</v>
      </c>
      <c r="K1730" t="s">
        <v>21</v>
      </c>
      <c r="L1730">
        <v>2</v>
      </c>
      <c r="M1730">
        <v>500</v>
      </c>
      <c r="N1730" s="1">
        <f t="shared" si="81"/>
        <v>1000</v>
      </c>
    </row>
    <row r="1731" spans="5:14" x14ac:dyDescent="0.25">
      <c r="E1731">
        <v>1966</v>
      </c>
      <c r="F1731" s="7">
        <v>45428</v>
      </c>
      <c r="G1731">
        <f t="shared" si="79"/>
        <v>2024</v>
      </c>
      <c r="H1731" s="7" t="str">
        <f t="shared" si="80"/>
        <v>Май</v>
      </c>
      <c r="I1731" t="s">
        <v>20</v>
      </c>
      <c r="J1731">
        <v>60</v>
      </c>
      <c r="K1731" t="s">
        <v>24</v>
      </c>
      <c r="L1731">
        <v>1</v>
      </c>
      <c r="M1731">
        <v>105</v>
      </c>
      <c r="N1731" s="1">
        <f t="shared" si="81"/>
        <v>105</v>
      </c>
    </row>
    <row r="1732" spans="5:14" x14ac:dyDescent="0.25">
      <c r="E1732">
        <v>1344</v>
      </c>
      <c r="F1732" s="7">
        <v>45507</v>
      </c>
      <c r="G1732">
        <f t="shared" si="79"/>
        <v>2024</v>
      </c>
      <c r="H1732" s="7" t="str">
        <f t="shared" si="80"/>
        <v>Август</v>
      </c>
      <c r="I1732" t="s">
        <v>20</v>
      </c>
      <c r="J1732">
        <v>51</v>
      </c>
      <c r="K1732" t="s">
        <v>24</v>
      </c>
      <c r="L1732">
        <v>2</v>
      </c>
      <c r="M1732">
        <v>30</v>
      </c>
      <c r="N1732" s="1">
        <f t="shared" si="81"/>
        <v>60</v>
      </c>
    </row>
    <row r="1733" spans="5:14" x14ac:dyDescent="0.25">
      <c r="E1733">
        <v>735</v>
      </c>
      <c r="F1733" s="7">
        <v>45106</v>
      </c>
      <c r="G1733">
        <f t="shared" si="79"/>
        <v>2023</v>
      </c>
      <c r="H1733" s="7" t="str">
        <f t="shared" si="80"/>
        <v>Июнь</v>
      </c>
      <c r="I1733" t="s">
        <v>22</v>
      </c>
      <c r="J1733">
        <v>33</v>
      </c>
      <c r="K1733" t="s">
        <v>23</v>
      </c>
      <c r="L1733">
        <v>1</v>
      </c>
      <c r="M1733">
        <v>50</v>
      </c>
      <c r="N1733" s="1">
        <f t="shared" si="81"/>
        <v>50</v>
      </c>
    </row>
    <row r="1734" spans="5:14" x14ac:dyDescent="0.25">
      <c r="E1734">
        <v>324</v>
      </c>
      <c r="F1734" s="7">
        <v>45171</v>
      </c>
      <c r="G1734">
        <f t="shared" si="79"/>
        <v>2023</v>
      </c>
      <c r="H1734" s="7" t="str">
        <f t="shared" si="80"/>
        <v>Сентябрь</v>
      </c>
      <c r="I1734" t="s">
        <v>22</v>
      </c>
      <c r="J1734">
        <v>52</v>
      </c>
      <c r="K1734" t="s">
        <v>24</v>
      </c>
      <c r="L1734">
        <v>2</v>
      </c>
      <c r="M1734">
        <v>25</v>
      </c>
      <c r="N1734" s="1">
        <f t="shared" si="81"/>
        <v>50</v>
      </c>
    </row>
    <row r="1735" spans="5:14" x14ac:dyDescent="0.25">
      <c r="E1735">
        <v>1755</v>
      </c>
      <c r="F1735" s="7">
        <v>45481</v>
      </c>
      <c r="G1735">
        <f t="shared" si="79"/>
        <v>2024</v>
      </c>
      <c r="H1735" s="7" t="str">
        <f t="shared" si="80"/>
        <v>Июль</v>
      </c>
      <c r="I1735" t="s">
        <v>20</v>
      </c>
      <c r="J1735">
        <v>42</v>
      </c>
      <c r="K1735" t="s">
        <v>24</v>
      </c>
      <c r="L1735">
        <v>4</v>
      </c>
      <c r="M1735">
        <v>212</v>
      </c>
      <c r="N1735" s="1">
        <f t="shared" si="81"/>
        <v>848</v>
      </c>
    </row>
    <row r="1736" spans="5:14" x14ac:dyDescent="0.25">
      <c r="E1736">
        <v>1026</v>
      </c>
      <c r="F1736" s="7">
        <v>45405</v>
      </c>
      <c r="G1736">
        <f t="shared" si="79"/>
        <v>2024</v>
      </c>
      <c r="H1736" s="7" t="str">
        <f t="shared" si="80"/>
        <v>Апрель</v>
      </c>
      <c r="I1736" t="s">
        <v>22</v>
      </c>
      <c r="J1736">
        <v>37</v>
      </c>
      <c r="K1736" t="s">
        <v>21</v>
      </c>
      <c r="L1736">
        <v>4</v>
      </c>
      <c r="M1736">
        <v>232</v>
      </c>
      <c r="N1736" s="1">
        <f t="shared" si="81"/>
        <v>928</v>
      </c>
    </row>
    <row r="1737" spans="5:14" x14ac:dyDescent="0.25">
      <c r="E1737">
        <v>1523</v>
      </c>
      <c r="F1737" s="7">
        <v>45636</v>
      </c>
      <c r="G1737">
        <f t="shared" si="79"/>
        <v>2024</v>
      </c>
      <c r="H1737" s="7" t="str">
        <f t="shared" si="80"/>
        <v>Декабрь</v>
      </c>
      <c r="I1737" t="s">
        <v>20</v>
      </c>
      <c r="J1737">
        <v>20</v>
      </c>
      <c r="K1737" t="s">
        <v>23</v>
      </c>
      <c r="L1737">
        <v>7</v>
      </c>
      <c r="M1737">
        <v>34</v>
      </c>
      <c r="N1737" s="1">
        <f t="shared" si="81"/>
        <v>238</v>
      </c>
    </row>
    <row r="1738" spans="5:14" x14ac:dyDescent="0.25">
      <c r="E1738">
        <v>1949</v>
      </c>
      <c r="F1738" s="7">
        <v>45408</v>
      </c>
      <c r="G1738">
        <f t="shared" ref="G1738:G1801" si="82">YEAR(F1738)</f>
        <v>2024</v>
      </c>
      <c r="H1738" s="7" t="str">
        <f t="shared" ref="H1738:H1801" si="83">TEXT(F1738,"ММММ")</f>
        <v>Апрель</v>
      </c>
      <c r="I1738" t="s">
        <v>20</v>
      </c>
      <c r="J1738">
        <v>26</v>
      </c>
      <c r="K1738" t="s">
        <v>21</v>
      </c>
      <c r="L1738">
        <v>6</v>
      </c>
      <c r="M1738">
        <v>280</v>
      </c>
      <c r="N1738" s="1">
        <f t="shared" ref="N1738:N1801" si="84">L1738*M1738</f>
        <v>1680</v>
      </c>
    </row>
    <row r="1739" spans="5:14" x14ac:dyDescent="0.25">
      <c r="E1739">
        <v>1586</v>
      </c>
      <c r="F1739" s="7">
        <v>45394</v>
      </c>
      <c r="G1739">
        <f t="shared" si="82"/>
        <v>2024</v>
      </c>
      <c r="H1739" s="7" t="str">
        <f t="shared" si="83"/>
        <v>Апрель</v>
      </c>
      <c r="I1739" t="s">
        <v>22</v>
      </c>
      <c r="J1739">
        <v>24</v>
      </c>
      <c r="K1739" t="s">
        <v>21</v>
      </c>
      <c r="L1739">
        <v>7</v>
      </c>
      <c r="M1739">
        <v>496</v>
      </c>
      <c r="N1739" s="1">
        <f t="shared" si="84"/>
        <v>3472</v>
      </c>
    </row>
    <row r="1740" spans="5:14" x14ac:dyDescent="0.25">
      <c r="E1740">
        <v>837</v>
      </c>
      <c r="F1740" s="7">
        <v>45101</v>
      </c>
      <c r="G1740">
        <f t="shared" si="82"/>
        <v>2023</v>
      </c>
      <c r="H1740" s="7" t="str">
        <f t="shared" si="83"/>
        <v>Июнь</v>
      </c>
      <c r="I1740" t="s">
        <v>22</v>
      </c>
      <c r="J1740">
        <v>20</v>
      </c>
      <c r="K1740" t="s">
        <v>24</v>
      </c>
      <c r="L1740">
        <v>4</v>
      </c>
      <c r="M1740">
        <v>300</v>
      </c>
      <c r="N1740" s="1">
        <f t="shared" si="84"/>
        <v>1200</v>
      </c>
    </row>
    <row r="1741" spans="5:14" x14ac:dyDescent="0.25">
      <c r="E1741">
        <v>1729</v>
      </c>
      <c r="F1741" s="7">
        <v>45533</v>
      </c>
      <c r="G1741">
        <f t="shared" si="82"/>
        <v>2024</v>
      </c>
      <c r="H1741" s="7" t="str">
        <f t="shared" si="83"/>
        <v>Август</v>
      </c>
      <c r="I1741" t="s">
        <v>20</v>
      </c>
      <c r="J1741">
        <v>64</v>
      </c>
      <c r="K1741" t="s">
        <v>21</v>
      </c>
      <c r="L1741">
        <v>3</v>
      </c>
      <c r="M1741">
        <v>391</v>
      </c>
      <c r="N1741" s="1">
        <f t="shared" si="84"/>
        <v>1173</v>
      </c>
    </row>
    <row r="1742" spans="5:14" x14ac:dyDescent="0.25">
      <c r="E1742">
        <v>505</v>
      </c>
      <c r="F1742" s="7">
        <v>44982</v>
      </c>
      <c r="G1742">
        <f t="shared" si="82"/>
        <v>2023</v>
      </c>
      <c r="H1742" s="7" t="str">
        <f t="shared" si="83"/>
        <v>Февраль</v>
      </c>
      <c r="I1742" t="s">
        <v>20</v>
      </c>
      <c r="J1742">
        <v>34</v>
      </c>
      <c r="K1742" t="s">
        <v>21</v>
      </c>
      <c r="L1742">
        <v>3</v>
      </c>
      <c r="M1742">
        <v>500</v>
      </c>
      <c r="N1742" s="1">
        <f t="shared" si="84"/>
        <v>1500</v>
      </c>
    </row>
    <row r="1743" spans="5:14" x14ac:dyDescent="0.25">
      <c r="E1743">
        <v>1748</v>
      </c>
      <c r="F1743" s="7">
        <v>45635</v>
      </c>
      <c r="G1743">
        <f t="shared" si="82"/>
        <v>2024</v>
      </c>
      <c r="H1743" s="7" t="str">
        <f t="shared" si="83"/>
        <v>Декабрь</v>
      </c>
      <c r="I1743" t="s">
        <v>20</v>
      </c>
      <c r="J1743">
        <v>25</v>
      </c>
      <c r="K1743" t="s">
        <v>23</v>
      </c>
      <c r="L1743">
        <v>2</v>
      </c>
      <c r="M1743">
        <v>161</v>
      </c>
      <c r="N1743" s="1">
        <f t="shared" si="84"/>
        <v>322</v>
      </c>
    </row>
    <row r="1744" spans="5:14" x14ac:dyDescent="0.25">
      <c r="E1744">
        <v>386</v>
      </c>
      <c r="F1744" s="7">
        <v>45081</v>
      </c>
      <c r="G1744">
        <f t="shared" si="82"/>
        <v>2023</v>
      </c>
      <c r="H1744" s="7" t="str">
        <f t="shared" si="83"/>
        <v>Июнь</v>
      </c>
      <c r="I1744" t="s">
        <v>20</v>
      </c>
      <c r="J1744">
        <v>44</v>
      </c>
      <c r="K1744" t="s">
        <v>21</v>
      </c>
      <c r="L1744">
        <v>1</v>
      </c>
      <c r="M1744">
        <v>30</v>
      </c>
      <c r="N1744" s="1">
        <f t="shared" si="84"/>
        <v>30</v>
      </c>
    </row>
    <row r="1745" spans="5:14" x14ac:dyDescent="0.25">
      <c r="E1745">
        <v>819</v>
      </c>
      <c r="F1745" s="7">
        <v>44971</v>
      </c>
      <c r="G1745">
        <f t="shared" si="82"/>
        <v>2023</v>
      </c>
      <c r="H1745" s="7" t="str">
        <f t="shared" si="83"/>
        <v>Февраль</v>
      </c>
      <c r="I1745" t="s">
        <v>20</v>
      </c>
      <c r="J1745">
        <v>49</v>
      </c>
      <c r="K1745" t="s">
        <v>24</v>
      </c>
      <c r="L1745">
        <v>1</v>
      </c>
      <c r="M1745">
        <v>300</v>
      </c>
      <c r="N1745" s="1">
        <f t="shared" si="84"/>
        <v>300</v>
      </c>
    </row>
    <row r="1746" spans="5:14" x14ac:dyDescent="0.25">
      <c r="E1746">
        <v>437</v>
      </c>
      <c r="F1746" s="7">
        <v>44945</v>
      </c>
      <c r="G1746">
        <f t="shared" si="82"/>
        <v>2023</v>
      </c>
      <c r="H1746" s="7" t="str">
        <f t="shared" si="83"/>
        <v>Январь</v>
      </c>
      <c r="I1746" t="s">
        <v>22</v>
      </c>
      <c r="J1746">
        <v>42</v>
      </c>
      <c r="K1746" t="s">
        <v>23</v>
      </c>
      <c r="L1746">
        <v>1</v>
      </c>
      <c r="M1746">
        <v>30</v>
      </c>
      <c r="N1746" s="1">
        <f t="shared" si="84"/>
        <v>30</v>
      </c>
    </row>
    <row r="1747" spans="5:14" x14ac:dyDescent="0.25">
      <c r="E1747">
        <v>570</v>
      </c>
      <c r="F1747" s="7">
        <v>45272</v>
      </c>
      <c r="G1747">
        <f t="shared" si="82"/>
        <v>2023</v>
      </c>
      <c r="H1747" s="7" t="str">
        <f t="shared" si="83"/>
        <v>Декабрь</v>
      </c>
      <c r="I1747" t="s">
        <v>22</v>
      </c>
      <c r="J1747">
        <v>41</v>
      </c>
      <c r="K1747" t="s">
        <v>24</v>
      </c>
      <c r="L1747">
        <v>1</v>
      </c>
      <c r="M1747">
        <v>50</v>
      </c>
      <c r="N1747" s="1">
        <f t="shared" si="84"/>
        <v>50</v>
      </c>
    </row>
    <row r="1748" spans="5:14" x14ac:dyDescent="0.25">
      <c r="E1748">
        <v>318</v>
      </c>
      <c r="F1748" s="7">
        <v>45204</v>
      </c>
      <c r="G1748">
        <f t="shared" si="82"/>
        <v>2023</v>
      </c>
      <c r="H1748" s="7" t="str">
        <f t="shared" si="83"/>
        <v>Октябрь</v>
      </c>
      <c r="I1748" t="s">
        <v>20</v>
      </c>
      <c r="J1748">
        <v>31</v>
      </c>
      <c r="K1748" t="s">
        <v>23</v>
      </c>
      <c r="L1748">
        <v>1</v>
      </c>
      <c r="M1748">
        <v>500</v>
      </c>
      <c r="N1748" s="1">
        <f t="shared" si="84"/>
        <v>500</v>
      </c>
    </row>
    <row r="1749" spans="5:14" x14ac:dyDescent="0.25">
      <c r="E1749">
        <v>1539</v>
      </c>
      <c r="F1749" s="7">
        <v>45460</v>
      </c>
      <c r="G1749">
        <f t="shared" si="82"/>
        <v>2024</v>
      </c>
      <c r="H1749" s="7" t="str">
        <f t="shared" si="83"/>
        <v>Июнь</v>
      </c>
      <c r="I1749" t="s">
        <v>22</v>
      </c>
      <c r="J1749">
        <v>43</v>
      </c>
      <c r="K1749" t="s">
        <v>21</v>
      </c>
      <c r="L1749">
        <v>1</v>
      </c>
      <c r="M1749">
        <v>183</v>
      </c>
      <c r="N1749" s="1">
        <f t="shared" si="84"/>
        <v>183</v>
      </c>
    </row>
    <row r="1750" spans="5:14" x14ac:dyDescent="0.25">
      <c r="E1750">
        <v>1672</v>
      </c>
      <c r="F1750" s="7">
        <v>45492</v>
      </c>
      <c r="G1750">
        <f t="shared" si="82"/>
        <v>2024</v>
      </c>
      <c r="H1750" s="7" t="str">
        <f t="shared" si="83"/>
        <v>Июль</v>
      </c>
      <c r="I1750" t="s">
        <v>20</v>
      </c>
      <c r="J1750">
        <v>43</v>
      </c>
      <c r="K1750" t="s">
        <v>24</v>
      </c>
      <c r="L1750">
        <v>5</v>
      </c>
      <c r="M1750">
        <v>219</v>
      </c>
      <c r="N1750" s="1">
        <f t="shared" si="84"/>
        <v>1095</v>
      </c>
    </row>
    <row r="1751" spans="5:14" x14ac:dyDescent="0.25">
      <c r="E1751">
        <v>537</v>
      </c>
      <c r="F1751" s="7">
        <v>45186</v>
      </c>
      <c r="G1751">
        <f t="shared" si="82"/>
        <v>2023</v>
      </c>
      <c r="H1751" s="7" t="str">
        <f t="shared" si="83"/>
        <v>Сентябрь</v>
      </c>
      <c r="I1751" t="s">
        <v>20</v>
      </c>
      <c r="J1751">
        <v>18</v>
      </c>
      <c r="K1751" t="s">
        <v>23</v>
      </c>
      <c r="L1751">
        <v>3</v>
      </c>
      <c r="M1751">
        <v>50</v>
      </c>
      <c r="N1751" s="1">
        <f t="shared" si="84"/>
        <v>150</v>
      </c>
    </row>
    <row r="1752" spans="5:14" x14ac:dyDescent="0.25">
      <c r="E1752">
        <v>162</v>
      </c>
      <c r="F1752" s="7">
        <v>45159</v>
      </c>
      <c r="G1752">
        <f t="shared" si="82"/>
        <v>2023</v>
      </c>
      <c r="H1752" s="7" t="str">
        <f t="shared" si="83"/>
        <v>Август</v>
      </c>
      <c r="I1752" t="s">
        <v>20</v>
      </c>
      <c r="J1752">
        <v>39</v>
      </c>
      <c r="K1752" t="s">
        <v>23</v>
      </c>
      <c r="L1752">
        <v>2</v>
      </c>
      <c r="M1752">
        <v>30</v>
      </c>
      <c r="N1752" s="1">
        <f t="shared" si="84"/>
        <v>60</v>
      </c>
    </row>
    <row r="1753" spans="5:14" x14ac:dyDescent="0.25">
      <c r="E1753">
        <v>103</v>
      </c>
      <c r="F1753" s="7">
        <v>44943</v>
      </c>
      <c r="G1753">
        <f t="shared" si="82"/>
        <v>2023</v>
      </c>
      <c r="H1753" s="7" t="str">
        <f t="shared" si="83"/>
        <v>Январь</v>
      </c>
      <c r="I1753" t="s">
        <v>22</v>
      </c>
      <c r="J1753">
        <v>59</v>
      </c>
      <c r="K1753" t="s">
        <v>23</v>
      </c>
      <c r="L1753">
        <v>1</v>
      </c>
      <c r="M1753">
        <v>25</v>
      </c>
      <c r="N1753" s="1">
        <f t="shared" si="84"/>
        <v>25</v>
      </c>
    </row>
    <row r="1754" spans="5:14" x14ac:dyDescent="0.25">
      <c r="E1754">
        <v>188</v>
      </c>
      <c r="F1754" s="7">
        <v>45049</v>
      </c>
      <c r="G1754">
        <f t="shared" si="82"/>
        <v>2023</v>
      </c>
      <c r="H1754" s="7" t="str">
        <f t="shared" si="83"/>
        <v>Май</v>
      </c>
      <c r="I1754" t="s">
        <v>20</v>
      </c>
      <c r="J1754">
        <v>40</v>
      </c>
      <c r="K1754" t="s">
        <v>23</v>
      </c>
      <c r="L1754">
        <v>3</v>
      </c>
      <c r="M1754">
        <v>25</v>
      </c>
      <c r="N1754" s="1">
        <f t="shared" si="84"/>
        <v>75</v>
      </c>
    </row>
    <row r="1755" spans="5:14" x14ac:dyDescent="0.25">
      <c r="E1755">
        <v>1831</v>
      </c>
      <c r="F1755" s="7">
        <v>45542</v>
      </c>
      <c r="G1755">
        <f t="shared" si="82"/>
        <v>2024</v>
      </c>
      <c r="H1755" s="7" t="str">
        <f t="shared" si="83"/>
        <v>Сентябрь</v>
      </c>
      <c r="I1755" t="s">
        <v>20</v>
      </c>
      <c r="J1755">
        <v>54</v>
      </c>
      <c r="K1755" t="s">
        <v>23</v>
      </c>
      <c r="L1755">
        <v>7</v>
      </c>
      <c r="M1755">
        <v>308</v>
      </c>
      <c r="N1755" s="1">
        <f t="shared" si="84"/>
        <v>2156</v>
      </c>
    </row>
    <row r="1756" spans="5:14" x14ac:dyDescent="0.25">
      <c r="E1756">
        <v>831</v>
      </c>
      <c r="F1756" s="7">
        <v>45093</v>
      </c>
      <c r="G1756">
        <f t="shared" si="82"/>
        <v>2023</v>
      </c>
      <c r="H1756" s="7" t="str">
        <f t="shared" si="83"/>
        <v>Июнь</v>
      </c>
      <c r="I1756" t="s">
        <v>20</v>
      </c>
      <c r="J1756">
        <v>42</v>
      </c>
      <c r="K1756" t="s">
        <v>21</v>
      </c>
      <c r="L1756">
        <v>4</v>
      </c>
      <c r="M1756">
        <v>50</v>
      </c>
      <c r="N1756" s="1">
        <f t="shared" si="84"/>
        <v>200</v>
      </c>
    </row>
    <row r="1757" spans="5:14" x14ac:dyDescent="0.25">
      <c r="E1757">
        <v>234</v>
      </c>
      <c r="F1757" s="7">
        <v>44957</v>
      </c>
      <c r="G1757">
        <f t="shared" si="82"/>
        <v>2023</v>
      </c>
      <c r="H1757" s="7" t="str">
        <f t="shared" si="83"/>
        <v>Январь</v>
      </c>
      <c r="I1757" t="s">
        <v>22</v>
      </c>
      <c r="J1757">
        <v>23</v>
      </c>
      <c r="K1757" t="s">
        <v>24</v>
      </c>
      <c r="L1757">
        <v>2</v>
      </c>
      <c r="M1757">
        <v>500</v>
      </c>
      <c r="N1757" s="1">
        <f t="shared" si="84"/>
        <v>1000</v>
      </c>
    </row>
    <row r="1758" spans="5:14" x14ac:dyDescent="0.25">
      <c r="E1758">
        <v>1909</v>
      </c>
      <c r="F1758" s="7">
        <v>45319</v>
      </c>
      <c r="G1758">
        <f t="shared" si="82"/>
        <v>2024</v>
      </c>
      <c r="H1758" s="7" t="str">
        <f t="shared" si="83"/>
        <v>Январь</v>
      </c>
      <c r="I1758" t="s">
        <v>20</v>
      </c>
      <c r="J1758">
        <v>34</v>
      </c>
      <c r="K1758" t="s">
        <v>24</v>
      </c>
      <c r="L1758">
        <v>2</v>
      </c>
      <c r="M1758">
        <v>209</v>
      </c>
      <c r="N1758" s="1">
        <f t="shared" si="84"/>
        <v>418</v>
      </c>
    </row>
    <row r="1759" spans="5:14" x14ac:dyDescent="0.25">
      <c r="E1759">
        <v>1623</v>
      </c>
      <c r="F1759" s="7">
        <v>45564</v>
      </c>
      <c r="G1759">
        <f t="shared" si="82"/>
        <v>2024</v>
      </c>
      <c r="H1759" s="7" t="str">
        <f t="shared" si="83"/>
        <v>Сентябрь</v>
      </c>
      <c r="I1759" t="s">
        <v>22</v>
      </c>
      <c r="J1759">
        <v>47</v>
      </c>
      <c r="K1759" t="s">
        <v>23</v>
      </c>
      <c r="L1759">
        <v>6</v>
      </c>
      <c r="M1759">
        <v>499</v>
      </c>
      <c r="N1759" s="1">
        <f t="shared" si="84"/>
        <v>2994</v>
      </c>
    </row>
    <row r="1760" spans="5:14" x14ac:dyDescent="0.25">
      <c r="E1760">
        <v>1809</v>
      </c>
      <c r="F1760" s="7">
        <v>45568</v>
      </c>
      <c r="G1760">
        <f t="shared" si="82"/>
        <v>2024</v>
      </c>
      <c r="H1760" s="7" t="str">
        <f t="shared" si="83"/>
        <v>Октябрь</v>
      </c>
      <c r="I1760" t="s">
        <v>20</v>
      </c>
      <c r="J1760">
        <v>30</v>
      </c>
      <c r="K1760" t="s">
        <v>24</v>
      </c>
      <c r="L1760">
        <v>2</v>
      </c>
      <c r="M1760">
        <v>413</v>
      </c>
      <c r="N1760" s="1">
        <f t="shared" si="84"/>
        <v>826</v>
      </c>
    </row>
    <row r="1761" spans="5:14" x14ac:dyDescent="0.25">
      <c r="E1761">
        <v>748</v>
      </c>
      <c r="F1761" s="7">
        <v>44991</v>
      </c>
      <c r="G1761">
        <f t="shared" si="82"/>
        <v>2023</v>
      </c>
      <c r="H1761" s="7" t="str">
        <f t="shared" si="83"/>
        <v>Март</v>
      </c>
      <c r="I1761" t="s">
        <v>22</v>
      </c>
      <c r="J1761">
        <v>35</v>
      </c>
      <c r="K1761" t="s">
        <v>23</v>
      </c>
      <c r="L1761">
        <v>3</v>
      </c>
      <c r="M1761">
        <v>25</v>
      </c>
      <c r="N1761" s="1">
        <f t="shared" si="84"/>
        <v>75</v>
      </c>
    </row>
    <row r="1762" spans="5:14" x14ac:dyDescent="0.25">
      <c r="E1762">
        <v>1421</v>
      </c>
      <c r="F1762" s="7">
        <v>45619</v>
      </c>
      <c r="G1762">
        <f t="shared" si="82"/>
        <v>2024</v>
      </c>
      <c r="H1762" s="7" t="str">
        <f t="shared" si="83"/>
        <v>Ноябрь</v>
      </c>
      <c r="I1762" t="s">
        <v>20</v>
      </c>
      <c r="J1762">
        <v>49</v>
      </c>
      <c r="K1762" t="s">
        <v>21</v>
      </c>
      <c r="L1762">
        <v>7</v>
      </c>
      <c r="M1762">
        <v>401</v>
      </c>
      <c r="N1762" s="1">
        <f t="shared" si="84"/>
        <v>2807</v>
      </c>
    </row>
    <row r="1763" spans="5:14" x14ac:dyDescent="0.25">
      <c r="E1763">
        <v>1234</v>
      </c>
      <c r="F1763" s="7">
        <v>45326</v>
      </c>
      <c r="G1763">
        <f t="shared" si="82"/>
        <v>2024</v>
      </c>
      <c r="H1763" s="7" t="str">
        <f t="shared" si="83"/>
        <v>Февраль</v>
      </c>
      <c r="I1763" t="s">
        <v>22</v>
      </c>
      <c r="J1763">
        <v>24</v>
      </c>
      <c r="K1763" t="s">
        <v>21</v>
      </c>
      <c r="L1763">
        <v>3</v>
      </c>
      <c r="M1763">
        <v>353</v>
      </c>
      <c r="N1763" s="1">
        <f t="shared" si="84"/>
        <v>1059</v>
      </c>
    </row>
    <row r="1764" spans="5:14" x14ac:dyDescent="0.25">
      <c r="E1764">
        <v>1621</v>
      </c>
      <c r="F1764" s="7">
        <v>45530</v>
      </c>
      <c r="G1764">
        <f t="shared" si="82"/>
        <v>2024</v>
      </c>
      <c r="H1764" s="7" t="str">
        <f t="shared" si="83"/>
        <v>Август</v>
      </c>
      <c r="I1764" t="s">
        <v>22</v>
      </c>
      <c r="J1764">
        <v>35</v>
      </c>
      <c r="K1764" t="s">
        <v>21</v>
      </c>
      <c r="L1764">
        <v>7</v>
      </c>
      <c r="M1764">
        <v>204</v>
      </c>
      <c r="N1764" s="1">
        <f t="shared" si="84"/>
        <v>1428</v>
      </c>
    </row>
    <row r="1765" spans="5:14" x14ac:dyDescent="0.25">
      <c r="E1765">
        <v>847</v>
      </c>
      <c r="F1765" s="7">
        <v>45050</v>
      </c>
      <c r="G1765">
        <f t="shared" si="82"/>
        <v>2023</v>
      </c>
      <c r="H1765" s="7" t="str">
        <f t="shared" si="83"/>
        <v>Май</v>
      </c>
      <c r="I1765" t="s">
        <v>20</v>
      </c>
      <c r="J1765">
        <v>32</v>
      </c>
      <c r="K1765" t="s">
        <v>23</v>
      </c>
      <c r="L1765">
        <v>2</v>
      </c>
      <c r="M1765">
        <v>25</v>
      </c>
      <c r="N1765" s="1">
        <f t="shared" si="84"/>
        <v>50</v>
      </c>
    </row>
    <row r="1766" spans="5:14" x14ac:dyDescent="0.25">
      <c r="E1766">
        <v>1337</v>
      </c>
      <c r="F1766" s="7">
        <v>45584</v>
      </c>
      <c r="G1766">
        <f t="shared" si="82"/>
        <v>2024</v>
      </c>
      <c r="H1766" s="7" t="str">
        <f t="shared" si="83"/>
        <v>Октябрь</v>
      </c>
      <c r="I1766" t="s">
        <v>22</v>
      </c>
      <c r="J1766">
        <v>37</v>
      </c>
      <c r="K1766" t="s">
        <v>23</v>
      </c>
      <c r="L1766">
        <v>4</v>
      </c>
      <c r="M1766">
        <v>33</v>
      </c>
      <c r="N1766" s="1">
        <f t="shared" si="84"/>
        <v>132</v>
      </c>
    </row>
    <row r="1767" spans="5:14" x14ac:dyDescent="0.25">
      <c r="E1767">
        <v>166</v>
      </c>
      <c r="F1767" s="7">
        <v>45018</v>
      </c>
      <c r="G1767">
        <f t="shared" si="82"/>
        <v>2023</v>
      </c>
      <c r="H1767" s="7" t="str">
        <f t="shared" si="83"/>
        <v>Апрель</v>
      </c>
      <c r="I1767" t="s">
        <v>20</v>
      </c>
      <c r="J1767">
        <v>34</v>
      </c>
      <c r="K1767" t="s">
        <v>23</v>
      </c>
      <c r="L1767">
        <v>4</v>
      </c>
      <c r="M1767">
        <v>500</v>
      </c>
      <c r="N1767" s="1">
        <f t="shared" si="84"/>
        <v>2000</v>
      </c>
    </row>
    <row r="1768" spans="5:14" x14ac:dyDescent="0.25">
      <c r="E1768">
        <v>1052</v>
      </c>
      <c r="F1768" s="7">
        <v>45332</v>
      </c>
      <c r="G1768">
        <f t="shared" si="82"/>
        <v>2024</v>
      </c>
      <c r="H1768" s="7" t="str">
        <f t="shared" si="83"/>
        <v>Февраль</v>
      </c>
      <c r="I1768" t="s">
        <v>22</v>
      </c>
      <c r="J1768">
        <v>59</v>
      </c>
      <c r="K1768" t="s">
        <v>24</v>
      </c>
      <c r="L1768">
        <v>6</v>
      </c>
      <c r="M1768">
        <v>346</v>
      </c>
      <c r="N1768" s="1">
        <f t="shared" si="84"/>
        <v>2076</v>
      </c>
    </row>
    <row r="1769" spans="5:14" x14ac:dyDescent="0.25">
      <c r="E1769">
        <v>555</v>
      </c>
      <c r="F1769" s="7">
        <v>45081</v>
      </c>
      <c r="G1769">
        <f t="shared" si="82"/>
        <v>2023</v>
      </c>
      <c r="H1769" s="7" t="str">
        <f t="shared" si="83"/>
        <v>Июнь</v>
      </c>
      <c r="I1769" t="s">
        <v>22</v>
      </c>
      <c r="J1769">
        <v>18</v>
      </c>
      <c r="K1769" t="s">
        <v>24</v>
      </c>
      <c r="L1769">
        <v>1</v>
      </c>
      <c r="M1769">
        <v>50</v>
      </c>
      <c r="N1769" s="1">
        <f t="shared" si="84"/>
        <v>50</v>
      </c>
    </row>
    <row r="1770" spans="5:14" x14ac:dyDescent="0.25">
      <c r="E1770">
        <v>882</v>
      </c>
      <c r="F1770" s="7">
        <v>45045</v>
      </c>
      <c r="G1770">
        <f t="shared" si="82"/>
        <v>2023</v>
      </c>
      <c r="H1770" s="7" t="str">
        <f t="shared" si="83"/>
        <v>Апрель</v>
      </c>
      <c r="I1770" t="s">
        <v>22</v>
      </c>
      <c r="J1770">
        <v>26</v>
      </c>
      <c r="K1770" t="s">
        <v>23</v>
      </c>
      <c r="L1770">
        <v>2</v>
      </c>
      <c r="M1770">
        <v>30</v>
      </c>
      <c r="N1770" s="1">
        <f t="shared" si="84"/>
        <v>60</v>
      </c>
    </row>
    <row r="1771" spans="5:14" x14ac:dyDescent="0.25">
      <c r="E1771">
        <v>1789</v>
      </c>
      <c r="F1771" s="7">
        <v>45327</v>
      </c>
      <c r="G1771">
        <f t="shared" si="82"/>
        <v>2024</v>
      </c>
      <c r="H1771" s="7" t="str">
        <f t="shared" si="83"/>
        <v>Февраль</v>
      </c>
      <c r="I1771" t="s">
        <v>20</v>
      </c>
      <c r="J1771">
        <v>55</v>
      </c>
      <c r="K1771" t="s">
        <v>21</v>
      </c>
      <c r="L1771">
        <v>6</v>
      </c>
      <c r="M1771">
        <v>499</v>
      </c>
      <c r="N1771" s="1">
        <f t="shared" si="84"/>
        <v>2994</v>
      </c>
    </row>
    <row r="1772" spans="5:14" x14ac:dyDescent="0.25">
      <c r="E1772">
        <v>1164</v>
      </c>
      <c r="F1772" s="7">
        <v>45384</v>
      </c>
      <c r="G1772">
        <f t="shared" si="82"/>
        <v>2024</v>
      </c>
      <c r="H1772" s="7" t="str">
        <f t="shared" si="83"/>
        <v>Апрель</v>
      </c>
      <c r="I1772" t="s">
        <v>20</v>
      </c>
      <c r="J1772">
        <v>30</v>
      </c>
      <c r="K1772" t="s">
        <v>23</v>
      </c>
      <c r="L1772">
        <v>5</v>
      </c>
      <c r="M1772">
        <v>242</v>
      </c>
      <c r="N1772" s="1">
        <f t="shared" si="84"/>
        <v>1210</v>
      </c>
    </row>
    <row r="1773" spans="5:14" x14ac:dyDescent="0.25">
      <c r="E1773">
        <v>1209</v>
      </c>
      <c r="F1773" s="7">
        <v>45452</v>
      </c>
      <c r="G1773">
        <f t="shared" si="82"/>
        <v>2024</v>
      </c>
      <c r="H1773" s="7" t="str">
        <f t="shared" si="83"/>
        <v>Июнь</v>
      </c>
      <c r="I1773" t="s">
        <v>20</v>
      </c>
      <c r="J1773">
        <v>53</v>
      </c>
      <c r="K1773" t="s">
        <v>23</v>
      </c>
      <c r="L1773">
        <v>7</v>
      </c>
      <c r="M1773">
        <v>166</v>
      </c>
      <c r="N1773" s="1">
        <f t="shared" si="84"/>
        <v>1162</v>
      </c>
    </row>
    <row r="1774" spans="5:14" x14ac:dyDescent="0.25">
      <c r="E1774">
        <v>549</v>
      </c>
      <c r="F1774" s="7">
        <v>45267</v>
      </c>
      <c r="G1774">
        <f t="shared" si="82"/>
        <v>2023</v>
      </c>
      <c r="H1774" s="7" t="str">
        <f t="shared" si="83"/>
        <v>Декабрь</v>
      </c>
      <c r="I1774" t="s">
        <v>20</v>
      </c>
      <c r="J1774">
        <v>40</v>
      </c>
      <c r="K1774" t="s">
        <v>23</v>
      </c>
      <c r="L1774">
        <v>3</v>
      </c>
      <c r="M1774">
        <v>300</v>
      </c>
      <c r="N1774" s="1">
        <f t="shared" si="84"/>
        <v>900</v>
      </c>
    </row>
    <row r="1775" spans="5:14" x14ac:dyDescent="0.25">
      <c r="E1775">
        <v>8</v>
      </c>
      <c r="F1775" s="7">
        <v>44979</v>
      </c>
      <c r="G1775">
        <f t="shared" si="82"/>
        <v>2023</v>
      </c>
      <c r="H1775" s="7" t="str">
        <f t="shared" si="83"/>
        <v>Февраль</v>
      </c>
      <c r="I1775" t="s">
        <v>20</v>
      </c>
      <c r="J1775">
        <v>30</v>
      </c>
      <c r="K1775" t="s">
        <v>24</v>
      </c>
      <c r="L1775">
        <v>4</v>
      </c>
      <c r="M1775">
        <v>25</v>
      </c>
      <c r="N1775" s="1">
        <f t="shared" si="84"/>
        <v>100</v>
      </c>
    </row>
    <row r="1776" spans="5:14" x14ac:dyDescent="0.25">
      <c r="E1776">
        <v>403</v>
      </c>
      <c r="F1776" s="7">
        <v>45071</v>
      </c>
      <c r="G1776">
        <f t="shared" si="82"/>
        <v>2023</v>
      </c>
      <c r="H1776" s="7" t="str">
        <f t="shared" si="83"/>
        <v>Май</v>
      </c>
      <c r="I1776" t="s">
        <v>20</v>
      </c>
      <c r="J1776">
        <v>46</v>
      </c>
      <c r="K1776" t="s">
        <v>24</v>
      </c>
      <c r="L1776">
        <v>2</v>
      </c>
      <c r="M1776">
        <v>500</v>
      </c>
      <c r="N1776" s="1">
        <f t="shared" si="84"/>
        <v>1000</v>
      </c>
    </row>
    <row r="1777" spans="5:14" x14ac:dyDescent="0.25">
      <c r="E1777">
        <v>509</v>
      </c>
      <c r="F1777" s="7">
        <v>45087</v>
      </c>
      <c r="G1777">
        <f t="shared" si="82"/>
        <v>2023</v>
      </c>
      <c r="H1777" s="7" t="str">
        <f t="shared" si="83"/>
        <v>Июнь</v>
      </c>
      <c r="I1777" t="s">
        <v>22</v>
      </c>
      <c r="J1777">
        <v>39</v>
      </c>
      <c r="K1777" t="s">
        <v>21</v>
      </c>
      <c r="L1777">
        <v>4</v>
      </c>
      <c r="M1777">
        <v>50</v>
      </c>
      <c r="N1777" s="1">
        <f t="shared" si="84"/>
        <v>200</v>
      </c>
    </row>
    <row r="1778" spans="5:14" x14ac:dyDescent="0.25">
      <c r="E1778">
        <v>1780</v>
      </c>
      <c r="F1778" s="7">
        <v>45600</v>
      </c>
      <c r="G1778">
        <f t="shared" si="82"/>
        <v>2024</v>
      </c>
      <c r="H1778" s="7" t="str">
        <f t="shared" si="83"/>
        <v>Ноябрь</v>
      </c>
      <c r="I1778" t="s">
        <v>22</v>
      </c>
      <c r="J1778">
        <v>34</v>
      </c>
      <c r="K1778" t="s">
        <v>24</v>
      </c>
      <c r="L1778">
        <v>3</v>
      </c>
      <c r="M1778">
        <v>206</v>
      </c>
      <c r="N1778" s="1">
        <f t="shared" si="84"/>
        <v>618</v>
      </c>
    </row>
    <row r="1779" spans="5:14" x14ac:dyDescent="0.25">
      <c r="E1779">
        <v>1791</v>
      </c>
      <c r="F1779" s="7">
        <v>45624</v>
      </c>
      <c r="G1779">
        <f t="shared" si="82"/>
        <v>2024</v>
      </c>
      <c r="H1779" s="7" t="str">
        <f t="shared" si="83"/>
        <v>Ноябрь</v>
      </c>
      <c r="I1779" t="s">
        <v>20</v>
      </c>
      <c r="J1779">
        <v>44</v>
      </c>
      <c r="K1779" t="s">
        <v>24</v>
      </c>
      <c r="L1779">
        <v>6</v>
      </c>
      <c r="M1779">
        <v>108</v>
      </c>
      <c r="N1779" s="1">
        <f t="shared" si="84"/>
        <v>648</v>
      </c>
    </row>
    <row r="1780" spans="5:14" x14ac:dyDescent="0.25">
      <c r="E1780">
        <v>1501</v>
      </c>
      <c r="F1780" s="7">
        <v>45428</v>
      </c>
      <c r="G1780">
        <f t="shared" si="82"/>
        <v>2024</v>
      </c>
      <c r="H1780" s="7" t="str">
        <f t="shared" si="83"/>
        <v>Май</v>
      </c>
      <c r="I1780" t="s">
        <v>22</v>
      </c>
      <c r="J1780">
        <v>47</v>
      </c>
      <c r="K1780" t="s">
        <v>21</v>
      </c>
      <c r="L1780">
        <v>6</v>
      </c>
      <c r="M1780">
        <v>63</v>
      </c>
      <c r="N1780" s="1">
        <f t="shared" si="84"/>
        <v>378</v>
      </c>
    </row>
    <row r="1781" spans="5:14" x14ac:dyDescent="0.25">
      <c r="E1781">
        <v>1236</v>
      </c>
      <c r="F1781" s="7">
        <v>45462</v>
      </c>
      <c r="G1781">
        <f t="shared" si="82"/>
        <v>2024</v>
      </c>
      <c r="H1781" s="7" t="str">
        <f t="shared" si="83"/>
        <v>Июнь</v>
      </c>
      <c r="I1781" t="s">
        <v>20</v>
      </c>
      <c r="J1781">
        <v>27</v>
      </c>
      <c r="K1781" t="s">
        <v>24</v>
      </c>
      <c r="L1781">
        <v>6</v>
      </c>
      <c r="M1781">
        <v>194</v>
      </c>
      <c r="N1781" s="1">
        <f t="shared" si="84"/>
        <v>1164</v>
      </c>
    </row>
    <row r="1782" spans="5:14" x14ac:dyDescent="0.25">
      <c r="E1782">
        <v>1235</v>
      </c>
      <c r="F1782" s="7">
        <v>45308</v>
      </c>
      <c r="G1782">
        <f t="shared" si="82"/>
        <v>2024</v>
      </c>
      <c r="H1782" s="7" t="str">
        <f t="shared" si="83"/>
        <v>Январь</v>
      </c>
      <c r="I1782" t="s">
        <v>22</v>
      </c>
      <c r="J1782">
        <v>65</v>
      </c>
      <c r="K1782" t="s">
        <v>21</v>
      </c>
      <c r="L1782">
        <v>1</v>
      </c>
      <c r="M1782">
        <v>497</v>
      </c>
      <c r="N1782" s="1">
        <f t="shared" si="84"/>
        <v>497</v>
      </c>
    </row>
    <row r="1783" spans="5:14" x14ac:dyDescent="0.25">
      <c r="E1783">
        <v>1350</v>
      </c>
      <c r="F1783" s="7">
        <v>45426</v>
      </c>
      <c r="G1783">
        <f t="shared" si="82"/>
        <v>2024</v>
      </c>
      <c r="H1783" s="7" t="str">
        <f t="shared" si="83"/>
        <v>Май</v>
      </c>
      <c r="I1783" t="s">
        <v>20</v>
      </c>
      <c r="J1783">
        <v>57</v>
      </c>
      <c r="K1783" t="s">
        <v>24</v>
      </c>
      <c r="L1783">
        <v>3</v>
      </c>
      <c r="M1783">
        <v>117</v>
      </c>
      <c r="N1783" s="1">
        <f t="shared" si="84"/>
        <v>351</v>
      </c>
    </row>
    <row r="1784" spans="5:14" x14ac:dyDescent="0.25">
      <c r="E1784">
        <v>802</v>
      </c>
      <c r="F1784" s="7">
        <v>45162</v>
      </c>
      <c r="G1784">
        <f t="shared" si="82"/>
        <v>2023</v>
      </c>
      <c r="H1784" s="7" t="str">
        <f t="shared" si="83"/>
        <v>Август</v>
      </c>
      <c r="I1784" t="s">
        <v>20</v>
      </c>
      <c r="J1784">
        <v>42</v>
      </c>
      <c r="K1784" t="s">
        <v>24</v>
      </c>
      <c r="L1784">
        <v>1</v>
      </c>
      <c r="M1784">
        <v>30</v>
      </c>
      <c r="N1784" s="1">
        <f t="shared" si="84"/>
        <v>30</v>
      </c>
    </row>
    <row r="1785" spans="5:14" x14ac:dyDescent="0.25">
      <c r="E1785">
        <v>1613</v>
      </c>
      <c r="F1785" s="7">
        <v>45558</v>
      </c>
      <c r="G1785">
        <f t="shared" si="82"/>
        <v>2024</v>
      </c>
      <c r="H1785" s="7" t="str">
        <f t="shared" si="83"/>
        <v>Сентябрь</v>
      </c>
      <c r="I1785" t="s">
        <v>20</v>
      </c>
      <c r="J1785">
        <v>52</v>
      </c>
      <c r="K1785" t="s">
        <v>23</v>
      </c>
      <c r="L1785">
        <v>1</v>
      </c>
      <c r="M1785">
        <v>401</v>
      </c>
      <c r="N1785" s="1">
        <f t="shared" si="84"/>
        <v>401</v>
      </c>
    </row>
    <row r="1786" spans="5:14" x14ac:dyDescent="0.25">
      <c r="E1786">
        <v>797</v>
      </c>
      <c r="F1786" s="7">
        <v>45177</v>
      </c>
      <c r="G1786">
        <f t="shared" si="82"/>
        <v>2023</v>
      </c>
      <c r="H1786" s="7" t="str">
        <f t="shared" si="83"/>
        <v>Сентябрь</v>
      </c>
      <c r="I1786" t="s">
        <v>20</v>
      </c>
      <c r="J1786">
        <v>56</v>
      </c>
      <c r="K1786" t="s">
        <v>24</v>
      </c>
      <c r="L1786">
        <v>2</v>
      </c>
      <c r="M1786">
        <v>50</v>
      </c>
      <c r="N1786" s="1">
        <f t="shared" si="84"/>
        <v>100</v>
      </c>
    </row>
    <row r="1787" spans="5:14" x14ac:dyDescent="0.25">
      <c r="E1787">
        <v>980</v>
      </c>
      <c r="F1787" s="7">
        <v>45279</v>
      </c>
      <c r="G1787">
        <f t="shared" si="82"/>
        <v>2023</v>
      </c>
      <c r="H1787" s="7" t="str">
        <f t="shared" si="83"/>
        <v>Декабрь</v>
      </c>
      <c r="I1787" t="s">
        <v>22</v>
      </c>
      <c r="J1787">
        <v>46</v>
      </c>
      <c r="K1787" t="s">
        <v>21</v>
      </c>
      <c r="L1787">
        <v>3</v>
      </c>
      <c r="M1787">
        <v>30</v>
      </c>
      <c r="N1787" s="1">
        <f t="shared" si="84"/>
        <v>90</v>
      </c>
    </row>
    <row r="1788" spans="5:14" x14ac:dyDescent="0.25">
      <c r="E1788">
        <v>1384</v>
      </c>
      <c r="F1788" s="7">
        <v>45447</v>
      </c>
      <c r="G1788">
        <f t="shared" si="82"/>
        <v>2024</v>
      </c>
      <c r="H1788" s="7" t="str">
        <f t="shared" si="83"/>
        <v>Июнь</v>
      </c>
      <c r="I1788" t="s">
        <v>20</v>
      </c>
      <c r="J1788">
        <v>35</v>
      </c>
      <c r="K1788" t="s">
        <v>21</v>
      </c>
      <c r="L1788">
        <v>2</v>
      </c>
      <c r="M1788">
        <v>66</v>
      </c>
      <c r="N1788" s="1">
        <f t="shared" si="84"/>
        <v>132</v>
      </c>
    </row>
    <row r="1789" spans="5:14" x14ac:dyDescent="0.25">
      <c r="E1789">
        <v>1849</v>
      </c>
      <c r="F1789" s="7">
        <v>45416</v>
      </c>
      <c r="G1789">
        <f t="shared" si="82"/>
        <v>2024</v>
      </c>
      <c r="H1789" s="7" t="str">
        <f t="shared" si="83"/>
        <v>Май</v>
      </c>
      <c r="I1789" t="s">
        <v>20</v>
      </c>
      <c r="J1789">
        <v>46</v>
      </c>
      <c r="K1789" t="s">
        <v>21</v>
      </c>
      <c r="L1789">
        <v>6</v>
      </c>
      <c r="M1789">
        <v>345</v>
      </c>
      <c r="N1789" s="1">
        <f t="shared" si="84"/>
        <v>2070</v>
      </c>
    </row>
    <row r="1790" spans="5:14" x14ac:dyDescent="0.25">
      <c r="E1790">
        <v>1801</v>
      </c>
      <c r="F1790" s="7">
        <v>45655</v>
      </c>
      <c r="G1790">
        <f t="shared" si="82"/>
        <v>2024</v>
      </c>
      <c r="H1790" s="7" t="str">
        <f t="shared" si="83"/>
        <v>Декабрь</v>
      </c>
      <c r="I1790" t="s">
        <v>22</v>
      </c>
      <c r="J1790">
        <v>30</v>
      </c>
      <c r="K1790" t="s">
        <v>21</v>
      </c>
      <c r="L1790">
        <v>6</v>
      </c>
      <c r="M1790">
        <v>472</v>
      </c>
      <c r="N1790" s="1">
        <f t="shared" si="84"/>
        <v>2832</v>
      </c>
    </row>
    <row r="1791" spans="5:14" x14ac:dyDescent="0.25">
      <c r="E1791">
        <v>292</v>
      </c>
      <c r="F1791" s="7">
        <v>45048</v>
      </c>
      <c r="G1791">
        <f t="shared" si="82"/>
        <v>2023</v>
      </c>
      <c r="H1791" s="7" t="str">
        <f t="shared" si="83"/>
        <v>Май</v>
      </c>
      <c r="I1791" t="s">
        <v>20</v>
      </c>
      <c r="J1791">
        <v>50</v>
      </c>
      <c r="K1791" t="s">
        <v>24</v>
      </c>
      <c r="L1791">
        <v>3</v>
      </c>
      <c r="M1791">
        <v>30</v>
      </c>
      <c r="N1791" s="1">
        <f t="shared" si="84"/>
        <v>90</v>
      </c>
    </row>
    <row r="1792" spans="5:14" x14ac:dyDescent="0.25">
      <c r="E1792">
        <v>707</v>
      </c>
      <c r="F1792" s="7">
        <v>45128</v>
      </c>
      <c r="G1792">
        <f t="shared" si="82"/>
        <v>2023</v>
      </c>
      <c r="H1792" s="7" t="str">
        <f t="shared" si="83"/>
        <v>Июль</v>
      </c>
      <c r="I1792" t="s">
        <v>22</v>
      </c>
      <c r="J1792">
        <v>19</v>
      </c>
      <c r="K1792" t="s">
        <v>24</v>
      </c>
      <c r="L1792">
        <v>2</v>
      </c>
      <c r="M1792">
        <v>500</v>
      </c>
      <c r="N1792" s="1">
        <f t="shared" si="84"/>
        <v>1000</v>
      </c>
    </row>
    <row r="1793" spans="5:14" x14ac:dyDescent="0.25">
      <c r="E1793">
        <v>779</v>
      </c>
      <c r="F1793" s="7">
        <v>45283</v>
      </c>
      <c r="G1793">
        <f t="shared" si="82"/>
        <v>2023</v>
      </c>
      <c r="H1793" s="7" t="str">
        <f t="shared" si="83"/>
        <v>Декабрь</v>
      </c>
      <c r="I1793" t="s">
        <v>20</v>
      </c>
      <c r="J1793">
        <v>35</v>
      </c>
      <c r="K1793" t="s">
        <v>21</v>
      </c>
      <c r="L1793">
        <v>1</v>
      </c>
      <c r="M1793">
        <v>500</v>
      </c>
      <c r="N1793" s="1">
        <f t="shared" si="84"/>
        <v>500</v>
      </c>
    </row>
    <row r="1794" spans="5:14" x14ac:dyDescent="0.25">
      <c r="E1794">
        <v>1790</v>
      </c>
      <c r="F1794" s="7">
        <v>45552</v>
      </c>
      <c r="G1794">
        <f t="shared" si="82"/>
        <v>2024</v>
      </c>
      <c r="H1794" s="7" t="str">
        <f t="shared" si="83"/>
        <v>Сентябрь</v>
      </c>
      <c r="I1794" t="s">
        <v>22</v>
      </c>
      <c r="J1794">
        <v>46</v>
      </c>
      <c r="K1794" t="s">
        <v>21</v>
      </c>
      <c r="L1794">
        <v>2</v>
      </c>
      <c r="M1794">
        <v>99</v>
      </c>
      <c r="N1794" s="1">
        <f t="shared" si="84"/>
        <v>198</v>
      </c>
    </row>
    <row r="1795" spans="5:14" x14ac:dyDescent="0.25">
      <c r="E1795">
        <v>1195</v>
      </c>
      <c r="F1795" s="7">
        <v>45357</v>
      </c>
      <c r="G1795">
        <f t="shared" si="82"/>
        <v>2024</v>
      </c>
      <c r="H1795" s="7" t="str">
        <f t="shared" si="83"/>
        <v>Март</v>
      </c>
      <c r="I1795" t="s">
        <v>22</v>
      </c>
      <c r="J1795">
        <v>39</v>
      </c>
      <c r="K1795" t="s">
        <v>23</v>
      </c>
      <c r="L1795">
        <v>1</v>
      </c>
      <c r="M1795">
        <v>224</v>
      </c>
      <c r="N1795" s="1">
        <f t="shared" si="84"/>
        <v>224</v>
      </c>
    </row>
    <row r="1796" spans="5:14" x14ac:dyDescent="0.25">
      <c r="E1796">
        <v>1762</v>
      </c>
      <c r="F1796" s="7">
        <v>45347</v>
      </c>
      <c r="G1796">
        <f t="shared" si="82"/>
        <v>2024</v>
      </c>
      <c r="H1796" s="7" t="str">
        <f t="shared" si="83"/>
        <v>Февраль</v>
      </c>
      <c r="I1796" t="s">
        <v>20</v>
      </c>
      <c r="J1796">
        <v>25</v>
      </c>
      <c r="K1796" t="s">
        <v>24</v>
      </c>
      <c r="L1796">
        <v>5</v>
      </c>
      <c r="M1796">
        <v>374</v>
      </c>
      <c r="N1796" s="1">
        <f t="shared" si="84"/>
        <v>1870</v>
      </c>
    </row>
    <row r="1797" spans="5:14" x14ac:dyDescent="0.25">
      <c r="E1797">
        <v>361</v>
      </c>
      <c r="F1797" s="7">
        <v>45257</v>
      </c>
      <c r="G1797">
        <f t="shared" si="82"/>
        <v>2023</v>
      </c>
      <c r="H1797" s="7" t="str">
        <f t="shared" si="83"/>
        <v>Ноябрь</v>
      </c>
      <c r="I1797" t="s">
        <v>20</v>
      </c>
      <c r="J1797">
        <v>50</v>
      </c>
      <c r="K1797" t="s">
        <v>23</v>
      </c>
      <c r="L1797">
        <v>1</v>
      </c>
      <c r="M1797">
        <v>25</v>
      </c>
      <c r="N1797" s="1">
        <f t="shared" si="84"/>
        <v>25</v>
      </c>
    </row>
    <row r="1798" spans="5:14" x14ac:dyDescent="0.25">
      <c r="E1798">
        <v>717</v>
      </c>
      <c r="F1798" s="7">
        <v>45020</v>
      </c>
      <c r="G1798">
        <f t="shared" si="82"/>
        <v>2023</v>
      </c>
      <c r="H1798" s="7" t="str">
        <f t="shared" si="83"/>
        <v>Апрель</v>
      </c>
      <c r="I1798" t="s">
        <v>22</v>
      </c>
      <c r="J1798">
        <v>42</v>
      </c>
      <c r="K1798" t="s">
        <v>23</v>
      </c>
      <c r="L1798">
        <v>2</v>
      </c>
      <c r="M1798">
        <v>30</v>
      </c>
      <c r="N1798" s="1">
        <f t="shared" si="84"/>
        <v>60</v>
      </c>
    </row>
    <row r="1799" spans="5:14" x14ac:dyDescent="0.25">
      <c r="E1799">
        <v>1924</v>
      </c>
      <c r="F1799" s="7">
        <v>45387</v>
      </c>
      <c r="G1799">
        <f t="shared" si="82"/>
        <v>2024</v>
      </c>
      <c r="H1799" s="7" t="str">
        <f t="shared" si="83"/>
        <v>Апрель</v>
      </c>
      <c r="I1799" t="s">
        <v>22</v>
      </c>
      <c r="J1799">
        <v>41</v>
      </c>
      <c r="K1799" t="s">
        <v>23</v>
      </c>
      <c r="L1799">
        <v>1</v>
      </c>
      <c r="M1799">
        <v>293</v>
      </c>
      <c r="N1799" s="1">
        <f t="shared" si="84"/>
        <v>293</v>
      </c>
    </row>
    <row r="1800" spans="5:14" x14ac:dyDescent="0.25">
      <c r="E1800">
        <v>1105</v>
      </c>
      <c r="F1800" s="7">
        <v>45325</v>
      </c>
      <c r="G1800">
        <f t="shared" si="82"/>
        <v>2024</v>
      </c>
      <c r="H1800" s="7" t="str">
        <f t="shared" si="83"/>
        <v>Февраль</v>
      </c>
      <c r="I1800" t="s">
        <v>22</v>
      </c>
      <c r="J1800">
        <v>58</v>
      </c>
      <c r="K1800" t="s">
        <v>23</v>
      </c>
      <c r="L1800">
        <v>7</v>
      </c>
      <c r="M1800">
        <v>494</v>
      </c>
      <c r="N1800" s="1">
        <f t="shared" si="84"/>
        <v>3458</v>
      </c>
    </row>
    <row r="1801" spans="5:14" x14ac:dyDescent="0.25">
      <c r="E1801">
        <v>128</v>
      </c>
      <c r="F1801" s="7">
        <v>45112</v>
      </c>
      <c r="G1801">
        <f t="shared" si="82"/>
        <v>2023</v>
      </c>
      <c r="H1801" s="7" t="str">
        <f t="shared" si="83"/>
        <v>Июль</v>
      </c>
      <c r="I1801" t="s">
        <v>20</v>
      </c>
      <c r="J1801">
        <v>25</v>
      </c>
      <c r="K1801" t="s">
        <v>21</v>
      </c>
      <c r="L1801">
        <v>1</v>
      </c>
      <c r="M1801">
        <v>500</v>
      </c>
      <c r="N1801" s="1">
        <f t="shared" si="84"/>
        <v>500</v>
      </c>
    </row>
    <row r="1802" spans="5:14" x14ac:dyDescent="0.25">
      <c r="E1802">
        <v>869</v>
      </c>
      <c r="F1802" s="7">
        <v>45169</v>
      </c>
      <c r="G1802">
        <f t="shared" ref="G1802:G1865" si="85">YEAR(F1802)</f>
        <v>2023</v>
      </c>
      <c r="H1802" s="7" t="str">
        <f t="shared" ref="H1802:H1865" si="86">TEXT(F1802,"ММММ")</f>
        <v>Август</v>
      </c>
      <c r="I1802" t="s">
        <v>20</v>
      </c>
      <c r="J1802">
        <v>62</v>
      </c>
      <c r="K1802" t="s">
        <v>21</v>
      </c>
      <c r="L1802">
        <v>2</v>
      </c>
      <c r="M1802">
        <v>30</v>
      </c>
      <c r="N1802" s="1">
        <f t="shared" ref="N1802:N1865" si="87">L1802*M1802</f>
        <v>60</v>
      </c>
    </row>
    <row r="1803" spans="5:14" x14ac:dyDescent="0.25">
      <c r="E1803">
        <v>1798</v>
      </c>
      <c r="F1803" s="7">
        <v>45478</v>
      </c>
      <c r="G1803">
        <f t="shared" si="85"/>
        <v>2024</v>
      </c>
      <c r="H1803" s="7" t="str">
        <f t="shared" si="86"/>
        <v>Июль</v>
      </c>
      <c r="I1803" t="s">
        <v>22</v>
      </c>
      <c r="J1803">
        <v>63</v>
      </c>
      <c r="K1803" t="s">
        <v>21</v>
      </c>
      <c r="L1803">
        <v>7</v>
      </c>
      <c r="M1803">
        <v>203</v>
      </c>
      <c r="N1803" s="1">
        <f t="shared" si="87"/>
        <v>1421</v>
      </c>
    </row>
    <row r="1804" spans="5:14" x14ac:dyDescent="0.25">
      <c r="E1804">
        <v>1815</v>
      </c>
      <c r="F1804" s="7">
        <v>45458</v>
      </c>
      <c r="G1804">
        <f t="shared" si="85"/>
        <v>2024</v>
      </c>
      <c r="H1804" s="7" t="str">
        <f t="shared" si="86"/>
        <v>Июнь</v>
      </c>
      <c r="I1804" t="s">
        <v>22</v>
      </c>
      <c r="J1804">
        <v>64</v>
      </c>
      <c r="K1804" t="s">
        <v>21</v>
      </c>
      <c r="L1804">
        <v>2</v>
      </c>
      <c r="M1804">
        <v>233</v>
      </c>
      <c r="N1804" s="1">
        <f t="shared" si="87"/>
        <v>466</v>
      </c>
    </row>
    <row r="1805" spans="5:14" x14ac:dyDescent="0.25">
      <c r="E1805">
        <v>1443</v>
      </c>
      <c r="F1805" s="7">
        <v>45450</v>
      </c>
      <c r="G1805">
        <f t="shared" si="85"/>
        <v>2024</v>
      </c>
      <c r="H1805" s="7" t="str">
        <f t="shared" si="86"/>
        <v>Июнь</v>
      </c>
      <c r="I1805" t="s">
        <v>20</v>
      </c>
      <c r="J1805">
        <v>20</v>
      </c>
      <c r="K1805" t="s">
        <v>24</v>
      </c>
      <c r="L1805">
        <v>6</v>
      </c>
      <c r="M1805">
        <v>284</v>
      </c>
      <c r="N1805" s="1">
        <f t="shared" si="87"/>
        <v>1704</v>
      </c>
    </row>
    <row r="1806" spans="5:14" x14ac:dyDescent="0.25">
      <c r="E1806">
        <v>1385</v>
      </c>
      <c r="F1806" s="7">
        <v>45606</v>
      </c>
      <c r="G1806">
        <f t="shared" si="85"/>
        <v>2024</v>
      </c>
      <c r="H1806" s="7" t="str">
        <f t="shared" si="86"/>
        <v>Ноябрь</v>
      </c>
      <c r="I1806" t="s">
        <v>20</v>
      </c>
      <c r="J1806">
        <v>56</v>
      </c>
      <c r="K1806" t="s">
        <v>24</v>
      </c>
      <c r="L1806">
        <v>5</v>
      </c>
      <c r="M1806">
        <v>11</v>
      </c>
      <c r="N1806" s="1">
        <f t="shared" si="87"/>
        <v>55</v>
      </c>
    </row>
    <row r="1807" spans="5:14" x14ac:dyDescent="0.25">
      <c r="E1807">
        <v>445</v>
      </c>
      <c r="F1807" s="7">
        <v>45084</v>
      </c>
      <c r="G1807">
        <f t="shared" si="85"/>
        <v>2023</v>
      </c>
      <c r="H1807" s="7" t="str">
        <f t="shared" si="86"/>
        <v>Июнь</v>
      </c>
      <c r="I1807" t="s">
        <v>20</v>
      </c>
      <c r="J1807">
        <v>21</v>
      </c>
      <c r="K1807" t="s">
        <v>24</v>
      </c>
      <c r="L1807">
        <v>1</v>
      </c>
      <c r="M1807">
        <v>50</v>
      </c>
      <c r="N1807" s="1">
        <f t="shared" si="87"/>
        <v>50</v>
      </c>
    </row>
    <row r="1808" spans="5:14" x14ac:dyDescent="0.25">
      <c r="E1808">
        <v>951</v>
      </c>
      <c r="F1808" s="7">
        <v>45042</v>
      </c>
      <c r="G1808">
        <f t="shared" si="85"/>
        <v>2023</v>
      </c>
      <c r="H1808" s="7" t="str">
        <f t="shared" si="86"/>
        <v>Апрель</v>
      </c>
      <c r="I1808" t="s">
        <v>20</v>
      </c>
      <c r="J1808">
        <v>45</v>
      </c>
      <c r="K1808" t="s">
        <v>21</v>
      </c>
      <c r="L1808">
        <v>3</v>
      </c>
      <c r="M1808">
        <v>30</v>
      </c>
      <c r="N1808" s="1">
        <f t="shared" si="87"/>
        <v>90</v>
      </c>
    </row>
    <row r="1809" spans="5:14" x14ac:dyDescent="0.25">
      <c r="E1809">
        <v>1414</v>
      </c>
      <c r="F1809" s="7">
        <v>45617</v>
      </c>
      <c r="G1809">
        <f t="shared" si="85"/>
        <v>2024</v>
      </c>
      <c r="H1809" s="7" t="str">
        <f t="shared" si="86"/>
        <v>Ноябрь</v>
      </c>
      <c r="I1809" t="s">
        <v>20</v>
      </c>
      <c r="J1809">
        <v>61</v>
      </c>
      <c r="K1809" t="s">
        <v>24</v>
      </c>
      <c r="L1809">
        <v>5</v>
      </c>
      <c r="M1809">
        <v>263</v>
      </c>
      <c r="N1809" s="1">
        <f t="shared" si="87"/>
        <v>1315</v>
      </c>
    </row>
    <row r="1810" spans="5:14" x14ac:dyDescent="0.25">
      <c r="E1810">
        <v>1415</v>
      </c>
      <c r="F1810" s="7">
        <v>45509</v>
      </c>
      <c r="G1810">
        <f t="shared" si="85"/>
        <v>2024</v>
      </c>
      <c r="H1810" s="7" t="str">
        <f t="shared" si="86"/>
        <v>Август</v>
      </c>
      <c r="I1810" t="s">
        <v>22</v>
      </c>
      <c r="J1810">
        <v>45</v>
      </c>
      <c r="K1810" t="s">
        <v>24</v>
      </c>
      <c r="L1810">
        <v>4</v>
      </c>
      <c r="M1810">
        <v>204</v>
      </c>
      <c r="N1810" s="1">
        <f t="shared" si="87"/>
        <v>816</v>
      </c>
    </row>
    <row r="1811" spans="5:14" x14ac:dyDescent="0.25">
      <c r="E1811">
        <v>503</v>
      </c>
      <c r="F1811" s="7">
        <v>45062</v>
      </c>
      <c r="G1811">
        <f t="shared" si="85"/>
        <v>2023</v>
      </c>
      <c r="H1811" s="7" t="str">
        <f t="shared" si="86"/>
        <v>Май</v>
      </c>
      <c r="I1811" t="s">
        <v>22</v>
      </c>
      <c r="J1811">
        <v>38</v>
      </c>
      <c r="K1811" t="s">
        <v>21</v>
      </c>
      <c r="L1811">
        <v>3</v>
      </c>
      <c r="M1811">
        <v>50</v>
      </c>
      <c r="N1811" s="1">
        <f t="shared" si="87"/>
        <v>150</v>
      </c>
    </row>
    <row r="1812" spans="5:14" x14ac:dyDescent="0.25">
      <c r="E1812">
        <v>518</v>
      </c>
      <c r="F1812" s="7">
        <v>44949</v>
      </c>
      <c r="G1812">
        <f t="shared" si="85"/>
        <v>2023</v>
      </c>
      <c r="H1812" s="7" t="str">
        <f t="shared" si="86"/>
        <v>Январь</v>
      </c>
      <c r="I1812" t="s">
        <v>22</v>
      </c>
      <c r="J1812">
        <v>36</v>
      </c>
      <c r="K1812" t="s">
        <v>24</v>
      </c>
      <c r="L1812">
        <v>4</v>
      </c>
      <c r="M1812">
        <v>30</v>
      </c>
      <c r="N1812" s="1">
        <f t="shared" si="87"/>
        <v>120</v>
      </c>
    </row>
    <row r="1813" spans="5:14" x14ac:dyDescent="0.25">
      <c r="E1813">
        <v>1784</v>
      </c>
      <c r="F1813" s="7">
        <v>45470</v>
      </c>
      <c r="G1813">
        <f t="shared" si="85"/>
        <v>2024</v>
      </c>
      <c r="H1813" s="7" t="str">
        <f t="shared" si="86"/>
        <v>Июнь</v>
      </c>
      <c r="I1813" t="s">
        <v>22</v>
      </c>
      <c r="J1813">
        <v>30</v>
      </c>
      <c r="K1813" t="s">
        <v>21</v>
      </c>
      <c r="L1813">
        <v>2</v>
      </c>
      <c r="M1813">
        <v>244</v>
      </c>
      <c r="N1813" s="1">
        <f t="shared" si="87"/>
        <v>488</v>
      </c>
    </row>
    <row r="1814" spans="5:14" x14ac:dyDescent="0.25">
      <c r="E1814">
        <v>766</v>
      </c>
      <c r="F1814" s="7">
        <v>44940</v>
      </c>
      <c r="G1814">
        <f t="shared" si="85"/>
        <v>2023</v>
      </c>
      <c r="H1814" s="7" t="str">
        <f t="shared" si="86"/>
        <v>Январь</v>
      </c>
      <c r="I1814" t="s">
        <v>22</v>
      </c>
      <c r="J1814">
        <v>24</v>
      </c>
      <c r="K1814" t="s">
        <v>21</v>
      </c>
      <c r="L1814">
        <v>3</v>
      </c>
      <c r="M1814">
        <v>25</v>
      </c>
      <c r="N1814" s="1">
        <f t="shared" si="87"/>
        <v>75</v>
      </c>
    </row>
    <row r="1815" spans="5:14" x14ac:dyDescent="0.25">
      <c r="E1815">
        <v>859</v>
      </c>
      <c r="F1815" s="7">
        <v>44974</v>
      </c>
      <c r="G1815">
        <f t="shared" si="85"/>
        <v>2023</v>
      </c>
      <c r="H1815" s="7" t="str">
        <f t="shared" si="86"/>
        <v>Февраль</v>
      </c>
      <c r="I1815" t="s">
        <v>22</v>
      </c>
      <c r="J1815">
        <v>41</v>
      </c>
      <c r="K1815" t="s">
        <v>23</v>
      </c>
      <c r="L1815">
        <v>3</v>
      </c>
      <c r="M1815">
        <v>30</v>
      </c>
      <c r="N1815" s="1">
        <f t="shared" si="87"/>
        <v>90</v>
      </c>
    </row>
    <row r="1816" spans="5:14" x14ac:dyDescent="0.25">
      <c r="E1816">
        <v>269</v>
      </c>
      <c r="F1816" s="7">
        <v>45133</v>
      </c>
      <c r="G1816">
        <f t="shared" si="85"/>
        <v>2023</v>
      </c>
      <c r="H1816" s="7" t="str">
        <f t="shared" si="86"/>
        <v>Июль</v>
      </c>
      <c r="I1816" t="s">
        <v>20</v>
      </c>
      <c r="J1816">
        <v>43</v>
      </c>
      <c r="K1816" t="s">
        <v>24</v>
      </c>
      <c r="L1816">
        <v>1</v>
      </c>
      <c r="M1816">
        <v>300</v>
      </c>
      <c r="N1816" s="1">
        <f t="shared" si="87"/>
        <v>300</v>
      </c>
    </row>
    <row r="1817" spans="5:14" x14ac:dyDescent="0.25">
      <c r="E1817">
        <v>59</v>
      </c>
      <c r="F1817" s="7">
        <v>45112</v>
      </c>
      <c r="G1817">
        <f t="shared" si="85"/>
        <v>2023</v>
      </c>
      <c r="H1817" s="7" t="str">
        <f t="shared" si="86"/>
        <v>Июль</v>
      </c>
      <c r="I1817" t="s">
        <v>20</v>
      </c>
      <c r="J1817">
        <v>62</v>
      </c>
      <c r="K1817" t="s">
        <v>23</v>
      </c>
      <c r="L1817">
        <v>1</v>
      </c>
      <c r="M1817">
        <v>50</v>
      </c>
      <c r="N1817" s="1">
        <f t="shared" si="87"/>
        <v>50</v>
      </c>
    </row>
    <row r="1818" spans="5:14" x14ac:dyDescent="0.25">
      <c r="E1818">
        <v>1843</v>
      </c>
      <c r="F1818" s="7">
        <v>45390</v>
      </c>
      <c r="G1818">
        <f t="shared" si="85"/>
        <v>2024</v>
      </c>
      <c r="H1818" s="7" t="str">
        <f t="shared" si="86"/>
        <v>Апрель</v>
      </c>
      <c r="I1818" t="s">
        <v>22</v>
      </c>
      <c r="J1818">
        <v>56</v>
      </c>
      <c r="K1818" t="s">
        <v>24</v>
      </c>
      <c r="L1818">
        <v>6</v>
      </c>
      <c r="M1818">
        <v>54</v>
      </c>
      <c r="N1818" s="1">
        <f t="shared" si="87"/>
        <v>324</v>
      </c>
    </row>
    <row r="1819" spans="5:14" x14ac:dyDescent="0.25">
      <c r="E1819">
        <v>1628</v>
      </c>
      <c r="F1819" s="7">
        <v>45606</v>
      </c>
      <c r="G1819">
        <f t="shared" si="85"/>
        <v>2024</v>
      </c>
      <c r="H1819" s="7" t="str">
        <f t="shared" si="86"/>
        <v>Ноябрь</v>
      </c>
      <c r="I1819" t="s">
        <v>20</v>
      </c>
      <c r="J1819">
        <v>33</v>
      </c>
      <c r="K1819" t="s">
        <v>24</v>
      </c>
      <c r="L1819">
        <v>3</v>
      </c>
      <c r="M1819">
        <v>285</v>
      </c>
      <c r="N1819" s="1">
        <f t="shared" si="87"/>
        <v>855</v>
      </c>
    </row>
    <row r="1820" spans="5:14" x14ac:dyDescent="0.25">
      <c r="E1820">
        <v>177</v>
      </c>
      <c r="F1820" s="7">
        <v>45009</v>
      </c>
      <c r="G1820">
        <f t="shared" si="85"/>
        <v>2023</v>
      </c>
      <c r="H1820" s="7" t="str">
        <f t="shared" si="86"/>
        <v>Март</v>
      </c>
      <c r="I1820" t="s">
        <v>20</v>
      </c>
      <c r="J1820">
        <v>45</v>
      </c>
      <c r="K1820" t="s">
        <v>21</v>
      </c>
      <c r="L1820">
        <v>2</v>
      </c>
      <c r="M1820">
        <v>50</v>
      </c>
      <c r="N1820" s="1">
        <f t="shared" si="87"/>
        <v>100</v>
      </c>
    </row>
    <row r="1821" spans="5:14" x14ac:dyDescent="0.25">
      <c r="E1821">
        <v>623</v>
      </c>
      <c r="F1821" s="7">
        <v>45164</v>
      </c>
      <c r="G1821">
        <f t="shared" si="85"/>
        <v>2023</v>
      </c>
      <c r="H1821" s="7" t="str">
        <f t="shared" si="86"/>
        <v>Август</v>
      </c>
      <c r="I1821" t="s">
        <v>22</v>
      </c>
      <c r="J1821">
        <v>34</v>
      </c>
      <c r="K1821" t="s">
        <v>21</v>
      </c>
      <c r="L1821">
        <v>3</v>
      </c>
      <c r="M1821">
        <v>300</v>
      </c>
      <c r="N1821" s="1">
        <f t="shared" si="87"/>
        <v>900</v>
      </c>
    </row>
    <row r="1822" spans="5:14" x14ac:dyDescent="0.25">
      <c r="E1822">
        <v>353</v>
      </c>
      <c r="F1822" s="7">
        <v>45031</v>
      </c>
      <c r="G1822">
        <f t="shared" si="85"/>
        <v>2023</v>
      </c>
      <c r="H1822" s="7" t="str">
        <f t="shared" si="86"/>
        <v>Апрель</v>
      </c>
      <c r="I1822" t="s">
        <v>22</v>
      </c>
      <c r="J1822">
        <v>49</v>
      </c>
      <c r="K1822" t="s">
        <v>21</v>
      </c>
      <c r="L1822">
        <v>4</v>
      </c>
      <c r="M1822">
        <v>50</v>
      </c>
      <c r="N1822" s="1">
        <f t="shared" si="87"/>
        <v>200</v>
      </c>
    </row>
    <row r="1823" spans="5:14" x14ac:dyDescent="0.25">
      <c r="E1823">
        <v>58</v>
      </c>
      <c r="F1823" s="7">
        <v>45243</v>
      </c>
      <c r="G1823">
        <f t="shared" si="85"/>
        <v>2023</v>
      </c>
      <c r="H1823" s="7" t="str">
        <f t="shared" si="86"/>
        <v>Ноябрь</v>
      </c>
      <c r="I1823" t="s">
        <v>20</v>
      </c>
      <c r="J1823">
        <v>18</v>
      </c>
      <c r="K1823" t="s">
        <v>23</v>
      </c>
      <c r="L1823">
        <v>4</v>
      </c>
      <c r="M1823">
        <v>300</v>
      </c>
      <c r="N1823" s="1">
        <f t="shared" si="87"/>
        <v>1200</v>
      </c>
    </row>
    <row r="1824" spans="5:14" x14ac:dyDescent="0.25">
      <c r="E1824">
        <v>298</v>
      </c>
      <c r="F1824" s="7">
        <v>45132</v>
      </c>
      <c r="G1824">
        <f t="shared" si="85"/>
        <v>2023</v>
      </c>
      <c r="H1824" s="7" t="str">
        <f t="shared" si="86"/>
        <v>Июль</v>
      </c>
      <c r="I1824" t="s">
        <v>20</v>
      </c>
      <c r="J1824">
        <v>61</v>
      </c>
      <c r="K1824" t="s">
        <v>24</v>
      </c>
      <c r="L1824">
        <v>2</v>
      </c>
      <c r="M1824">
        <v>500</v>
      </c>
      <c r="N1824" s="1">
        <f t="shared" si="87"/>
        <v>1000</v>
      </c>
    </row>
    <row r="1825" spans="5:14" x14ac:dyDescent="0.25">
      <c r="E1825">
        <v>586</v>
      </c>
      <c r="F1825" s="7">
        <v>45085</v>
      </c>
      <c r="G1825">
        <f t="shared" si="85"/>
        <v>2023</v>
      </c>
      <c r="H1825" s="7" t="str">
        <f t="shared" si="86"/>
        <v>Июнь</v>
      </c>
      <c r="I1825" t="s">
        <v>22</v>
      </c>
      <c r="J1825">
        <v>40</v>
      </c>
      <c r="K1825" t="s">
        <v>21</v>
      </c>
      <c r="L1825">
        <v>4</v>
      </c>
      <c r="M1825">
        <v>300</v>
      </c>
      <c r="N1825" s="1">
        <f t="shared" si="87"/>
        <v>1200</v>
      </c>
    </row>
    <row r="1826" spans="5:14" x14ac:dyDescent="0.25">
      <c r="E1826">
        <v>961</v>
      </c>
      <c r="F1826" s="7">
        <v>45244</v>
      </c>
      <c r="G1826">
        <f t="shared" si="85"/>
        <v>2023</v>
      </c>
      <c r="H1826" s="7" t="str">
        <f t="shared" si="86"/>
        <v>Ноябрь</v>
      </c>
      <c r="I1826" t="s">
        <v>22</v>
      </c>
      <c r="J1826">
        <v>55</v>
      </c>
      <c r="K1826" t="s">
        <v>21</v>
      </c>
      <c r="L1826">
        <v>1</v>
      </c>
      <c r="M1826">
        <v>50</v>
      </c>
      <c r="N1826" s="1">
        <f t="shared" si="87"/>
        <v>50</v>
      </c>
    </row>
    <row r="1827" spans="5:14" x14ac:dyDescent="0.25">
      <c r="E1827">
        <v>323</v>
      </c>
      <c r="F1827" s="7">
        <v>45226</v>
      </c>
      <c r="G1827">
        <f t="shared" si="85"/>
        <v>2023</v>
      </c>
      <c r="H1827" s="7" t="str">
        <f t="shared" si="86"/>
        <v>Октябрь</v>
      </c>
      <c r="I1827" t="s">
        <v>22</v>
      </c>
      <c r="J1827">
        <v>52</v>
      </c>
      <c r="K1827" t="s">
        <v>24</v>
      </c>
      <c r="L1827">
        <v>3</v>
      </c>
      <c r="M1827">
        <v>50</v>
      </c>
      <c r="N1827" s="1">
        <f t="shared" si="87"/>
        <v>150</v>
      </c>
    </row>
    <row r="1828" spans="5:14" x14ac:dyDescent="0.25">
      <c r="E1828">
        <v>150</v>
      </c>
      <c r="F1828" s="7">
        <v>44932</v>
      </c>
      <c r="G1828">
        <f t="shared" si="85"/>
        <v>2023</v>
      </c>
      <c r="H1828" s="7" t="str">
        <f t="shared" si="86"/>
        <v>Январь</v>
      </c>
      <c r="I1828" t="s">
        <v>22</v>
      </c>
      <c r="J1828">
        <v>58</v>
      </c>
      <c r="K1828" t="s">
        <v>24</v>
      </c>
      <c r="L1828">
        <v>4</v>
      </c>
      <c r="M1828">
        <v>30</v>
      </c>
      <c r="N1828" s="1">
        <f t="shared" si="87"/>
        <v>120</v>
      </c>
    </row>
    <row r="1829" spans="5:14" x14ac:dyDescent="0.25">
      <c r="E1829">
        <v>62</v>
      </c>
      <c r="F1829" s="7">
        <v>45287</v>
      </c>
      <c r="G1829">
        <f t="shared" si="85"/>
        <v>2023</v>
      </c>
      <c r="H1829" s="7" t="str">
        <f t="shared" si="86"/>
        <v>Декабрь</v>
      </c>
      <c r="I1829" t="s">
        <v>20</v>
      </c>
      <c r="J1829">
        <v>18</v>
      </c>
      <c r="K1829" t="s">
        <v>21</v>
      </c>
      <c r="L1829">
        <v>2</v>
      </c>
      <c r="M1829">
        <v>50</v>
      </c>
      <c r="N1829" s="1">
        <f t="shared" si="87"/>
        <v>100</v>
      </c>
    </row>
    <row r="1830" spans="5:14" x14ac:dyDescent="0.25">
      <c r="E1830">
        <v>1468</v>
      </c>
      <c r="F1830" s="7">
        <v>45374</v>
      </c>
      <c r="G1830">
        <f t="shared" si="85"/>
        <v>2024</v>
      </c>
      <c r="H1830" s="7" t="str">
        <f t="shared" si="86"/>
        <v>Март</v>
      </c>
      <c r="I1830" t="s">
        <v>20</v>
      </c>
      <c r="J1830">
        <v>58</v>
      </c>
      <c r="K1830" t="s">
        <v>23</v>
      </c>
      <c r="L1830">
        <v>4</v>
      </c>
      <c r="M1830">
        <v>493</v>
      </c>
      <c r="N1830" s="1">
        <f t="shared" si="87"/>
        <v>1972</v>
      </c>
    </row>
    <row r="1831" spans="5:14" x14ac:dyDescent="0.25">
      <c r="E1831">
        <v>1794</v>
      </c>
      <c r="F1831" s="7">
        <v>45508</v>
      </c>
      <c r="G1831">
        <f t="shared" si="85"/>
        <v>2024</v>
      </c>
      <c r="H1831" s="7" t="str">
        <f t="shared" si="86"/>
        <v>Август</v>
      </c>
      <c r="I1831" t="s">
        <v>20</v>
      </c>
      <c r="J1831">
        <v>29</v>
      </c>
      <c r="K1831" t="s">
        <v>23</v>
      </c>
      <c r="L1831">
        <v>5</v>
      </c>
      <c r="M1831">
        <v>487</v>
      </c>
      <c r="N1831" s="1">
        <f t="shared" si="87"/>
        <v>2435</v>
      </c>
    </row>
    <row r="1832" spans="5:14" x14ac:dyDescent="0.25">
      <c r="E1832">
        <v>1473</v>
      </c>
      <c r="F1832" s="7">
        <v>45533</v>
      </c>
      <c r="G1832">
        <f t="shared" si="85"/>
        <v>2024</v>
      </c>
      <c r="H1832" s="7" t="str">
        <f t="shared" si="86"/>
        <v>Август</v>
      </c>
      <c r="I1832" t="s">
        <v>22</v>
      </c>
      <c r="J1832">
        <v>26</v>
      </c>
      <c r="K1832" t="s">
        <v>23</v>
      </c>
      <c r="L1832">
        <v>5</v>
      </c>
      <c r="M1832">
        <v>407</v>
      </c>
      <c r="N1832" s="1">
        <f t="shared" si="87"/>
        <v>2035</v>
      </c>
    </row>
    <row r="1833" spans="5:14" x14ac:dyDescent="0.25">
      <c r="E1833">
        <v>236</v>
      </c>
      <c r="F1833" s="7">
        <v>44961</v>
      </c>
      <c r="G1833">
        <f t="shared" si="85"/>
        <v>2023</v>
      </c>
      <c r="H1833" s="7" t="str">
        <f t="shared" si="86"/>
        <v>Февраль</v>
      </c>
      <c r="I1833" t="s">
        <v>22</v>
      </c>
      <c r="J1833">
        <v>50</v>
      </c>
      <c r="K1833" t="s">
        <v>21</v>
      </c>
      <c r="L1833">
        <v>2</v>
      </c>
      <c r="M1833">
        <v>500</v>
      </c>
      <c r="N1833" s="1">
        <f t="shared" si="87"/>
        <v>1000</v>
      </c>
    </row>
    <row r="1834" spans="5:14" x14ac:dyDescent="0.25">
      <c r="E1834">
        <v>1802</v>
      </c>
      <c r="F1834" s="7">
        <v>45371</v>
      </c>
      <c r="G1834">
        <f t="shared" si="85"/>
        <v>2024</v>
      </c>
      <c r="H1834" s="7" t="str">
        <f t="shared" si="86"/>
        <v>Март</v>
      </c>
      <c r="I1834" t="s">
        <v>22</v>
      </c>
      <c r="J1834">
        <v>57</v>
      </c>
      <c r="K1834" t="s">
        <v>21</v>
      </c>
      <c r="L1834">
        <v>6</v>
      </c>
      <c r="M1834">
        <v>270</v>
      </c>
      <c r="N1834" s="1">
        <f t="shared" si="87"/>
        <v>1620</v>
      </c>
    </row>
    <row r="1835" spans="5:14" x14ac:dyDescent="0.25">
      <c r="E1835">
        <v>408</v>
      </c>
      <c r="F1835" s="7">
        <v>45278</v>
      </c>
      <c r="G1835">
        <f t="shared" si="85"/>
        <v>2023</v>
      </c>
      <c r="H1835" s="7" t="str">
        <f t="shared" si="86"/>
        <v>Декабрь</v>
      </c>
      <c r="I1835" t="s">
        <v>22</v>
      </c>
      <c r="J1835">
        <v>21</v>
      </c>
      <c r="K1835" t="s">
        <v>24</v>
      </c>
      <c r="L1835">
        <v>3</v>
      </c>
      <c r="M1835">
        <v>300</v>
      </c>
      <c r="N1835" s="1">
        <f t="shared" si="87"/>
        <v>900</v>
      </c>
    </row>
    <row r="1836" spans="5:14" x14ac:dyDescent="0.25">
      <c r="E1836">
        <v>1495</v>
      </c>
      <c r="F1836" s="7">
        <v>45462</v>
      </c>
      <c r="G1836">
        <f t="shared" si="85"/>
        <v>2024</v>
      </c>
      <c r="H1836" s="7" t="str">
        <f t="shared" si="86"/>
        <v>Июнь</v>
      </c>
      <c r="I1836" t="s">
        <v>22</v>
      </c>
      <c r="J1836">
        <v>20</v>
      </c>
      <c r="K1836" t="s">
        <v>23</v>
      </c>
      <c r="L1836">
        <v>5</v>
      </c>
      <c r="M1836">
        <v>280</v>
      </c>
      <c r="N1836" s="1">
        <f t="shared" si="87"/>
        <v>1400</v>
      </c>
    </row>
    <row r="1837" spans="5:14" x14ac:dyDescent="0.25">
      <c r="E1837">
        <v>1862</v>
      </c>
      <c r="F1837" s="7">
        <v>45417</v>
      </c>
      <c r="G1837">
        <f t="shared" si="85"/>
        <v>2024</v>
      </c>
      <c r="H1837" s="7" t="str">
        <f t="shared" si="86"/>
        <v>Май</v>
      </c>
      <c r="I1837" t="s">
        <v>20</v>
      </c>
      <c r="J1837">
        <v>18</v>
      </c>
      <c r="K1837" t="s">
        <v>24</v>
      </c>
      <c r="L1837">
        <v>5</v>
      </c>
      <c r="M1837">
        <v>55</v>
      </c>
      <c r="N1837" s="1">
        <f t="shared" si="87"/>
        <v>275</v>
      </c>
    </row>
    <row r="1838" spans="5:14" x14ac:dyDescent="0.25">
      <c r="E1838">
        <v>1486</v>
      </c>
      <c r="F1838" s="7">
        <v>45435</v>
      </c>
      <c r="G1838">
        <f t="shared" si="85"/>
        <v>2024</v>
      </c>
      <c r="H1838" s="7" t="str">
        <f t="shared" si="86"/>
        <v>Май</v>
      </c>
      <c r="I1838" t="s">
        <v>20</v>
      </c>
      <c r="J1838">
        <v>60</v>
      </c>
      <c r="K1838" t="s">
        <v>24</v>
      </c>
      <c r="L1838">
        <v>4</v>
      </c>
      <c r="M1838">
        <v>136</v>
      </c>
      <c r="N1838" s="1">
        <f t="shared" si="87"/>
        <v>544</v>
      </c>
    </row>
    <row r="1839" spans="5:14" x14ac:dyDescent="0.25">
      <c r="E1839">
        <v>1222</v>
      </c>
      <c r="F1839" s="7">
        <v>45302</v>
      </c>
      <c r="G1839">
        <f t="shared" si="85"/>
        <v>2024</v>
      </c>
      <c r="H1839" s="7" t="str">
        <f t="shared" si="86"/>
        <v>Январь</v>
      </c>
      <c r="I1839" t="s">
        <v>22</v>
      </c>
      <c r="J1839">
        <v>35</v>
      </c>
      <c r="K1839" t="s">
        <v>21</v>
      </c>
      <c r="L1839">
        <v>4</v>
      </c>
      <c r="M1839">
        <v>399</v>
      </c>
      <c r="N1839" s="1">
        <f t="shared" si="87"/>
        <v>1596</v>
      </c>
    </row>
    <row r="1840" spans="5:14" x14ac:dyDescent="0.25">
      <c r="E1840">
        <v>1092</v>
      </c>
      <c r="F1840" s="7">
        <v>45431</v>
      </c>
      <c r="G1840">
        <f t="shared" si="85"/>
        <v>2024</v>
      </c>
      <c r="H1840" s="7" t="str">
        <f t="shared" si="86"/>
        <v>Май</v>
      </c>
      <c r="I1840" t="s">
        <v>22</v>
      </c>
      <c r="J1840">
        <v>41</v>
      </c>
      <c r="K1840" t="s">
        <v>21</v>
      </c>
      <c r="L1840">
        <v>3</v>
      </c>
      <c r="M1840">
        <v>223</v>
      </c>
      <c r="N1840" s="1">
        <f t="shared" si="87"/>
        <v>669</v>
      </c>
    </row>
    <row r="1841" spans="5:14" x14ac:dyDescent="0.25">
      <c r="E1841">
        <v>662</v>
      </c>
      <c r="F1841" s="7">
        <v>45288</v>
      </c>
      <c r="G1841">
        <f t="shared" si="85"/>
        <v>2023</v>
      </c>
      <c r="H1841" s="7" t="str">
        <f t="shared" si="86"/>
        <v>Декабрь</v>
      </c>
      <c r="I1841" t="s">
        <v>22</v>
      </c>
      <c r="J1841">
        <v>44</v>
      </c>
      <c r="K1841" t="s">
        <v>23</v>
      </c>
      <c r="L1841">
        <v>4</v>
      </c>
      <c r="M1841">
        <v>500</v>
      </c>
      <c r="N1841" s="1">
        <f t="shared" si="87"/>
        <v>2000</v>
      </c>
    </row>
    <row r="1842" spans="5:14" x14ac:dyDescent="0.25">
      <c r="E1842">
        <v>1566</v>
      </c>
      <c r="F1842" s="7">
        <v>45519</v>
      </c>
      <c r="G1842">
        <f t="shared" si="85"/>
        <v>2024</v>
      </c>
      <c r="H1842" s="7" t="str">
        <f t="shared" si="86"/>
        <v>Август</v>
      </c>
      <c r="I1842" t="s">
        <v>20</v>
      </c>
      <c r="J1842">
        <v>51</v>
      </c>
      <c r="K1842" t="s">
        <v>24</v>
      </c>
      <c r="L1842">
        <v>3</v>
      </c>
      <c r="M1842">
        <v>240</v>
      </c>
      <c r="N1842" s="1">
        <f t="shared" si="87"/>
        <v>720</v>
      </c>
    </row>
    <row r="1843" spans="5:14" x14ac:dyDescent="0.25">
      <c r="E1843">
        <v>513</v>
      </c>
      <c r="F1843" s="7">
        <v>44986</v>
      </c>
      <c r="G1843">
        <f t="shared" si="85"/>
        <v>2023</v>
      </c>
      <c r="H1843" s="7" t="str">
        <f t="shared" si="86"/>
        <v>Март</v>
      </c>
      <c r="I1843" t="s">
        <v>22</v>
      </c>
      <c r="J1843">
        <v>18</v>
      </c>
      <c r="K1843" t="s">
        <v>24</v>
      </c>
      <c r="L1843">
        <v>1</v>
      </c>
      <c r="M1843">
        <v>300</v>
      </c>
      <c r="N1843" s="1">
        <f t="shared" si="87"/>
        <v>300</v>
      </c>
    </row>
    <row r="1844" spans="5:14" x14ac:dyDescent="0.25">
      <c r="E1844">
        <v>100</v>
      </c>
      <c r="F1844" s="7">
        <v>45093</v>
      </c>
      <c r="G1844">
        <f t="shared" si="85"/>
        <v>2023</v>
      </c>
      <c r="H1844" s="7" t="str">
        <f t="shared" si="86"/>
        <v>Июнь</v>
      </c>
      <c r="I1844" t="s">
        <v>20</v>
      </c>
      <c r="J1844">
        <v>41</v>
      </c>
      <c r="K1844" t="s">
        <v>24</v>
      </c>
      <c r="L1844">
        <v>1</v>
      </c>
      <c r="M1844">
        <v>30</v>
      </c>
      <c r="N1844" s="1">
        <f t="shared" si="87"/>
        <v>30</v>
      </c>
    </row>
    <row r="1845" spans="5:14" x14ac:dyDescent="0.25">
      <c r="E1845">
        <v>31</v>
      </c>
      <c r="F1845" s="7">
        <v>45069</v>
      </c>
      <c r="G1845">
        <f t="shared" si="85"/>
        <v>2023</v>
      </c>
      <c r="H1845" s="7" t="str">
        <f t="shared" si="86"/>
        <v>Май</v>
      </c>
      <c r="I1845" t="s">
        <v>20</v>
      </c>
      <c r="J1845">
        <v>44</v>
      </c>
      <c r="K1845" t="s">
        <v>24</v>
      </c>
      <c r="L1845">
        <v>4</v>
      </c>
      <c r="M1845">
        <v>300</v>
      </c>
      <c r="N1845" s="1">
        <f t="shared" si="87"/>
        <v>1200</v>
      </c>
    </row>
    <row r="1846" spans="5:14" x14ac:dyDescent="0.25">
      <c r="E1846">
        <v>1964</v>
      </c>
      <c r="F1846" s="7">
        <v>45613</v>
      </c>
      <c r="G1846">
        <f t="shared" si="85"/>
        <v>2024</v>
      </c>
      <c r="H1846" s="7" t="str">
        <f t="shared" si="86"/>
        <v>Ноябрь</v>
      </c>
      <c r="I1846" t="s">
        <v>22</v>
      </c>
      <c r="J1846">
        <v>33</v>
      </c>
      <c r="K1846" t="s">
        <v>23</v>
      </c>
      <c r="L1846">
        <v>6</v>
      </c>
      <c r="M1846">
        <v>107</v>
      </c>
      <c r="N1846" s="1">
        <f t="shared" si="87"/>
        <v>642</v>
      </c>
    </row>
    <row r="1847" spans="5:14" x14ac:dyDescent="0.25">
      <c r="E1847">
        <v>1295</v>
      </c>
      <c r="F1847" s="7">
        <v>45402</v>
      </c>
      <c r="G1847">
        <f t="shared" si="85"/>
        <v>2024</v>
      </c>
      <c r="H1847" s="7" t="str">
        <f t="shared" si="86"/>
        <v>Апрель</v>
      </c>
      <c r="I1847" t="s">
        <v>20</v>
      </c>
      <c r="J1847">
        <v>29</v>
      </c>
      <c r="K1847" t="s">
        <v>21</v>
      </c>
      <c r="L1847">
        <v>1</v>
      </c>
      <c r="M1847">
        <v>329</v>
      </c>
      <c r="N1847" s="1">
        <f t="shared" si="87"/>
        <v>329</v>
      </c>
    </row>
    <row r="1848" spans="5:14" x14ac:dyDescent="0.25">
      <c r="E1848">
        <v>1559</v>
      </c>
      <c r="F1848" s="7">
        <v>45400</v>
      </c>
      <c r="G1848">
        <f t="shared" si="85"/>
        <v>2024</v>
      </c>
      <c r="H1848" s="7" t="str">
        <f t="shared" si="86"/>
        <v>Апрель</v>
      </c>
      <c r="I1848" t="s">
        <v>20</v>
      </c>
      <c r="J1848">
        <v>25</v>
      </c>
      <c r="K1848" t="s">
        <v>24</v>
      </c>
      <c r="L1848">
        <v>7</v>
      </c>
      <c r="M1848">
        <v>370</v>
      </c>
      <c r="N1848" s="1">
        <f t="shared" si="87"/>
        <v>2590</v>
      </c>
    </row>
    <row r="1849" spans="5:14" x14ac:dyDescent="0.25">
      <c r="E1849">
        <v>1462</v>
      </c>
      <c r="F1849" s="7">
        <v>45384</v>
      </c>
      <c r="G1849">
        <f t="shared" si="85"/>
        <v>2024</v>
      </c>
      <c r="H1849" s="7" t="str">
        <f t="shared" si="86"/>
        <v>Апрель</v>
      </c>
      <c r="I1849" t="s">
        <v>22</v>
      </c>
      <c r="J1849">
        <v>30</v>
      </c>
      <c r="K1849" t="s">
        <v>24</v>
      </c>
      <c r="L1849">
        <v>4</v>
      </c>
      <c r="M1849">
        <v>416</v>
      </c>
      <c r="N1849" s="1">
        <f t="shared" si="87"/>
        <v>1664</v>
      </c>
    </row>
    <row r="1850" spans="5:14" x14ac:dyDescent="0.25">
      <c r="E1850">
        <v>889</v>
      </c>
      <c r="F1850" s="7">
        <v>45021</v>
      </c>
      <c r="G1850">
        <f t="shared" si="85"/>
        <v>2023</v>
      </c>
      <c r="H1850" s="7" t="str">
        <f t="shared" si="86"/>
        <v>Апрель</v>
      </c>
      <c r="I1850" t="s">
        <v>20</v>
      </c>
      <c r="J1850">
        <v>41</v>
      </c>
      <c r="K1850" t="s">
        <v>24</v>
      </c>
      <c r="L1850">
        <v>3</v>
      </c>
      <c r="M1850">
        <v>300</v>
      </c>
      <c r="N1850" s="1">
        <f t="shared" si="87"/>
        <v>900</v>
      </c>
    </row>
    <row r="1851" spans="5:14" x14ac:dyDescent="0.25">
      <c r="E1851">
        <v>1313</v>
      </c>
      <c r="F1851" s="7">
        <v>45404</v>
      </c>
      <c r="G1851">
        <f t="shared" si="85"/>
        <v>2024</v>
      </c>
      <c r="H1851" s="7" t="str">
        <f t="shared" si="86"/>
        <v>Апрель</v>
      </c>
      <c r="I1851" t="s">
        <v>22</v>
      </c>
      <c r="J1851">
        <v>64</v>
      </c>
      <c r="K1851" t="s">
        <v>23</v>
      </c>
      <c r="L1851">
        <v>4</v>
      </c>
      <c r="M1851">
        <v>224</v>
      </c>
      <c r="N1851" s="1">
        <f t="shared" si="87"/>
        <v>896</v>
      </c>
    </row>
    <row r="1852" spans="5:14" x14ac:dyDescent="0.25">
      <c r="E1852">
        <v>1805</v>
      </c>
      <c r="F1852" s="7">
        <v>45560</v>
      </c>
      <c r="G1852">
        <f t="shared" si="85"/>
        <v>2024</v>
      </c>
      <c r="H1852" s="7" t="str">
        <f t="shared" si="86"/>
        <v>Сентябрь</v>
      </c>
      <c r="I1852" t="s">
        <v>22</v>
      </c>
      <c r="J1852">
        <v>33</v>
      </c>
      <c r="K1852" t="s">
        <v>21</v>
      </c>
      <c r="L1852">
        <v>4</v>
      </c>
      <c r="M1852">
        <v>39</v>
      </c>
      <c r="N1852" s="1">
        <f t="shared" si="87"/>
        <v>156</v>
      </c>
    </row>
    <row r="1853" spans="5:14" x14ac:dyDescent="0.25">
      <c r="E1853">
        <v>1931</v>
      </c>
      <c r="F1853" s="7">
        <v>45544</v>
      </c>
      <c r="G1853">
        <f t="shared" si="85"/>
        <v>2024</v>
      </c>
      <c r="H1853" s="7" t="str">
        <f t="shared" si="86"/>
        <v>Сентябрь</v>
      </c>
      <c r="I1853" t="s">
        <v>22</v>
      </c>
      <c r="J1853">
        <v>50</v>
      </c>
      <c r="K1853" t="s">
        <v>21</v>
      </c>
      <c r="L1853">
        <v>6</v>
      </c>
      <c r="M1853">
        <v>157</v>
      </c>
      <c r="N1853" s="1">
        <f t="shared" si="87"/>
        <v>942</v>
      </c>
    </row>
    <row r="1854" spans="5:14" x14ac:dyDescent="0.25">
      <c r="E1854">
        <v>1797</v>
      </c>
      <c r="F1854" s="7">
        <v>45514</v>
      </c>
      <c r="G1854">
        <f t="shared" si="85"/>
        <v>2024</v>
      </c>
      <c r="H1854" s="7" t="str">
        <f t="shared" si="86"/>
        <v>Август</v>
      </c>
      <c r="I1854" t="s">
        <v>20</v>
      </c>
      <c r="J1854">
        <v>19</v>
      </c>
      <c r="K1854" t="s">
        <v>23</v>
      </c>
      <c r="L1854">
        <v>1</v>
      </c>
      <c r="M1854">
        <v>97</v>
      </c>
      <c r="N1854" s="1">
        <f t="shared" si="87"/>
        <v>97</v>
      </c>
    </row>
    <row r="1855" spans="5:14" x14ac:dyDescent="0.25">
      <c r="E1855">
        <v>1682</v>
      </c>
      <c r="F1855" s="7">
        <v>45492</v>
      </c>
      <c r="G1855">
        <f t="shared" si="85"/>
        <v>2024</v>
      </c>
      <c r="H1855" s="7" t="str">
        <f t="shared" si="86"/>
        <v>Июль</v>
      </c>
      <c r="I1855" t="s">
        <v>22</v>
      </c>
      <c r="J1855">
        <v>20</v>
      </c>
      <c r="K1855" t="s">
        <v>24</v>
      </c>
      <c r="L1855">
        <v>2</v>
      </c>
      <c r="M1855">
        <v>194</v>
      </c>
      <c r="N1855" s="1">
        <f t="shared" si="87"/>
        <v>388</v>
      </c>
    </row>
    <row r="1856" spans="5:14" x14ac:dyDescent="0.25">
      <c r="E1856">
        <v>663</v>
      </c>
      <c r="F1856" s="7">
        <v>45036</v>
      </c>
      <c r="G1856">
        <f t="shared" si="85"/>
        <v>2023</v>
      </c>
      <c r="H1856" s="7" t="str">
        <f t="shared" si="86"/>
        <v>Апрель</v>
      </c>
      <c r="I1856" t="s">
        <v>20</v>
      </c>
      <c r="J1856">
        <v>57</v>
      </c>
      <c r="K1856" t="s">
        <v>23</v>
      </c>
      <c r="L1856">
        <v>1</v>
      </c>
      <c r="M1856">
        <v>50</v>
      </c>
      <c r="N1856" s="1">
        <f t="shared" si="87"/>
        <v>50</v>
      </c>
    </row>
    <row r="1857" spans="5:14" x14ac:dyDescent="0.25">
      <c r="E1857">
        <v>422</v>
      </c>
      <c r="F1857" s="7">
        <v>44993</v>
      </c>
      <c r="G1857">
        <f t="shared" si="85"/>
        <v>2023</v>
      </c>
      <c r="H1857" s="7" t="str">
        <f t="shared" si="86"/>
        <v>Март</v>
      </c>
      <c r="I1857" t="s">
        <v>22</v>
      </c>
      <c r="J1857">
        <v>27</v>
      </c>
      <c r="K1857" t="s">
        <v>23</v>
      </c>
      <c r="L1857">
        <v>1</v>
      </c>
      <c r="M1857">
        <v>25</v>
      </c>
      <c r="N1857" s="1">
        <f t="shared" si="87"/>
        <v>25</v>
      </c>
    </row>
    <row r="1858" spans="5:14" x14ac:dyDescent="0.25">
      <c r="E1858">
        <v>1491</v>
      </c>
      <c r="F1858" s="7">
        <v>45553</v>
      </c>
      <c r="G1858">
        <f t="shared" si="85"/>
        <v>2024</v>
      </c>
      <c r="H1858" s="7" t="str">
        <f t="shared" si="86"/>
        <v>Сентябрь</v>
      </c>
      <c r="I1858" t="s">
        <v>22</v>
      </c>
      <c r="J1858">
        <v>27</v>
      </c>
      <c r="K1858" t="s">
        <v>21</v>
      </c>
      <c r="L1858">
        <v>2</v>
      </c>
      <c r="M1858">
        <v>63</v>
      </c>
      <c r="N1858" s="1">
        <f t="shared" si="87"/>
        <v>126</v>
      </c>
    </row>
    <row r="1859" spans="5:14" x14ac:dyDescent="0.25">
      <c r="E1859">
        <v>1237</v>
      </c>
      <c r="F1859" s="7">
        <v>45328</v>
      </c>
      <c r="G1859">
        <f t="shared" si="85"/>
        <v>2024</v>
      </c>
      <c r="H1859" s="7" t="str">
        <f t="shared" si="86"/>
        <v>Февраль</v>
      </c>
      <c r="I1859" t="s">
        <v>22</v>
      </c>
      <c r="J1859">
        <v>33</v>
      </c>
      <c r="K1859" t="s">
        <v>21</v>
      </c>
      <c r="L1859">
        <v>1</v>
      </c>
      <c r="M1859">
        <v>384</v>
      </c>
      <c r="N1859" s="1">
        <f t="shared" si="87"/>
        <v>384</v>
      </c>
    </row>
    <row r="1860" spans="5:14" x14ac:dyDescent="0.25">
      <c r="E1860">
        <v>1680</v>
      </c>
      <c r="F1860" s="7">
        <v>45473</v>
      </c>
      <c r="G1860">
        <f t="shared" si="85"/>
        <v>2024</v>
      </c>
      <c r="H1860" s="7" t="str">
        <f t="shared" si="86"/>
        <v>Июнь</v>
      </c>
      <c r="I1860" t="s">
        <v>22</v>
      </c>
      <c r="J1860">
        <v>47</v>
      </c>
      <c r="K1860" t="s">
        <v>23</v>
      </c>
      <c r="L1860">
        <v>1</v>
      </c>
      <c r="M1860">
        <v>308</v>
      </c>
      <c r="N1860" s="1">
        <f t="shared" si="87"/>
        <v>308</v>
      </c>
    </row>
    <row r="1861" spans="5:14" x14ac:dyDescent="0.25">
      <c r="E1861">
        <v>494</v>
      </c>
      <c r="F1861" s="7">
        <v>45131</v>
      </c>
      <c r="G1861">
        <f t="shared" si="85"/>
        <v>2023</v>
      </c>
      <c r="H1861" s="7" t="str">
        <f t="shared" si="86"/>
        <v>Июль</v>
      </c>
      <c r="I1861" t="s">
        <v>20</v>
      </c>
      <c r="J1861">
        <v>24</v>
      </c>
      <c r="K1861" t="s">
        <v>21</v>
      </c>
      <c r="L1861">
        <v>2</v>
      </c>
      <c r="M1861">
        <v>30</v>
      </c>
      <c r="N1861" s="1">
        <f t="shared" si="87"/>
        <v>60</v>
      </c>
    </row>
    <row r="1862" spans="5:14" x14ac:dyDescent="0.25">
      <c r="E1862">
        <v>1547</v>
      </c>
      <c r="F1862" s="7">
        <v>45633</v>
      </c>
      <c r="G1862">
        <f t="shared" si="85"/>
        <v>2024</v>
      </c>
      <c r="H1862" s="7" t="str">
        <f t="shared" si="86"/>
        <v>Декабрь</v>
      </c>
      <c r="I1862" t="s">
        <v>20</v>
      </c>
      <c r="J1862">
        <v>59</v>
      </c>
      <c r="K1862" t="s">
        <v>23</v>
      </c>
      <c r="L1862">
        <v>2</v>
      </c>
      <c r="M1862">
        <v>269</v>
      </c>
      <c r="N1862" s="1">
        <f t="shared" si="87"/>
        <v>538</v>
      </c>
    </row>
    <row r="1863" spans="5:14" x14ac:dyDescent="0.25">
      <c r="E1863">
        <v>1981</v>
      </c>
      <c r="F1863" s="7">
        <v>45442</v>
      </c>
      <c r="G1863">
        <f t="shared" si="85"/>
        <v>2024</v>
      </c>
      <c r="H1863" s="7" t="str">
        <f t="shared" si="86"/>
        <v>Май</v>
      </c>
      <c r="I1863" t="s">
        <v>22</v>
      </c>
      <c r="J1863">
        <v>43</v>
      </c>
      <c r="K1863" t="s">
        <v>24</v>
      </c>
      <c r="L1863">
        <v>3</v>
      </c>
      <c r="M1863">
        <v>13</v>
      </c>
      <c r="N1863" s="1">
        <f t="shared" si="87"/>
        <v>39</v>
      </c>
    </row>
    <row r="1864" spans="5:14" x14ac:dyDescent="0.25">
      <c r="E1864">
        <v>525</v>
      </c>
      <c r="F1864" s="7">
        <v>45270</v>
      </c>
      <c r="G1864">
        <f t="shared" si="85"/>
        <v>2023</v>
      </c>
      <c r="H1864" s="7" t="str">
        <f t="shared" si="86"/>
        <v>Декабрь</v>
      </c>
      <c r="I1864" t="s">
        <v>20</v>
      </c>
      <c r="J1864">
        <v>33</v>
      </c>
      <c r="K1864" t="s">
        <v>23</v>
      </c>
      <c r="L1864">
        <v>2</v>
      </c>
      <c r="M1864">
        <v>50</v>
      </c>
      <c r="N1864" s="1">
        <f t="shared" si="87"/>
        <v>100</v>
      </c>
    </row>
    <row r="1865" spans="5:14" x14ac:dyDescent="0.25">
      <c r="E1865">
        <v>822</v>
      </c>
      <c r="F1865" s="7">
        <v>45051</v>
      </c>
      <c r="G1865">
        <f t="shared" si="85"/>
        <v>2023</v>
      </c>
      <c r="H1865" s="7" t="str">
        <f t="shared" si="86"/>
        <v>Май</v>
      </c>
      <c r="I1865" t="s">
        <v>20</v>
      </c>
      <c r="J1865">
        <v>63</v>
      </c>
      <c r="K1865" t="s">
        <v>23</v>
      </c>
      <c r="L1865">
        <v>4</v>
      </c>
      <c r="M1865">
        <v>30</v>
      </c>
      <c r="N1865" s="1">
        <f t="shared" si="87"/>
        <v>120</v>
      </c>
    </row>
    <row r="1866" spans="5:14" x14ac:dyDescent="0.25">
      <c r="E1866">
        <v>1990</v>
      </c>
      <c r="F1866" s="7">
        <v>45644</v>
      </c>
      <c r="G1866">
        <f t="shared" ref="G1866:G1929" si="88">YEAR(F1866)</f>
        <v>2024</v>
      </c>
      <c r="H1866" s="7" t="str">
        <f t="shared" ref="H1866:H1929" si="89">TEXT(F1866,"ММММ")</f>
        <v>Декабрь</v>
      </c>
      <c r="I1866" t="s">
        <v>22</v>
      </c>
      <c r="J1866">
        <v>41</v>
      </c>
      <c r="K1866" t="s">
        <v>21</v>
      </c>
      <c r="L1866">
        <v>7</v>
      </c>
      <c r="M1866">
        <v>338</v>
      </c>
      <c r="N1866" s="1">
        <f t="shared" ref="N1866:N1929" si="90">L1866*M1866</f>
        <v>2366</v>
      </c>
    </row>
    <row r="1867" spans="5:14" x14ac:dyDescent="0.25">
      <c r="E1867">
        <v>1504</v>
      </c>
      <c r="F1867" s="7">
        <v>45598</v>
      </c>
      <c r="G1867">
        <f t="shared" si="88"/>
        <v>2024</v>
      </c>
      <c r="H1867" s="7" t="str">
        <f t="shared" si="89"/>
        <v>Ноябрь</v>
      </c>
      <c r="I1867" t="s">
        <v>22</v>
      </c>
      <c r="J1867">
        <v>61</v>
      </c>
      <c r="K1867" t="s">
        <v>24</v>
      </c>
      <c r="L1867">
        <v>6</v>
      </c>
      <c r="M1867">
        <v>159</v>
      </c>
      <c r="N1867" s="1">
        <f t="shared" si="90"/>
        <v>954</v>
      </c>
    </row>
    <row r="1868" spans="5:14" x14ac:dyDescent="0.25">
      <c r="E1868">
        <v>1130</v>
      </c>
      <c r="F1868" s="7">
        <v>45545</v>
      </c>
      <c r="G1868">
        <f t="shared" si="88"/>
        <v>2024</v>
      </c>
      <c r="H1868" s="7" t="str">
        <f t="shared" si="89"/>
        <v>Сентябрь</v>
      </c>
      <c r="I1868" t="s">
        <v>20</v>
      </c>
      <c r="J1868">
        <v>49</v>
      </c>
      <c r="K1868" t="s">
        <v>24</v>
      </c>
      <c r="L1868">
        <v>1</v>
      </c>
      <c r="M1868">
        <v>66</v>
      </c>
      <c r="N1868" s="1">
        <f t="shared" si="90"/>
        <v>66</v>
      </c>
    </row>
    <row r="1869" spans="5:14" x14ac:dyDescent="0.25">
      <c r="E1869">
        <v>1327</v>
      </c>
      <c r="F1869" s="7">
        <v>45553</v>
      </c>
      <c r="G1869">
        <f t="shared" si="88"/>
        <v>2024</v>
      </c>
      <c r="H1869" s="7" t="str">
        <f t="shared" si="89"/>
        <v>Сентябрь</v>
      </c>
      <c r="I1869" t="s">
        <v>22</v>
      </c>
      <c r="J1869">
        <v>30</v>
      </c>
      <c r="K1869" t="s">
        <v>21</v>
      </c>
      <c r="L1869">
        <v>6</v>
      </c>
      <c r="M1869">
        <v>476</v>
      </c>
      <c r="N1869" s="1">
        <f t="shared" si="90"/>
        <v>2856</v>
      </c>
    </row>
    <row r="1870" spans="5:14" x14ac:dyDescent="0.25">
      <c r="E1870">
        <v>38</v>
      </c>
      <c r="F1870" s="7">
        <v>45006</v>
      </c>
      <c r="G1870">
        <f t="shared" si="88"/>
        <v>2023</v>
      </c>
      <c r="H1870" s="7" t="str">
        <f t="shared" si="89"/>
        <v>Март</v>
      </c>
      <c r="I1870" t="s">
        <v>20</v>
      </c>
      <c r="J1870">
        <v>38</v>
      </c>
      <c r="K1870" t="s">
        <v>21</v>
      </c>
      <c r="L1870">
        <v>4</v>
      </c>
      <c r="M1870">
        <v>50</v>
      </c>
      <c r="N1870" s="1">
        <f t="shared" si="90"/>
        <v>200</v>
      </c>
    </row>
    <row r="1871" spans="5:14" x14ac:dyDescent="0.25">
      <c r="E1871">
        <v>1763</v>
      </c>
      <c r="F1871" s="7">
        <v>45589</v>
      </c>
      <c r="G1871">
        <f t="shared" si="88"/>
        <v>2024</v>
      </c>
      <c r="H1871" s="7" t="str">
        <f t="shared" si="89"/>
        <v>Октябрь</v>
      </c>
      <c r="I1871" t="s">
        <v>20</v>
      </c>
      <c r="J1871">
        <v>34</v>
      </c>
      <c r="K1871" t="s">
        <v>21</v>
      </c>
      <c r="L1871">
        <v>2</v>
      </c>
      <c r="M1871">
        <v>335</v>
      </c>
      <c r="N1871" s="1">
        <f t="shared" si="90"/>
        <v>670</v>
      </c>
    </row>
    <row r="1872" spans="5:14" x14ac:dyDescent="0.25">
      <c r="E1872">
        <v>1175</v>
      </c>
      <c r="F1872" s="7">
        <v>45375</v>
      </c>
      <c r="G1872">
        <f t="shared" si="88"/>
        <v>2024</v>
      </c>
      <c r="H1872" s="7" t="str">
        <f t="shared" si="89"/>
        <v>Март</v>
      </c>
      <c r="I1872" t="s">
        <v>20</v>
      </c>
      <c r="J1872">
        <v>42</v>
      </c>
      <c r="K1872" t="s">
        <v>21</v>
      </c>
      <c r="L1872">
        <v>3</v>
      </c>
      <c r="M1872">
        <v>279</v>
      </c>
      <c r="N1872" s="1">
        <f t="shared" si="90"/>
        <v>837</v>
      </c>
    </row>
    <row r="1873" spans="5:14" x14ac:dyDescent="0.25">
      <c r="E1873">
        <v>792</v>
      </c>
      <c r="F1873" s="7">
        <v>45186</v>
      </c>
      <c r="G1873">
        <f t="shared" si="88"/>
        <v>2023</v>
      </c>
      <c r="H1873" s="7" t="str">
        <f t="shared" si="89"/>
        <v>Сентябрь</v>
      </c>
      <c r="I1873" t="s">
        <v>22</v>
      </c>
      <c r="J1873">
        <v>60</v>
      </c>
      <c r="K1873" t="s">
        <v>21</v>
      </c>
      <c r="L1873">
        <v>1</v>
      </c>
      <c r="M1873">
        <v>300</v>
      </c>
      <c r="N1873" s="1">
        <f t="shared" si="90"/>
        <v>300</v>
      </c>
    </row>
    <row r="1874" spans="5:14" x14ac:dyDescent="0.25">
      <c r="E1874">
        <v>794</v>
      </c>
      <c r="F1874" s="7">
        <v>45101</v>
      </c>
      <c r="G1874">
        <f t="shared" si="88"/>
        <v>2023</v>
      </c>
      <c r="H1874" s="7" t="str">
        <f t="shared" si="89"/>
        <v>Июнь</v>
      </c>
      <c r="I1874" t="s">
        <v>20</v>
      </c>
      <c r="J1874">
        <v>43</v>
      </c>
      <c r="K1874" t="s">
        <v>21</v>
      </c>
      <c r="L1874">
        <v>4</v>
      </c>
      <c r="M1874">
        <v>30</v>
      </c>
      <c r="N1874" s="1">
        <f t="shared" si="90"/>
        <v>120</v>
      </c>
    </row>
    <row r="1875" spans="5:14" x14ac:dyDescent="0.25">
      <c r="E1875">
        <v>1903</v>
      </c>
      <c r="F1875" s="7">
        <v>45299</v>
      </c>
      <c r="G1875">
        <f t="shared" si="88"/>
        <v>2024</v>
      </c>
      <c r="H1875" s="7" t="str">
        <f t="shared" si="89"/>
        <v>Январь</v>
      </c>
      <c r="I1875" t="s">
        <v>22</v>
      </c>
      <c r="J1875">
        <v>19</v>
      </c>
      <c r="K1875" t="s">
        <v>24</v>
      </c>
      <c r="L1875">
        <v>3</v>
      </c>
      <c r="M1875">
        <v>126</v>
      </c>
      <c r="N1875" s="1">
        <f t="shared" si="90"/>
        <v>378</v>
      </c>
    </row>
    <row r="1876" spans="5:14" x14ac:dyDescent="0.25">
      <c r="E1876">
        <v>1498</v>
      </c>
      <c r="F1876" s="7">
        <v>45426</v>
      </c>
      <c r="G1876">
        <f t="shared" si="88"/>
        <v>2024</v>
      </c>
      <c r="H1876" s="7" t="str">
        <f t="shared" si="89"/>
        <v>Май</v>
      </c>
      <c r="I1876" t="s">
        <v>20</v>
      </c>
      <c r="J1876">
        <v>21</v>
      </c>
      <c r="K1876" t="s">
        <v>24</v>
      </c>
      <c r="L1876">
        <v>4</v>
      </c>
      <c r="M1876">
        <v>413</v>
      </c>
      <c r="N1876" s="1">
        <f t="shared" si="90"/>
        <v>1652</v>
      </c>
    </row>
    <row r="1877" spans="5:14" x14ac:dyDescent="0.25">
      <c r="E1877">
        <v>1161</v>
      </c>
      <c r="F1877" s="7">
        <v>45293</v>
      </c>
      <c r="G1877">
        <f t="shared" si="88"/>
        <v>2024</v>
      </c>
      <c r="H1877" s="7" t="str">
        <f t="shared" si="89"/>
        <v>Январь</v>
      </c>
      <c r="I1877" t="s">
        <v>22</v>
      </c>
      <c r="J1877">
        <v>20</v>
      </c>
      <c r="K1877" t="s">
        <v>23</v>
      </c>
      <c r="L1877">
        <v>7</v>
      </c>
      <c r="M1877">
        <v>491</v>
      </c>
      <c r="N1877" s="1">
        <f t="shared" si="90"/>
        <v>3437</v>
      </c>
    </row>
    <row r="1878" spans="5:14" x14ac:dyDescent="0.25">
      <c r="E1878">
        <v>161</v>
      </c>
      <c r="F1878" s="7">
        <v>45007</v>
      </c>
      <c r="G1878">
        <f t="shared" si="88"/>
        <v>2023</v>
      </c>
      <c r="H1878" s="7" t="str">
        <f t="shared" si="89"/>
        <v>Март</v>
      </c>
      <c r="I1878" t="s">
        <v>20</v>
      </c>
      <c r="J1878">
        <v>64</v>
      </c>
      <c r="K1878" t="s">
        <v>21</v>
      </c>
      <c r="L1878">
        <v>2</v>
      </c>
      <c r="M1878">
        <v>500</v>
      </c>
      <c r="N1878" s="1">
        <f t="shared" si="90"/>
        <v>1000</v>
      </c>
    </row>
    <row r="1879" spans="5:14" x14ac:dyDescent="0.25">
      <c r="E1879">
        <v>305</v>
      </c>
      <c r="F1879" s="7">
        <v>45159</v>
      </c>
      <c r="G1879">
        <f t="shared" si="88"/>
        <v>2023</v>
      </c>
      <c r="H1879" s="7" t="str">
        <f t="shared" si="89"/>
        <v>Август</v>
      </c>
      <c r="I1879" t="s">
        <v>20</v>
      </c>
      <c r="J1879">
        <v>54</v>
      </c>
      <c r="K1879" t="s">
        <v>24</v>
      </c>
      <c r="L1879">
        <v>1</v>
      </c>
      <c r="M1879">
        <v>50</v>
      </c>
      <c r="N1879" s="1">
        <f t="shared" si="90"/>
        <v>50</v>
      </c>
    </row>
    <row r="1880" spans="5:14" x14ac:dyDescent="0.25">
      <c r="E1880">
        <v>540</v>
      </c>
      <c r="F1880" s="7">
        <v>45136</v>
      </c>
      <c r="G1880">
        <f t="shared" si="88"/>
        <v>2023</v>
      </c>
      <c r="H1880" s="7" t="str">
        <f t="shared" si="89"/>
        <v>Июль</v>
      </c>
      <c r="I1880" t="s">
        <v>20</v>
      </c>
      <c r="J1880">
        <v>56</v>
      </c>
      <c r="K1880" t="s">
        <v>21</v>
      </c>
      <c r="L1880">
        <v>1</v>
      </c>
      <c r="M1880">
        <v>500</v>
      </c>
      <c r="N1880" s="1">
        <f t="shared" si="90"/>
        <v>500</v>
      </c>
    </row>
    <row r="1881" spans="5:14" x14ac:dyDescent="0.25">
      <c r="E1881">
        <v>343</v>
      </c>
      <c r="F1881" s="7">
        <v>44947</v>
      </c>
      <c r="G1881">
        <f t="shared" si="88"/>
        <v>2023</v>
      </c>
      <c r="H1881" s="7" t="str">
        <f t="shared" si="89"/>
        <v>Январь</v>
      </c>
      <c r="I1881" t="s">
        <v>22</v>
      </c>
      <c r="J1881">
        <v>42</v>
      </c>
      <c r="K1881" t="s">
        <v>21</v>
      </c>
      <c r="L1881">
        <v>1</v>
      </c>
      <c r="M1881">
        <v>30</v>
      </c>
      <c r="N1881" s="1">
        <f t="shared" si="90"/>
        <v>30</v>
      </c>
    </row>
    <row r="1882" spans="5:14" x14ac:dyDescent="0.25">
      <c r="E1882">
        <v>1196</v>
      </c>
      <c r="F1882" s="7">
        <v>45358</v>
      </c>
      <c r="G1882">
        <f t="shared" si="88"/>
        <v>2024</v>
      </c>
      <c r="H1882" s="7" t="str">
        <f t="shared" si="89"/>
        <v>Март</v>
      </c>
      <c r="I1882" t="s">
        <v>22</v>
      </c>
      <c r="J1882">
        <v>43</v>
      </c>
      <c r="K1882" t="s">
        <v>21</v>
      </c>
      <c r="L1882">
        <v>4</v>
      </c>
      <c r="M1882">
        <v>316</v>
      </c>
      <c r="N1882" s="1">
        <f t="shared" si="90"/>
        <v>1264</v>
      </c>
    </row>
    <row r="1883" spans="5:14" x14ac:dyDescent="0.25">
      <c r="E1883">
        <v>1015</v>
      </c>
      <c r="F1883" s="7">
        <v>45404</v>
      </c>
      <c r="G1883">
        <f t="shared" si="88"/>
        <v>2024</v>
      </c>
      <c r="H1883" s="7" t="str">
        <f t="shared" si="89"/>
        <v>Апрель</v>
      </c>
      <c r="I1883" t="s">
        <v>22</v>
      </c>
      <c r="J1883">
        <v>59</v>
      </c>
      <c r="K1883" t="s">
        <v>23</v>
      </c>
      <c r="L1883">
        <v>3</v>
      </c>
      <c r="M1883">
        <v>471</v>
      </c>
      <c r="N1883" s="1">
        <f t="shared" si="90"/>
        <v>1413</v>
      </c>
    </row>
    <row r="1884" spans="5:14" x14ac:dyDescent="0.25">
      <c r="E1884">
        <v>993</v>
      </c>
      <c r="F1884" s="7">
        <v>45046</v>
      </c>
      <c r="G1884">
        <f t="shared" si="88"/>
        <v>2023</v>
      </c>
      <c r="H1884" s="7" t="str">
        <f t="shared" si="89"/>
        <v>Апрель</v>
      </c>
      <c r="I1884" t="s">
        <v>22</v>
      </c>
      <c r="J1884">
        <v>41</v>
      </c>
      <c r="K1884" t="s">
        <v>23</v>
      </c>
      <c r="L1884">
        <v>1</v>
      </c>
      <c r="M1884">
        <v>30</v>
      </c>
      <c r="N1884" s="1">
        <f t="shared" si="90"/>
        <v>30</v>
      </c>
    </row>
    <row r="1885" spans="5:14" x14ac:dyDescent="0.25">
      <c r="E1885">
        <v>1518</v>
      </c>
      <c r="F1885" s="7">
        <v>45516</v>
      </c>
      <c r="G1885">
        <f t="shared" si="88"/>
        <v>2024</v>
      </c>
      <c r="H1885" s="7" t="str">
        <f t="shared" si="89"/>
        <v>Август</v>
      </c>
      <c r="I1885" t="s">
        <v>22</v>
      </c>
      <c r="J1885">
        <v>44</v>
      </c>
      <c r="K1885" t="s">
        <v>23</v>
      </c>
      <c r="L1885">
        <v>4</v>
      </c>
      <c r="M1885">
        <v>278</v>
      </c>
      <c r="N1885" s="1">
        <f t="shared" si="90"/>
        <v>1112</v>
      </c>
    </row>
    <row r="1886" spans="5:14" x14ac:dyDescent="0.25">
      <c r="E1886">
        <v>1356</v>
      </c>
      <c r="F1886" s="7">
        <v>45495</v>
      </c>
      <c r="G1886">
        <f t="shared" si="88"/>
        <v>2024</v>
      </c>
      <c r="H1886" s="7" t="str">
        <f t="shared" si="89"/>
        <v>Июль</v>
      </c>
      <c r="I1886" t="s">
        <v>20</v>
      </c>
      <c r="J1886">
        <v>22</v>
      </c>
      <c r="K1886" t="s">
        <v>23</v>
      </c>
      <c r="L1886">
        <v>1</v>
      </c>
      <c r="M1886">
        <v>264</v>
      </c>
      <c r="N1886" s="1">
        <f t="shared" si="90"/>
        <v>264</v>
      </c>
    </row>
    <row r="1887" spans="5:14" x14ac:dyDescent="0.25">
      <c r="E1887">
        <v>1268</v>
      </c>
      <c r="F1887" s="7">
        <v>45466</v>
      </c>
      <c r="G1887">
        <f t="shared" si="88"/>
        <v>2024</v>
      </c>
      <c r="H1887" s="7" t="str">
        <f t="shared" si="89"/>
        <v>Июнь</v>
      </c>
      <c r="I1887" t="s">
        <v>22</v>
      </c>
      <c r="J1887">
        <v>65</v>
      </c>
      <c r="K1887" t="s">
        <v>21</v>
      </c>
      <c r="L1887">
        <v>4</v>
      </c>
      <c r="M1887">
        <v>397</v>
      </c>
      <c r="N1887" s="1">
        <f t="shared" si="90"/>
        <v>1588</v>
      </c>
    </row>
    <row r="1888" spans="5:14" x14ac:dyDescent="0.25">
      <c r="E1888">
        <v>1353</v>
      </c>
      <c r="F1888" s="7">
        <v>45453</v>
      </c>
      <c r="G1888">
        <f t="shared" si="88"/>
        <v>2024</v>
      </c>
      <c r="H1888" s="7" t="str">
        <f t="shared" si="89"/>
        <v>Июнь</v>
      </c>
      <c r="I1888" t="s">
        <v>20</v>
      </c>
      <c r="J1888">
        <v>31</v>
      </c>
      <c r="K1888" t="s">
        <v>24</v>
      </c>
      <c r="L1888">
        <v>4</v>
      </c>
      <c r="M1888">
        <v>335</v>
      </c>
      <c r="N1888" s="1">
        <f t="shared" si="90"/>
        <v>1340</v>
      </c>
    </row>
    <row r="1889" spans="5:14" x14ac:dyDescent="0.25">
      <c r="E1889">
        <v>628</v>
      </c>
      <c r="F1889" s="7">
        <v>45089</v>
      </c>
      <c r="G1889">
        <f t="shared" si="88"/>
        <v>2023</v>
      </c>
      <c r="H1889" s="7" t="str">
        <f t="shared" si="89"/>
        <v>Июнь</v>
      </c>
      <c r="I1889" t="s">
        <v>20</v>
      </c>
      <c r="J1889">
        <v>62</v>
      </c>
      <c r="K1889" t="s">
        <v>24</v>
      </c>
      <c r="L1889">
        <v>2</v>
      </c>
      <c r="M1889">
        <v>25</v>
      </c>
      <c r="N1889" s="1">
        <f t="shared" si="90"/>
        <v>50</v>
      </c>
    </row>
    <row r="1890" spans="5:14" x14ac:dyDescent="0.25">
      <c r="E1890">
        <v>364</v>
      </c>
      <c r="F1890" s="7">
        <v>45088</v>
      </c>
      <c r="G1890">
        <f t="shared" si="88"/>
        <v>2023</v>
      </c>
      <c r="H1890" s="7" t="str">
        <f t="shared" si="89"/>
        <v>Июнь</v>
      </c>
      <c r="I1890" t="s">
        <v>20</v>
      </c>
      <c r="J1890">
        <v>31</v>
      </c>
      <c r="K1890" t="s">
        <v>23</v>
      </c>
      <c r="L1890">
        <v>1</v>
      </c>
      <c r="M1890">
        <v>300</v>
      </c>
      <c r="N1890" s="1">
        <f t="shared" si="90"/>
        <v>300</v>
      </c>
    </row>
    <row r="1891" spans="5:14" x14ac:dyDescent="0.25">
      <c r="E1891">
        <v>134</v>
      </c>
      <c r="F1891" s="7">
        <v>44951</v>
      </c>
      <c r="G1891">
        <f t="shared" si="88"/>
        <v>2023</v>
      </c>
      <c r="H1891" s="7" t="str">
        <f t="shared" si="89"/>
        <v>Январь</v>
      </c>
      <c r="I1891" t="s">
        <v>20</v>
      </c>
      <c r="J1891">
        <v>49</v>
      </c>
      <c r="K1891" t="s">
        <v>24</v>
      </c>
      <c r="L1891">
        <v>1</v>
      </c>
      <c r="M1891">
        <v>50</v>
      </c>
      <c r="N1891" s="1">
        <f t="shared" si="90"/>
        <v>50</v>
      </c>
    </row>
    <row r="1892" spans="5:14" x14ac:dyDescent="0.25">
      <c r="E1892">
        <v>743</v>
      </c>
      <c r="F1892" s="7">
        <v>45029</v>
      </c>
      <c r="G1892">
        <f t="shared" si="88"/>
        <v>2023</v>
      </c>
      <c r="H1892" s="7" t="str">
        <f t="shared" si="89"/>
        <v>Апрель</v>
      </c>
      <c r="I1892" t="s">
        <v>20</v>
      </c>
      <c r="J1892">
        <v>54</v>
      </c>
      <c r="K1892" t="s">
        <v>21</v>
      </c>
      <c r="L1892">
        <v>2</v>
      </c>
      <c r="M1892">
        <v>50</v>
      </c>
      <c r="N1892" s="1">
        <f t="shared" si="90"/>
        <v>100</v>
      </c>
    </row>
    <row r="1893" spans="5:14" x14ac:dyDescent="0.25">
      <c r="E1893">
        <v>335</v>
      </c>
      <c r="F1893" s="7">
        <v>45272</v>
      </c>
      <c r="G1893">
        <f t="shared" si="88"/>
        <v>2023</v>
      </c>
      <c r="H1893" s="7" t="str">
        <f t="shared" si="89"/>
        <v>Декабрь</v>
      </c>
      <c r="I1893" t="s">
        <v>22</v>
      </c>
      <c r="J1893">
        <v>52</v>
      </c>
      <c r="K1893" t="s">
        <v>21</v>
      </c>
      <c r="L1893">
        <v>3</v>
      </c>
      <c r="M1893">
        <v>50</v>
      </c>
      <c r="N1893" s="1">
        <f t="shared" si="90"/>
        <v>150</v>
      </c>
    </row>
    <row r="1894" spans="5:14" x14ac:dyDescent="0.25">
      <c r="E1894">
        <v>352</v>
      </c>
      <c r="F1894" s="7">
        <v>45060</v>
      </c>
      <c r="G1894">
        <f t="shared" si="88"/>
        <v>2023</v>
      </c>
      <c r="H1894" s="7" t="str">
        <f t="shared" si="89"/>
        <v>Май</v>
      </c>
      <c r="I1894" t="s">
        <v>20</v>
      </c>
      <c r="J1894">
        <v>31</v>
      </c>
      <c r="K1894" t="s">
        <v>24</v>
      </c>
      <c r="L1894">
        <v>1</v>
      </c>
      <c r="M1894">
        <v>500</v>
      </c>
      <c r="N1894" s="1">
        <f t="shared" si="90"/>
        <v>500</v>
      </c>
    </row>
    <row r="1895" spans="5:14" x14ac:dyDescent="0.25">
      <c r="E1895">
        <v>627</v>
      </c>
      <c r="F1895" s="7">
        <v>45231</v>
      </c>
      <c r="G1895">
        <f t="shared" si="88"/>
        <v>2023</v>
      </c>
      <c r="H1895" s="7" t="str">
        <f t="shared" si="89"/>
        <v>Ноябрь</v>
      </c>
      <c r="I1895" t="s">
        <v>22</v>
      </c>
      <c r="J1895">
        <v>19</v>
      </c>
      <c r="K1895" t="s">
        <v>21</v>
      </c>
      <c r="L1895">
        <v>4</v>
      </c>
      <c r="M1895">
        <v>50</v>
      </c>
      <c r="N1895" s="1">
        <f t="shared" si="90"/>
        <v>200</v>
      </c>
    </row>
    <row r="1896" spans="5:14" x14ac:dyDescent="0.25">
      <c r="E1896">
        <v>1083</v>
      </c>
      <c r="F1896" s="7">
        <v>45328</v>
      </c>
      <c r="G1896">
        <f t="shared" si="88"/>
        <v>2024</v>
      </c>
      <c r="H1896" s="7" t="str">
        <f t="shared" si="89"/>
        <v>Февраль</v>
      </c>
      <c r="I1896" t="s">
        <v>20</v>
      </c>
      <c r="J1896">
        <v>41</v>
      </c>
      <c r="K1896" t="s">
        <v>23</v>
      </c>
      <c r="L1896">
        <v>7</v>
      </c>
      <c r="M1896">
        <v>219</v>
      </c>
      <c r="N1896" s="1">
        <f t="shared" si="90"/>
        <v>1533</v>
      </c>
    </row>
    <row r="1897" spans="5:14" x14ac:dyDescent="0.25">
      <c r="E1897">
        <v>321</v>
      </c>
      <c r="F1897" s="7">
        <v>44956</v>
      </c>
      <c r="G1897">
        <f t="shared" si="88"/>
        <v>2023</v>
      </c>
      <c r="H1897" s="7" t="str">
        <f t="shared" si="89"/>
        <v>Январь</v>
      </c>
      <c r="I1897" t="s">
        <v>20</v>
      </c>
      <c r="J1897">
        <v>51</v>
      </c>
      <c r="K1897" t="s">
        <v>24</v>
      </c>
      <c r="L1897">
        <v>1</v>
      </c>
      <c r="M1897">
        <v>500</v>
      </c>
      <c r="N1897" s="1">
        <f t="shared" si="90"/>
        <v>500</v>
      </c>
    </row>
    <row r="1898" spans="5:14" x14ac:dyDescent="0.25">
      <c r="E1898">
        <v>3</v>
      </c>
      <c r="F1898" s="7">
        <v>44939</v>
      </c>
      <c r="G1898">
        <f t="shared" si="88"/>
        <v>2023</v>
      </c>
      <c r="H1898" s="7" t="str">
        <f t="shared" si="89"/>
        <v>Январь</v>
      </c>
      <c r="I1898" t="s">
        <v>20</v>
      </c>
      <c r="J1898">
        <v>50</v>
      </c>
      <c r="K1898" t="s">
        <v>24</v>
      </c>
      <c r="L1898">
        <v>1</v>
      </c>
      <c r="M1898">
        <v>30</v>
      </c>
      <c r="N1898" s="1">
        <f t="shared" si="90"/>
        <v>30</v>
      </c>
    </row>
    <row r="1899" spans="5:14" x14ac:dyDescent="0.25">
      <c r="E1899">
        <v>47</v>
      </c>
      <c r="F1899" s="7">
        <v>45236</v>
      </c>
      <c r="G1899">
        <f t="shared" si="88"/>
        <v>2023</v>
      </c>
      <c r="H1899" s="7" t="str">
        <f t="shared" si="89"/>
        <v>Ноябрь</v>
      </c>
      <c r="I1899" t="s">
        <v>22</v>
      </c>
      <c r="J1899">
        <v>40</v>
      </c>
      <c r="K1899" t="s">
        <v>21</v>
      </c>
      <c r="L1899">
        <v>3</v>
      </c>
      <c r="M1899">
        <v>500</v>
      </c>
      <c r="N1899" s="1">
        <f t="shared" si="90"/>
        <v>1500</v>
      </c>
    </row>
    <row r="1900" spans="5:14" x14ac:dyDescent="0.25">
      <c r="E1900">
        <v>898</v>
      </c>
      <c r="F1900" s="7">
        <v>44978</v>
      </c>
      <c r="G1900">
        <f t="shared" si="88"/>
        <v>2023</v>
      </c>
      <c r="H1900" s="7" t="str">
        <f t="shared" si="89"/>
        <v>Февраль</v>
      </c>
      <c r="I1900" t="s">
        <v>20</v>
      </c>
      <c r="J1900">
        <v>21</v>
      </c>
      <c r="K1900" t="s">
        <v>23</v>
      </c>
      <c r="L1900">
        <v>2</v>
      </c>
      <c r="M1900">
        <v>30</v>
      </c>
      <c r="N1900" s="1">
        <f t="shared" si="90"/>
        <v>60</v>
      </c>
    </row>
    <row r="1901" spans="5:14" x14ac:dyDescent="0.25">
      <c r="E1901">
        <v>1960</v>
      </c>
      <c r="F1901" s="7">
        <v>45322</v>
      </c>
      <c r="G1901">
        <f t="shared" si="88"/>
        <v>2024</v>
      </c>
      <c r="H1901" s="7" t="str">
        <f t="shared" si="89"/>
        <v>Январь</v>
      </c>
      <c r="I1901" t="s">
        <v>20</v>
      </c>
      <c r="J1901">
        <v>62</v>
      </c>
      <c r="K1901" t="s">
        <v>23</v>
      </c>
      <c r="L1901">
        <v>1</v>
      </c>
      <c r="M1901">
        <v>309</v>
      </c>
      <c r="N1901" s="1">
        <f t="shared" si="90"/>
        <v>309</v>
      </c>
    </row>
    <row r="1902" spans="5:14" x14ac:dyDescent="0.25">
      <c r="E1902">
        <v>791</v>
      </c>
      <c r="F1902" s="7">
        <v>44962</v>
      </c>
      <c r="G1902">
        <f t="shared" si="88"/>
        <v>2023</v>
      </c>
      <c r="H1902" s="7" t="str">
        <f t="shared" si="89"/>
        <v>Февраль</v>
      </c>
      <c r="I1902" t="s">
        <v>20</v>
      </c>
      <c r="J1902">
        <v>54</v>
      </c>
      <c r="K1902" t="s">
        <v>21</v>
      </c>
      <c r="L1902">
        <v>1</v>
      </c>
      <c r="M1902">
        <v>30</v>
      </c>
      <c r="N1902" s="1">
        <f t="shared" si="90"/>
        <v>30</v>
      </c>
    </row>
    <row r="1903" spans="5:14" x14ac:dyDescent="0.25">
      <c r="E1903">
        <v>1735</v>
      </c>
      <c r="F1903" s="7">
        <v>45625</v>
      </c>
      <c r="G1903">
        <f t="shared" si="88"/>
        <v>2024</v>
      </c>
      <c r="H1903" s="7" t="str">
        <f t="shared" si="89"/>
        <v>Ноябрь</v>
      </c>
      <c r="I1903" t="s">
        <v>20</v>
      </c>
      <c r="J1903">
        <v>18</v>
      </c>
      <c r="K1903" t="s">
        <v>21</v>
      </c>
      <c r="L1903">
        <v>3</v>
      </c>
      <c r="M1903">
        <v>476</v>
      </c>
      <c r="N1903" s="1">
        <f t="shared" si="90"/>
        <v>1428</v>
      </c>
    </row>
    <row r="1904" spans="5:14" x14ac:dyDescent="0.25">
      <c r="E1904">
        <v>1887</v>
      </c>
      <c r="F1904" s="7">
        <v>45387</v>
      </c>
      <c r="G1904">
        <f t="shared" si="88"/>
        <v>2024</v>
      </c>
      <c r="H1904" s="7" t="str">
        <f t="shared" si="89"/>
        <v>Апрель</v>
      </c>
      <c r="I1904" t="s">
        <v>20</v>
      </c>
      <c r="J1904">
        <v>64</v>
      </c>
      <c r="K1904" t="s">
        <v>24</v>
      </c>
      <c r="L1904">
        <v>7</v>
      </c>
      <c r="M1904">
        <v>252</v>
      </c>
      <c r="N1904" s="1">
        <f t="shared" si="90"/>
        <v>1764</v>
      </c>
    </row>
    <row r="1905" spans="5:14" x14ac:dyDescent="0.25">
      <c r="E1905">
        <v>921</v>
      </c>
      <c r="F1905" s="7">
        <v>45072</v>
      </c>
      <c r="G1905">
        <f t="shared" si="88"/>
        <v>2023</v>
      </c>
      <c r="H1905" s="7" t="str">
        <f t="shared" si="89"/>
        <v>Май</v>
      </c>
      <c r="I1905" t="s">
        <v>20</v>
      </c>
      <c r="J1905">
        <v>32</v>
      </c>
      <c r="K1905" t="s">
        <v>21</v>
      </c>
      <c r="L1905">
        <v>3</v>
      </c>
      <c r="M1905">
        <v>300</v>
      </c>
      <c r="N1905" s="1">
        <f t="shared" si="90"/>
        <v>900</v>
      </c>
    </row>
    <row r="1906" spans="5:14" x14ac:dyDescent="0.25">
      <c r="E1906">
        <v>1882</v>
      </c>
      <c r="F1906" s="7">
        <v>45391</v>
      </c>
      <c r="G1906">
        <f t="shared" si="88"/>
        <v>2024</v>
      </c>
      <c r="H1906" s="7" t="str">
        <f t="shared" si="89"/>
        <v>Апрель</v>
      </c>
      <c r="I1906" t="s">
        <v>20</v>
      </c>
      <c r="J1906">
        <v>25</v>
      </c>
      <c r="K1906" t="s">
        <v>24</v>
      </c>
      <c r="L1906">
        <v>1</v>
      </c>
      <c r="M1906">
        <v>308</v>
      </c>
      <c r="N1906" s="1">
        <f t="shared" si="90"/>
        <v>308</v>
      </c>
    </row>
    <row r="1907" spans="5:14" x14ac:dyDescent="0.25">
      <c r="E1907">
        <v>18</v>
      </c>
      <c r="F1907" s="7">
        <v>45046</v>
      </c>
      <c r="G1907">
        <f t="shared" si="88"/>
        <v>2023</v>
      </c>
      <c r="H1907" s="7" t="str">
        <f t="shared" si="89"/>
        <v>Апрель</v>
      </c>
      <c r="I1907" t="s">
        <v>22</v>
      </c>
      <c r="J1907">
        <v>47</v>
      </c>
      <c r="K1907" t="s">
        <v>24</v>
      </c>
      <c r="L1907">
        <v>2</v>
      </c>
      <c r="M1907">
        <v>25</v>
      </c>
      <c r="N1907" s="1">
        <f t="shared" si="90"/>
        <v>50</v>
      </c>
    </row>
    <row r="1908" spans="5:14" x14ac:dyDescent="0.25">
      <c r="E1908">
        <v>1855</v>
      </c>
      <c r="F1908" s="7">
        <v>45522</v>
      </c>
      <c r="G1908">
        <f t="shared" si="88"/>
        <v>2024</v>
      </c>
      <c r="H1908" s="7" t="str">
        <f t="shared" si="89"/>
        <v>Август</v>
      </c>
      <c r="I1908" t="s">
        <v>22</v>
      </c>
      <c r="J1908">
        <v>29</v>
      </c>
      <c r="K1908" t="s">
        <v>24</v>
      </c>
      <c r="L1908">
        <v>4</v>
      </c>
      <c r="M1908">
        <v>119</v>
      </c>
      <c r="N1908" s="1">
        <f t="shared" si="90"/>
        <v>476</v>
      </c>
    </row>
    <row r="1909" spans="5:14" x14ac:dyDescent="0.25">
      <c r="E1909">
        <v>1432</v>
      </c>
      <c r="F1909" s="7">
        <v>45646</v>
      </c>
      <c r="G1909">
        <f t="shared" si="88"/>
        <v>2024</v>
      </c>
      <c r="H1909" s="7" t="str">
        <f t="shared" si="89"/>
        <v>Декабрь</v>
      </c>
      <c r="I1909" t="s">
        <v>22</v>
      </c>
      <c r="J1909">
        <v>46</v>
      </c>
      <c r="K1909" t="s">
        <v>21</v>
      </c>
      <c r="L1909">
        <v>6</v>
      </c>
      <c r="M1909">
        <v>500</v>
      </c>
      <c r="N1909" s="1">
        <f t="shared" si="90"/>
        <v>3000</v>
      </c>
    </row>
    <row r="1910" spans="5:14" x14ac:dyDescent="0.25">
      <c r="E1910">
        <v>1727</v>
      </c>
      <c r="F1910" s="7">
        <v>45422</v>
      </c>
      <c r="G1910">
        <f t="shared" si="88"/>
        <v>2024</v>
      </c>
      <c r="H1910" s="7" t="str">
        <f t="shared" si="89"/>
        <v>Май</v>
      </c>
      <c r="I1910" t="s">
        <v>20</v>
      </c>
      <c r="J1910">
        <v>32</v>
      </c>
      <c r="K1910" t="s">
        <v>23</v>
      </c>
      <c r="L1910">
        <v>2</v>
      </c>
      <c r="M1910">
        <v>76</v>
      </c>
      <c r="N1910" s="1">
        <f t="shared" si="90"/>
        <v>152</v>
      </c>
    </row>
    <row r="1911" spans="5:14" x14ac:dyDescent="0.25">
      <c r="E1911">
        <v>1399</v>
      </c>
      <c r="F1911" s="7">
        <v>45372</v>
      </c>
      <c r="G1911">
        <f t="shared" si="88"/>
        <v>2024</v>
      </c>
      <c r="H1911" s="7" t="str">
        <f t="shared" si="89"/>
        <v>Март</v>
      </c>
      <c r="I1911" t="s">
        <v>22</v>
      </c>
      <c r="J1911">
        <v>42</v>
      </c>
      <c r="K1911" t="s">
        <v>23</v>
      </c>
      <c r="L1911">
        <v>1</v>
      </c>
      <c r="M1911">
        <v>206</v>
      </c>
      <c r="N1911" s="1">
        <f t="shared" si="90"/>
        <v>206</v>
      </c>
    </row>
    <row r="1912" spans="5:14" x14ac:dyDescent="0.25">
      <c r="E1912">
        <v>1822</v>
      </c>
      <c r="F1912" s="7">
        <v>45584</v>
      </c>
      <c r="G1912">
        <f t="shared" si="88"/>
        <v>2024</v>
      </c>
      <c r="H1912" s="7" t="str">
        <f t="shared" si="89"/>
        <v>Октябрь</v>
      </c>
      <c r="I1912" t="s">
        <v>22</v>
      </c>
      <c r="J1912">
        <v>24</v>
      </c>
      <c r="K1912" t="s">
        <v>23</v>
      </c>
      <c r="L1912">
        <v>4</v>
      </c>
      <c r="M1912">
        <v>176</v>
      </c>
      <c r="N1912" s="1">
        <f t="shared" si="90"/>
        <v>704</v>
      </c>
    </row>
    <row r="1913" spans="5:14" x14ac:dyDescent="0.25">
      <c r="E1913">
        <v>1915</v>
      </c>
      <c r="F1913" s="7">
        <v>45544</v>
      </c>
      <c r="G1913">
        <f t="shared" si="88"/>
        <v>2024</v>
      </c>
      <c r="H1913" s="7" t="str">
        <f t="shared" si="89"/>
        <v>Сентябрь</v>
      </c>
      <c r="I1913" t="s">
        <v>22</v>
      </c>
      <c r="J1913">
        <v>46</v>
      </c>
      <c r="K1913" t="s">
        <v>21</v>
      </c>
      <c r="L1913">
        <v>6</v>
      </c>
      <c r="M1913">
        <v>36</v>
      </c>
      <c r="N1913" s="1">
        <f t="shared" si="90"/>
        <v>216</v>
      </c>
    </row>
    <row r="1914" spans="5:14" x14ac:dyDescent="0.25">
      <c r="E1914">
        <v>1076</v>
      </c>
      <c r="F1914" s="7">
        <v>45474</v>
      </c>
      <c r="G1914">
        <f t="shared" si="88"/>
        <v>2024</v>
      </c>
      <c r="H1914" s="7" t="str">
        <f t="shared" si="89"/>
        <v>Июль</v>
      </c>
      <c r="I1914" t="s">
        <v>22</v>
      </c>
      <c r="J1914">
        <v>32</v>
      </c>
      <c r="K1914" t="s">
        <v>23</v>
      </c>
      <c r="L1914">
        <v>6</v>
      </c>
      <c r="M1914">
        <v>479</v>
      </c>
      <c r="N1914" s="1">
        <f t="shared" si="90"/>
        <v>2874</v>
      </c>
    </row>
    <row r="1915" spans="5:14" x14ac:dyDescent="0.25">
      <c r="E1915">
        <v>337</v>
      </c>
      <c r="F1915" s="7">
        <v>45133</v>
      </c>
      <c r="G1915">
        <f t="shared" si="88"/>
        <v>2023</v>
      </c>
      <c r="H1915" s="7" t="str">
        <f t="shared" si="89"/>
        <v>Июль</v>
      </c>
      <c r="I1915" t="s">
        <v>20</v>
      </c>
      <c r="J1915">
        <v>54</v>
      </c>
      <c r="K1915" t="s">
        <v>21</v>
      </c>
      <c r="L1915">
        <v>2</v>
      </c>
      <c r="M1915">
        <v>50</v>
      </c>
      <c r="N1915" s="1">
        <f t="shared" si="90"/>
        <v>100</v>
      </c>
    </row>
    <row r="1916" spans="5:14" x14ac:dyDescent="0.25">
      <c r="E1916">
        <v>959</v>
      </c>
      <c r="F1916" s="7">
        <v>45083</v>
      </c>
      <c r="G1916">
        <f t="shared" si="88"/>
        <v>2023</v>
      </c>
      <c r="H1916" s="7" t="str">
        <f t="shared" si="89"/>
        <v>Июнь</v>
      </c>
      <c r="I1916" t="s">
        <v>20</v>
      </c>
      <c r="J1916">
        <v>53</v>
      </c>
      <c r="K1916" t="s">
        <v>21</v>
      </c>
      <c r="L1916">
        <v>4</v>
      </c>
      <c r="M1916">
        <v>50</v>
      </c>
      <c r="N1916" s="1">
        <f t="shared" si="90"/>
        <v>200</v>
      </c>
    </row>
    <row r="1917" spans="5:14" x14ac:dyDescent="0.25">
      <c r="E1917">
        <v>999</v>
      </c>
      <c r="F1917" s="7">
        <v>45620</v>
      </c>
      <c r="G1917">
        <f t="shared" si="88"/>
        <v>2024</v>
      </c>
      <c r="H1917" s="7" t="str">
        <f t="shared" si="89"/>
        <v>Ноябрь</v>
      </c>
      <c r="I1917" t="s">
        <v>20</v>
      </c>
      <c r="J1917">
        <v>60</v>
      </c>
      <c r="K1917" t="s">
        <v>21</v>
      </c>
      <c r="L1917">
        <v>3</v>
      </c>
      <c r="M1917">
        <v>492</v>
      </c>
      <c r="N1917" s="1">
        <f t="shared" si="90"/>
        <v>1476</v>
      </c>
    </row>
    <row r="1918" spans="5:14" x14ac:dyDescent="0.25">
      <c r="E1918">
        <v>1877</v>
      </c>
      <c r="F1918" s="7">
        <v>45431</v>
      </c>
      <c r="G1918">
        <f t="shared" si="88"/>
        <v>2024</v>
      </c>
      <c r="H1918" s="7" t="str">
        <f t="shared" si="89"/>
        <v>Май</v>
      </c>
      <c r="I1918" t="s">
        <v>20</v>
      </c>
      <c r="J1918">
        <v>22</v>
      </c>
      <c r="K1918" t="s">
        <v>24</v>
      </c>
      <c r="L1918">
        <v>1</v>
      </c>
      <c r="M1918">
        <v>446</v>
      </c>
      <c r="N1918" s="1">
        <f t="shared" si="90"/>
        <v>446</v>
      </c>
    </row>
    <row r="1919" spans="5:14" x14ac:dyDescent="0.25">
      <c r="E1919">
        <v>1464</v>
      </c>
      <c r="F1919" s="7">
        <v>45503</v>
      </c>
      <c r="G1919">
        <f t="shared" si="88"/>
        <v>2024</v>
      </c>
      <c r="H1919" s="7" t="str">
        <f t="shared" si="89"/>
        <v>Июль</v>
      </c>
      <c r="I1919" t="s">
        <v>22</v>
      </c>
      <c r="J1919">
        <v>34</v>
      </c>
      <c r="K1919" t="s">
        <v>24</v>
      </c>
      <c r="L1919">
        <v>2</v>
      </c>
      <c r="M1919">
        <v>206</v>
      </c>
      <c r="N1919" s="1">
        <f t="shared" si="90"/>
        <v>412</v>
      </c>
    </row>
    <row r="1920" spans="5:14" x14ac:dyDescent="0.25">
      <c r="E1920">
        <v>480</v>
      </c>
      <c r="F1920" s="7">
        <v>45083</v>
      </c>
      <c r="G1920">
        <f t="shared" si="88"/>
        <v>2023</v>
      </c>
      <c r="H1920" s="7" t="str">
        <f t="shared" si="89"/>
        <v>Июнь</v>
      </c>
      <c r="I1920" t="s">
        <v>22</v>
      </c>
      <c r="J1920">
        <v>43</v>
      </c>
      <c r="K1920" t="s">
        <v>24</v>
      </c>
      <c r="L1920">
        <v>4</v>
      </c>
      <c r="M1920">
        <v>300</v>
      </c>
      <c r="N1920" s="1">
        <f t="shared" si="90"/>
        <v>1200</v>
      </c>
    </row>
    <row r="1921" spans="5:14" x14ac:dyDescent="0.25">
      <c r="E1921">
        <v>937</v>
      </c>
      <c r="F1921" s="7">
        <v>45278</v>
      </c>
      <c r="G1921">
        <f t="shared" si="88"/>
        <v>2023</v>
      </c>
      <c r="H1921" s="7" t="str">
        <f t="shared" si="89"/>
        <v>Декабрь</v>
      </c>
      <c r="I1921" t="s">
        <v>22</v>
      </c>
      <c r="J1921">
        <v>46</v>
      </c>
      <c r="K1921" t="s">
        <v>24</v>
      </c>
      <c r="L1921">
        <v>1</v>
      </c>
      <c r="M1921">
        <v>300</v>
      </c>
      <c r="N1921" s="1">
        <f t="shared" si="90"/>
        <v>300</v>
      </c>
    </row>
    <row r="1922" spans="5:14" x14ac:dyDescent="0.25">
      <c r="E1922">
        <v>801</v>
      </c>
      <c r="F1922" s="7">
        <v>45252</v>
      </c>
      <c r="G1922">
        <f t="shared" si="88"/>
        <v>2023</v>
      </c>
      <c r="H1922" s="7" t="str">
        <f t="shared" si="89"/>
        <v>Ноябрь</v>
      </c>
      <c r="I1922" t="s">
        <v>20</v>
      </c>
      <c r="J1922">
        <v>39</v>
      </c>
      <c r="K1922" t="s">
        <v>23</v>
      </c>
      <c r="L1922">
        <v>4</v>
      </c>
      <c r="M1922">
        <v>25</v>
      </c>
      <c r="N1922" s="1">
        <f t="shared" si="90"/>
        <v>100</v>
      </c>
    </row>
    <row r="1923" spans="5:14" x14ac:dyDescent="0.25">
      <c r="E1923">
        <v>280</v>
      </c>
      <c r="F1923" s="7">
        <v>45069</v>
      </c>
      <c r="G1923">
        <f t="shared" si="88"/>
        <v>2023</v>
      </c>
      <c r="H1923" s="7" t="str">
        <f t="shared" si="89"/>
        <v>Май</v>
      </c>
      <c r="I1923" t="s">
        <v>22</v>
      </c>
      <c r="J1923">
        <v>29</v>
      </c>
      <c r="K1923" t="s">
        <v>21</v>
      </c>
      <c r="L1923">
        <v>4</v>
      </c>
      <c r="M1923">
        <v>500</v>
      </c>
      <c r="N1923" s="1">
        <f t="shared" si="90"/>
        <v>2000</v>
      </c>
    </row>
    <row r="1924" spans="5:14" x14ac:dyDescent="0.25">
      <c r="E1924">
        <v>773</v>
      </c>
      <c r="F1924" s="7">
        <v>44965</v>
      </c>
      <c r="G1924">
        <f t="shared" si="88"/>
        <v>2023</v>
      </c>
      <c r="H1924" s="7" t="str">
        <f t="shared" si="89"/>
        <v>Февраль</v>
      </c>
      <c r="I1924" t="s">
        <v>22</v>
      </c>
      <c r="J1924">
        <v>46</v>
      </c>
      <c r="K1924" t="s">
        <v>24</v>
      </c>
      <c r="L1924">
        <v>4</v>
      </c>
      <c r="M1924">
        <v>25</v>
      </c>
      <c r="N1924" s="1">
        <f t="shared" si="90"/>
        <v>100</v>
      </c>
    </row>
    <row r="1925" spans="5:14" x14ac:dyDescent="0.25">
      <c r="E1925">
        <v>1150</v>
      </c>
      <c r="F1925" s="7">
        <v>45350</v>
      </c>
      <c r="G1925">
        <f t="shared" si="88"/>
        <v>2024</v>
      </c>
      <c r="H1925" s="7" t="str">
        <f t="shared" si="89"/>
        <v>Февраль</v>
      </c>
      <c r="I1925" t="s">
        <v>20</v>
      </c>
      <c r="J1925">
        <v>18</v>
      </c>
      <c r="K1925" t="s">
        <v>24</v>
      </c>
      <c r="L1925">
        <v>3</v>
      </c>
      <c r="M1925">
        <v>160</v>
      </c>
      <c r="N1925" s="1">
        <f t="shared" si="90"/>
        <v>480</v>
      </c>
    </row>
    <row r="1926" spans="5:14" x14ac:dyDescent="0.25">
      <c r="E1926">
        <v>1001</v>
      </c>
      <c r="F1926" s="7">
        <v>45304</v>
      </c>
      <c r="G1926">
        <f t="shared" si="88"/>
        <v>2024</v>
      </c>
      <c r="H1926" s="7" t="str">
        <f t="shared" si="89"/>
        <v>Январь</v>
      </c>
      <c r="I1926" t="s">
        <v>20</v>
      </c>
      <c r="J1926">
        <v>19</v>
      </c>
      <c r="K1926" t="s">
        <v>24</v>
      </c>
      <c r="L1926">
        <v>6</v>
      </c>
      <c r="M1926">
        <v>45</v>
      </c>
      <c r="N1926" s="1">
        <f t="shared" si="90"/>
        <v>270</v>
      </c>
    </row>
    <row r="1927" spans="5:14" x14ac:dyDescent="0.25">
      <c r="E1927">
        <v>1303</v>
      </c>
      <c r="F1927" s="7">
        <v>45525</v>
      </c>
      <c r="G1927">
        <f t="shared" si="88"/>
        <v>2024</v>
      </c>
      <c r="H1927" s="7" t="str">
        <f t="shared" si="89"/>
        <v>Август</v>
      </c>
      <c r="I1927" t="s">
        <v>20</v>
      </c>
      <c r="J1927">
        <v>30</v>
      </c>
      <c r="K1927" t="s">
        <v>24</v>
      </c>
      <c r="L1927">
        <v>2</v>
      </c>
      <c r="M1927">
        <v>471</v>
      </c>
      <c r="N1927" s="1">
        <f t="shared" si="90"/>
        <v>942</v>
      </c>
    </row>
    <row r="1928" spans="5:14" x14ac:dyDescent="0.25">
      <c r="E1928">
        <v>310</v>
      </c>
      <c r="F1928" s="7">
        <v>45265</v>
      </c>
      <c r="G1928">
        <f t="shared" si="88"/>
        <v>2023</v>
      </c>
      <c r="H1928" s="7" t="str">
        <f t="shared" si="89"/>
        <v>Декабрь</v>
      </c>
      <c r="I1928" t="s">
        <v>22</v>
      </c>
      <c r="J1928">
        <v>32</v>
      </c>
      <c r="K1928" t="s">
        <v>21</v>
      </c>
      <c r="L1928">
        <v>4</v>
      </c>
      <c r="M1928">
        <v>25</v>
      </c>
      <c r="N1928" s="1">
        <f t="shared" si="90"/>
        <v>100</v>
      </c>
    </row>
    <row r="1929" spans="5:14" x14ac:dyDescent="0.25">
      <c r="E1929">
        <v>344</v>
      </c>
      <c r="F1929" s="7">
        <v>45244</v>
      </c>
      <c r="G1929">
        <f t="shared" si="88"/>
        <v>2023</v>
      </c>
      <c r="H1929" s="7" t="str">
        <f t="shared" si="89"/>
        <v>Ноябрь</v>
      </c>
      <c r="I1929" t="s">
        <v>20</v>
      </c>
      <c r="J1929">
        <v>62</v>
      </c>
      <c r="K1929" t="s">
        <v>24</v>
      </c>
      <c r="L1929">
        <v>1</v>
      </c>
      <c r="M1929">
        <v>30</v>
      </c>
      <c r="N1929" s="1">
        <f t="shared" si="90"/>
        <v>30</v>
      </c>
    </row>
    <row r="1930" spans="5:14" x14ac:dyDescent="0.25">
      <c r="E1930">
        <v>473</v>
      </c>
      <c r="F1930" s="7">
        <v>45122</v>
      </c>
      <c r="G1930">
        <f t="shared" ref="G1930:G1993" si="91">YEAR(F1930)</f>
        <v>2023</v>
      </c>
      <c r="H1930" s="7" t="str">
        <f t="shared" ref="H1930:H1993" si="92">TEXT(F1930,"ММММ")</f>
        <v>Июль</v>
      </c>
      <c r="I1930" t="s">
        <v>22</v>
      </c>
      <c r="J1930">
        <v>26</v>
      </c>
      <c r="K1930" t="s">
        <v>23</v>
      </c>
      <c r="L1930">
        <v>3</v>
      </c>
      <c r="M1930">
        <v>500</v>
      </c>
      <c r="N1930" s="1">
        <f t="shared" ref="N1930:N1993" si="93">L1930*M1930</f>
        <v>1500</v>
      </c>
    </row>
    <row r="1931" spans="5:14" x14ac:dyDescent="0.25">
      <c r="E1931">
        <v>199</v>
      </c>
      <c r="F1931" s="7">
        <v>45264</v>
      </c>
      <c r="G1931">
        <f t="shared" si="91"/>
        <v>2023</v>
      </c>
      <c r="H1931" s="7" t="str">
        <f t="shared" si="92"/>
        <v>Декабрь</v>
      </c>
      <c r="I1931" t="s">
        <v>20</v>
      </c>
      <c r="J1931">
        <v>45</v>
      </c>
      <c r="K1931" t="s">
        <v>21</v>
      </c>
      <c r="L1931">
        <v>3</v>
      </c>
      <c r="M1931">
        <v>500</v>
      </c>
      <c r="N1931" s="1">
        <f t="shared" si="93"/>
        <v>1500</v>
      </c>
    </row>
    <row r="1932" spans="5:14" x14ac:dyDescent="0.25">
      <c r="E1932">
        <v>1760</v>
      </c>
      <c r="F1932" s="7">
        <v>45376</v>
      </c>
      <c r="G1932">
        <f t="shared" si="91"/>
        <v>2024</v>
      </c>
      <c r="H1932" s="7" t="str">
        <f t="shared" si="92"/>
        <v>Март</v>
      </c>
      <c r="I1932" t="s">
        <v>22</v>
      </c>
      <c r="J1932">
        <v>56</v>
      </c>
      <c r="K1932" t="s">
        <v>23</v>
      </c>
      <c r="L1932">
        <v>3</v>
      </c>
      <c r="M1932">
        <v>171</v>
      </c>
      <c r="N1932" s="1">
        <f t="shared" si="93"/>
        <v>513</v>
      </c>
    </row>
    <row r="1933" spans="5:14" x14ac:dyDescent="0.25">
      <c r="E1933">
        <v>1457</v>
      </c>
      <c r="F1933" s="7">
        <v>45414</v>
      </c>
      <c r="G1933">
        <f t="shared" si="91"/>
        <v>2024</v>
      </c>
      <c r="H1933" s="7" t="str">
        <f t="shared" si="92"/>
        <v>Май</v>
      </c>
      <c r="I1933" t="s">
        <v>20</v>
      </c>
      <c r="J1933">
        <v>27</v>
      </c>
      <c r="K1933" t="s">
        <v>21</v>
      </c>
      <c r="L1933">
        <v>4</v>
      </c>
      <c r="M1933">
        <v>216</v>
      </c>
      <c r="N1933" s="1">
        <f t="shared" si="93"/>
        <v>864</v>
      </c>
    </row>
    <row r="1934" spans="5:14" x14ac:dyDescent="0.25">
      <c r="E1934">
        <v>1929</v>
      </c>
      <c r="F1934" s="7">
        <v>45325</v>
      </c>
      <c r="G1934">
        <f t="shared" si="91"/>
        <v>2024</v>
      </c>
      <c r="H1934" s="7" t="str">
        <f t="shared" si="92"/>
        <v>Февраль</v>
      </c>
      <c r="I1934" t="s">
        <v>20</v>
      </c>
      <c r="J1934">
        <v>30</v>
      </c>
      <c r="K1934" t="s">
        <v>21</v>
      </c>
      <c r="L1934">
        <v>7</v>
      </c>
      <c r="M1934">
        <v>224</v>
      </c>
      <c r="N1934" s="1">
        <f t="shared" si="93"/>
        <v>1568</v>
      </c>
    </row>
    <row r="1935" spans="5:14" x14ac:dyDescent="0.25">
      <c r="E1935">
        <v>278</v>
      </c>
      <c r="F1935" s="7">
        <v>45143</v>
      </c>
      <c r="G1935">
        <f t="shared" si="91"/>
        <v>2023</v>
      </c>
      <c r="H1935" s="7" t="str">
        <f t="shared" si="92"/>
        <v>Август</v>
      </c>
      <c r="I1935" t="s">
        <v>20</v>
      </c>
      <c r="J1935">
        <v>50</v>
      </c>
      <c r="K1935" t="s">
        <v>23</v>
      </c>
      <c r="L1935">
        <v>1</v>
      </c>
      <c r="M1935">
        <v>500</v>
      </c>
      <c r="N1935" s="1">
        <f t="shared" si="93"/>
        <v>500</v>
      </c>
    </row>
    <row r="1936" spans="5:14" x14ac:dyDescent="0.25">
      <c r="E1936">
        <v>383</v>
      </c>
      <c r="F1936" s="7">
        <v>45151</v>
      </c>
      <c r="G1936">
        <f t="shared" si="91"/>
        <v>2023</v>
      </c>
      <c r="H1936" s="7" t="str">
        <f t="shared" si="92"/>
        <v>Август</v>
      </c>
      <c r="I1936" t="s">
        <v>20</v>
      </c>
      <c r="J1936">
        <v>55</v>
      </c>
      <c r="K1936" t="s">
        <v>23</v>
      </c>
      <c r="L1936">
        <v>1</v>
      </c>
      <c r="M1936">
        <v>500</v>
      </c>
      <c r="N1936" s="1">
        <f t="shared" si="93"/>
        <v>500</v>
      </c>
    </row>
    <row r="1937" spans="5:14" x14ac:dyDescent="0.25">
      <c r="E1937">
        <v>204</v>
      </c>
      <c r="F1937" s="7">
        <v>45197</v>
      </c>
      <c r="G1937">
        <f t="shared" si="91"/>
        <v>2023</v>
      </c>
      <c r="H1937" s="7" t="str">
        <f t="shared" si="92"/>
        <v>Сентябрь</v>
      </c>
      <c r="I1937" t="s">
        <v>20</v>
      </c>
      <c r="J1937">
        <v>39</v>
      </c>
      <c r="K1937" t="s">
        <v>21</v>
      </c>
      <c r="L1937">
        <v>1</v>
      </c>
      <c r="M1937">
        <v>25</v>
      </c>
      <c r="N1937" s="1">
        <f t="shared" si="93"/>
        <v>25</v>
      </c>
    </row>
    <row r="1938" spans="5:14" x14ac:dyDescent="0.25">
      <c r="E1938">
        <v>1056</v>
      </c>
      <c r="F1938" s="7">
        <v>45609</v>
      </c>
      <c r="G1938">
        <f t="shared" si="91"/>
        <v>2024</v>
      </c>
      <c r="H1938" s="7" t="str">
        <f t="shared" si="92"/>
        <v>Ноябрь</v>
      </c>
      <c r="I1938" t="s">
        <v>20</v>
      </c>
      <c r="J1938">
        <v>33</v>
      </c>
      <c r="K1938" t="s">
        <v>23</v>
      </c>
      <c r="L1938">
        <v>1</v>
      </c>
      <c r="M1938">
        <v>465</v>
      </c>
      <c r="N1938" s="1">
        <f t="shared" si="93"/>
        <v>465</v>
      </c>
    </row>
    <row r="1939" spans="5:14" x14ac:dyDescent="0.25">
      <c r="E1939">
        <v>1952</v>
      </c>
      <c r="F1939" s="7">
        <v>45523</v>
      </c>
      <c r="G1939">
        <f t="shared" si="91"/>
        <v>2024</v>
      </c>
      <c r="H1939" s="7" t="str">
        <f t="shared" si="92"/>
        <v>Август</v>
      </c>
      <c r="I1939" t="s">
        <v>20</v>
      </c>
      <c r="J1939">
        <v>48</v>
      </c>
      <c r="K1939" t="s">
        <v>23</v>
      </c>
      <c r="L1939">
        <v>6</v>
      </c>
      <c r="M1939">
        <v>442</v>
      </c>
      <c r="N1939" s="1">
        <f t="shared" si="93"/>
        <v>2652</v>
      </c>
    </row>
    <row r="1940" spans="5:14" x14ac:dyDescent="0.25">
      <c r="E1940">
        <v>306</v>
      </c>
      <c r="F1940" s="7">
        <v>45073</v>
      </c>
      <c r="G1940">
        <f t="shared" si="91"/>
        <v>2023</v>
      </c>
      <c r="H1940" s="7" t="str">
        <f t="shared" si="92"/>
        <v>Май</v>
      </c>
      <c r="I1940" t="s">
        <v>22</v>
      </c>
      <c r="J1940">
        <v>26</v>
      </c>
      <c r="K1940" t="s">
        <v>24</v>
      </c>
      <c r="L1940">
        <v>2</v>
      </c>
      <c r="M1940">
        <v>25</v>
      </c>
      <c r="N1940" s="1">
        <f t="shared" si="93"/>
        <v>50</v>
      </c>
    </row>
    <row r="1941" spans="5:14" x14ac:dyDescent="0.25">
      <c r="E1941">
        <v>1279</v>
      </c>
      <c r="F1941" s="7">
        <v>45529</v>
      </c>
      <c r="G1941">
        <f t="shared" si="91"/>
        <v>2024</v>
      </c>
      <c r="H1941" s="7" t="str">
        <f t="shared" si="92"/>
        <v>Август</v>
      </c>
      <c r="I1941" t="s">
        <v>22</v>
      </c>
      <c r="J1941">
        <v>25</v>
      </c>
      <c r="K1941" t="s">
        <v>24</v>
      </c>
      <c r="L1941">
        <v>3</v>
      </c>
      <c r="M1941">
        <v>392</v>
      </c>
      <c r="N1941" s="1">
        <f t="shared" si="93"/>
        <v>1176</v>
      </c>
    </row>
    <row r="1942" spans="5:14" x14ac:dyDescent="0.25">
      <c r="E1942">
        <v>673</v>
      </c>
      <c r="F1942" s="7">
        <v>45142</v>
      </c>
      <c r="G1942">
        <f t="shared" si="91"/>
        <v>2023</v>
      </c>
      <c r="H1942" s="7" t="str">
        <f t="shared" si="92"/>
        <v>Август</v>
      </c>
      <c r="I1942" t="s">
        <v>22</v>
      </c>
      <c r="J1942">
        <v>45</v>
      </c>
      <c r="K1942" t="s">
        <v>23</v>
      </c>
      <c r="L1942">
        <v>2</v>
      </c>
      <c r="M1942">
        <v>30</v>
      </c>
      <c r="N1942" s="1">
        <f t="shared" si="93"/>
        <v>60</v>
      </c>
    </row>
    <row r="1943" spans="5:14" x14ac:dyDescent="0.25">
      <c r="E1943">
        <v>1701</v>
      </c>
      <c r="F1943" s="7">
        <v>45358</v>
      </c>
      <c r="G1943">
        <f t="shared" si="91"/>
        <v>2024</v>
      </c>
      <c r="H1943" s="7" t="str">
        <f t="shared" si="92"/>
        <v>Март</v>
      </c>
      <c r="I1943" t="s">
        <v>20</v>
      </c>
      <c r="J1943">
        <v>28</v>
      </c>
      <c r="K1943" t="s">
        <v>24</v>
      </c>
      <c r="L1943">
        <v>6</v>
      </c>
      <c r="M1943">
        <v>462</v>
      </c>
      <c r="N1943" s="1">
        <f t="shared" si="93"/>
        <v>2772</v>
      </c>
    </row>
    <row r="1944" spans="5:14" x14ac:dyDescent="0.25">
      <c r="E1944">
        <v>1783</v>
      </c>
      <c r="F1944" s="7">
        <v>45313</v>
      </c>
      <c r="G1944">
        <f t="shared" si="91"/>
        <v>2024</v>
      </c>
      <c r="H1944" s="7" t="str">
        <f t="shared" si="92"/>
        <v>Январь</v>
      </c>
      <c r="I1944" t="s">
        <v>20</v>
      </c>
      <c r="J1944">
        <v>31</v>
      </c>
      <c r="K1944" t="s">
        <v>24</v>
      </c>
      <c r="L1944">
        <v>5</v>
      </c>
      <c r="M1944">
        <v>325</v>
      </c>
      <c r="N1944" s="1">
        <f t="shared" si="93"/>
        <v>1625</v>
      </c>
    </row>
    <row r="1945" spans="5:14" x14ac:dyDescent="0.25">
      <c r="E1945">
        <v>1408</v>
      </c>
      <c r="F1945" s="7">
        <v>45428</v>
      </c>
      <c r="G1945">
        <f t="shared" si="91"/>
        <v>2024</v>
      </c>
      <c r="H1945" s="7" t="str">
        <f t="shared" si="92"/>
        <v>Май</v>
      </c>
      <c r="I1945" t="s">
        <v>20</v>
      </c>
      <c r="J1945">
        <v>34</v>
      </c>
      <c r="K1945" t="s">
        <v>24</v>
      </c>
      <c r="L1945">
        <v>7</v>
      </c>
      <c r="M1945">
        <v>457</v>
      </c>
      <c r="N1945" s="1">
        <f t="shared" si="93"/>
        <v>3199</v>
      </c>
    </row>
    <row r="1946" spans="5:14" x14ac:dyDescent="0.25">
      <c r="E1946">
        <v>543</v>
      </c>
      <c r="F1946" s="7">
        <v>45283</v>
      </c>
      <c r="G1946">
        <f t="shared" si="91"/>
        <v>2023</v>
      </c>
      <c r="H1946" s="7" t="str">
        <f t="shared" si="92"/>
        <v>Декабрь</v>
      </c>
      <c r="I1946" t="s">
        <v>22</v>
      </c>
      <c r="J1946">
        <v>27</v>
      </c>
      <c r="K1946" t="s">
        <v>24</v>
      </c>
      <c r="L1946">
        <v>1</v>
      </c>
      <c r="M1946">
        <v>25</v>
      </c>
      <c r="N1946" s="1">
        <f t="shared" si="93"/>
        <v>25</v>
      </c>
    </row>
    <row r="1947" spans="5:14" x14ac:dyDescent="0.25">
      <c r="E1947">
        <v>1603</v>
      </c>
      <c r="F1947" s="7">
        <v>45417</v>
      </c>
      <c r="G1947">
        <f t="shared" si="91"/>
        <v>2024</v>
      </c>
      <c r="H1947" s="7" t="str">
        <f t="shared" si="92"/>
        <v>Май</v>
      </c>
      <c r="I1947" t="s">
        <v>20</v>
      </c>
      <c r="J1947">
        <v>27</v>
      </c>
      <c r="K1947" t="s">
        <v>24</v>
      </c>
      <c r="L1947">
        <v>6</v>
      </c>
      <c r="M1947">
        <v>45</v>
      </c>
      <c r="N1947" s="1">
        <f t="shared" si="93"/>
        <v>270</v>
      </c>
    </row>
    <row r="1948" spans="5:14" x14ac:dyDescent="0.25">
      <c r="E1948">
        <v>684</v>
      </c>
      <c r="F1948" s="7">
        <v>45126</v>
      </c>
      <c r="G1948">
        <f t="shared" si="91"/>
        <v>2023</v>
      </c>
      <c r="H1948" s="7" t="str">
        <f t="shared" si="92"/>
        <v>Июль</v>
      </c>
      <c r="I1948" t="s">
        <v>22</v>
      </c>
      <c r="J1948">
        <v>28</v>
      </c>
      <c r="K1948" t="s">
        <v>24</v>
      </c>
      <c r="L1948">
        <v>4</v>
      </c>
      <c r="M1948">
        <v>50</v>
      </c>
      <c r="N1948" s="1">
        <f t="shared" si="93"/>
        <v>200</v>
      </c>
    </row>
    <row r="1949" spans="5:14" x14ac:dyDescent="0.25">
      <c r="E1949">
        <v>1278</v>
      </c>
      <c r="F1949" s="7">
        <v>45435</v>
      </c>
      <c r="G1949">
        <f t="shared" si="91"/>
        <v>2024</v>
      </c>
      <c r="H1949" s="7" t="str">
        <f t="shared" si="92"/>
        <v>Май</v>
      </c>
      <c r="I1949" t="s">
        <v>22</v>
      </c>
      <c r="J1949">
        <v>53</v>
      </c>
      <c r="K1949" t="s">
        <v>21</v>
      </c>
      <c r="L1949">
        <v>7</v>
      </c>
      <c r="M1949">
        <v>301</v>
      </c>
      <c r="N1949" s="1">
        <f t="shared" si="93"/>
        <v>2107</v>
      </c>
    </row>
    <row r="1950" spans="5:14" x14ac:dyDescent="0.25">
      <c r="E1950">
        <v>689</v>
      </c>
      <c r="F1950" s="7">
        <v>45039</v>
      </c>
      <c r="G1950">
        <f t="shared" si="91"/>
        <v>2023</v>
      </c>
      <c r="H1950" s="7" t="str">
        <f t="shared" si="92"/>
        <v>Апрель</v>
      </c>
      <c r="I1950" t="s">
        <v>22</v>
      </c>
      <c r="J1950">
        <v>51</v>
      </c>
      <c r="K1950" t="s">
        <v>23</v>
      </c>
      <c r="L1950">
        <v>3</v>
      </c>
      <c r="M1950">
        <v>30</v>
      </c>
      <c r="N1950" s="1">
        <f t="shared" si="93"/>
        <v>90</v>
      </c>
    </row>
    <row r="1951" spans="5:14" x14ac:dyDescent="0.25">
      <c r="E1951">
        <v>1388</v>
      </c>
      <c r="F1951" s="7">
        <v>45296</v>
      </c>
      <c r="G1951">
        <f t="shared" si="91"/>
        <v>2024</v>
      </c>
      <c r="H1951" s="7" t="str">
        <f t="shared" si="92"/>
        <v>Январь</v>
      </c>
      <c r="I1951" t="s">
        <v>20</v>
      </c>
      <c r="J1951">
        <v>25</v>
      </c>
      <c r="K1951" t="s">
        <v>21</v>
      </c>
      <c r="L1951">
        <v>5</v>
      </c>
      <c r="M1951">
        <v>306</v>
      </c>
      <c r="N1951" s="1">
        <f t="shared" si="93"/>
        <v>1530</v>
      </c>
    </row>
    <row r="1952" spans="5:14" x14ac:dyDescent="0.25">
      <c r="E1952">
        <v>1819</v>
      </c>
      <c r="F1952" s="7">
        <v>45523</v>
      </c>
      <c r="G1952">
        <f t="shared" si="91"/>
        <v>2024</v>
      </c>
      <c r="H1952" s="7" t="str">
        <f t="shared" si="92"/>
        <v>Август</v>
      </c>
      <c r="I1952" t="s">
        <v>22</v>
      </c>
      <c r="J1952">
        <v>32</v>
      </c>
      <c r="K1952" t="s">
        <v>24</v>
      </c>
      <c r="L1952">
        <v>3</v>
      </c>
      <c r="M1952">
        <v>241</v>
      </c>
      <c r="N1952" s="1">
        <f t="shared" si="93"/>
        <v>723</v>
      </c>
    </row>
    <row r="1953" spans="5:14" x14ac:dyDescent="0.25">
      <c r="E1953">
        <v>879</v>
      </c>
      <c r="F1953" s="7">
        <v>45065</v>
      </c>
      <c r="G1953">
        <f t="shared" si="91"/>
        <v>2023</v>
      </c>
      <c r="H1953" s="7" t="str">
        <f t="shared" si="92"/>
        <v>Май</v>
      </c>
      <c r="I1953" t="s">
        <v>20</v>
      </c>
      <c r="J1953">
        <v>22</v>
      </c>
      <c r="K1953" t="s">
        <v>24</v>
      </c>
      <c r="L1953">
        <v>1</v>
      </c>
      <c r="M1953">
        <v>300</v>
      </c>
      <c r="N1953" s="1">
        <f t="shared" si="93"/>
        <v>300</v>
      </c>
    </row>
    <row r="1954" spans="5:14" x14ac:dyDescent="0.25">
      <c r="E1954">
        <v>587</v>
      </c>
      <c r="F1954" s="7">
        <v>45042</v>
      </c>
      <c r="G1954">
        <f t="shared" si="91"/>
        <v>2023</v>
      </c>
      <c r="H1954" s="7" t="str">
        <f t="shared" si="92"/>
        <v>Апрель</v>
      </c>
      <c r="I1954" t="s">
        <v>20</v>
      </c>
      <c r="J1954">
        <v>38</v>
      </c>
      <c r="K1954" t="s">
        <v>24</v>
      </c>
      <c r="L1954">
        <v>2</v>
      </c>
      <c r="M1954">
        <v>30</v>
      </c>
      <c r="N1954" s="1">
        <f t="shared" si="93"/>
        <v>60</v>
      </c>
    </row>
    <row r="1955" spans="5:14" x14ac:dyDescent="0.25">
      <c r="E1955">
        <v>1532</v>
      </c>
      <c r="F1955" s="7">
        <v>45632</v>
      </c>
      <c r="G1955">
        <f t="shared" si="91"/>
        <v>2024</v>
      </c>
      <c r="H1955" s="7" t="str">
        <f t="shared" si="92"/>
        <v>Декабрь</v>
      </c>
      <c r="I1955" t="s">
        <v>20</v>
      </c>
      <c r="J1955">
        <v>42</v>
      </c>
      <c r="K1955" t="s">
        <v>21</v>
      </c>
      <c r="L1955">
        <v>2</v>
      </c>
      <c r="M1955">
        <v>408</v>
      </c>
      <c r="N1955" s="1">
        <f t="shared" si="93"/>
        <v>816</v>
      </c>
    </row>
    <row r="1956" spans="5:14" x14ac:dyDescent="0.25">
      <c r="E1956">
        <v>338</v>
      </c>
      <c r="F1956" s="7">
        <v>44988</v>
      </c>
      <c r="G1956">
        <f t="shared" si="91"/>
        <v>2023</v>
      </c>
      <c r="H1956" s="7" t="str">
        <f t="shared" si="92"/>
        <v>Март</v>
      </c>
      <c r="I1956" t="s">
        <v>22</v>
      </c>
      <c r="J1956">
        <v>22</v>
      </c>
      <c r="K1956" t="s">
        <v>24</v>
      </c>
      <c r="L1956">
        <v>2</v>
      </c>
      <c r="M1956">
        <v>25</v>
      </c>
      <c r="N1956" s="1">
        <f t="shared" si="93"/>
        <v>50</v>
      </c>
    </row>
    <row r="1957" spans="5:14" x14ac:dyDescent="0.25">
      <c r="E1957">
        <v>1562</v>
      </c>
      <c r="F1957" s="7">
        <v>45603</v>
      </c>
      <c r="G1957">
        <f t="shared" si="91"/>
        <v>2024</v>
      </c>
      <c r="H1957" s="7" t="str">
        <f t="shared" si="92"/>
        <v>Ноябрь</v>
      </c>
      <c r="I1957" t="s">
        <v>22</v>
      </c>
      <c r="J1957">
        <v>62</v>
      </c>
      <c r="K1957" t="s">
        <v>21</v>
      </c>
      <c r="L1957">
        <v>7</v>
      </c>
      <c r="M1957">
        <v>194</v>
      </c>
      <c r="N1957" s="1">
        <f t="shared" si="93"/>
        <v>1358</v>
      </c>
    </row>
    <row r="1958" spans="5:14" x14ac:dyDescent="0.25">
      <c r="E1958">
        <v>1757</v>
      </c>
      <c r="F1958" s="7">
        <v>45603</v>
      </c>
      <c r="G1958">
        <f t="shared" si="91"/>
        <v>2024</v>
      </c>
      <c r="H1958" s="7" t="str">
        <f t="shared" si="92"/>
        <v>Ноябрь</v>
      </c>
      <c r="I1958" t="s">
        <v>22</v>
      </c>
      <c r="J1958">
        <v>27</v>
      </c>
      <c r="K1958" t="s">
        <v>23</v>
      </c>
      <c r="L1958">
        <v>3</v>
      </c>
      <c r="M1958">
        <v>240</v>
      </c>
      <c r="N1958" s="1">
        <f t="shared" si="93"/>
        <v>720</v>
      </c>
    </row>
    <row r="1959" spans="5:14" x14ac:dyDescent="0.25">
      <c r="E1959">
        <v>1014</v>
      </c>
      <c r="F1959" s="7">
        <v>45339</v>
      </c>
      <c r="G1959">
        <f t="shared" si="91"/>
        <v>2024</v>
      </c>
      <c r="H1959" s="7" t="str">
        <f t="shared" si="92"/>
        <v>Февраль</v>
      </c>
      <c r="I1959" t="s">
        <v>20</v>
      </c>
      <c r="J1959">
        <v>57</v>
      </c>
      <c r="K1959" t="s">
        <v>23</v>
      </c>
      <c r="L1959">
        <v>7</v>
      </c>
      <c r="M1959">
        <v>85</v>
      </c>
      <c r="N1959" s="1">
        <f t="shared" si="93"/>
        <v>595</v>
      </c>
    </row>
    <row r="1960" spans="5:14" x14ac:dyDescent="0.25">
      <c r="E1960">
        <v>1660</v>
      </c>
      <c r="F1960" s="7">
        <v>45654</v>
      </c>
      <c r="G1960">
        <f t="shared" si="91"/>
        <v>2024</v>
      </c>
      <c r="H1960" s="7" t="str">
        <f t="shared" si="92"/>
        <v>Декабрь</v>
      </c>
      <c r="I1960" t="s">
        <v>22</v>
      </c>
      <c r="J1960">
        <v>46</v>
      </c>
      <c r="K1960" t="s">
        <v>23</v>
      </c>
      <c r="L1960">
        <v>2</v>
      </c>
      <c r="M1960">
        <v>264</v>
      </c>
      <c r="N1960" s="1">
        <f t="shared" si="93"/>
        <v>528</v>
      </c>
    </row>
    <row r="1961" spans="5:14" x14ac:dyDescent="0.25">
      <c r="E1961">
        <v>551</v>
      </c>
      <c r="F1961" s="7">
        <v>45273</v>
      </c>
      <c r="G1961">
        <f t="shared" si="91"/>
        <v>2023</v>
      </c>
      <c r="H1961" s="7" t="str">
        <f t="shared" si="92"/>
        <v>Декабрь</v>
      </c>
      <c r="I1961" t="s">
        <v>22</v>
      </c>
      <c r="J1961">
        <v>49</v>
      </c>
      <c r="K1961" t="s">
        <v>24</v>
      </c>
      <c r="L1961">
        <v>3</v>
      </c>
      <c r="M1961">
        <v>25</v>
      </c>
      <c r="N1961" s="1">
        <f t="shared" si="93"/>
        <v>75</v>
      </c>
    </row>
    <row r="1962" spans="5:14" x14ac:dyDescent="0.25">
      <c r="E1962">
        <v>1103</v>
      </c>
      <c r="F1962" s="7">
        <v>45498</v>
      </c>
      <c r="G1962">
        <f t="shared" si="91"/>
        <v>2024</v>
      </c>
      <c r="H1962" s="7" t="str">
        <f t="shared" si="92"/>
        <v>Июль</v>
      </c>
      <c r="I1962" t="s">
        <v>22</v>
      </c>
      <c r="J1962">
        <v>21</v>
      </c>
      <c r="K1962" t="s">
        <v>24</v>
      </c>
      <c r="L1962">
        <v>1</v>
      </c>
      <c r="M1962">
        <v>347</v>
      </c>
      <c r="N1962" s="1">
        <f t="shared" si="93"/>
        <v>347</v>
      </c>
    </row>
    <row r="1963" spans="5:14" x14ac:dyDescent="0.25">
      <c r="E1963">
        <v>413</v>
      </c>
      <c r="F1963" s="7">
        <v>45055</v>
      </c>
      <c r="G1963">
        <f t="shared" si="91"/>
        <v>2023</v>
      </c>
      <c r="H1963" s="7" t="str">
        <f t="shared" si="92"/>
        <v>Май</v>
      </c>
      <c r="I1963" t="s">
        <v>20</v>
      </c>
      <c r="J1963">
        <v>48</v>
      </c>
      <c r="K1963" t="s">
        <v>21</v>
      </c>
      <c r="L1963">
        <v>4</v>
      </c>
      <c r="M1963">
        <v>25</v>
      </c>
      <c r="N1963" s="1">
        <f t="shared" si="93"/>
        <v>100</v>
      </c>
    </row>
    <row r="1964" spans="5:14" x14ac:dyDescent="0.25">
      <c r="E1964">
        <v>893</v>
      </c>
      <c r="F1964" s="7">
        <v>45068</v>
      </c>
      <c r="G1964">
        <f t="shared" si="91"/>
        <v>2023</v>
      </c>
      <c r="H1964" s="7" t="str">
        <f t="shared" si="92"/>
        <v>Май</v>
      </c>
      <c r="I1964" t="s">
        <v>22</v>
      </c>
      <c r="J1964">
        <v>55</v>
      </c>
      <c r="K1964" t="s">
        <v>23</v>
      </c>
      <c r="L1964">
        <v>4</v>
      </c>
      <c r="M1964">
        <v>30</v>
      </c>
      <c r="N1964" s="1">
        <f t="shared" si="93"/>
        <v>120</v>
      </c>
    </row>
    <row r="1965" spans="5:14" x14ac:dyDescent="0.25">
      <c r="E1965">
        <v>972</v>
      </c>
      <c r="F1965" s="7">
        <v>45049</v>
      </c>
      <c r="G1965">
        <f t="shared" si="91"/>
        <v>2023</v>
      </c>
      <c r="H1965" s="7" t="str">
        <f t="shared" si="92"/>
        <v>Май</v>
      </c>
      <c r="I1965" t="s">
        <v>20</v>
      </c>
      <c r="J1965">
        <v>47</v>
      </c>
      <c r="K1965" t="s">
        <v>21</v>
      </c>
      <c r="L1965">
        <v>1</v>
      </c>
      <c r="M1965">
        <v>30</v>
      </c>
      <c r="N1965" s="1">
        <f t="shared" si="93"/>
        <v>30</v>
      </c>
    </row>
    <row r="1966" spans="5:14" x14ac:dyDescent="0.25">
      <c r="E1966">
        <v>1631</v>
      </c>
      <c r="F1966" s="7">
        <v>45573</v>
      </c>
      <c r="G1966">
        <f t="shared" si="91"/>
        <v>2024</v>
      </c>
      <c r="H1966" s="7" t="str">
        <f t="shared" si="92"/>
        <v>Октябрь</v>
      </c>
      <c r="I1966" t="s">
        <v>20</v>
      </c>
      <c r="J1966">
        <v>22</v>
      </c>
      <c r="K1966" t="s">
        <v>24</v>
      </c>
      <c r="L1966">
        <v>2</v>
      </c>
      <c r="M1966">
        <v>244</v>
      </c>
      <c r="N1966" s="1">
        <f t="shared" si="93"/>
        <v>488</v>
      </c>
    </row>
    <row r="1967" spans="5:14" x14ac:dyDescent="0.25">
      <c r="E1967">
        <v>274</v>
      </c>
      <c r="F1967" s="7">
        <v>45024</v>
      </c>
      <c r="G1967">
        <f t="shared" si="91"/>
        <v>2023</v>
      </c>
      <c r="H1967" s="7" t="str">
        <f t="shared" si="92"/>
        <v>Апрель</v>
      </c>
      <c r="I1967" t="s">
        <v>20</v>
      </c>
      <c r="J1967">
        <v>43</v>
      </c>
      <c r="K1967" t="s">
        <v>23</v>
      </c>
      <c r="L1967">
        <v>2</v>
      </c>
      <c r="M1967">
        <v>500</v>
      </c>
      <c r="N1967" s="1">
        <f t="shared" si="93"/>
        <v>1000</v>
      </c>
    </row>
    <row r="1968" spans="5:14" x14ac:dyDescent="0.25">
      <c r="E1968">
        <v>575</v>
      </c>
      <c r="F1968" s="7">
        <v>45264</v>
      </c>
      <c r="G1968">
        <f t="shared" si="91"/>
        <v>2023</v>
      </c>
      <c r="H1968" s="7" t="str">
        <f t="shared" si="92"/>
        <v>Декабрь</v>
      </c>
      <c r="I1968" t="s">
        <v>22</v>
      </c>
      <c r="J1968">
        <v>33</v>
      </c>
      <c r="K1968" t="s">
        <v>21</v>
      </c>
      <c r="L1968">
        <v>3</v>
      </c>
      <c r="M1968">
        <v>50</v>
      </c>
      <c r="N1968" s="1">
        <f t="shared" si="93"/>
        <v>150</v>
      </c>
    </row>
    <row r="1969" spans="5:14" x14ac:dyDescent="0.25">
      <c r="E1969">
        <v>631</v>
      </c>
      <c r="F1969" s="7">
        <v>45185</v>
      </c>
      <c r="G1969">
        <f t="shared" si="91"/>
        <v>2023</v>
      </c>
      <c r="H1969" s="7" t="str">
        <f t="shared" si="92"/>
        <v>Сентябрь</v>
      </c>
      <c r="I1969" t="s">
        <v>22</v>
      </c>
      <c r="J1969">
        <v>26</v>
      </c>
      <c r="K1969" t="s">
        <v>24</v>
      </c>
      <c r="L1969">
        <v>4</v>
      </c>
      <c r="M1969">
        <v>25</v>
      </c>
      <c r="N1969" s="1">
        <f t="shared" si="93"/>
        <v>100</v>
      </c>
    </row>
    <row r="1970" spans="5:14" x14ac:dyDescent="0.25">
      <c r="E1970">
        <v>302</v>
      </c>
      <c r="F1970" s="7">
        <v>44928</v>
      </c>
      <c r="G1970">
        <f t="shared" si="91"/>
        <v>2023</v>
      </c>
      <c r="H1970" s="7" t="str">
        <f t="shared" si="92"/>
        <v>Январь</v>
      </c>
      <c r="I1970" t="s">
        <v>20</v>
      </c>
      <c r="J1970">
        <v>19</v>
      </c>
      <c r="K1970" t="s">
        <v>24</v>
      </c>
      <c r="L1970">
        <v>3</v>
      </c>
      <c r="M1970">
        <v>30</v>
      </c>
      <c r="N1970" s="1">
        <f t="shared" si="93"/>
        <v>90</v>
      </c>
    </row>
    <row r="1971" spans="5:14" x14ac:dyDescent="0.25">
      <c r="E1971">
        <v>163</v>
      </c>
      <c r="F1971" s="7">
        <v>44928</v>
      </c>
      <c r="G1971">
        <f t="shared" si="91"/>
        <v>2023</v>
      </c>
      <c r="H1971" s="7" t="str">
        <f t="shared" si="92"/>
        <v>Январь</v>
      </c>
      <c r="I1971" t="s">
        <v>22</v>
      </c>
      <c r="J1971">
        <v>64</v>
      </c>
      <c r="K1971" t="s">
        <v>23</v>
      </c>
      <c r="L1971">
        <v>3</v>
      </c>
      <c r="M1971">
        <v>50</v>
      </c>
      <c r="N1971" s="1">
        <f t="shared" si="93"/>
        <v>150</v>
      </c>
    </row>
    <row r="1972" spans="5:14" x14ac:dyDescent="0.25">
      <c r="E1972">
        <v>1028</v>
      </c>
      <c r="F1972" s="7">
        <v>45594</v>
      </c>
      <c r="G1972">
        <f t="shared" si="91"/>
        <v>2024</v>
      </c>
      <c r="H1972" s="7" t="str">
        <f t="shared" si="92"/>
        <v>Октябрь</v>
      </c>
      <c r="I1972" t="s">
        <v>22</v>
      </c>
      <c r="J1972">
        <v>27</v>
      </c>
      <c r="K1972" t="s">
        <v>21</v>
      </c>
      <c r="L1972">
        <v>2</v>
      </c>
      <c r="M1972">
        <v>364</v>
      </c>
      <c r="N1972" s="1">
        <f t="shared" si="93"/>
        <v>728</v>
      </c>
    </row>
    <row r="1973" spans="5:14" x14ac:dyDescent="0.25">
      <c r="E1973">
        <v>569</v>
      </c>
      <c r="F1973" s="7">
        <v>45153</v>
      </c>
      <c r="G1973">
        <f t="shared" si="91"/>
        <v>2023</v>
      </c>
      <c r="H1973" s="7" t="str">
        <f t="shared" si="92"/>
        <v>Август</v>
      </c>
      <c r="I1973" t="s">
        <v>20</v>
      </c>
      <c r="J1973">
        <v>49</v>
      </c>
      <c r="K1973" t="s">
        <v>23</v>
      </c>
      <c r="L1973">
        <v>1</v>
      </c>
      <c r="M1973">
        <v>500</v>
      </c>
      <c r="N1973" s="1">
        <f t="shared" si="93"/>
        <v>500</v>
      </c>
    </row>
    <row r="1974" spans="5:14" x14ac:dyDescent="0.25">
      <c r="E1974">
        <v>922</v>
      </c>
      <c r="F1974" s="7">
        <v>45167</v>
      </c>
      <c r="G1974">
        <f t="shared" si="91"/>
        <v>2023</v>
      </c>
      <c r="H1974" s="7" t="str">
        <f t="shared" si="92"/>
        <v>Август</v>
      </c>
      <c r="I1974" t="s">
        <v>20</v>
      </c>
      <c r="J1974">
        <v>55</v>
      </c>
      <c r="K1974" t="s">
        <v>21</v>
      </c>
      <c r="L1974">
        <v>2</v>
      </c>
      <c r="M1974">
        <v>50</v>
      </c>
      <c r="N1974" s="1">
        <f t="shared" si="93"/>
        <v>100</v>
      </c>
    </row>
    <row r="1975" spans="5:14" x14ac:dyDescent="0.25">
      <c r="E1975">
        <v>1458</v>
      </c>
      <c r="F1975" s="7">
        <v>45376</v>
      </c>
      <c r="G1975">
        <f t="shared" si="91"/>
        <v>2024</v>
      </c>
      <c r="H1975" s="7" t="str">
        <f t="shared" si="92"/>
        <v>Март</v>
      </c>
      <c r="I1975" t="s">
        <v>22</v>
      </c>
      <c r="J1975">
        <v>58</v>
      </c>
      <c r="K1975" t="s">
        <v>21</v>
      </c>
      <c r="L1975">
        <v>4</v>
      </c>
      <c r="M1975">
        <v>351</v>
      </c>
      <c r="N1975" s="1">
        <f t="shared" si="93"/>
        <v>1404</v>
      </c>
    </row>
    <row r="1976" spans="5:14" x14ac:dyDescent="0.25">
      <c r="E1976">
        <v>159</v>
      </c>
      <c r="F1976" s="7">
        <v>45077</v>
      </c>
      <c r="G1976">
        <f t="shared" si="91"/>
        <v>2023</v>
      </c>
      <c r="H1976" s="7" t="str">
        <f t="shared" si="92"/>
        <v>Май</v>
      </c>
      <c r="I1976" t="s">
        <v>20</v>
      </c>
      <c r="J1976">
        <v>26</v>
      </c>
      <c r="K1976" t="s">
        <v>23</v>
      </c>
      <c r="L1976">
        <v>4</v>
      </c>
      <c r="M1976">
        <v>50</v>
      </c>
      <c r="N1976" s="1">
        <f t="shared" si="93"/>
        <v>200</v>
      </c>
    </row>
    <row r="1977" spans="5:14" x14ac:dyDescent="0.25">
      <c r="E1977">
        <v>431</v>
      </c>
      <c r="F1977" s="7">
        <v>44931</v>
      </c>
      <c r="G1977">
        <f t="shared" si="91"/>
        <v>2023</v>
      </c>
      <c r="H1977" s="7" t="str">
        <f t="shared" si="92"/>
        <v>Январь</v>
      </c>
      <c r="I1977" t="s">
        <v>22</v>
      </c>
      <c r="J1977">
        <v>60</v>
      </c>
      <c r="K1977" t="s">
        <v>24</v>
      </c>
      <c r="L1977">
        <v>2</v>
      </c>
      <c r="M1977">
        <v>500</v>
      </c>
      <c r="N1977" s="1">
        <f t="shared" si="93"/>
        <v>1000</v>
      </c>
    </row>
    <row r="1978" spans="5:14" x14ac:dyDescent="0.25">
      <c r="E1978">
        <v>133</v>
      </c>
      <c r="F1978" s="7">
        <v>44973</v>
      </c>
      <c r="G1978">
        <f t="shared" si="91"/>
        <v>2023</v>
      </c>
      <c r="H1978" s="7" t="str">
        <f t="shared" si="92"/>
        <v>Февраль</v>
      </c>
      <c r="I1978" t="s">
        <v>20</v>
      </c>
      <c r="J1978">
        <v>20</v>
      </c>
      <c r="K1978" t="s">
        <v>24</v>
      </c>
      <c r="L1978">
        <v>3</v>
      </c>
      <c r="M1978">
        <v>300</v>
      </c>
      <c r="N1978" s="1">
        <f t="shared" si="93"/>
        <v>900</v>
      </c>
    </row>
    <row r="1979" spans="5:14" x14ac:dyDescent="0.25">
      <c r="E1979">
        <v>1351</v>
      </c>
      <c r="F1979" s="7">
        <v>45397</v>
      </c>
      <c r="G1979">
        <f t="shared" si="91"/>
        <v>2024</v>
      </c>
      <c r="H1979" s="7" t="str">
        <f t="shared" si="92"/>
        <v>Апрель</v>
      </c>
      <c r="I1979" t="s">
        <v>22</v>
      </c>
      <c r="J1979">
        <v>38</v>
      </c>
      <c r="K1979" t="s">
        <v>21</v>
      </c>
      <c r="L1979">
        <v>5</v>
      </c>
      <c r="M1979">
        <v>301</v>
      </c>
      <c r="N1979" s="1">
        <f t="shared" si="93"/>
        <v>1505</v>
      </c>
    </row>
    <row r="1980" spans="5:14" x14ac:dyDescent="0.25">
      <c r="E1980">
        <v>1078</v>
      </c>
      <c r="F1980" s="7">
        <v>45636</v>
      </c>
      <c r="G1980">
        <f t="shared" si="91"/>
        <v>2024</v>
      </c>
      <c r="H1980" s="7" t="str">
        <f t="shared" si="92"/>
        <v>Декабрь</v>
      </c>
      <c r="I1980" t="s">
        <v>22</v>
      </c>
      <c r="J1980">
        <v>53</v>
      </c>
      <c r="K1980" t="s">
        <v>23</v>
      </c>
      <c r="L1980">
        <v>5</v>
      </c>
      <c r="M1980">
        <v>56</v>
      </c>
      <c r="N1980" s="1">
        <f t="shared" si="93"/>
        <v>280</v>
      </c>
    </row>
    <row r="1981" spans="5:14" x14ac:dyDescent="0.25">
      <c r="E1981">
        <v>909</v>
      </c>
      <c r="F1981" s="7">
        <v>45067</v>
      </c>
      <c r="G1981">
        <f t="shared" si="91"/>
        <v>2023</v>
      </c>
      <c r="H1981" s="7" t="str">
        <f t="shared" si="92"/>
        <v>Май</v>
      </c>
      <c r="I1981" t="s">
        <v>20</v>
      </c>
      <c r="J1981">
        <v>42</v>
      </c>
      <c r="K1981" t="s">
        <v>24</v>
      </c>
      <c r="L1981">
        <v>3</v>
      </c>
      <c r="M1981">
        <v>300</v>
      </c>
      <c r="N1981" s="1">
        <f t="shared" si="93"/>
        <v>900</v>
      </c>
    </row>
    <row r="1982" spans="5:14" x14ac:dyDescent="0.25">
      <c r="E1982">
        <v>1071</v>
      </c>
      <c r="F1982" s="7">
        <v>45525</v>
      </c>
      <c r="G1982">
        <f t="shared" si="91"/>
        <v>2024</v>
      </c>
      <c r="H1982" s="7" t="str">
        <f t="shared" si="92"/>
        <v>Август</v>
      </c>
      <c r="I1982" t="s">
        <v>20</v>
      </c>
      <c r="J1982">
        <v>54</v>
      </c>
      <c r="K1982" t="s">
        <v>24</v>
      </c>
      <c r="L1982">
        <v>2</v>
      </c>
      <c r="M1982">
        <v>294</v>
      </c>
      <c r="N1982" s="1">
        <f t="shared" si="93"/>
        <v>588</v>
      </c>
    </row>
    <row r="1983" spans="5:14" x14ac:dyDescent="0.25">
      <c r="E1983">
        <v>436</v>
      </c>
      <c r="F1983" s="7">
        <v>45206</v>
      </c>
      <c r="G1983">
        <f t="shared" si="91"/>
        <v>2023</v>
      </c>
      <c r="H1983" s="7" t="str">
        <f t="shared" si="92"/>
        <v>Октябрь</v>
      </c>
      <c r="I1983" t="s">
        <v>22</v>
      </c>
      <c r="J1983">
        <v>35</v>
      </c>
      <c r="K1983" t="s">
        <v>24</v>
      </c>
      <c r="L1983">
        <v>4</v>
      </c>
      <c r="M1983">
        <v>300</v>
      </c>
      <c r="N1983" s="1">
        <f t="shared" si="93"/>
        <v>1200</v>
      </c>
    </row>
    <row r="1984" spans="5:14" x14ac:dyDescent="0.25">
      <c r="E1984">
        <v>712</v>
      </c>
      <c r="F1984" s="7">
        <v>44969</v>
      </c>
      <c r="G1984">
        <f t="shared" si="91"/>
        <v>2023</v>
      </c>
      <c r="H1984" s="7" t="str">
        <f t="shared" si="92"/>
        <v>Февраль</v>
      </c>
      <c r="I1984" t="s">
        <v>22</v>
      </c>
      <c r="J1984">
        <v>18</v>
      </c>
      <c r="K1984" t="s">
        <v>23</v>
      </c>
      <c r="L1984">
        <v>1</v>
      </c>
      <c r="M1984">
        <v>500</v>
      </c>
      <c r="N1984" s="1">
        <f t="shared" si="93"/>
        <v>500</v>
      </c>
    </row>
    <row r="1985" spans="5:14" x14ac:dyDescent="0.25">
      <c r="E1985">
        <v>724</v>
      </c>
      <c r="F1985" s="7">
        <v>45094</v>
      </c>
      <c r="G1985">
        <f t="shared" si="91"/>
        <v>2023</v>
      </c>
      <c r="H1985" s="7" t="str">
        <f t="shared" si="92"/>
        <v>Июнь</v>
      </c>
      <c r="I1985" t="s">
        <v>20</v>
      </c>
      <c r="J1985">
        <v>47</v>
      </c>
      <c r="K1985" t="s">
        <v>23</v>
      </c>
      <c r="L1985">
        <v>4</v>
      </c>
      <c r="M1985">
        <v>300</v>
      </c>
      <c r="N1985" s="1">
        <f t="shared" si="93"/>
        <v>1200</v>
      </c>
    </row>
    <row r="1986" spans="5:14" x14ac:dyDescent="0.25">
      <c r="E1986">
        <v>167</v>
      </c>
      <c r="F1986" s="7">
        <v>45186</v>
      </c>
      <c r="G1986">
        <f t="shared" si="91"/>
        <v>2023</v>
      </c>
      <c r="H1986" s="7" t="str">
        <f t="shared" si="92"/>
        <v>Сентябрь</v>
      </c>
      <c r="I1986" t="s">
        <v>22</v>
      </c>
      <c r="J1986">
        <v>43</v>
      </c>
      <c r="K1986" t="s">
        <v>23</v>
      </c>
      <c r="L1986">
        <v>3</v>
      </c>
      <c r="M1986">
        <v>50</v>
      </c>
      <c r="N1986" s="1">
        <f t="shared" si="93"/>
        <v>150</v>
      </c>
    </row>
    <row r="1987" spans="5:14" x14ac:dyDescent="0.25">
      <c r="E1987">
        <v>247</v>
      </c>
      <c r="F1987" s="7">
        <v>44994</v>
      </c>
      <c r="G1987">
        <f t="shared" si="91"/>
        <v>2023</v>
      </c>
      <c r="H1987" s="7" t="str">
        <f t="shared" si="92"/>
        <v>Март</v>
      </c>
      <c r="I1987" t="s">
        <v>20</v>
      </c>
      <c r="J1987">
        <v>26</v>
      </c>
      <c r="K1987" t="s">
        <v>23</v>
      </c>
      <c r="L1987">
        <v>3</v>
      </c>
      <c r="M1987">
        <v>300</v>
      </c>
      <c r="N1987" s="1">
        <f t="shared" si="93"/>
        <v>900</v>
      </c>
    </row>
    <row r="1988" spans="5:14" x14ac:dyDescent="0.25">
      <c r="E1988">
        <v>478</v>
      </c>
      <c r="F1988" s="7">
        <v>45162</v>
      </c>
      <c r="G1988">
        <f t="shared" si="91"/>
        <v>2023</v>
      </c>
      <c r="H1988" s="7" t="str">
        <f t="shared" si="92"/>
        <v>Август</v>
      </c>
      <c r="I1988" t="s">
        <v>20</v>
      </c>
      <c r="J1988">
        <v>52</v>
      </c>
      <c r="K1988" t="s">
        <v>24</v>
      </c>
      <c r="L1988">
        <v>4</v>
      </c>
      <c r="M1988">
        <v>300</v>
      </c>
      <c r="N1988" s="1">
        <f t="shared" si="93"/>
        <v>1200</v>
      </c>
    </row>
    <row r="1989" spans="5:14" x14ac:dyDescent="0.25">
      <c r="E1989">
        <v>1010</v>
      </c>
      <c r="F1989" s="7">
        <v>45595</v>
      </c>
      <c r="G1989">
        <f t="shared" si="91"/>
        <v>2024</v>
      </c>
      <c r="H1989" s="7" t="str">
        <f t="shared" si="92"/>
        <v>Октябрь</v>
      </c>
      <c r="I1989" t="s">
        <v>20</v>
      </c>
      <c r="J1989">
        <v>36</v>
      </c>
      <c r="K1989" t="s">
        <v>21</v>
      </c>
      <c r="L1989">
        <v>4</v>
      </c>
      <c r="M1989">
        <v>392</v>
      </c>
      <c r="N1989" s="1">
        <f t="shared" si="93"/>
        <v>1568</v>
      </c>
    </row>
    <row r="1990" spans="5:14" x14ac:dyDescent="0.25">
      <c r="E1990">
        <v>1417</v>
      </c>
      <c r="F1990" s="7">
        <v>45314</v>
      </c>
      <c r="G1990">
        <f t="shared" si="91"/>
        <v>2024</v>
      </c>
      <c r="H1990" s="7" t="str">
        <f t="shared" si="92"/>
        <v>Январь</v>
      </c>
      <c r="I1990" t="s">
        <v>22</v>
      </c>
      <c r="J1990">
        <v>46</v>
      </c>
      <c r="K1990" t="s">
        <v>23</v>
      </c>
      <c r="L1990">
        <v>1</v>
      </c>
      <c r="M1990">
        <v>114</v>
      </c>
      <c r="N1990" s="1">
        <f t="shared" si="93"/>
        <v>114</v>
      </c>
    </row>
    <row r="1991" spans="5:14" x14ac:dyDescent="0.25">
      <c r="E1991">
        <v>1430</v>
      </c>
      <c r="F1991" s="7">
        <v>45349</v>
      </c>
      <c r="G1991">
        <f t="shared" si="91"/>
        <v>2024</v>
      </c>
      <c r="H1991" s="7" t="str">
        <f t="shared" si="92"/>
        <v>Февраль</v>
      </c>
      <c r="I1991" t="s">
        <v>20</v>
      </c>
      <c r="J1991">
        <v>51</v>
      </c>
      <c r="K1991" t="s">
        <v>21</v>
      </c>
      <c r="L1991">
        <v>5</v>
      </c>
      <c r="M1991">
        <v>485</v>
      </c>
      <c r="N1991" s="1">
        <f t="shared" si="93"/>
        <v>2425</v>
      </c>
    </row>
    <row r="1992" spans="5:14" x14ac:dyDescent="0.25">
      <c r="E1992">
        <v>71</v>
      </c>
      <c r="F1992" s="7">
        <v>45121</v>
      </c>
      <c r="G1992">
        <f t="shared" si="91"/>
        <v>2023</v>
      </c>
      <c r="H1992" s="7" t="str">
        <f t="shared" si="92"/>
        <v>Июль</v>
      </c>
      <c r="I1992" t="s">
        <v>22</v>
      </c>
      <c r="J1992">
        <v>51</v>
      </c>
      <c r="K1992" t="s">
        <v>21</v>
      </c>
      <c r="L1992">
        <v>4</v>
      </c>
      <c r="M1992">
        <v>25</v>
      </c>
      <c r="N1992" s="1">
        <f t="shared" si="93"/>
        <v>100</v>
      </c>
    </row>
    <row r="1993" spans="5:14" x14ac:dyDescent="0.25">
      <c r="E1993">
        <v>456</v>
      </c>
      <c r="F1993" s="7">
        <v>45135</v>
      </c>
      <c r="G1993">
        <f t="shared" si="91"/>
        <v>2023</v>
      </c>
      <c r="H1993" s="7" t="str">
        <f t="shared" si="92"/>
        <v>Июль</v>
      </c>
      <c r="I1993" t="s">
        <v>22</v>
      </c>
      <c r="J1993">
        <v>58</v>
      </c>
      <c r="K1993" t="s">
        <v>21</v>
      </c>
      <c r="L1993">
        <v>3</v>
      </c>
      <c r="M1993">
        <v>300</v>
      </c>
      <c r="N1993" s="1">
        <f t="shared" si="93"/>
        <v>900</v>
      </c>
    </row>
    <row r="1994" spans="5:14" x14ac:dyDescent="0.25">
      <c r="E1994">
        <v>92</v>
      </c>
      <c r="F1994" s="7">
        <v>45163</v>
      </c>
      <c r="G1994">
        <f t="shared" ref="G1994:G2004" si="94">YEAR(F1994)</f>
        <v>2023</v>
      </c>
      <c r="H1994" s="7" t="str">
        <f t="shared" ref="H1994:H2004" si="95">TEXT(F1994,"ММММ")</f>
        <v>Август</v>
      </c>
      <c r="I1994" t="s">
        <v>22</v>
      </c>
      <c r="J1994">
        <v>51</v>
      </c>
      <c r="K1994" t="s">
        <v>24</v>
      </c>
      <c r="L1994">
        <v>4</v>
      </c>
      <c r="M1994">
        <v>30</v>
      </c>
      <c r="N1994" s="1">
        <f t="shared" ref="N1994:N2004" si="96">L1994*M1994</f>
        <v>120</v>
      </c>
    </row>
    <row r="1995" spans="5:14" x14ac:dyDescent="0.25">
      <c r="E1995">
        <v>1342</v>
      </c>
      <c r="F1995" s="7">
        <v>45610</v>
      </c>
      <c r="G1995">
        <f t="shared" si="94"/>
        <v>2024</v>
      </c>
      <c r="H1995" s="7" t="str">
        <f t="shared" si="95"/>
        <v>Ноябрь</v>
      </c>
      <c r="I1995" t="s">
        <v>20</v>
      </c>
      <c r="J1995">
        <v>24</v>
      </c>
      <c r="K1995" t="s">
        <v>24</v>
      </c>
      <c r="L1995">
        <v>1</v>
      </c>
      <c r="M1995">
        <v>77</v>
      </c>
      <c r="N1995" s="1">
        <f t="shared" si="96"/>
        <v>77</v>
      </c>
    </row>
    <row r="1996" spans="5:14" x14ac:dyDescent="0.25">
      <c r="E1996">
        <v>506</v>
      </c>
      <c r="F1996" s="7">
        <v>45232</v>
      </c>
      <c r="G1996">
        <f t="shared" si="94"/>
        <v>2023</v>
      </c>
      <c r="H1996" s="7" t="str">
        <f t="shared" si="95"/>
        <v>Ноябрь</v>
      </c>
      <c r="I1996" t="s">
        <v>22</v>
      </c>
      <c r="J1996">
        <v>37</v>
      </c>
      <c r="K1996" t="s">
        <v>24</v>
      </c>
      <c r="L1996">
        <v>3</v>
      </c>
      <c r="M1996">
        <v>500</v>
      </c>
      <c r="N1996" s="1">
        <f t="shared" si="96"/>
        <v>1500</v>
      </c>
    </row>
    <row r="1997" spans="5:14" x14ac:dyDescent="0.25">
      <c r="E1997">
        <v>783</v>
      </c>
      <c r="F1997" s="7">
        <v>44988</v>
      </c>
      <c r="G1997">
        <f t="shared" si="94"/>
        <v>2023</v>
      </c>
      <c r="H1997" s="7" t="str">
        <f t="shared" si="95"/>
        <v>Март</v>
      </c>
      <c r="I1997" t="s">
        <v>22</v>
      </c>
      <c r="J1997">
        <v>31</v>
      </c>
      <c r="K1997" t="s">
        <v>21</v>
      </c>
      <c r="L1997">
        <v>4</v>
      </c>
      <c r="M1997">
        <v>50</v>
      </c>
      <c r="N1997" s="1">
        <f t="shared" si="96"/>
        <v>200</v>
      </c>
    </row>
    <row r="1998" spans="5:14" x14ac:dyDescent="0.25">
      <c r="E1998">
        <v>1525</v>
      </c>
      <c r="F1998" s="7">
        <v>45479</v>
      </c>
      <c r="G1998">
        <f t="shared" si="94"/>
        <v>2024</v>
      </c>
      <c r="H1998" s="7" t="str">
        <f t="shared" si="95"/>
        <v>Июль</v>
      </c>
      <c r="I1998" t="s">
        <v>22</v>
      </c>
      <c r="J1998">
        <v>49</v>
      </c>
      <c r="K1998" t="s">
        <v>23</v>
      </c>
      <c r="L1998">
        <v>7</v>
      </c>
      <c r="M1998">
        <v>482</v>
      </c>
      <c r="N1998" s="1">
        <f t="shared" si="96"/>
        <v>3374</v>
      </c>
    </row>
    <row r="1999" spans="5:14" x14ac:dyDescent="0.25">
      <c r="E1999">
        <v>836</v>
      </c>
      <c r="F1999" s="7">
        <v>45059</v>
      </c>
      <c r="G1999">
        <f t="shared" si="94"/>
        <v>2023</v>
      </c>
      <c r="H1999" s="7" t="str">
        <f t="shared" si="95"/>
        <v>Май</v>
      </c>
      <c r="I1999" t="s">
        <v>20</v>
      </c>
      <c r="J1999">
        <v>47</v>
      </c>
      <c r="K1999" t="s">
        <v>24</v>
      </c>
      <c r="L1999">
        <v>2</v>
      </c>
      <c r="M1999">
        <v>300</v>
      </c>
      <c r="N1999" s="1">
        <f t="shared" si="96"/>
        <v>600</v>
      </c>
    </row>
    <row r="2000" spans="5:14" x14ac:dyDescent="0.25">
      <c r="E2000">
        <v>1258</v>
      </c>
      <c r="F2000" s="7">
        <v>45509</v>
      </c>
      <c r="G2000">
        <f t="shared" si="94"/>
        <v>2024</v>
      </c>
      <c r="H2000" s="7" t="str">
        <f t="shared" si="95"/>
        <v>Август</v>
      </c>
      <c r="I2000" t="s">
        <v>20</v>
      </c>
      <c r="J2000">
        <v>22</v>
      </c>
      <c r="K2000" t="s">
        <v>23</v>
      </c>
      <c r="L2000">
        <v>2</v>
      </c>
      <c r="M2000">
        <v>51</v>
      </c>
      <c r="N2000" s="1">
        <f t="shared" si="96"/>
        <v>102</v>
      </c>
    </row>
    <row r="2001" spans="5:14" x14ac:dyDescent="0.25">
      <c r="E2001">
        <v>928</v>
      </c>
      <c r="F2001" s="7">
        <v>45056</v>
      </c>
      <c r="G2001">
        <f t="shared" si="94"/>
        <v>2023</v>
      </c>
      <c r="H2001" s="7" t="str">
        <f t="shared" si="95"/>
        <v>Май</v>
      </c>
      <c r="I2001" t="s">
        <v>20</v>
      </c>
      <c r="J2001">
        <v>54</v>
      </c>
      <c r="K2001" t="s">
        <v>23</v>
      </c>
      <c r="L2001">
        <v>4</v>
      </c>
      <c r="M2001">
        <v>50</v>
      </c>
      <c r="N2001" s="1">
        <f t="shared" si="96"/>
        <v>200</v>
      </c>
    </row>
    <row r="2002" spans="5:14" x14ac:dyDescent="0.25">
      <c r="E2002">
        <v>289</v>
      </c>
      <c r="F2002" s="7">
        <v>45203</v>
      </c>
      <c r="G2002">
        <f t="shared" si="94"/>
        <v>2023</v>
      </c>
      <c r="H2002" s="7" t="str">
        <f t="shared" si="95"/>
        <v>Октябрь</v>
      </c>
      <c r="I2002" t="s">
        <v>22</v>
      </c>
      <c r="J2002">
        <v>30</v>
      </c>
      <c r="K2002" t="s">
        <v>21</v>
      </c>
      <c r="L2002">
        <v>2</v>
      </c>
      <c r="M2002">
        <v>300</v>
      </c>
      <c r="N2002" s="1">
        <f t="shared" si="96"/>
        <v>600</v>
      </c>
    </row>
    <row r="2003" spans="5:14" x14ac:dyDescent="0.25">
      <c r="E2003">
        <v>1948</v>
      </c>
      <c r="F2003" s="7">
        <v>45609</v>
      </c>
      <c r="G2003">
        <f t="shared" si="94"/>
        <v>2024</v>
      </c>
      <c r="H2003" s="7" t="str">
        <f t="shared" si="95"/>
        <v>Ноябрь</v>
      </c>
      <c r="I2003" t="s">
        <v>22</v>
      </c>
      <c r="J2003">
        <v>65</v>
      </c>
      <c r="K2003" t="s">
        <v>23</v>
      </c>
      <c r="L2003">
        <v>5</v>
      </c>
      <c r="M2003">
        <v>294</v>
      </c>
      <c r="N2003" s="1">
        <f t="shared" si="96"/>
        <v>1470</v>
      </c>
    </row>
    <row r="2004" spans="5:14" x14ac:dyDescent="0.25">
      <c r="E2004" s="25">
        <v>1598</v>
      </c>
      <c r="F2004" s="26">
        <v>45392</v>
      </c>
      <c r="G2004" s="25">
        <f t="shared" si="94"/>
        <v>2024</v>
      </c>
      <c r="H2004" s="26" t="str">
        <f t="shared" si="95"/>
        <v>Апрель</v>
      </c>
      <c r="I2004" s="25" t="s">
        <v>20</v>
      </c>
      <c r="J2004" s="25">
        <v>59</v>
      </c>
      <c r="K2004" s="25" t="s">
        <v>23</v>
      </c>
      <c r="L2004" s="25">
        <v>2</v>
      </c>
      <c r="M2004" s="25">
        <v>392</v>
      </c>
      <c r="N2004" s="1">
        <f t="shared" si="96"/>
        <v>784</v>
      </c>
    </row>
  </sheetData>
  <autoFilter ref="E8:N2004" xr:uid="{A42894D3-F57A-47CC-A76D-542EDB28249E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55AB5-2DEB-4352-A709-0FA3516B615B}">
  <dimension ref="A7:L7"/>
  <sheetViews>
    <sheetView showGridLines="0" workbookViewId="0">
      <selection activeCell="F38" sqref="F38"/>
    </sheetView>
  </sheetViews>
  <sheetFormatPr defaultRowHeight="15" x14ac:dyDescent="0.25"/>
  <cols>
    <col min="1" max="1" width="3.375" style="3" customWidth="1"/>
    <col min="2" max="2" width="5.125" style="3" customWidth="1"/>
    <col min="3" max="3" width="9.375" customWidth="1"/>
  </cols>
  <sheetData>
    <row r="7" spans="4:12" x14ac:dyDescent="0.25">
      <c r="D7" s="5" t="s">
        <v>0</v>
      </c>
      <c r="E7" s="4"/>
      <c r="F7" s="4"/>
      <c r="G7" s="4"/>
      <c r="H7" s="4"/>
      <c r="I7" s="4"/>
      <c r="J7" s="4"/>
      <c r="K7" s="4"/>
      <c r="L7" s="4"/>
    </row>
  </sheetData>
  <hyperlinks>
    <hyperlink ref="D7" r:id="rId1" display="Синтаксис и применение функций даты и время из официального источника" xr:uid="{D17CFD40-8FB7-4BBD-8461-660396C6CE0A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57693B-4ABE-4C86-A927-EB6D336652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Тема урока</vt:lpstr>
      <vt:lpstr>Выполнить</vt:lpstr>
      <vt:lpstr>Продажи_отчет</vt:lpstr>
      <vt:lpstr>Продажи</vt:lpstr>
      <vt:lpstr>Справка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Alikperov</dc:creator>
  <cp:lastModifiedBy>user</cp:lastModifiedBy>
  <dcterms:created xsi:type="dcterms:W3CDTF">2024-08-24T22:17:11Z</dcterms:created>
  <dcterms:modified xsi:type="dcterms:W3CDTF">2026-03-29T14:20:38Z</dcterms:modified>
</cp:coreProperties>
</file>