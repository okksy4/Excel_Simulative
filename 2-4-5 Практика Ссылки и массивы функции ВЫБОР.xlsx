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я\учеба\Simulative\Simulative BI\Excel\"/>
    </mc:Choice>
  </mc:AlternateContent>
  <xr:revisionPtr revIDLastSave="0" documentId="13_ncr:1_{5100D917-D8CE-4EFF-A697-506ED3DE1934}" xr6:coauthVersionLast="37" xr6:coauthVersionMax="47" xr10:uidLastSave="{00000000-0000-0000-0000-000000000000}"/>
  <bookViews>
    <workbookView xWindow="0" yWindow="0" windowWidth="28800" windowHeight="11910" tabRatio="737" activeTab="1" xr2:uid="{BE275577-B430-4DCB-AA1E-9DF443D9D709}"/>
  </bookViews>
  <sheets>
    <sheet name="Тема урока" sheetId="16" r:id="rId1"/>
    <sheet name="Выполнить" sheetId="17" r:id="rId2"/>
    <sheet name="Отчет" sheetId="21" r:id="rId3"/>
    <sheet name="Справка" sheetId="3" r:id="rId4"/>
  </sheets>
  <definedNames>
    <definedName name="_xlnm._FilterDatabase" localSheetId="2" hidden="1">Отчет!$E$3:$E$603</definedName>
    <definedName name="_xlnm.Extract" localSheetId="2">Отчет!#REF!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" i="17" l="1"/>
  <c r="N12" i="17" s="1"/>
  <c r="N21" i="17"/>
  <c r="G10" i="17"/>
  <c r="H10" i="17"/>
  <c r="I10" i="17"/>
  <c r="G11" i="17"/>
  <c r="H11" i="17"/>
  <c r="I11" i="17"/>
  <c r="G12" i="17"/>
  <c r="H12" i="17"/>
  <c r="I12" i="17"/>
  <c r="G13" i="17"/>
  <c r="H13" i="17"/>
  <c r="I13" i="17"/>
  <c r="G14" i="17"/>
  <c r="H14" i="17"/>
  <c r="I14" i="17"/>
  <c r="G15" i="17"/>
  <c r="H15" i="17"/>
  <c r="I15" i="17"/>
  <c r="G16" i="17"/>
  <c r="H16" i="17"/>
  <c r="I16" i="17"/>
  <c r="G17" i="17"/>
  <c r="H17" i="17"/>
  <c r="I17" i="17"/>
  <c r="G18" i="17"/>
  <c r="H18" i="17"/>
  <c r="I18" i="17"/>
  <c r="G19" i="17"/>
  <c r="H19" i="17"/>
  <c r="I19" i="17"/>
  <c r="G20" i="17"/>
  <c r="H20" i="17"/>
  <c r="I20" i="17"/>
  <c r="G21" i="17"/>
  <c r="H21" i="17"/>
  <c r="I21" i="17"/>
  <c r="H9" i="17"/>
  <c r="I9" i="17"/>
  <c r="G9" i="17"/>
  <c r="BG10" i="17"/>
  <c r="CN13" i="17"/>
  <c r="CO13" i="17"/>
  <c r="CP13" i="17" l="1"/>
  <c r="CO7" i="17"/>
  <c r="CN10" i="17" s="1"/>
  <c r="CI5" i="17"/>
  <c r="CJ5" i="17"/>
  <c r="CI6" i="17"/>
  <c r="CJ6" i="17"/>
  <c r="CI7" i="17"/>
  <c r="CJ7" i="17"/>
  <c r="CI8" i="17"/>
  <c r="CJ8" i="17"/>
  <c r="CI9" i="17"/>
  <c r="CJ9" i="17"/>
  <c r="CI10" i="17"/>
  <c r="CJ10" i="17"/>
  <c r="CI11" i="17"/>
  <c r="CJ11" i="17"/>
  <c r="CI12" i="17"/>
  <c r="CJ12" i="17"/>
  <c r="CI13" i="17"/>
  <c r="CJ13" i="17"/>
  <c r="CI14" i="17"/>
  <c r="CJ14" i="17"/>
  <c r="CI15" i="17"/>
  <c r="CJ15" i="17"/>
  <c r="CI16" i="17"/>
  <c r="CJ16" i="17"/>
  <c r="CI17" i="17"/>
  <c r="CJ17" i="17"/>
  <c r="CH6" i="17"/>
  <c r="CH7" i="17"/>
  <c r="CH8" i="17"/>
  <c r="CH9" i="17"/>
  <c r="CH10" i="17"/>
  <c r="CH11" i="17"/>
  <c r="CH12" i="17"/>
  <c r="CH13" i="17"/>
  <c r="CH14" i="17"/>
  <c r="CH15" i="17"/>
  <c r="CH16" i="17"/>
  <c r="CH17" i="17"/>
  <c r="CH5" i="17"/>
  <c r="BA6" i="17"/>
  <c r="BB6" i="17"/>
  <c r="BC6" i="17"/>
  <c r="BA7" i="17"/>
  <c r="BB7" i="17"/>
  <c r="BC7" i="17"/>
  <c r="BA8" i="17"/>
  <c r="BB8" i="17"/>
  <c r="BC8" i="17"/>
  <c r="BA9" i="17"/>
  <c r="BB9" i="17"/>
  <c r="BC9" i="17"/>
  <c r="BA10" i="17"/>
  <c r="BB10" i="17"/>
  <c r="BC10" i="17"/>
  <c r="BA11" i="17"/>
  <c r="BB11" i="17"/>
  <c r="BC11" i="17"/>
  <c r="BA12" i="17"/>
  <c r="BB12" i="17"/>
  <c r="BC12" i="17"/>
  <c r="BA13" i="17"/>
  <c r="BB13" i="17"/>
  <c r="BC13" i="17"/>
  <c r="BA14" i="17"/>
  <c r="BB14" i="17"/>
  <c r="BC14" i="17"/>
  <c r="BA15" i="17"/>
  <c r="BB15" i="17"/>
  <c r="BC15" i="17"/>
  <c r="BA16" i="17"/>
  <c r="BB16" i="17"/>
  <c r="BC16" i="17"/>
  <c r="BA17" i="17"/>
  <c r="BB17" i="17"/>
  <c r="BC17" i="17"/>
  <c r="BB5" i="17"/>
  <c r="BC5" i="17"/>
  <c r="BH7" i="17" l="1"/>
  <c r="BA5" i="17"/>
</calcChain>
</file>

<file path=xl/sharedStrings.xml><?xml version="1.0" encoding="utf-8"?>
<sst xmlns="http://schemas.openxmlformats.org/spreadsheetml/2006/main" count="1277" uniqueCount="75">
  <si>
    <t>Синтаксис и применение функций ссылок и массивов из официального источника</t>
  </si>
  <si>
    <t>EcomMark Solutions</t>
  </si>
  <si>
    <t>FinTech Hub</t>
  </si>
  <si>
    <t>Marketplace Boosters</t>
  </si>
  <si>
    <t>EcomFlow Agency</t>
  </si>
  <si>
    <t>FinGrow Analytics</t>
  </si>
  <si>
    <t>Marketology Experts (MEX)</t>
  </si>
  <si>
    <t>SmartPay Systems (SPS)</t>
  </si>
  <si>
    <t>Evolve Commerce</t>
  </si>
  <si>
    <t>DataFin Marketers (DFM)</t>
  </si>
  <si>
    <t>EcomTech Ventures</t>
  </si>
  <si>
    <t>MarketUp Pro</t>
  </si>
  <si>
    <t>FinEdge Solutions (FES)</t>
  </si>
  <si>
    <t>OmniBoost Commerce</t>
  </si>
  <si>
    <t>PayFlex Systems (PFS)</t>
  </si>
  <si>
    <t>NextGen Marketplace</t>
  </si>
  <si>
    <t>FinOptim Strategies</t>
  </si>
  <si>
    <t>EcomSync Studio (ESS)</t>
  </si>
  <si>
    <t>Market360 Labs</t>
  </si>
  <si>
    <t>FinKey Dynamics</t>
  </si>
  <si>
    <t>PrimeMarketplace</t>
  </si>
  <si>
    <t>EcomWise Agency</t>
  </si>
  <si>
    <t>SwiftPay Innovations (SPI)</t>
  </si>
  <si>
    <t>FinGo Analytics</t>
  </si>
  <si>
    <t>MarketNova Systems</t>
  </si>
  <si>
    <t>EcomPulse Agency (EPA)</t>
  </si>
  <si>
    <t>FinFlow Technologies</t>
  </si>
  <si>
    <t>Marketplace Synergy</t>
  </si>
  <si>
    <t>EcomZen Studio</t>
  </si>
  <si>
    <t>FinBright Solutions (FBS)</t>
  </si>
  <si>
    <t>CoreMarket Dynamics</t>
  </si>
  <si>
    <t>EcomSphere Labs</t>
  </si>
  <si>
    <t>FinScale Strategies</t>
  </si>
  <si>
    <t>Boostify Marketplace</t>
  </si>
  <si>
    <t>PaySecure Systems (PSS)</t>
  </si>
  <si>
    <t>EcoFin Nexus (EFN)</t>
  </si>
  <si>
    <t>EcomTrail Partners</t>
  </si>
  <si>
    <t>FinLink Innovations</t>
  </si>
  <si>
    <t>OmniMarket Pro</t>
  </si>
  <si>
    <t>TechFin Studio</t>
  </si>
  <si>
    <t>MarketAlign Strategies</t>
  </si>
  <si>
    <t>FinBoost Systems</t>
  </si>
  <si>
    <t>EcomOptics Agency</t>
  </si>
  <si>
    <t>PayHaven Solutions</t>
  </si>
  <si>
    <t>MarketCrafters Hub</t>
  </si>
  <si>
    <t>FinSync Dynamics</t>
  </si>
  <si>
    <t>DigitalMarket Edge (DME)</t>
  </si>
  <si>
    <t>FinSphere Technologies</t>
  </si>
  <si>
    <t>EcomConnect Partners (ECP)</t>
  </si>
  <si>
    <t>SmartCommerce Lab</t>
  </si>
  <si>
    <t>PayWave Solutions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</si>
  <si>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</si>
  <si>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</si>
  <si>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</si>
  <si>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</si>
  <si>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</si>
  <si>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</si>
  <si>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</si>
  <si>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</si>
  <si>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</si>
  <si>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</si>
  <si>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</si>
  <si>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</si>
  <si>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Партнер</t>
  </si>
  <si>
    <t>Месяц</t>
  </si>
  <si>
    <t>Просмотры</t>
  </si>
  <si>
    <t>Клики</t>
  </si>
  <si>
    <t>Транзакции</t>
  </si>
  <si>
    <t>Метрика</t>
  </si>
  <si>
    <t>Агрегация</t>
  </si>
  <si>
    <t>Результат</t>
  </si>
  <si>
    <t>AVG</t>
  </si>
  <si>
    <t>MIN</t>
  </si>
  <si>
    <t>SUM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</si>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</sst>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-* #,##0_-;\-* #,##0_-;_-* &quot;-&quot;??_-;_-@_-"/>
  </numFmts>
  <fonts count="14" x14ac:knownFonts="1">
    <font>
      <sz val="11"/>
      <color theme="1"/>
      <name val="Univers"/>
      <family val="2"/>
      <charset val="204"/>
    </font>
    <font>
      <sz val="11"/>
      <color rgb="FFFF9933"/>
      <name val="Univers"/>
      <family val="2"/>
      <charset val="204"/>
    </font>
    <font>
      <u/>
      <sz val="11"/>
      <color theme="10"/>
      <name val="Univers"/>
      <family val="2"/>
      <charset val="204"/>
    </font>
    <font>
      <sz val="11"/>
      <name val="Univers"/>
      <family val="2"/>
      <charset val="204"/>
    </font>
    <font>
      <sz val="11"/>
      <color theme="1"/>
      <name val="Univers"/>
      <family val="2"/>
      <charset val="204"/>
    </font>
    <font>
      <sz val="8"/>
      <name val="Univers"/>
      <family val="2"/>
      <charset val="204"/>
    </font>
    <font>
      <i/>
      <sz val="11"/>
      <color theme="1"/>
      <name val="Univers"/>
      <family val="2"/>
      <charset val="204"/>
    </font>
    <font>
      <b/>
      <sz val="11"/>
      <color theme="1"/>
      <name val="Univers"/>
      <family val="2"/>
    </font>
    <font>
      <i/>
      <sz val="9"/>
      <color theme="0" tint="-0.249977111117893"/>
      <name val="Univers"/>
      <family val="2"/>
    </font>
    <font>
      <sz val="11"/>
      <color theme="0"/>
      <name val="Univers"/>
      <family val="2"/>
      <charset val="204"/>
    </font>
    <font>
      <b/>
      <sz val="8"/>
      <color theme="1"/>
      <name val="Univers"/>
      <family val="2"/>
    </font>
    <font>
      <sz val="8"/>
      <color rgb="FF000000"/>
      <name val="Segoe UI"/>
      <family val="2"/>
      <charset val="204"/>
    </font>
    <font>
      <sz val="8"/>
      <name val="Segoe UI"/>
      <family val="2"/>
      <charset val="204"/>
    </font>
    <font>
      <b/>
      <sz val="11"/>
      <color theme="1"/>
      <name val="Univers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6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3" fillId="3" borderId="0" xfId="0" applyFont="1" applyFill="1"/>
    <xf numFmtId="0" fontId="2" fillId="3" borderId="0" xfId="1" applyFill="1"/>
    <xf numFmtId="165" fontId="0" fillId="2" borderId="0" xfId="2" applyNumberFormat="1" applyFont="1" applyFill="1"/>
    <xf numFmtId="0" fontId="0" fillId="2" borderId="0" xfId="0" applyFill="1" applyAlignment="1">
      <alignment horizontal="center"/>
    </xf>
    <xf numFmtId="0" fontId="0" fillId="0" borderId="1" xfId="0" applyBorder="1"/>
    <xf numFmtId="0" fontId="6" fillId="0" borderId="2" xfId="0" applyFont="1" applyBorder="1" applyAlignment="1">
      <alignment horizontal="center"/>
    </xf>
    <xf numFmtId="165" fontId="4" fillId="0" borderId="0" xfId="2" applyNumberFormat="1" applyFont="1" applyFill="1" applyBorder="1" applyAlignment="1"/>
    <xf numFmtId="165" fontId="0" fillId="0" borderId="0" xfId="0" applyNumberFormat="1"/>
    <xf numFmtId="165" fontId="4" fillId="0" borderId="1" xfId="2" applyNumberFormat="1" applyFont="1" applyFill="1" applyBorder="1" applyAlignment="1"/>
    <xf numFmtId="165" fontId="0" fillId="0" borderId="1" xfId="0" applyNumberFormat="1" applyBorder="1"/>
    <xf numFmtId="0" fontId="6" fillId="2" borderId="2" xfId="0" applyFont="1" applyFill="1" applyBorder="1" applyAlignment="1">
      <alignment horizontal="center"/>
    </xf>
    <xf numFmtId="165" fontId="0" fillId="0" borderId="0" xfId="2" applyNumberFormat="1" applyFon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7" fillId="2" borderId="0" xfId="0" applyFont="1" applyFill="1" applyAlignment="1">
      <alignment horizontal="center" vertical="center"/>
    </xf>
    <xf numFmtId="165" fontId="7" fillId="2" borderId="0" xfId="2" applyNumberFormat="1" applyFont="1" applyFill="1" applyAlignment="1">
      <alignment horizontal="center" vertical="center"/>
    </xf>
    <xf numFmtId="0" fontId="8" fillId="2" borderId="0" xfId="0" applyFont="1" applyFill="1"/>
    <xf numFmtId="0" fontId="7" fillId="3" borderId="3" xfId="0" applyFont="1" applyFill="1" applyBorder="1" applyAlignment="1">
      <alignment horizontal="center" vertical="center"/>
    </xf>
    <xf numFmtId="165" fontId="10" fillId="2" borderId="0" xfId="2" applyNumberFormat="1" applyFont="1" applyFill="1" applyAlignment="1">
      <alignment horizontal="center" vertical="center"/>
    </xf>
    <xf numFmtId="0" fontId="9" fillId="2" borderId="0" xfId="0" applyFont="1" applyFill="1"/>
    <xf numFmtId="0" fontId="0" fillId="2" borderId="0" xfId="0" applyFont="1" applyFill="1"/>
    <xf numFmtId="3" fontId="13" fillId="2" borderId="0" xfId="0" applyNumberFormat="1" applyFont="1" applyFill="1"/>
    <xf numFmtId="0" fontId="13" fillId="2" borderId="0" xfId="0" applyFont="1" applyFill="1"/>
    <xf numFmtId="165" fontId="0" fillId="0" borderId="1" xfId="2" applyNumberFormat="1" applyFont="1" applyFill="1" applyBorder="1"/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1" defaultTableStyle="TableStyleMedium2" defaultPivotStyle="PivotStyleLight16">
    <tableStyle name="Invisible" pivot="0" table="0" count="0" xr9:uid="{B5C0A367-8E28-4443-A3DF-2024ECE1942A}"/>
  </tableStyles>
  <colors>
    <mruColors>
      <color rgb="FFFF96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fmlaLink="$CP$17" lockText="1"/>
</file>

<file path=xl/ctrlProps/ctrlProp2.xml><?xml version="1.0" encoding="utf-8"?>
<formControlPr xmlns="http://schemas.microsoft.com/office/spreadsheetml/2009/9/main" objectType="CheckBox" fmlaLink="$CP$18" lockText="1"/>
</file>

<file path=xl/ctrlProps/ctrlProp3.xml><?xml version="1.0" encoding="utf-8"?>
<formControlPr xmlns="http://schemas.microsoft.com/office/spreadsheetml/2009/9/main" objectType="CheckBox" fmlaLink="$CP$19" lockText="1"/>
</file>

<file path=xl/ctrlProps/ctrlProp4.xml><?xml version="1.0" encoding="utf-8"?>
<formControlPr xmlns="http://schemas.microsoft.com/office/spreadsheetml/2009/9/main" objectType="Radio" checked="Checked" firstButton="1" fmlaLink="$N$16" lockText="1"/>
</file>

<file path=xl/ctrlProps/ctrlProp5.xml><?xml version="1.0" encoding="utf-8"?>
<formControlPr xmlns="http://schemas.microsoft.com/office/spreadsheetml/2009/9/main" objectType="Radio" lockText="1"/>
</file>

<file path=xl/ctrlProps/ctrlProp6.xml><?xml version="1.0" encoding="utf-8"?>
<formControlPr xmlns="http://schemas.microsoft.com/office/spreadsheetml/2009/9/main" objectType="Radio" lockText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10" Type="http://schemas.openxmlformats.org/officeDocument/2006/relationships/hyperlink" Target="#&#1042;&#1099;&#1087;&#1086;&#1083;&#1085;&#1080;&#1090;&#1100;!A1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&#1042;&#1099;&#1087;&#1086;&#1083;&#1085;&#1080;&#1090;&#1100;!CS1"/><Relationship Id="rId1" Type="http://schemas.openxmlformats.org/officeDocument/2006/relationships/hyperlink" Target="#&#1042;&#1099;&#1087;&#1086;&#1083;&#1085;&#1080;&#1090;&#1100;!BL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0</xdr:row>
      <xdr:rowOff>139700</xdr:rowOff>
    </xdr:from>
    <xdr:to>
      <xdr:col>11</xdr:col>
      <xdr:colOff>393700</xdr:colOff>
      <xdr:row>32</xdr:row>
      <xdr:rowOff>38100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371600" y="139700"/>
          <a:ext cx="6248400" cy="5791200"/>
        </a:xfrm>
        <a:prstGeom prst="rect">
          <a:avLst/>
        </a:prstGeom>
        <a:solidFill>
          <a:srgbClr val="FF9600"/>
        </a:solidFill>
        <a:ln>
          <a:noFill/>
        </a:ln>
        <a:effectLst>
          <a:glow rad="101600">
            <a:schemeClr val="accent2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133350</xdr:colOff>
      <xdr:row>28</xdr:row>
      <xdr:rowOff>120650</xdr:rowOff>
    </xdr:from>
    <xdr:to>
      <xdr:col>1</xdr:col>
      <xdr:colOff>285750</xdr:colOff>
      <xdr:row>32</xdr:row>
      <xdr:rowOff>24000</xdr:rowOff>
    </xdr:to>
    <xdr:pic>
      <xdr:nvPicPr>
        <xdr:cNvPr id="3" name="Google Shape;63;p1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133350" y="5276850"/>
          <a:ext cx="571500" cy="639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1028700</xdr:colOff>
      <xdr:row>1</xdr:row>
      <xdr:rowOff>120650</xdr:rowOff>
    </xdr:from>
    <xdr:to>
      <xdr:col>5</xdr:col>
      <xdr:colOff>63500</xdr:colOff>
      <xdr:row>9</xdr:row>
      <xdr:rowOff>133350</xdr:rowOff>
    </xdr:to>
    <xdr:pic>
      <xdr:nvPicPr>
        <xdr:cNvPr id="4" name="Рисунок 3" descr="Мужской профиль контур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41500" y="304800"/>
          <a:ext cx="1485900" cy="148590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2</xdr:row>
      <xdr:rowOff>50800</xdr:rowOff>
    </xdr:from>
    <xdr:to>
      <xdr:col>6</xdr:col>
      <xdr:colOff>177800</xdr:colOff>
      <xdr:row>6</xdr:row>
      <xdr:rowOff>63500</xdr:rowOff>
    </xdr:to>
    <xdr:pic>
      <xdr:nvPicPr>
        <xdr:cNvPr id="5" name="Рисунок 4" descr="Конверт контур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352800" y="419100"/>
          <a:ext cx="749300" cy="749300"/>
        </a:xfrm>
        <a:prstGeom prst="rect">
          <a:avLst/>
        </a:prstGeom>
      </xdr:spPr>
    </xdr:pic>
    <xdr:clientData/>
  </xdr:twoCellAnchor>
  <xdr:twoCellAnchor>
    <xdr:from>
      <xdr:col>6</xdr:col>
      <xdr:colOff>165100</xdr:colOff>
      <xdr:row>2</xdr:row>
      <xdr:rowOff>152400</xdr:rowOff>
    </xdr:from>
    <xdr:to>
      <xdr:col>10</xdr:col>
      <xdr:colOff>520700</xdr:colOff>
      <xdr:row>5</xdr:row>
      <xdr:rowOff>120650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089400" y="520700"/>
          <a:ext cx="2997200" cy="520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buNone/>
          </a:pPr>
          <a:r>
            <a:rPr lang="ru-RU" sz="2400" b="1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Новое сообщение</a:t>
          </a:r>
          <a:br>
            <a:rPr lang="ru-RU" sz="1800" b="0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</a:br>
          <a:r>
            <a:rPr lang="ru-RU" sz="1100" b="0" i="1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23 марта 2024</a:t>
          </a:r>
          <a:endParaRPr lang="ru-RU" sz="1800" b="0" i="1" u="none" strike="noStrike" cap="none">
            <a:solidFill>
              <a:srgbClr val="000000"/>
            </a:solidFill>
            <a:latin typeface="Fira Sans"/>
            <a:ea typeface="Fira Sans"/>
            <a:cs typeface="Fira Sans"/>
            <a:sym typeface="Arial"/>
          </a:endParaRPr>
        </a:p>
      </xdr:txBody>
    </xdr:sp>
    <xdr:clientData/>
  </xdr:twoCellAnchor>
  <xdr:twoCellAnchor editAs="oneCell">
    <xdr:from>
      <xdr:col>5</xdr:col>
      <xdr:colOff>520700</xdr:colOff>
      <xdr:row>1</xdr:row>
      <xdr:rowOff>120650</xdr:rowOff>
    </xdr:from>
    <xdr:to>
      <xdr:col>6</xdr:col>
      <xdr:colOff>298450</xdr:colOff>
      <xdr:row>4</xdr:row>
      <xdr:rowOff>6350</xdr:rowOff>
    </xdr:to>
    <xdr:pic>
      <xdr:nvPicPr>
        <xdr:cNvPr id="7" name="Рисунок 6" descr="Значок 1 со сплошной заливкой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784600" y="304800"/>
          <a:ext cx="438150" cy="438150"/>
        </a:xfrm>
        <a:prstGeom prst="rect">
          <a:avLst/>
        </a:prstGeom>
      </xdr:spPr>
    </xdr:pic>
    <xdr:clientData/>
  </xdr:twoCellAnchor>
  <xdr:twoCellAnchor>
    <xdr:from>
      <xdr:col>5</xdr:col>
      <xdr:colOff>82550</xdr:colOff>
      <xdr:row>6</xdr:row>
      <xdr:rowOff>25400</xdr:rowOff>
    </xdr:from>
    <xdr:to>
      <xdr:col>10</xdr:col>
      <xdr:colOff>412750</xdr:colOff>
      <xdr:row>9</xdr:row>
      <xdr:rowOff>88900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346450" y="1130300"/>
          <a:ext cx="3632200" cy="615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400" u="sng"/>
            <a:t>От кого:</a:t>
          </a:r>
          <a:r>
            <a:rPr lang="ru-RU" sz="1400" u="sng" baseline="0"/>
            <a:t> </a:t>
          </a:r>
          <a:r>
            <a:rPr lang="ru-RU" sz="1400" b="1" u="sng" baseline="0"/>
            <a:t>Андрон Алексанян </a:t>
          </a:r>
          <a:r>
            <a:rPr lang="ru-RU" sz="1400" i="1" u="sng" baseline="0"/>
            <a:t>(</a:t>
          </a:r>
          <a:r>
            <a:rPr lang="en-US" sz="1400" i="1" u="sng" baseline="0"/>
            <a:t>CEO Simulative)</a:t>
          </a:r>
          <a:br>
            <a:rPr lang="en-US" sz="1400" u="sng" baseline="0"/>
          </a:br>
          <a:r>
            <a:rPr lang="ru-RU" sz="1400" u="sng" baseline="0"/>
            <a:t>Тема: Быстрый анализ по </a:t>
          </a:r>
          <a:r>
            <a:rPr lang="en-US" sz="1400" u="sng" baseline="0"/>
            <a:t>FinTech</a:t>
          </a:r>
          <a:endParaRPr lang="ru-RU" sz="1400" u="sng"/>
        </a:p>
      </xdr:txBody>
    </xdr:sp>
    <xdr:clientData/>
  </xdr:twoCellAnchor>
  <xdr:twoCellAnchor>
    <xdr:from>
      <xdr:col>3</xdr:col>
      <xdr:colOff>44450</xdr:colOff>
      <xdr:row>10</xdr:row>
      <xdr:rowOff>133350</xdr:rowOff>
    </xdr:from>
    <xdr:to>
      <xdr:col>10</xdr:col>
      <xdr:colOff>330200</xdr:colOff>
      <xdr:row>28</xdr:row>
      <xdr:rowOff>101600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987550" y="1974850"/>
          <a:ext cx="4908550" cy="32829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Aft>
              <a:spcPts val="1000"/>
            </a:spcAft>
          </a:pPr>
          <a:endParaRPr lang="ru-RU" sz="900">
            <a:solidFill>
              <a:srgbClr val="000000"/>
            </a:solidFill>
            <a:effectLst/>
            <a:latin typeface="Liberation Sans"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Итак, у нас есть несколько партнеров из </a:t>
          </a:r>
          <a:r>
            <a:rPr lang="en-US" sz="900">
              <a:solidFill>
                <a:srgbClr val="000000"/>
              </a:solidFill>
              <a:effectLst/>
              <a:latin typeface="Liberation Sans"/>
            </a:rPr>
            <a:t>FinTech-</a:t>
          </a: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индустрии, и возникла идея создать простой и удобный отчет. Хочется, чтобы он был не только функциональным, но и интуитивно понятным.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Суть задачи: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+mj-lt"/>
            <a:buAutoNum type="arabicPeriod"/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В отчете должны автоматически подтягиваться данные по этим компаниям (за весь период из исходного отчета).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+mj-lt"/>
            <a:buAutoNum type="arabicPeriod"/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При выборе метрики (например, просмотры, клики, транзакции) и меры (максимум, минимум, среднее значение) результат сразу отображается.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Для удобства можно было бы добавить визуальные элементы, например, кнопки или выпадающие списки, чтобы отчет выглядел динамично и современно.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Думаю, это тебе под силу. Не бойся экспериментировать — можно начать с базовой версии, а затем мы вместе обсудим, как улучшить.</a:t>
          </a:r>
          <a:endParaRPr lang="ru-RU" sz="900">
            <a:effectLst/>
          </a:endParaRPr>
        </a:p>
        <a:p>
          <a:br>
            <a:rPr lang="ru-RU" sz="900" baseline="0"/>
          </a:br>
          <a:endParaRPr lang="ru-RU" sz="900"/>
        </a:p>
      </xdr:txBody>
    </xdr:sp>
    <xdr:clientData/>
  </xdr:twoCellAnchor>
  <xdr:twoCellAnchor editAs="oneCell">
    <xdr:from>
      <xdr:col>3</xdr:col>
      <xdr:colOff>141422</xdr:colOff>
      <xdr:row>29</xdr:row>
      <xdr:rowOff>20262</xdr:rowOff>
    </xdr:from>
    <xdr:to>
      <xdr:col>3</xdr:col>
      <xdr:colOff>418930</xdr:colOff>
      <xdr:row>30</xdr:row>
      <xdr:rowOff>113620</xdr:rowOff>
    </xdr:to>
    <xdr:pic>
      <xdr:nvPicPr>
        <xdr:cNvPr id="10" name="Рисунок 9" descr="Скрепка со сплошной заливкой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 rot="1890577">
          <a:off x="2084522" y="5360612"/>
          <a:ext cx="277508" cy="277508"/>
        </a:xfrm>
        <a:prstGeom prst="rect">
          <a:avLst/>
        </a:prstGeom>
      </xdr:spPr>
    </xdr:pic>
    <xdr:clientData/>
  </xdr:twoCellAnchor>
  <xdr:twoCellAnchor>
    <xdr:from>
      <xdr:col>9</xdr:col>
      <xdr:colOff>139700</xdr:colOff>
      <xdr:row>29</xdr:row>
      <xdr:rowOff>57150</xdr:rowOff>
    </xdr:from>
    <xdr:to>
      <xdr:col>10</xdr:col>
      <xdr:colOff>330200</xdr:colOff>
      <xdr:row>30</xdr:row>
      <xdr:rowOff>101600</xdr:rowOff>
    </xdr:to>
    <xdr:sp macro="" textlink="">
      <xdr:nvSpPr>
        <xdr:cNvPr id="11" name="TextBox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045200" y="5397500"/>
          <a:ext cx="8509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900" b="1">
              <a:latin typeface="Fira Sans" panose="020B0503050000020004" pitchFamily="34" charset="0"/>
            </a:rPr>
            <a:t>Выполнить</a:t>
          </a:r>
          <a:endParaRPr lang="ru-RU" sz="1200" b="1">
            <a:latin typeface="Fira Sans" panose="020B0503050000020004" pitchFamily="34" charset="0"/>
          </a:endParaRPr>
        </a:p>
      </xdr:txBody>
    </xdr:sp>
    <xdr:clientData/>
  </xdr:twoCellAnchor>
  <xdr:twoCellAnchor>
    <xdr:from>
      <xdr:col>3</xdr:col>
      <xdr:colOff>311150</xdr:colOff>
      <xdr:row>28</xdr:row>
      <xdr:rowOff>152400</xdr:rowOff>
    </xdr:from>
    <xdr:to>
      <xdr:col>6</xdr:col>
      <xdr:colOff>146050</xdr:colOff>
      <xdr:row>30</xdr:row>
      <xdr:rowOff>139700</xdr:rowOff>
    </xdr:to>
    <xdr:sp macro="" textlink="">
      <xdr:nvSpPr>
        <xdr:cNvPr id="12" name="TextBox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254250" y="5308600"/>
          <a:ext cx="18161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050" b="0" i="1" u="none"/>
            <a:t>Отчет</a:t>
          </a:r>
        </a:p>
      </xdr:txBody>
    </xdr:sp>
    <xdr:clientData/>
  </xdr:twoCellAnchor>
  <xdr:twoCellAnchor>
    <xdr:from>
      <xdr:col>0</xdr:col>
      <xdr:colOff>114300</xdr:colOff>
      <xdr:row>0</xdr:row>
      <xdr:rowOff>133350</xdr:rowOff>
    </xdr:from>
    <xdr:to>
      <xdr:col>1</xdr:col>
      <xdr:colOff>266700</xdr:colOff>
      <xdr:row>27</xdr:row>
      <xdr:rowOff>127000</xdr:rowOff>
    </xdr:to>
    <xdr:sp macro="" textlink="">
      <xdr:nvSpPr>
        <xdr:cNvPr id="14" name="Google Shape;64;p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 rot="-5400000">
          <a:off x="-2082800" y="2330450"/>
          <a:ext cx="49657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1800">
              <a:latin typeface="Fira Sans"/>
              <a:ea typeface="Fira Sans"/>
              <a:cs typeface="Fira Sans"/>
              <a:sym typeface="Fira Sans"/>
            </a:rPr>
            <a:t>Работа с функциями</a:t>
          </a:r>
          <a:r>
            <a:rPr lang="ru-RU" sz="1800" baseline="0">
              <a:latin typeface="Fira Sans"/>
              <a:ea typeface="Fira Sans"/>
              <a:cs typeface="Fira Sans"/>
              <a:sym typeface="Fira Sans"/>
            </a:rPr>
            <a:t> </a:t>
          </a:r>
          <a:r>
            <a:rPr lang="ru" sz="1800">
              <a:latin typeface="Fira Sans"/>
              <a:ea typeface="Fira Sans"/>
              <a:cs typeface="Fira Sans"/>
              <a:sym typeface="Fira Sans"/>
            </a:rPr>
            <a:t>/</a:t>
          </a:r>
          <a:r>
            <a:rPr lang="ru" sz="1800" baseline="0">
              <a:latin typeface="Fira Sans"/>
              <a:ea typeface="Fira Sans"/>
              <a:cs typeface="Fira Sans"/>
              <a:sym typeface="Fira Sans"/>
            </a:rPr>
            <a:t> Ссылки и массивы</a:t>
          </a:r>
          <a:endParaRPr sz="18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406400</xdr:colOff>
      <xdr:row>8</xdr:row>
      <xdr:rowOff>25400</xdr:rowOff>
    </xdr:from>
    <xdr:to>
      <xdr:col>47</xdr:col>
      <xdr:colOff>50800</xdr:colOff>
      <xdr:row>27</xdr:row>
      <xdr:rowOff>165100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 rot="-5400000">
          <a:off x="28933775" y="3076575"/>
          <a:ext cx="3638550" cy="482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Решение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 rot="-5400000">
          <a:off x="-1228725" y="308292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222250</xdr:colOff>
      <xdr:row>30</xdr:row>
      <xdr:rowOff>88900</xdr:rowOff>
    </xdr:from>
    <xdr:to>
      <xdr:col>2</xdr:col>
      <xdr:colOff>234950</xdr:colOff>
      <xdr:row>31</xdr:row>
      <xdr:rowOff>133350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22250" y="5613400"/>
          <a:ext cx="7874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Решение</a:t>
          </a:r>
        </a:p>
      </xdr:txBody>
    </xdr:sp>
    <xdr:clientData/>
  </xdr:twoCellAnchor>
  <xdr:twoCellAnchor>
    <xdr:from>
      <xdr:col>78</xdr:col>
      <xdr:colOff>406400</xdr:colOff>
      <xdr:row>8</xdr:row>
      <xdr:rowOff>25400</xdr:rowOff>
    </xdr:from>
    <xdr:to>
      <xdr:col>80</xdr:col>
      <xdr:colOff>50800</xdr:colOff>
      <xdr:row>27</xdr:row>
      <xdr:rowOff>165100</xdr:rowOff>
    </xdr:to>
    <xdr:sp macro="" textlink="">
      <xdr:nvSpPr>
        <xdr:cNvPr id="5" name="Google Shape;64;p1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 rot="-5400000">
          <a:off x="29825950" y="3168650"/>
          <a:ext cx="3663950" cy="374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2400">
              <a:latin typeface="Fira Sans"/>
              <a:ea typeface="Fira Sans"/>
              <a:cs typeface="Fira Sans"/>
              <a:sym typeface="Fira Sans"/>
            </a:rPr>
            <a:t>Элементы управления</a:t>
          </a:r>
          <a:endParaRPr sz="2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50</xdr:col>
      <xdr:colOff>742950</xdr:colOff>
      <xdr:row>28</xdr:row>
      <xdr:rowOff>76200</xdr:rowOff>
    </xdr:from>
    <xdr:to>
      <xdr:col>51</xdr:col>
      <xdr:colOff>1397000</xdr:colOff>
      <xdr:row>29</xdr:row>
      <xdr:rowOff>158750</xdr:rowOff>
    </xdr:to>
    <xdr:sp macro="" textlink="">
      <xdr:nvSpPr>
        <xdr:cNvPr id="6" name="TextBox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34302700" y="5283200"/>
          <a:ext cx="1435100" cy="266700"/>
        </a:xfrm>
        <a:prstGeom prst="rect">
          <a:avLst/>
        </a:prstGeom>
        <a:solidFill>
          <a:srgbClr val="FF9600"/>
        </a:solidFill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Элемент</a:t>
          </a:r>
          <a:r>
            <a:rPr lang="ru-RU" sz="900" b="1" baseline="0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 управления</a:t>
          </a:r>
          <a:endParaRPr lang="ru-RU" sz="900" b="1">
            <a:solidFill>
              <a:schemeClr val="dk1"/>
            </a:solidFill>
            <a:latin typeface="Fira Sans" panose="020B0503050000020004" pitchFamily="34" charset="0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90</xdr:col>
          <xdr:colOff>85725</xdr:colOff>
          <xdr:row>15</xdr:row>
          <xdr:rowOff>85725</xdr:rowOff>
        </xdr:from>
        <xdr:to>
          <xdr:col>90</xdr:col>
          <xdr:colOff>981075</xdr:colOff>
          <xdr:row>19</xdr:row>
          <xdr:rowOff>66675</xdr:rowOff>
        </xdr:to>
        <xdr:grpSp>
          <xdr:nvGrpSpPr>
            <xdr:cNvPr id="7" name="Группа 6">
              <a:extLst>
                <a:ext uri="{FF2B5EF4-FFF2-40B4-BE49-F238E27FC236}">
                  <a16:creationId xmlns:a16="http://schemas.microsoft.com/office/drawing/2014/main" id="{1EFB098A-ED47-46C3-BE2B-3D945CC8C49F}"/>
                </a:ext>
              </a:extLst>
            </xdr:cNvPr>
            <xdr:cNvGrpSpPr/>
          </xdr:nvGrpSpPr>
          <xdr:grpSpPr>
            <a:xfrm>
              <a:off x="60712350" y="3009900"/>
              <a:ext cx="895350" cy="742950"/>
              <a:chOff x="60588525" y="3009900"/>
              <a:chExt cx="895350" cy="742950"/>
            </a:xfrm>
          </xdr:grpSpPr>
          <xdr:sp macro="" textlink="">
            <xdr:nvSpPr>
              <xdr:cNvPr id="2055" name="Check Box 7" hidden="1">
                <a:extLst>
                  <a:ext uri="{63B3BB69-23CF-44E3-9099-C40C66FF867C}">
                    <a14:compatExt spid="_x0000_s2055"/>
                  </a:ext>
                  <a:ext uri="{FF2B5EF4-FFF2-40B4-BE49-F238E27FC236}">
                    <a16:creationId xmlns:a16="http://schemas.microsoft.com/office/drawing/2014/main" id="{00000000-0008-0000-0100-000007080000}"/>
                  </a:ext>
                </a:extLst>
              </xdr:cNvPr>
              <xdr:cNvSpPr/>
            </xdr:nvSpPr>
            <xdr:spPr bwMode="auto">
              <a:xfrm>
                <a:off x="60588525" y="3009900"/>
                <a:ext cx="89535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SUM</a:t>
                </a:r>
              </a:p>
            </xdr:txBody>
          </xdr:sp>
          <xdr:sp macro="" textlink="">
            <xdr:nvSpPr>
              <xdr:cNvPr id="2056" name="Check Box 8" hidden="1">
                <a:extLst>
                  <a:ext uri="{63B3BB69-23CF-44E3-9099-C40C66FF867C}">
                    <a14:compatExt spid="_x0000_s2056"/>
                  </a:ext>
                  <a:ext uri="{FF2B5EF4-FFF2-40B4-BE49-F238E27FC236}">
                    <a16:creationId xmlns:a16="http://schemas.microsoft.com/office/drawing/2014/main" id="{00000000-0008-0000-0100-000008080000}"/>
                  </a:ext>
                </a:extLst>
              </xdr:cNvPr>
              <xdr:cNvSpPr/>
            </xdr:nvSpPr>
            <xdr:spPr bwMode="auto">
              <a:xfrm>
                <a:off x="60588525" y="3267075"/>
                <a:ext cx="89535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MAX</a:t>
                </a:r>
              </a:p>
            </xdr:txBody>
          </xdr:sp>
          <xdr:sp macro="" textlink="">
            <xdr:nvSpPr>
              <xdr:cNvPr id="2057" name="Check Box 9" hidden="1">
                <a:extLst>
                  <a:ext uri="{63B3BB69-23CF-44E3-9099-C40C66FF867C}">
                    <a14:compatExt spid="_x0000_s2057"/>
                  </a:ext>
                  <a:ext uri="{FF2B5EF4-FFF2-40B4-BE49-F238E27FC236}">
                    <a16:creationId xmlns:a16="http://schemas.microsoft.com/office/drawing/2014/main" id="{00000000-0008-0000-0100-000009080000}"/>
                  </a:ext>
                </a:extLst>
              </xdr:cNvPr>
              <xdr:cNvSpPr/>
            </xdr:nvSpPr>
            <xdr:spPr bwMode="auto">
              <a:xfrm>
                <a:off x="60588525" y="3524250"/>
                <a:ext cx="89535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MIN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15</xdr:row>
          <xdr:rowOff>95250</xdr:rowOff>
        </xdr:from>
        <xdr:to>
          <xdr:col>12</xdr:col>
          <xdr:colOff>809625</xdr:colOff>
          <xdr:row>16</xdr:row>
          <xdr:rowOff>114300</xdr:rowOff>
        </xdr:to>
        <xdr:sp macro="" textlink="">
          <xdr:nvSpPr>
            <xdr:cNvPr id="2062" name="Option Button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EFB4307F-7F2C-42B5-B75F-B36D0DF181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SUM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16</xdr:row>
          <xdr:rowOff>171450</xdr:rowOff>
        </xdr:from>
        <xdr:to>
          <xdr:col>12</xdr:col>
          <xdr:colOff>819150</xdr:colOff>
          <xdr:row>18</xdr:row>
          <xdr:rowOff>0</xdr:rowOff>
        </xdr:to>
        <xdr:sp macro="" textlink="">
          <xdr:nvSpPr>
            <xdr:cNvPr id="2063" name="Option Button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552BD0A9-184A-4566-BCA3-FCF660E3AD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18</xdr:row>
          <xdr:rowOff>57150</xdr:rowOff>
        </xdr:from>
        <xdr:to>
          <xdr:col>12</xdr:col>
          <xdr:colOff>819150</xdr:colOff>
          <xdr:row>19</xdr:row>
          <xdr:rowOff>76200</xdr:rowOff>
        </xdr:to>
        <xdr:sp macro="" textlink="">
          <xdr:nvSpPr>
            <xdr:cNvPr id="2064" name="Option Button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FA731CB0-7DFE-4D46-B230-14086D6F26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MIN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 rot="-5400000">
          <a:off x="-1228725" y="308292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2</xdr:row>
      <xdr:rowOff>177800</xdr:rowOff>
    </xdr:from>
    <xdr:to>
      <xdr:col>1</xdr:col>
      <xdr:colOff>241300</xdr:colOff>
      <xdr:row>27</xdr:row>
      <xdr:rowOff>107950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 rot="-5400000">
          <a:off x="-1936750" y="2527300"/>
          <a:ext cx="45339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2000">
              <a:latin typeface="Fira Sans"/>
              <a:ea typeface="Fira Sans"/>
              <a:cs typeface="Fira Sans"/>
              <a:sym typeface="Fira Sans"/>
            </a:rPr>
            <a:t>Справка</a:t>
          </a:r>
          <a:endParaRPr sz="20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support.microsoft.com/ru-ru/office/%D1%84%D1%83%D0%BD%D0%BA%D1%86%D0%B8%D0%B8-%D1%81%D1%81%D1%8B%D0%BB%D0%BA%D0%B8-%D0%B8-%D0%BF%D0%BE%D0%B8%D1%81%D0%BA%D0%B0-%D1%81%D0%BF%D1%80%D0%B0%D0%B2%D0%BA%D0%B0-8aa21a3a-b56a-4055-8257-3ec89df2b2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88B4-BAE6-44EF-8043-D33E92246133}">
  <dimension ref="A1:T99"/>
  <sheetViews>
    <sheetView showGridLines="0" zoomScaleNormal="100" workbookViewId="0">
      <selection activeCell="O10" sqref="O10"/>
    </sheetView>
  </sheetViews>
  <sheetFormatPr defaultColWidth="0" defaultRowHeight="14.45" customHeight="1" zeroHeight="1" x14ac:dyDescent="0.25"/>
  <cols>
    <col min="1" max="1" width="5.5" style="2" customWidth="1"/>
    <col min="2" max="2" width="5.125" style="2" customWidth="1"/>
    <col min="3" max="3" width="14.875" style="1" customWidth="1"/>
    <col min="4" max="20" width="8.625" style="1" customWidth="1"/>
    <col min="21" max="16384" width="8.625" style="1" hidden="1"/>
  </cols>
  <sheetData>
    <row r="1" ht="15" x14ac:dyDescent="0.25"/>
    <row r="2" ht="15" x14ac:dyDescent="0.25"/>
    <row r="3" ht="15" x14ac:dyDescent="0.25"/>
    <row r="4" ht="15" x14ac:dyDescent="0.25"/>
    <row r="5" ht="15" x14ac:dyDescent="0.25"/>
    <row r="6" ht="15" x14ac:dyDescent="0.25"/>
    <row r="7" ht="15" x14ac:dyDescent="0.25"/>
    <row r="8" ht="15" x14ac:dyDescent="0.25"/>
    <row r="9" ht="15" x14ac:dyDescent="0.25"/>
    <row r="10" ht="15" x14ac:dyDescent="0.25"/>
    <row r="11" ht="15" x14ac:dyDescent="0.25"/>
    <row r="12" ht="15" x14ac:dyDescent="0.25"/>
    <row r="13" ht="15" x14ac:dyDescent="0.25"/>
    <row r="14" ht="15" x14ac:dyDescent="0.25"/>
    <row r="15" ht="15" x14ac:dyDescent="0.25"/>
    <row r="16" ht="15" x14ac:dyDescent="0.25"/>
    <row r="17" spans="1:1" ht="15" x14ac:dyDescent="0.25"/>
    <row r="18" spans="1:1" ht="15" x14ac:dyDescent="0.25"/>
    <row r="19" spans="1:1" ht="15" x14ac:dyDescent="0.25"/>
    <row r="20" spans="1:1" ht="15" x14ac:dyDescent="0.25"/>
    <row r="21" spans="1:1" ht="15" x14ac:dyDescent="0.25"/>
    <row r="22" spans="1:1" ht="15" x14ac:dyDescent="0.25"/>
    <row r="23" spans="1:1" ht="15" x14ac:dyDescent="0.25"/>
    <row r="24" spans="1:1" ht="15" x14ac:dyDescent="0.25"/>
    <row r="25" spans="1:1" ht="15" x14ac:dyDescent="0.25"/>
    <row r="26" spans="1:1" ht="15" x14ac:dyDescent="0.25"/>
    <row r="27" spans="1:1" ht="15" x14ac:dyDescent="0.25"/>
    <row r="28" spans="1:1" ht="15" x14ac:dyDescent="0.25"/>
    <row r="29" spans="1:1" ht="15" x14ac:dyDescent="0.25"/>
    <row r="30" spans="1:1" ht="15" x14ac:dyDescent="0.25"/>
    <row r="31" spans="1:1" ht="15" x14ac:dyDescent="0.25"/>
    <row r="32" spans="1:1" ht="15" x14ac:dyDescent="0.25">
      <c r="A32" s="2">
        <v>1</v>
      </c>
    </row>
    <row r="33" ht="15" x14ac:dyDescent="0.25"/>
    <row r="34" ht="15" x14ac:dyDescent="0.25"/>
    <row r="66" spans="1:1" ht="15" hidden="1" x14ac:dyDescent="0.25">
      <c r="A66" s="2">
        <v>1</v>
      </c>
    </row>
    <row r="99" spans="1:1" ht="15" hidden="1" x14ac:dyDescent="0.25">
      <c r="A99" s="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8D21-9068-4F03-8E78-65BD6A355C57}">
  <dimension ref="A2:CR29"/>
  <sheetViews>
    <sheetView tabSelected="1" workbookViewId="0">
      <selection activeCell="N9" sqref="N9"/>
    </sheetView>
  </sheetViews>
  <sheetFormatPr defaultColWidth="8.625" defaultRowHeight="15" x14ac:dyDescent="0.25"/>
  <cols>
    <col min="1" max="1" width="4.625" style="2" customWidth="1"/>
    <col min="2" max="3" width="5.5" style="2" customWidth="1"/>
    <col min="4" max="5" width="8.625" style="1"/>
    <col min="6" max="6" width="22.625" style="1" bestFit="1" customWidth="1"/>
    <col min="7" max="7" width="11.625" style="1" bestFit="1" customWidth="1"/>
    <col min="8" max="8" width="10.625" style="1" bestFit="1" customWidth="1"/>
    <col min="9" max="9" width="11.875" style="1" bestFit="1" customWidth="1"/>
    <col min="10" max="12" width="8.625" style="1"/>
    <col min="13" max="13" width="13.875" style="1" customWidth="1"/>
    <col min="14" max="14" width="12.5" style="1" customWidth="1"/>
    <col min="15" max="45" width="8.625" style="1"/>
    <col min="46" max="46" width="4" style="2" customWidth="1"/>
    <col min="47" max="47" width="4.25" style="2" customWidth="1"/>
    <col min="48" max="48" width="4.75" style="2" customWidth="1"/>
    <col min="49" max="49" width="8.625" style="1"/>
    <col min="50" max="50" width="9.75" style="1" customWidth="1"/>
    <col min="51" max="51" width="10.25" style="1" customWidth="1"/>
    <col min="52" max="52" width="22.625" style="1" bestFit="1" customWidth="1"/>
    <col min="53" max="53" width="11.625" style="1" bestFit="1" customWidth="1"/>
    <col min="54" max="54" width="8.375" style="1" bestFit="1" customWidth="1"/>
    <col min="55" max="55" width="11.875" style="1" bestFit="1" customWidth="1"/>
    <col min="56" max="57" width="7.375" style="1" bestFit="1" customWidth="1"/>
    <col min="58" max="58" width="13.25" style="1" customWidth="1"/>
    <col min="59" max="59" width="12.125" style="1" customWidth="1"/>
    <col min="60" max="60" width="5.5" style="1" customWidth="1"/>
    <col min="61" max="61" width="8.375" style="1" bestFit="1" customWidth="1"/>
    <col min="62" max="78" width="7.375" style="1" bestFit="1" customWidth="1"/>
    <col min="79" max="79" width="4" style="2" customWidth="1"/>
    <col min="80" max="80" width="4.25" style="2" customWidth="1"/>
    <col min="81" max="81" width="4.75" style="2" customWidth="1"/>
    <col min="82" max="82" width="8.625" style="1"/>
    <col min="83" max="83" width="9.75" style="1" customWidth="1"/>
    <col min="84" max="84" width="10.25" style="1" customWidth="1"/>
    <col min="85" max="85" width="22.625" style="1" bestFit="1" customWidth="1"/>
    <col min="86" max="86" width="11.625" style="1" bestFit="1" customWidth="1"/>
    <col min="87" max="87" width="8.375" style="1" bestFit="1" customWidth="1"/>
    <col min="88" max="88" width="11.875" style="1" bestFit="1" customWidth="1"/>
    <col min="89" max="90" width="7.375" style="1" bestFit="1" customWidth="1"/>
    <col min="91" max="91" width="13.25" style="1" customWidth="1"/>
    <col min="92" max="92" width="24.125" style="1" customWidth="1"/>
    <col min="93" max="93" width="7.375" style="1" bestFit="1" customWidth="1"/>
    <col min="94" max="94" width="8.375" style="1" bestFit="1" customWidth="1"/>
    <col min="95" max="454" width="7.375" style="1" bestFit="1" customWidth="1"/>
    <col min="455" max="652" width="8.375" style="1" bestFit="1" customWidth="1"/>
    <col min="653" max="653" width="12.625" style="1" bestFit="1" customWidth="1"/>
    <col min="654" max="16384" width="8.625" style="1"/>
  </cols>
  <sheetData>
    <row r="2" spans="6:96" x14ac:dyDescent="0.25">
      <c r="AX2" s="7"/>
      <c r="AY2" s="7"/>
      <c r="AZ2" s="7"/>
      <c r="CE2" s="7"/>
      <c r="CF2" s="7"/>
      <c r="CG2" s="7"/>
    </row>
    <row r="3" spans="6:96" ht="15.75" thickBot="1" x14ac:dyDescent="0.3">
      <c r="BB3" s="6"/>
      <c r="CI3" s="6"/>
    </row>
    <row r="4" spans="6:96" x14ac:dyDescent="0.25">
      <c r="AZ4" s="14" t="s">
        <v>63</v>
      </c>
      <c r="BA4" s="14" t="s">
        <v>65</v>
      </c>
      <c r="BB4" s="14" t="s">
        <v>66</v>
      </c>
      <c r="BC4" s="14" t="s">
        <v>67</v>
      </c>
      <c r="CG4" s="14" t="s">
        <v>63</v>
      </c>
      <c r="CH4" s="14" t="s">
        <v>65</v>
      </c>
      <c r="CI4" s="14" t="s">
        <v>66</v>
      </c>
      <c r="CJ4" s="14" t="s">
        <v>67</v>
      </c>
    </row>
    <row r="5" spans="6:96" ht="15.75" thickBot="1" x14ac:dyDescent="0.3">
      <c r="AZ5" t="s">
        <v>41</v>
      </c>
      <c r="BA5" s="15">
        <f>SUMIFS(Отчет!G:G,Отчет!$E:$E,Выполнить!$AZ5)</f>
        <v>625411</v>
      </c>
      <c r="BB5" s="15">
        <f>SUMIFS(Отчет!H:H,Отчет!$E:$E,Выполнить!$AZ5)</f>
        <v>201590</v>
      </c>
      <c r="BC5" s="15">
        <f>SUMIFS(Отчет!I:I,Отчет!$E:$E,Выполнить!$AZ5)</f>
        <v>9500</v>
      </c>
      <c r="CG5" t="s">
        <v>41</v>
      </c>
      <c r="CH5" s="15">
        <f>SUMIFS(Отчет!G:G,Отчет!$E:$E,$CG5)</f>
        <v>625411</v>
      </c>
      <c r="CI5" s="15">
        <f>SUMIFS(Отчет!H:H,Отчет!$E:$E,$CG5)</f>
        <v>201590</v>
      </c>
      <c r="CJ5" s="15">
        <f>SUMIFS(Отчет!I:I,Отчет!$E:$E,$CG5)</f>
        <v>9500</v>
      </c>
    </row>
    <row r="6" spans="6:96" ht="15.75" thickBot="1" x14ac:dyDescent="0.3">
      <c r="AZ6" t="s">
        <v>29</v>
      </c>
      <c r="BA6" s="15">
        <f>SUMIFS(Отчет!G:G,Отчет!$E:$E,Выполнить!$AZ6)</f>
        <v>847254</v>
      </c>
      <c r="BB6" s="15">
        <f>SUMIFS(Отчет!H:H,Отчет!$E:$E,Выполнить!$AZ6)</f>
        <v>218727</v>
      </c>
      <c r="BC6" s="15">
        <f>SUMIFS(Отчет!I:I,Отчет!$E:$E,Выполнить!$AZ6)</f>
        <v>10992</v>
      </c>
      <c r="BF6" s="22" t="s">
        <v>68</v>
      </c>
      <c r="BG6" s="19" t="s">
        <v>65</v>
      </c>
      <c r="CG6" t="s">
        <v>29</v>
      </c>
      <c r="CH6" s="15">
        <f>SUMIFS(Отчет!G:G,Отчет!$E:$E,$CG6)</f>
        <v>847254</v>
      </c>
      <c r="CI6" s="15">
        <f>SUMIFS(Отчет!H:H,Отчет!$E:$E,$CG6)</f>
        <v>218727</v>
      </c>
      <c r="CJ6" s="15">
        <f>SUMIFS(Отчет!I:I,Отчет!$E:$E,$CG6)</f>
        <v>10992</v>
      </c>
      <c r="CM6" s="22" t="s">
        <v>68</v>
      </c>
      <c r="CN6" s="19" t="s">
        <v>66</v>
      </c>
    </row>
    <row r="7" spans="6:96" ht="15.75" thickBot="1" x14ac:dyDescent="0.3">
      <c r="AZ7" t="s">
        <v>12</v>
      </c>
      <c r="BA7" s="15">
        <f>SUMIFS(Отчет!G:G,Отчет!$E:$E,Выполнить!$AZ7)</f>
        <v>923517</v>
      </c>
      <c r="BB7" s="15">
        <f>SUMIFS(Отчет!H:H,Отчет!$E:$E,Выполнить!$AZ7)</f>
        <v>270630</v>
      </c>
      <c r="BC7" s="15">
        <f>SUMIFS(Отчет!I:I,Отчет!$E:$E,Выполнить!$AZ7)</f>
        <v>12158</v>
      </c>
      <c r="BF7" s="22" t="s">
        <v>69</v>
      </c>
      <c r="BG7" s="19" t="s">
        <v>71</v>
      </c>
      <c r="BH7" s="21">
        <f>IF(BG7="MAX",1,IF(BG7="MIN",2,3))</f>
        <v>3</v>
      </c>
      <c r="CG7" t="s">
        <v>12</v>
      </c>
      <c r="CH7" s="15">
        <f>SUMIFS(Отчет!G:G,Отчет!$E:$E,$CG7)</f>
        <v>923517</v>
      </c>
      <c r="CI7" s="15">
        <f>SUMIFS(Отчет!H:H,Отчет!$E:$E,$CG7)</f>
        <v>270630</v>
      </c>
      <c r="CJ7" s="15">
        <f>SUMIFS(Отчет!I:I,Отчет!$E:$E,$CG7)</f>
        <v>12158</v>
      </c>
      <c r="CM7" s="22" t="s">
        <v>69</v>
      </c>
      <c r="CN7" s="19" t="s">
        <v>71</v>
      </c>
      <c r="CO7" s="21">
        <f>IF(CN7="MAX",1,IF(CN7="MIN",2,3))</f>
        <v>3</v>
      </c>
    </row>
    <row r="8" spans="6:96" x14ac:dyDescent="0.25">
      <c r="F8" s="9" t="s">
        <v>63</v>
      </c>
      <c r="G8" s="9" t="s">
        <v>65</v>
      </c>
      <c r="H8" s="9" t="s">
        <v>66</v>
      </c>
      <c r="I8" s="9" t="s">
        <v>67</v>
      </c>
      <c r="M8" s="16" t="s">
        <v>68</v>
      </c>
      <c r="N8" s="27" t="s">
        <v>65</v>
      </c>
      <c r="AZ8" t="s">
        <v>26</v>
      </c>
      <c r="BA8" s="15">
        <f>SUMIFS(Отчет!G:G,Отчет!$E:$E,Выполнить!$AZ8)</f>
        <v>1009973</v>
      </c>
      <c r="BB8" s="15">
        <f>SUMIFS(Отчет!H:H,Отчет!$E:$E,Выполнить!$AZ8)</f>
        <v>311352</v>
      </c>
      <c r="BC8" s="15">
        <f>SUMIFS(Отчет!I:I,Отчет!$E:$E,Выполнить!$AZ8)</f>
        <v>15740</v>
      </c>
      <c r="BG8" s="19"/>
      <c r="CG8" t="s">
        <v>26</v>
      </c>
      <c r="CH8" s="15">
        <f>SUMIFS(Отчет!G:G,Отчет!$E:$E,$CG8)</f>
        <v>1009973</v>
      </c>
      <c r="CI8" s="15">
        <f>SUMIFS(Отчет!H:H,Отчет!$E:$E,$CG8)</f>
        <v>311352</v>
      </c>
      <c r="CJ8" s="15">
        <f>SUMIFS(Отчет!I:I,Отчет!$E:$E,$CG8)</f>
        <v>15740</v>
      </c>
      <c r="CN8" s="19"/>
    </row>
    <row r="9" spans="6:96" ht="15.75" thickBot="1" x14ac:dyDescent="0.3">
      <c r="F9" t="s">
        <v>41</v>
      </c>
      <c r="G9" s="15">
        <f>SUMIFS(Отчет!G:G,Отчет!$E:$E,Выполнить!$F9)</f>
        <v>625411</v>
      </c>
      <c r="H9" s="15">
        <f>SUMIFS(Отчет!H:H,Отчет!$E:$E,Выполнить!$F9)</f>
        <v>201590</v>
      </c>
      <c r="I9" s="15">
        <f>SUMIFS(Отчет!I:I,Отчет!$E:$E,Выполнить!$F9)</f>
        <v>9500</v>
      </c>
      <c r="M9" s="17" t="s">
        <v>69</v>
      </c>
      <c r="N9" s="27" t="s">
        <v>73</v>
      </c>
      <c r="O9" s="24">
        <f>_xlfn.IFS($N$9="SUM",1,$N$9="MAX",2,$N$9="MIN",3)</f>
        <v>1</v>
      </c>
      <c r="AZ9" t="s">
        <v>23</v>
      </c>
      <c r="BA9" s="15">
        <f>SUMIFS(Отчет!G:G,Отчет!$E:$E,Выполнить!$AZ9)</f>
        <v>992928</v>
      </c>
      <c r="BB9" s="15">
        <f>SUMIFS(Отчет!H:H,Отчет!$E:$E,Выполнить!$AZ9)</f>
        <v>289033</v>
      </c>
      <c r="BC9" s="15">
        <f>SUMIFS(Отчет!I:I,Отчет!$E:$E,Выполнить!$AZ9)</f>
        <v>13671</v>
      </c>
      <c r="BG9" s="19"/>
      <c r="CG9" t="s">
        <v>23</v>
      </c>
      <c r="CH9" s="15">
        <f>SUMIFS(Отчет!G:G,Отчет!$E:$E,$CG9)</f>
        <v>992928</v>
      </c>
      <c r="CI9" s="15">
        <f>SUMIFS(Отчет!H:H,Отчет!$E:$E,$CG9)</f>
        <v>289033</v>
      </c>
      <c r="CJ9" s="15">
        <f>SUMIFS(Отчет!I:I,Отчет!$E:$E,$CG9)</f>
        <v>13671</v>
      </c>
      <c r="CN9" s="19"/>
    </row>
    <row r="10" spans="6:96" x14ac:dyDescent="0.25">
      <c r="F10" t="s">
        <v>29</v>
      </c>
      <c r="G10" s="15">
        <f>SUMIFS(Отчет!G:G,Отчет!$E:$E,Выполнить!$F10)</f>
        <v>847254</v>
      </c>
      <c r="H10" s="15">
        <f>SUMIFS(Отчет!H:H,Отчет!$E:$E,Выполнить!$F10)</f>
        <v>218727</v>
      </c>
      <c r="I10" s="15">
        <f>SUMIFS(Отчет!I:I,Отчет!$E:$E,Выполнить!$F10)</f>
        <v>10992</v>
      </c>
      <c r="AZ10" t="s">
        <v>5</v>
      </c>
      <c r="BA10" s="15">
        <f>SUMIFS(Отчет!G:G,Отчет!$E:$E,Выполнить!$AZ10)</f>
        <v>775971</v>
      </c>
      <c r="BB10" s="15">
        <f>SUMIFS(Отчет!H:H,Отчет!$E:$E,Выполнить!$AZ10)</f>
        <v>203264</v>
      </c>
      <c r="BC10" s="15">
        <f>SUMIFS(Отчет!I:I,Отчет!$E:$E,Выполнить!$AZ10)</f>
        <v>10722</v>
      </c>
      <c r="BF10" s="22" t="s">
        <v>70</v>
      </c>
      <c r="BG10" s="20">
        <f>CHOOSE(BH7,MAX(CHOOSE(MATCH(BG6,BA4:BC4,0),BA5:BA17,BB5:BB17,BC5:BC17)),
           MIN(CHOOSE(MATCH(BG6,BA4:BC4,0),BA5:BA17,BB5:BB17,BC5:BC17)),
           AVERAGE(CHOOSE(MATCH(BG6,BA4:BC4,0),BA5:BA17,BB5:BB17,BC5:BC17)))</f>
        <v>885919.23076923075</v>
      </c>
      <c r="CG10" t="s">
        <v>5</v>
      </c>
      <c r="CH10" s="15">
        <f>SUMIFS(Отчет!G:G,Отчет!$E:$E,$CG10)</f>
        <v>775971</v>
      </c>
      <c r="CI10" s="15">
        <f>SUMIFS(Отчет!H:H,Отчет!$E:$E,$CG10)</f>
        <v>203264</v>
      </c>
      <c r="CJ10" s="15">
        <f>SUMIFS(Отчет!I:I,Отчет!$E:$E,$CG10)</f>
        <v>10722</v>
      </c>
      <c r="CM10" s="22" t="s">
        <v>70</v>
      </c>
      <c r="CN10" s="20">
        <f>CHOOSE(CO7,MAX(CHOOSE(MATCH(CN6,CH4:CJ4,0),CH5:CH17,CI5:CI17,CJ5:CJ17)),
           MIN(CHOOSE(MATCH(CN6,CH4:CJ4,0),CH5:CH17,CI5:CI17,CJ5:CJ17)),
           AVERAGE(CHOOSE(MATCH(CN6,CH4:CJ4,0),CH5:CH17,CI5:CI17,CJ5:CJ17)))</f>
        <v>264679.46153846156</v>
      </c>
    </row>
    <row r="11" spans="6:96" ht="15.75" thickBot="1" x14ac:dyDescent="0.3">
      <c r="F11" t="s">
        <v>12</v>
      </c>
      <c r="G11" s="15">
        <f>SUMIFS(Отчет!G:G,Отчет!$E:$E,Выполнить!$F11)</f>
        <v>923517</v>
      </c>
      <c r="H11" s="15">
        <f>SUMIFS(Отчет!H:H,Отчет!$E:$E,Выполнить!$F11)</f>
        <v>270630</v>
      </c>
      <c r="I11" s="15">
        <f>SUMIFS(Отчет!I:I,Отчет!$E:$E,Выполнить!$F11)</f>
        <v>12158</v>
      </c>
      <c r="AZ11" t="s">
        <v>19</v>
      </c>
      <c r="BA11" s="15">
        <f>SUMIFS(Отчет!G:G,Отчет!$E:$E,Выполнить!$AZ11)</f>
        <v>733218</v>
      </c>
      <c r="BB11" s="15">
        <f>SUMIFS(Отчет!H:H,Отчет!$E:$E,Выполнить!$AZ11)</f>
        <v>245205</v>
      </c>
      <c r="BC11" s="15">
        <f>SUMIFS(Отчет!I:I,Отчет!$E:$E,Выполнить!$AZ11)</f>
        <v>10704</v>
      </c>
      <c r="CG11" t="s">
        <v>19</v>
      </c>
      <c r="CH11" s="15">
        <f>SUMIFS(Отчет!G:G,Отчет!$E:$E,$CG11)</f>
        <v>733218</v>
      </c>
      <c r="CI11" s="15">
        <f>SUMIFS(Отчет!H:H,Отчет!$E:$E,$CG11)</f>
        <v>245205</v>
      </c>
      <c r="CJ11" s="15">
        <f>SUMIFS(Отчет!I:I,Отчет!$E:$E,$CG11)</f>
        <v>10704</v>
      </c>
    </row>
    <row r="12" spans="6:96" ht="15.75" thickBot="1" x14ac:dyDescent="0.3">
      <c r="F12" t="s">
        <v>26</v>
      </c>
      <c r="G12" s="15">
        <f>SUMIFS(Отчет!G:G,Отчет!$E:$E,Выполнить!$F12)</f>
        <v>1009973</v>
      </c>
      <c r="H12" s="15">
        <f>SUMIFS(Отчет!H:H,Отчет!$E:$E,Выполнить!$F12)</f>
        <v>311352</v>
      </c>
      <c r="I12" s="15">
        <f>SUMIFS(Отчет!I:I,Отчет!$E:$E,Выполнить!$F12)</f>
        <v>15740</v>
      </c>
      <c r="M12" s="18" t="s">
        <v>70</v>
      </c>
      <c r="N12" s="26">
        <f>CHOOSE($O$9,SUM(CHOOSE(MATCH($N$8,$G$8:$I$8,0),$G$9:$G$21,$H$9:$H$21,$I$9:$I$21)),
           MAX(CHOOSE(MATCH($N$8,$G$8:$I$8,0),$G$9:$G$21,$H$9:$H$21,$I$9:$I$21)),
           MIN(CHOOSE(MATCH($N$8,$G$8:$I$8,0),$G$9:$G$21,$H$9:$H$21,$I$9:$I$21)))</f>
        <v>11516950</v>
      </c>
      <c r="AZ12" t="s">
        <v>37</v>
      </c>
      <c r="BA12" s="15">
        <f>SUMIFS(Отчет!G:G,Отчет!$E:$E,Выполнить!$AZ12)</f>
        <v>1060266</v>
      </c>
      <c r="BB12" s="15">
        <f>SUMIFS(Отчет!H:H,Отчет!$E:$E,Выполнить!$AZ12)</f>
        <v>320950</v>
      </c>
      <c r="BC12" s="15">
        <f>SUMIFS(Отчет!I:I,Отчет!$E:$E,Выполнить!$AZ12)</f>
        <v>13521</v>
      </c>
      <c r="CG12" t="s">
        <v>37</v>
      </c>
      <c r="CH12" s="15">
        <f>SUMIFS(Отчет!G:G,Отчет!$E:$E,$CG12)</f>
        <v>1060266</v>
      </c>
      <c r="CI12" s="15">
        <f>SUMIFS(Отчет!H:H,Отчет!$E:$E,$CG12)</f>
        <v>320950</v>
      </c>
      <c r="CJ12" s="15">
        <f>SUMIFS(Отчет!I:I,Отчет!$E:$E,$CG12)</f>
        <v>13521</v>
      </c>
    </row>
    <row r="13" spans="6:96" x14ac:dyDescent="0.25">
      <c r="F13" t="s">
        <v>23</v>
      </c>
      <c r="G13" s="15">
        <f>SUMIFS(Отчет!G:G,Отчет!$E:$E,Выполнить!$F13)</f>
        <v>992928</v>
      </c>
      <c r="H13" s="15">
        <f>SUMIFS(Отчет!H:H,Отчет!$E:$E,Выполнить!$F13)</f>
        <v>289033</v>
      </c>
      <c r="I13" s="15">
        <f>SUMIFS(Отчет!I:I,Отчет!$E:$E,Выполнить!$F13)</f>
        <v>13671</v>
      </c>
      <c r="AZ13" t="s">
        <v>16</v>
      </c>
      <c r="BA13" s="15">
        <f>SUMIFS(Отчет!G:G,Отчет!$E:$E,Выполнить!$AZ13)</f>
        <v>891634</v>
      </c>
      <c r="BB13" s="15">
        <f>SUMIFS(Отчет!H:H,Отчет!$E:$E,Выполнить!$AZ13)</f>
        <v>259920</v>
      </c>
      <c r="BC13" s="15">
        <f>SUMIFS(Отчет!I:I,Отчет!$E:$E,Выполнить!$AZ13)</f>
        <v>11903</v>
      </c>
      <c r="BG13" s="20"/>
      <c r="CG13" t="s">
        <v>16</v>
      </c>
      <c r="CH13" s="15">
        <f>SUMIFS(Отчет!G:G,Отчет!$E:$E,$CG13)</f>
        <v>891634</v>
      </c>
      <c r="CI13" s="15">
        <f>SUMIFS(Отчет!H:H,Отчет!$E:$E,$CG13)</f>
        <v>259920</v>
      </c>
      <c r="CJ13" s="15">
        <f>SUMIFS(Отчет!I:I,Отчет!$E:$E,$CG13)</f>
        <v>11903</v>
      </c>
      <c r="CM13" s="22" t="s">
        <v>70</v>
      </c>
      <c r="CN13" s="23">
        <f>IFERROR(CHOOSE(CO13,SUM(CHOOSE(MATCH(CN6,CH4:CJ4,0),CH5:CH17,CI5:CI17,CJ5:CJ17)),
           MAX(CHOOSE(MATCH(CN6,CH4:CJ4,0),CH5:CH17,CI5:CI17,CJ5:CJ17)),
           MIN(CHOOSE(MATCH(CN6,CH4:CJ4,0),CH5:CH17,CI5:CI17,CJ5:CJ17))), "Выбери ОДИН вариант агрегации")</f>
        <v>3440833</v>
      </c>
      <c r="CO13" s="21">
        <f>IF(CP17=TRUE,1,IF(CP18=TRUE,2,IF(CP19=TRUE,3,4)))</f>
        <v>1</v>
      </c>
      <c r="CP13" s="24">
        <f>IF(CP17=TRUE,1,IF(CP18=TRUE,2,3))</f>
        <v>1</v>
      </c>
      <c r="CQ13" s="24"/>
    </row>
    <row r="14" spans="6:96" x14ac:dyDescent="0.25">
      <c r="F14" t="s">
        <v>5</v>
      </c>
      <c r="G14" s="15">
        <f>SUMIFS(Отчет!G:G,Отчет!$E:$E,Выполнить!$F14)</f>
        <v>775971</v>
      </c>
      <c r="H14" s="15">
        <f>SUMIFS(Отчет!H:H,Отчет!$E:$E,Выполнить!$F14)</f>
        <v>203264</v>
      </c>
      <c r="I14" s="15">
        <f>SUMIFS(Отчет!I:I,Отчет!$E:$E,Выполнить!$F14)</f>
        <v>10722</v>
      </c>
      <c r="AZ14" t="s">
        <v>32</v>
      </c>
      <c r="BA14" s="15">
        <f>SUMIFS(Отчет!G:G,Отчет!$E:$E,Выполнить!$AZ14)</f>
        <v>928314</v>
      </c>
      <c r="BB14" s="15">
        <f>SUMIFS(Отчет!H:H,Отчет!$E:$E,Выполнить!$AZ14)</f>
        <v>277225</v>
      </c>
      <c r="BC14" s="15">
        <f>SUMIFS(Отчет!I:I,Отчет!$E:$E,Выполнить!$AZ14)</f>
        <v>11159</v>
      </c>
      <c r="CG14" t="s">
        <v>32</v>
      </c>
      <c r="CH14" s="15">
        <f>SUMIFS(Отчет!G:G,Отчет!$E:$E,$CG14)</f>
        <v>928314</v>
      </c>
      <c r="CI14" s="15">
        <f>SUMIFS(Отчет!H:H,Отчет!$E:$E,$CG14)</f>
        <v>277225</v>
      </c>
      <c r="CJ14" s="15">
        <f>SUMIFS(Отчет!I:I,Отчет!$E:$E,$CG14)</f>
        <v>11159</v>
      </c>
      <c r="CN14" s="25"/>
      <c r="CO14" s="25"/>
      <c r="CP14" s="25"/>
      <c r="CQ14" s="25"/>
      <c r="CR14" s="25"/>
    </row>
    <row r="15" spans="6:96" x14ac:dyDescent="0.25">
      <c r="F15" t="s">
        <v>19</v>
      </c>
      <c r="G15" s="15">
        <f>SUMIFS(Отчет!G:G,Отчет!$E:$E,Выполнить!$F15)</f>
        <v>733218</v>
      </c>
      <c r="H15" s="15">
        <f>SUMIFS(Отчет!H:H,Отчет!$E:$E,Выполнить!$F15)</f>
        <v>245205</v>
      </c>
      <c r="I15" s="15">
        <f>SUMIFS(Отчет!I:I,Отчет!$E:$E,Выполнить!$F15)</f>
        <v>10704</v>
      </c>
      <c r="AZ15" t="s">
        <v>47</v>
      </c>
      <c r="BA15" s="15">
        <f>SUMIFS(Отчет!G:G,Отчет!$E:$E,Выполнить!$AZ15)</f>
        <v>802727</v>
      </c>
      <c r="BB15" s="15">
        <f>SUMIFS(Отчет!H:H,Отчет!$E:$E,Выполнить!$AZ15)</f>
        <v>229991</v>
      </c>
      <c r="BC15" s="15">
        <f>SUMIFS(Отчет!I:I,Отчет!$E:$E,Выполнить!$AZ15)</f>
        <v>10491</v>
      </c>
      <c r="CG15" t="s">
        <v>47</v>
      </c>
      <c r="CH15" s="15">
        <f>SUMIFS(Отчет!G:G,Отчет!$E:$E,$CG15)</f>
        <v>802727</v>
      </c>
      <c r="CI15" s="15">
        <f>SUMIFS(Отчет!H:H,Отчет!$E:$E,$CG15)</f>
        <v>229991</v>
      </c>
      <c r="CJ15" s="15">
        <f>SUMIFS(Отчет!I:I,Отчет!$E:$E,$CG15)</f>
        <v>10491</v>
      </c>
      <c r="CN15" s="25"/>
      <c r="CO15" s="25"/>
      <c r="CP15" s="25"/>
      <c r="CQ15" s="25"/>
      <c r="CR15" s="25"/>
    </row>
    <row r="16" spans="6:96" x14ac:dyDescent="0.25">
      <c r="F16" t="s">
        <v>37</v>
      </c>
      <c r="G16" s="15">
        <f>SUMIFS(Отчет!G:G,Отчет!$E:$E,Выполнить!$F16)</f>
        <v>1060266</v>
      </c>
      <c r="H16" s="15">
        <f>SUMIFS(Отчет!H:H,Отчет!$E:$E,Выполнить!$F16)</f>
        <v>320950</v>
      </c>
      <c r="I16" s="15">
        <f>SUMIFS(Отчет!I:I,Отчет!$E:$E,Выполнить!$F16)</f>
        <v>13521</v>
      </c>
      <c r="N16" s="24">
        <v>1</v>
      </c>
      <c r="AZ16" t="s">
        <v>45</v>
      </c>
      <c r="BA16" s="15">
        <f>SUMIFS(Отчет!G:G,Отчет!$E:$E,Выполнить!$AZ16)</f>
        <v>853523</v>
      </c>
      <c r="BB16" s="15">
        <f>SUMIFS(Отчет!H:H,Отчет!$E:$E,Выполнить!$AZ16)</f>
        <v>269928</v>
      </c>
      <c r="BC16" s="15">
        <f>SUMIFS(Отчет!I:I,Отчет!$E:$E,Выполнить!$AZ16)</f>
        <v>15689</v>
      </c>
      <c r="CG16" t="s">
        <v>45</v>
      </c>
      <c r="CH16" s="15">
        <f>SUMIFS(Отчет!G:G,Отчет!$E:$E,$CG16)</f>
        <v>853523</v>
      </c>
      <c r="CI16" s="15">
        <f>SUMIFS(Отчет!H:H,Отчет!$E:$E,$CG16)</f>
        <v>269928</v>
      </c>
      <c r="CJ16" s="15">
        <f>SUMIFS(Отчет!I:I,Отчет!$E:$E,$CG16)</f>
        <v>15689</v>
      </c>
      <c r="CN16" s="25"/>
      <c r="CO16" s="25"/>
      <c r="CP16" s="25"/>
      <c r="CQ16" s="25"/>
      <c r="CR16" s="25"/>
    </row>
    <row r="17" spans="6:96" x14ac:dyDescent="0.25">
      <c r="F17" t="s">
        <v>16</v>
      </c>
      <c r="G17" s="15">
        <f>SUMIFS(Отчет!G:G,Отчет!$E:$E,Выполнить!$F17)</f>
        <v>891634</v>
      </c>
      <c r="H17" s="15">
        <f>SUMIFS(Отчет!H:H,Отчет!$E:$E,Выполнить!$F17)</f>
        <v>259920</v>
      </c>
      <c r="I17" s="15">
        <f>SUMIFS(Отчет!I:I,Отчет!$E:$E,Выполнить!$F17)</f>
        <v>11903</v>
      </c>
      <c r="AZ17" t="s">
        <v>2</v>
      </c>
      <c r="BA17" s="15">
        <f>SUMIFS(Отчет!G:G,Отчет!$E:$E,Выполнить!$AZ17)</f>
        <v>1072214</v>
      </c>
      <c r="BB17" s="15">
        <f>SUMIFS(Отчет!H:H,Отчет!$E:$E,Выполнить!$AZ17)</f>
        <v>343018</v>
      </c>
      <c r="BC17" s="15">
        <f>SUMIFS(Отчет!I:I,Отчет!$E:$E,Выполнить!$AZ17)</f>
        <v>13937</v>
      </c>
      <c r="CG17" t="s">
        <v>2</v>
      </c>
      <c r="CH17" s="15">
        <f>SUMIFS(Отчет!G:G,Отчет!$E:$E,$CG17)</f>
        <v>1072214</v>
      </c>
      <c r="CI17" s="15">
        <f>SUMIFS(Отчет!H:H,Отчет!$E:$E,$CG17)</f>
        <v>343018</v>
      </c>
      <c r="CJ17" s="15">
        <f>SUMIFS(Отчет!I:I,Отчет!$E:$E,$CG17)</f>
        <v>13937</v>
      </c>
      <c r="CN17" s="25"/>
      <c r="CO17" s="21" t="s">
        <v>73</v>
      </c>
      <c r="CP17" s="21" t="b">
        <v>1</v>
      </c>
      <c r="CQ17" s="25"/>
      <c r="CR17" s="25"/>
    </row>
    <row r="18" spans="6:96" x14ac:dyDescent="0.25">
      <c r="F18" t="s">
        <v>32</v>
      </c>
      <c r="G18" s="15">
        <f>SUMIFS(Отчет!G:G,Отчет!$E:$E,Выполнить!$F18)</f>
        <v>928314</v>
      </c>
      <c r="H18" s="15">
        <f>SUMIFS(Отчет!H:H,Отчет!$E:$E,Выполнить!$F18)</f>
        <v>277225</v>
      </c>
      <c r="I18" s="15">
        <f>SUMIFS(Отчет!I:I,Отчет!$E:$E,Выполнить!$F18)</f>
        <v>11159</v>
      </c>
      <c r="BB18" s="6"/>
      <c r="CI18" s="6"/>
      <c r="CN18" s="25"/>
      <c r="CO18" s="21" t="s">
        <v>74</v>
      </c>
      <c r="CP18" s="21" t="b">
        <v>0</v>
      </c>
      <c r="CQ18" s="25"/>
      <c r="CR18" s="25"/>
    </row>
    <row r="19" spans="6:96" x14ac:dyDescent="0.25">
      <c r="F19" t="s">
        <v>47</v>
      </c>
      <c r="G19" s="15">
        <f>SUMIFS(Отчет!G:G,Отчет!$E:$E,Выполнить!$F19)</f>
        <v>802727</v>
      </c>
      <c r="H19" s="15">
        <f>SUMIFS(Отчет!H:H,Отчет!$E:$E,Выполнить!$F19)</f>
        <v>229991</v>
      </c>
      <c r="I19" s="15">
        <f>SUMIFS(Отчет!I:I,Отчет!$E:$E,Выполнить!$F19)</f>
        <v>10491</v>
      </c>
      <c r="BB19" s="6"/>
      <c r="CI19" s="6"/>
      <c r="CN19" s="25"/>
      <c r="CO19" s="21" t="s">
        <v>72</v>
      </c>
      <c r="CP19" s="21" t="b">
        <v>0</v>
      </c>
      <c r="CQ19" s="25"/>
      <c r="CR19" s="25"/>
    </row>
    <row r="20" spans="6:96" ht="15.75" thickBot="1" x14ac:dyDescent="0.3">
      <c r="F20" t="s">
        <v>45</v>
      </c>
      <c r="G20" s="15">
        <f>SUMIFS(Отчет!G:G,Отчет!$E:$E,Выполнить!$F20)</f>
        <v>853523</v>
      </c>
      <c r="H20" s="15">
        <f>SUMIFS(Отчет!H:H,Отчет!$E:$E,Выполнить!$F20)</f>
        <v>269928</v>
      </c>
      <c r="I20" s="15">
        <f>SUMIFS(Отчет!I:I,Отчет!$E:$E,Выполнить!$F20)</f>
        <v>15689</v>
      </c>
      <c r="BB20" s="6"/>
      <c r="CI20" s="6"/>
      <c r="CN20" s="25"/>
      <c r="CO20" s="25"/>
      <c r="CP20" s="25"/>
      <c r="CQ20" s="25"/>
      <c r="CR20" s="25"/>
    </row>
    <row r="21" spans="6:96" ht="15.75" thickBot="1" x14ac:dyDescent="0.3">
      <c r="F21" s="8" t="s">
        <v>2</v>
      </c>
      <c r="G21" s="28">
        <f>SUMIFS(Отчет!G:G,Отчет!$E:$E,Выполнить!$F21)</f>
        <v>1072214</v>
      </c>
      <c r="H21" s="28">
        <f>SUMIFS(Отчет!H:H,Отчет!$E:$E,Выполнить!$F21)</f>
        <v>343018</v>
      </c>
      <c r="I21" s="28">
        <f>SUMIFS(Отчет!I:I,Отчет!$E:$E,Выполнить!$F21)</f>
        <v>13937</v>
      </c>
      <c r="M21" s="18" t="s">
        <v>70</v>
      </c>
      <c r="N21" s="26">
        <f>CHOOSE($N$16,SUM(CHOOSE(MATCH($N$8,$G$8:$I$8,0),$G$9:$G$21,$H$9:$H$21,$I$9:$I$21)),
           MAX(CHOOSE(MATCH($N$8,$G$8:$I$8,0),$G$9:$G$21,$H$9:$H$21,$I$9:$I$21)),
           MIN(CHOOSE(MATCH($N$8,$G$8:$I$8,0),$G$9:$G$21,$H$9:$H$21,$I$9:$I$21)))</f>
        <v>11516950</v>
      </c>
      <c r="CN21" s="25"/>
      <c r="CO21" s="25"/>
      <c r="CP21" s="25"/>
      <c r="CQ21" s="25"/>
      <c r="CR21" s="25"/>
    </row>
    <row r="22" spans="6:96" x14ac:dyDescent="0.25">
      <c r="CN22" s="25"/>
      <c r="CO22" s="25"/>
      <c r="CP22" s="25"/>
      <c r="CQ22" s="25"/>
      <c r="CR22" s="25"/>
    </row>
    <row r="27" spans="6:96" x14ac:dyDescent="0.25">
      <c r="CO27" s="21"/>
      <c r="CP27" s="21"/>
    </row>
    <row r="28" spans="6:96" x14ac:dyDescent="0.25">
      <c r="CO28" s="21"/>
      <c r="CP28" s="21"/>
    </row>
    <row r="29" spans="6:96" x14ac:dyDescent="0.25">
      <c r="CO29" s="21"/>
      <c r="CP29" s="21"/>
    </row>
  </sheetData>
  <dataValidations count="4">
    <dataValidation type="list" allowBlank="1" showInputMessage="1" showErrorMessage="1" sqref="BG6 CN6" xr:uid="{F93291D1-D18B-40A2-96EE-CF7D6163598C}">
      <formula1>$BA$4:$BC$4</formula1>
    </dataValidation>
    <dataValidation type="list" allowBlank="1" showInputMessage="1" showErrorMessage="1" sqref="BG7 CN7" xr:uid="{640B2C1F-BDBE-4795-A0C0-AB0FA37B14EB}">
      <formula1>"MAX,MIN,AVG"</formula1>
    </dataValidation>
    <dataValidation type="list" allowBlank="1" showInputMessage="1" showErrorMessage="1" sqref="N8" xr:uid="{51AE572F-7297-43DD-88CC-F54B0D94689B}">
      <formula1>$G$8:$I$8</formula1>
    </dataValidation>
    <dataValidation type="list" allowBlank="1" showInputMessage="1" showErrorMessage="1" sqref="N9" xr:uid="{2831BBA5-1A24-4E23-9D72-B45D4C4C8EDF}">
      <formula1>"SUM,MAX,MIN"</formula1>
    </dataValidation>
  </dataValidation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5" r:id="rId4" name="Check Box 7">
              <controlPr defaultSize="0" autoFill="0" autoLine="0" autoPict="0">
                <anchor moveWithCells="1">
                  <from>
                    <xdr:col>90</xdr:col>
                    <xdr:colOff>85725</xdr:colOff>
                    <xdr:row>15</xdr:row>
                    <xdr:rowOff>85725</xdr:rowOff>
                  </from>
                  <to>
                    <xdr:col>90</xdr:col>
                    <xdr:colOff>981075</xdr:colOff>
                    <xdr:row>16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5" name="Check Box 8">
              <controlPr defaultSize="0" autoFill="0" autoLine="0" autoPict="0">
                <anchor moveWithCells="1">
                  <from>
                    <xdr:col>90</xdr:col>
                    <xdr:colOff>85725</xdr:colOff>
                    <xdr:row>16</xdr:row>
                    <xdr:rowOff>152400</xdr:rowOff>
                  </from>
                  <to>
                    <xdr:col>90</xdr:col>
                    <xdr:colOff>981075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6" name="Check Box 9">
              <controlPr defaultSize="0" autoFill="0" autoLine="0" autoPict="0">
                <anchor moveWithCells="1">
                  <from>
                    <xdr:col>90</xdr:col>
                    <xdr:colOff>85725</xdr:colOff>
                    <xdr:row>18</xdr:row>
                    <xdr:rowOff>28575</xdr:rowOff>
                  </from>
                  <to>
                    <xdr:col>90</xdr:col>
                    <xdr:colOff>981075</xdr:colOff>
                    <xdr:row>19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7" name="Option Button 14">
              <controlPr defaultSize="0" autoFill="0" autoLine="0" autoPict="0">
                <anchor moveWithCells="1">
                  <from>
                    <xdr:col>12</xdr:col>
                    <xdr:colOff>47625</xdr:colOff>
                    <xdr:row>15</xdr:row>
                    <xdr:rowOff>95250</xdr:rowOff>
                  </from>
                  <to>
                    <xdr:col>12</xdr:col>
                    <xdr:colOff>809625</xdr:colOff>
                    <xdr:row>16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8" name="Option Button 15">
              <controlPr defaultSize="0" autoFill="0" autoLine="0" autoPict="0">
                <anchor moveWithCells="1">
                  <from>
                    <xdr:col>12</xdr:col>
                    <xdr:colOff>57150</xdr:colOff>
                    <xdr:row>16</xdr:row>
                    <xdr:rowOff>171450</xdr:rowOff>
                  </from>
                  <to>
                    <xdr:col>12</xdr:col>
                    <xdr:colOff>819150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9" name="Option Button 16">
              <controlPr defaultSize="0" autoFill="0" autoLine="0" autoPict="0">
                <anchor moveWithCells="1">
                  <from>
                    <xdr:col>12</xdr:col>
                    <xdr:colOff>57150</xdr:colOff>
                    <xdr:row>18</xdr:row>
                    <xdr:rowOff>57150</xdr:rowOff>
                  </from>
                  <to>
                    <xdr:col>12</xdr:col>
                    <xdr:colOff>819150</xdr:colOff>
                    <xdr:row>19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65D4-AE2F-4225-AEE0-5E6E6E515A79}">
  <sheetPr>
    <tabColor rgb="FF00B050"/>
  </sheetPr>
  <dimension ref="A2:I603"/>
  <sheetViews>
    <sheetView workbookViewId="0">
      <selection activeCell="G4" sqref="G4"/>
    </sheetView>
  </sheetViews>
  <sheetFormatPr defaultColWidth="8.625" defaultRowHeight="15" x14ac:dyDescent="0.25"/>
  <cols>
    <col min="1" max="1" width="4" style="2" customWidth="1"/>
    <col min="2" max="2" width="4.875" style="2" customWidth="1"/>
    <col min="3" max="3" width="4.375" style="2" customWidth="1"/>
    <col min="4" max="4" width="8.625" style="1"/>
    <col min="5" max="5" width="18.75" style="1" bestFit="1" customWidth="1"/>
    <col min="6" max="6" width="9.125" style="1" bestFit="1" customWidth="1"/>
    <col min="7" max="7" width="11.625" style="1" bestFit="1" customWidth="1"/>
    <col min="8" max="8" width="7.375" style="1" bestFit="1" customWidth="1"/>
    <col min="9" max="9" width="11.875" style="1" bestFit="1" customWidth="1"/>
    <col min="10" max="16384" width="8.625" style="1"/>
  </cols>
  <sheetData>
    <row r="2" spans="5:9" ht="15.75" thickBot="1" x14ac:dyDescent="0.3"/>
    <row r="3" spans="5:9" x14ac:dyDescent="0.25"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</row>
    <row r="4" spans="5:9" x14ac:dyDescent="0.25">
      <c r="E4" t="s">
        <v>1</v>
      </c>
      <c r="F4" t="s">
        <v>51</v>
      </c>
      <c r="G4" s="10">
        <v>148483</v>
      </c>
      <c r="H4" s="11">
        <v>33258</v>
      </c>
      <c r="I4" s="10">
        <v>2834</v>
      </c>
    </row>
    <row r="5" spans="5:9" x14ac:dyDescent="0.25">
      <c r="E5" t="s">
        <v>1</v>
      </c>
      <c r="F5" t="s">
        <v>52</v>
      </c>
      <c r="G5" s="10">
        <v>38241</v>
      </c>
      <c r="H5" s="11">
        <v>8823</v>
      </c>
      <c r="I5" s="10">
        <v>813</v>
      </c>
    </row>
    <row r="6" spans="5:9" x14ac:dyDescent="0.25">
      <c r="E6" t="s">
        <v>1</v>
      </c>
      <c r="F6" t="s">
        <v>53</v>
      </c>
      <c r="G6" s="10">
        <v>54157</v>
      </c>
      <c r="H6" s="11">
        <v>11297</v>
      </c>
      <c r="I6" s="10">
        <v>711</v>
      </c>
    </row>
    <row r="7" spans="5:9" x14ac:dyDescent="0.25">
      <c r="E7" t="s">
        <v>1</v>
      </c>
      <c r="F7" t="s">
        <v>54</v>
      </c>
      <c r="G7" s="10">
        <v>22200</v>
      </c>
      <c r="H7" s="11">
        <v>6717</v>
      </c>
      <c r="I7" s="10">
        <v>392</v>
      </c>
    </row>
    <row r="8" spans="5:9" x14ac:dyDescent="0.25">
      <c r="E8" t="s">
        <v>1</v>
      </c>
      <c r="F8" t="s">
        <v>55</v>
      </c>
      <c r="G8" s="10">
        <v>138053</v>
      </c>
      <c r="H8" s="11">
        <v>53787</v>
      </c>
      <c r="I8" s="10">
        <v>2795</v>
      </c>
    </row>
    <row r="9" spans="5:9" x14ac:dyDescent="0.25">
      <c r="E9" t="s">
        <v>1</v>
      </c>
      <c r="F9" t="s">
        <v>56</v>
      </c>
      <c r="G9" s="10">
        <v>47567</v>
      </c>
      <c r="H9" s="11">
        <v>18717</v>
      </c>
      <c r="I9" s="10">
        <v>1418</v>
      </c>
    </row>
    <row r="10" spans="5:9" x14ac:dyDescent="0.25">
      <c r="E10" t="s">
        <v>1</v>
      </c>
      <c r="F10" t="s">
        <v>57</v>
      </c>
      <c r="G10" s="10">
        <v>110416</v>
      </c>
      <c r="H10" s="11">
        <v>33701</v>
      </c>
      <c r="I10" s="10">
        <v>3266</v>
      </c>
    </row>
    <row r="11" spans="5:9" x14ac:dyDescent="0.25">
      <c r="E11" t="s">
        <v>1</v>
      </c>
      <c r="F11" t="s">
        <v>58</v>
      </c>
      <c r="G11" s="10">
        <v>129454</v>
      </c>
      <c r="H11" s="11">
        <v>30877</v>
      </c>
      <c r="I11" s="10">
        <v>1029</v>
      </c>
    </row>
    <row r="12" spans="5:9" x14ac:dyDescent="0.25">
      <c r="E12" t="s">
        <v>1</v>
      </c>
      <c r="F12" t="s">
        <v>59</v>
      </c>
      <c r="G12" s="10">
        <v>109685</v>
      </c>
      <c r="H12" s="11">
        <v>40483</v>
      </c>
      <c r="I12" s="10">
        <v>3520</v>
      </c>
    </row>
    <row r="13" spans="5:9" x14ac:dyDescent="0.25">
      <c r="E13" t="s">
        <v>1</v>
      </c>
      <c r="F13" t="s">
        <v>60</v>
      </c>
      <c r="G13" s="10">
        <v>134341</v>
      </c>
      <c r="H13" s="11">
        <v>44339</v>
      </c>
      <c r="I13" s="10">
        <v>1025</v>
      </c>
    </row>
    <row r="14" spans="5:9" x14ac:dyDescent="0.25">
      <c r="E14" t="s">
        <v>1</v>
      </c>
      <c r="F14" t="s">
        <v>61</v>
      </c>
      <c r="G14" s="10">
        <v>18425</v>
      </c>
      <c r="H14" s="11">
        <v>4724</v>
      </c>
      <c r="I14" s="10">
        <v>36</v>
      </c>
    </row>
    <row r="15" spans="5:9" x14ac:dyDescent="0.25">
      <c r="E15" t="s">
        <v>1</v>
      </c>
      <c r="F15" t="s">
        <v>62</v>
      </c>
      <c r="G15" s="10">
        <v>142027</v>
      </c>
      <c r="H15" s="11">
        <v>42175</v>
      </c>
      <c r="I15" s="10">
        <v>2193</v>
      </c>
    </row>
    <row r="16" spans="5:9" x14ac:dyDescent="0.25">
      <c r="E16" t="s">
        <v>2</v>
      </c>
      <c r="F16" t="s">
        <v>51</v>
      </c>
      <c r="G16" s="10">
        <v>110170</v>
      </c>
      <c r="H16" s="11">
        <v>36391</v>
      </c>
      <c r="I16" s="10">
        <v>2518</v>
      </c>
    </row>
    <row r="17" spans="5:9" x14ac:dyDescent="0.25">
      <c r="E17" t="s">
        <v>2</v>
      </c>
      <c r="F17" t="s">
        <v>52</v>
      </c>
      <c r="G17" s="10">
        <v>98498</v>
      </c>
      <c r="H17" s="11">
        <v>33414</v>
      </c>
      <c r="I17" s="10">
        <v>1572</v>
      </c>
    </row>
    <row r="18" spans="5:9" x14ac:dyDescent="0.25">
      <c r="E18" t="s">
        <v>2</v>
      </c>
      <c r="F18" t="s">
        <v>53</v>
      </c>
      <c r="G18" s="10">
        <v>86199</v>
      </c>
      <c r="H18" s="11">
        <v>26042</v>
      </c>
      <c r="I18" s="10">
        <v>70</v>
      </c>
    </row>
    <row r="19" spans="5:9" x14ac:dyDescent="0.25">
      <c r="E19" t="s">
        <v>2</v>
      </c>
      <c r="F19" t="s">
        <v>54</v>
      </c>
      <c r="G19" s="10">
        <v>131527</v>
      </c>
      <c r="H19" s="11">
        <v>40252</v>
      </c>
      <c r="I19" s="10">
        <v>2316</v>
      </c>
    </row>
    <row r="20" spans="5:9" x14ac:dyDescent="0.25">
      <c r="E20" t="s">
        <v>2</v>
      </c>
      <c r="F20" t="s">
        <v>55</v>
      </c>
      <c r="G20" s="10">
        <v>13856</v>
      </c>
      <c r="H20" s="11">
        <v>5067</v>
      </c>
      <c r="I20" s="10">
        <v>256</v>
      </c>
    </row>
    <row r="21" spans="5:9" x14ac:dyDescent="0.25">
      <c r="E21" t="s">
        <v>2</v>
      </c>
      <c r="F21" t="s">
        <v>56</v>
      </c>
      <c r="G21" s="10">
        <v>148972</v>
      </c>
      <c r="H21" s="11">
        <v>54539</v>
      </c>
      <c r="I21" s="10">
        <v>684</v>
      </c>
    </row>
    <row r="22" spans="5:9" x14ac:dyDescent="0.25">
      <c r="E22" t="s">
        <v>2</v>
      </c>
      <c r="F22" t="s">
        <v>57</v>
      </c>
      <c r="G22" s="10">
        <v>148424</v>
      </c>
      <c r="H22" s="11">
        <v>50550</v>
      </c>
      <c r="I22" s="10">
        <v>2496</v>
      </c>
    </row>
    <row r="23" spans="5:9" x14ac:dyDescent="0.25">
      <c r="E23" t="s">
        <v>2</v>
      </c>
      <c r="F23" t="s">
        <v>58</v>
      </c>
      <c r="G23" s="10">
        <v>22001</v>
      </c>
      <c r="H23" s="11">
        <v>6365</v>
      </c>
      <c r="I23" s="10">
        <v>374</v>
      </c>
    </row>
    <row r="24" spans="5:9" x14ac:dyDescent="0.25">
      <c r="E24" t="s">
        <v>2</v>
      </c>
      <c r="F24" t="s">
        <v>59</v>
      </c>
      <c r="G24" s="10">
        <v>100226</v>
      </c>
      <c r="H24" s="11">
        <v>27633</v>
      </c>
      <c r="I24" s="10">
        <v>2725</v>
      </c>
    </row>
    <row r="25" spans="5:9" x14ac:dyDescent="0.25">
      <c r="E25" t="s">
        <v>2</v>
      </c>
      <c r="F25" t="s">
        <v>60</v>
      </c>
      <c r="G25" s="10">
        <v>25252</v>
      </c>
      <c r="H25" s="11">
        <v>9897</v>
      </c>
      <c r="I25" s="10">
        <v>576</v>
      </c>
    </row>
    <row r="26" spans="5:9" x14ac:dyDescent="0.25">
      <c r="E26" t="s">
        <v>2</v>
      </c>
      <c r="F26" t="s">
        <v>61</v>
      </c>
      <c r="G26" s="10">
        <v>125237</v>
      </c>
      <c r="H26" s="11">
        <v>28411</v>
      </c>
      <c r="I26" s="10">
        <v>45</v>
      </c>
    </row>
    <row r="27" spans="5:9" x14ac:dyDescent="0.25">
      <c r="E27" t="s">
        <v>2</v>
      </c>
      <c r="F27" t="s">
        <v>62</v>
      </c>
      <c r="G27" s="10">
        <v>61852</v>
      </c>
      <c r="H27" s="11">
        <v>24457</v>
      </c>
      <c r="I27" s="10">
        <v>305</v>
      </c>
    </row>
    <row r="28" spans="5:9" x14ac:dyDescent="0.25">
      <c r="E28" t="s">
        <v>3</v>
      </c>
      <c r="F28" t="s">
        <v>51</v>
      </c>
      <c r="G28" s="10">
        <v>73517</v>
      </c>
      <c r="H28" s="11">
        <v>27545</v>
      </c>
      <c r="I28" s="10">
        <v>1597</v>
      </c>
    </row>
    <row r="29" spans="5:9" x14ac:dyDescent="0.25">
      <c r="E29" t="s">
        <v>3</v>
      </c>
      <c r="F29" t="s">
        <v>52</v>
      </c>
      <c r="G29" s="10">
        <v>127908</v>
      </c>
      <c r="H29" s="11">
        <v>26149</v>
      </c>
      <c r="I29" s="10">
        <v>1901</v>
      </c>
    </row>
    <row r="30" spans="5:9" x14ac:dyDescent="0.25">
      <c r="E30" t="s">
        <v>3</v>
      </c>
      <c r="F30" t="s">
        <v>53</v>
      </c>
      <c r="G30" s="10">
        <v>50762</v>
      </c>
      <c r="H30" s="11">
        <v>20073</v>
      </c>
      <c r="I30" s="10">
        <v>99</v>
      </c>
    </row>
    <row r="31" spans="5:9" x14ac:dyDescent="0.25">
      <c r="E31" t="s">
        <v>3</v>
      </c>
      <c r="F31" t="s">
        <v>54</v>
      </c>
      <c r="G31" s="10">
        <v>42421</v>
      </c>
      <c r="H31" s="11">
        <v>16224</v>
      </c>
      <c r="I31" s="10">
        <v>36</v>
      </c>
    </row>
    <row r="32" spans="5:9" x14ac:dyDescent="0.25">
      <c r="E32" t="s">
        <v>3</v>
      </c>
      <c r="F32" t="s">
        <v>55</v>
      </c>
      <c r="G32" s="10">
        <v>19330</v>
      </c>
      <c r="H32" s="11">
        <v>6852</v>
      </c>
      <c r="I32" s="10">
        <v>177</v>
      </c>
    </row>
    <row r="33" spans="5:9" x14ac:dyDescent="0.25">
      <c r="E33" t="s">
        <v>3</v>
      </c>
      <c r="F33" t="s">
        <v>56</v>
      </c>
      <c r="G33" s="10">
        <v>53481</v>
      </c>
      <c r="H33" s="11">
        <v>15745</v>
      </c>
      <c r="I33" s="10">
        <v>775</v>
      </c>
    </row>
    <row r="34" spans="5:9" x14ac:dyDescent="0.25">
      <c r="E34" t="s">
        <v>3</v>
      </c>
      <c r="F34" t="s">
        <v>57</v>
      </c>
      <c r="G34" s="10">
        <v>71572</v>
      </c>
      <c r="H34" s="11">
        <v>14477</v>
      </c>
      <c r="I34" s="10">
        <v>1109</v>
      </c>
    </row>
    <row r="35" spans="5:9" x14ac:dyDescent="0.25">
      <c r="E35" t="s">
        <v>3</v>
      </c>
      <c r="F35" t="s">
        <v>58</v>
      </c>
      <c r="G35" s="10">
        <v>15916</v>
      </c>
      <c r="H35" s="11">
        <v>3992</v>
      </c>
      <c r="I35" s="10">
        <v>19</v>
      </c>
    </row>
    <row r="36" spans="5:9" x14ac:dyDescent="0.25">
      <c r="E36" t="s">
        <v>3</v>
      </c>
      <c r="F36" t="s">
        <v>59</v>
      </c>
      <c r="G36" s="10">
        <v>133358</v>
      </c>
      <c r="H36" s="11">
        <v>40316</v>
      </c>
      <c r="I36" s="10">
        <v>3830</v>
      </c>
    </row>
    <row r="37" spans="5:9" x14ac:dyDescent="0.25">
      <c r="E37" t="s">
        <v>3</v>
      </c>
      <c r="F37" t="s">
        <v>60</v>
      </c>
      <c r="G37" s="10">
        <v>146932</v>
      </c>
      <c r="H37" s="11">
        <v>45905</v>
      </c>
      <c r="I37" s="10">
        <v>4101</v>
      </c>
    </row>
    <row r="38" spans="5:9" x14ac:dyDescent="0.25">
      <c r="E38" t="s">
        <v>3</v>
      </c>
      <c r="F38" t="s">
        <v>61</v>
      </c>
      <c r="G38" s="10">
        <v>18678</v>
      </c>
      <c r="H38" s="11">
        <v>5223</v>
      </c>
      <c r="I38" s="10">
        <v>374</v>
      </c>
    </row>
    <row r="39" spans="5:9" x14ac:dyDescent="0.25">
      <c r="E39" t="s">
        <v>3</v>
      </c>
      <c r="F39" t="s">
        <v>62</v>
      </c>
      <c r="G39" s="10">
        <v>119531</v>
      </c>
      <c r="H39" s="11">
        <v>33160</v>
      </c>
      <c r="I39" s="10">
        <v>2030</v>
      </c>
    </row>
    <row r="40" spans="5:9" x14ac:dyDescent="0.25">
      <c r="E40" t="s">
        <v>4</v>
      </c>
      <c r="F40" t="s">
        <v>51</v>
      </c>
      <c r="G40" s="10">
        <v>97983</v>
      </c>
      <c r="H40" s="11">
        <v>23779</v>
      </c>
      <c r="I40" s="10">
        <v>443</v>
      </c>
    </row>
    <row r="41" spans="5:9" x14ac:dyDescent="0.25">
      <c r="E41" t="s">
        <v>4</v>
      </c>
      <c r="F41" t="s">
        <v>52</v>
      </c>
      <c r="G41" s="10">
        <v>20916</v>
      </c>
      <c r="H41" s="11">
        <v>6503</v>
      </c>
      <c r="I41" s="10">
        <v>283</v>
      </c>
    </row>
    <row r="42" spans="5:9" x14ac:dyDescent="0.25">
      <c r="E42" t="s">
        <v>4</v>
      </c>
      <c r="F42" t="s">
        <v>53</v>
      </c>
      <c r="G42" s="10">
        <v>85691</v>
      </c>
      <c r="H42" s="11">
        <v>21208</v>
      </c>
      <c r="I42" s="10">
        <v>1513</v>
      </c>
    </row>
    <row r="43" spans="5:9" x14ac:dyDescent="0.25">
      <c r="E43" t="s">
        <v>4</v>
      </c>
      <c r="F43" t="s">
        <v>54</v>
      </c>
      <c r="G43" s="10">
        <v>50252</v>
      </c>
      <c r="H43" s="11">
        <v>16247</v>
      </c>
      <c r="I43" s="10">
        <v>987</v>
      </c>
    </row>
    <row r="44" spans="5:9" x14ac:dyDescent="0.25">
      <c r="E44" t="s">
        <v>4</v>
      </c>
      <c r="F44" t="s">
        <v>55</v>
      </c>
      <c r="G44" s="10">
        <v>88951</v>
      </c>
      <c r="H44" s="11">
        <v>24212</v>
      </c>
      <c r="I44" s="10">
        <v>465</v>
      </c>
    </row>
    <row r="45" spans="5:9" x14ac:dyDescent="0.25">
      <c r="E45" t="s">
        <v>4</v>
      </c>
      <c r="F45" t="s">
        <v>56</v>
      </c>
      <c r="G45" s="10">
        <v>48313</v>
      </c>
      <c r="H45" s="11">
        <v>17942</v>
      </c>
      <c r="I45" s="10">
        <v>1351</v>
      </c>
    </row>
    <row r="46" spans="5:9" x14ac:dyDescent="0.25">
      <c r="E46" t="s">
        <v>4</v>
      </c>
      <c r="F46" t="s">
        <v>57</v>
      </c>
      <c r="G46" s="10">
        <v>86091</v>
      </c>
      <c r="H46" s="11">
        <v>26916</v>
      </c>
      <c r="I46" s="10">
        <v>2492</v>
      </c>
    </row>
    <row r="47" spans="5:9" x14ac:dyDescent="0.25">
      <c r="E47" t="s">
        <v>4</v>
      </c>
      <c r="F47" t="s">
        <v>58</v>
      </c>
      <c r="G47" s="10">
        <v>138283</v>
      </c>
      <c r="H47" s="11">
        <v>51828</v>
      </c>
      <c r="I47" s="10">
        <v>1151</v>
      </c>
    </row>
    <row r="48" spans="5:9" x14ac:dyDescent="0.25">
      <c r="E48" t="s">
        <v>4</v>
      </c>
      <c r="F48" t="s">
        <v>59</v>
      </c>
      <c r="G48" s="10">
        <v>14569</v>
      </c>
      <c r="H48" s="11">
        <v>3565</v>
      </c>
      <c r="I48" s="10">
        <v>100</v>
      </c>
    </row>
    <row r="49" spans="5:9" x14ac:dyDescent="0.25">
      <c r="E49" t="s">
        <v>4</v>
      </c>
      <c r="F49" t="s">
        <v>60</v>
      </c>
      <c r="G49" s="10">
        <v>28151</v>
      </c>
      <c r="H49" s="11">
        <v>10454</v>
      </c>
      <c r="I49" s="10">
        <v>640</v>
      </c>
    </row>
    <row r="50" spans="5:9" x14ac:dyDescent="0.25">
      <c r="E50" t="s">
        <v>4</v>
      </c>
      <c r="F50" t="s">
        <v>61</v>
      </c>
      <c r="G50" s="10">
        <v>138037</v>
      </c>
      <c r="H50" s="11">
        <v>51222</v>
      </c>
      <c r="I50" s="10">
        <v>660</v>
      </c>
    </row>
    <row r="51" spans="5:9" x14ac:dyDescent="0.25">
      <c r="E51" t="s">
        <v>4</v>
      </c>
      <c r="F51" t="s">
        <v>62</v>
      </c>
      <c r="G51" s="10">
        <v>34360</v>
      </c>
      <c r="H51" s="11">
        <v>9759</v>
      </c>
      <c r="I51" s="10">
        <v>195</v>
      </c>
    </row>
    <row r="52" spans="5:9" x14ac:dyDescent="0.25">
      <c r="E52" t="s">
        <v>5</v>
      </c>
      <c r="F52" t="s">
        <v>51</v>
      </c>
      <c r="G52" s="10">
        <v>27963</v>
      </c>
      <c r="H52" s="11">
        <v>9482</v>
      </c>
      <c r="I52" s="10">
        <v>602</v>
      </c>
    </row>
    <row r="53" spans="5:9" x14ac:dyDescent="0.25">
      <c r="E53" t="s">
        <v>5</v>
      </c>
      <c r="F53" t="s">
        <v>52</v>
      </c>
      <c r="G53" s="10">
        <v>20830</v>
      </c>
      <c r="H53" s="11">
        <v>7760</v>
      </c>
      <c r="I53" s="10">
        <v>583</v>
      </c>
    </row>
    <row r="54" spans="5:9" x14ac:dyDescent="0.25">
      <c r="E54" t="s">
        <v>5</v>
      </c>
      <c r="F54" t="s">
        <v>53</v>
      </c>
      <c r="G54" s="10">
        <v>35400</v>
      </c>
      <c r="H54" s="11">
        <v>7900</v>
      </c>
      <c r="I54" s="10">
        <v>135</v>
      </c>
    </row>
    <row r="55" spans="5:9" x14ac:dyDescent="0.25">
      <c r="E55" t="s">
        <v>5</v>
      </c>
      <c r="F55" t="s">
        <v>54</v>
      </c>
      <c r="G55" s="10">
        <v>46970</v>
      </c>
      <c r="H55" s="11">
        <v>17848</v>
      </c>
      <c r="I55" s="10">
        <v>270</v>
      </c>
    </row>
    <row r="56" spans="5:9" x14ac:dyDescent="0.25">
      <c r="E56" t="s">
        <v>5</v>
      </c>
      <c r="F56" t="s">
        <v>55</v>
      </c>
      <c r="G56" s="10">
        <v>90960</v>
      </c>
      <c r="H56" s="11">
        <v>25720</v>
      </c>
      <c r="I56" s="10">
        <v>1379</v>
      </c>
    </row>
    <row r="57" spans="5:9" x14ac:dyDescent="0.25">
      <c r="E57" t="s">
        <v>5</v>
      </c>
      <c r="F57" t="s">
        <v>56</v>
      </c>
      <c r="G57" s="10">
        <v>36191</v>
      </c>
      <c r="H57" s="11">
        <v>14233</v>
      </c>
      <c r="I57" s="10">
        <v>1327</v>
      </c>
    </row>
    <row r="58" spans="5:9" x14ac:dyDescent="0.25">
      <c r="E58" t="s">
        <v>5</v>
      </c>
      <c r="F58" t="s">
        <v>57</v>
      </c>
      <c r="G58" s="10">
        <v>118976</v>
      </c>
      <c r="H58" s="11">
        <v>26575</v>
      </c>
      <c r="I58" s="10">
        <v>13</v>
      </c>
    </row>
    <row r="59" spans="5:9" x14ac:dyDescent="0.25">
      <c r="E59" t="s">
        <v>5</v>
      </c>
      <c r="F59" t="s">
        <v>58</v>
      </c>
      <c r="G59" s="10">
        <v>66017</v>
      </c>
      <c r="H59" s="11">
        <v>17845</v>
      </c>
      <c r="I59" s="10">
        <v>1152</v>
      </c>
    </row>
    <row r="60" spans="5:9" x14ac:dyDescent="0.25">
      <c r="E60" t="s">
        <v>5</v>
      </c>
      <c r="F60" t="s">
        <v>59</v>
      </c>
      <c r="G60" s="10">
        <v>144297</v>
      </c>
      <c r="H60" s="11">
        <v>30879</v>
      </c>
      <c r="I60" s="10">
        <v>2290</v>
      </c>
    </row>
    <row r="61" spans="5:9" x14ac:dyDescent="0.25">
      <c r="E61" t="s">
        <v>5</v>
      </c>
      <c r="F61" t="s">
        <v>60</v>
      </c>
      <c r="G61" s="10">
        <v>34166</v>
      </c>
      <c r="H61" s="11">
        <v>11237</v>
      </c>
      <c r="I61" s="10">
        <v>576</v>
      </c>
    </row>
    <row r="62" spans="5:9" x14ac:dyDescent="0.25">
      <c r="E62" t="s">
        <v>5</v>
      </c>
      <c r="F62" t="s">
        <v>61</v>
      </c>
      <c r="G62" s="10">
        <v>10398</v>
      </c>
      <c r="H62" s="11">
        <v>2769</v>
      </c>
      <c r="I62" s="10">
        <v>177</v>
      </c>
    </row>
    <row r="63" spans="5:9" x14ac:dyDescent="0.25">
      <c r="E63" t="s">
        <v>5</v>
      </c>
      <c r="F63" t="s">
        <v>62</v>
      </c>
      <c r="G63" s="10">
        <v>143803</v>
      </c>
      <c r="H63" s="11">
        <v>31016</v>
      </c>
      <c r="I63" s="10">
        <v>2218</v>
      </c>
    </row>
    <row r="64" spans="5:9" x14ac:dyDescent="0.25">
      <c r="E64" t="s">
        <v>6</v>
      </c>
      <c r="F64" t="s">
        <v>51</v>
      </c>
      <c r="G64" s="10">
        <v>120541</v>
      </c>
      <c r="H64" s="11">
        <v>37015</v>
      </c>
      <c r="I64" s="10">
        <v>130</v>
      </c>
    </row>
    <row r="65" spans="5:9" x14ac:dyDescent="0.25">
      <c r="E65" t="s">
        <v>6</v>
      </c>
      <c r="F65" t="s">
        <v>52</v>
      </c>
      <c r="G65" s="10">
        <v>97862</v>
      </c>
      <c r="H65" s="11">
        <v>38462</v>
      </c>
      <c r="I65" s="10">
        <v>3544</v>
      </c>
    </row>
    <row r="66" spans="5:9" x14ac:dyDescent="0.25">
      <c r="E66" t="s">
        <v>6</v>
      </c>
      <c r="F66" t="s">
        <v>53</v>
      </c>
      <c r="G66" s="10">
        <v>131203</v>
      </c>
      <c r="H66" s="11">
        <v>37651</v>
      </c>
      <c r="I66" s="10">
        <v>2535</v>
      </c>
    </row>
    <row r="67" spans="5:9" x14ac:dyDescent="0.25">
      <c r="E67" t="s">
        <v>6</v>
      </c>
      <c r="F67" t="s">
        <v>54</v>
      </c>
      <c r="G67" s="10">
        <v>60413</v>
      </c>
      <c r="H67" s="11">
        <v>19133</v>
      </c>
      <c r="I67" s="10">
        <v>1718</v>
      </c>
    </row>
    <row r="68" spans="5:9" x14ac:dyDescent="0.25">
      <c r="E68" t="s">
        <v>6</v>
      </c>
      <c r="F68" t="s">
        <v>55</v>
      </c>
      <c r="G68" s="10">
        <v>110420</v>
      </c>
      <c r="H68" s="11">
        <v>35023</v>
      </c>
      <c r="I68" s="10">
        <v>681</v>
      </c>
    </row>
    <row r="69" spans="5:9" x14ac:dyDescent="0.25">
      <c r="E69" t="s">
        <v>6</v>
      </c>
      <c r="F69" t="s">
        <v>56</v>
      </c>
      <c r="G69" s="10">
        <v>36777</v>
      </c>
      <c r="H69" s="11">
        <v>12121</v>
      </c>
      <c r="I69" s="10">
        <v>1056</v>
      </c>
    </row>
    <row r="70" spans="5:9" x14ac:dyDescent="0.25">
      <c r="E70" t="s">
        <v>6</v>
      </c>
      <c r="F70" t="s">
        <v>57</v>
      </c>
      <c r="G70" s="10">
        <v>70396</v>
      </c>
      <c r="H70" s="11">
        <v>19290</v>
      </c>
      <c r="I70" s="10">
        <v>116</v>
      </c>
    </row>
    <row r="71" spans="5:9" x14ac:dyDescent="0.25">
      <c r="E71" t="s">
        <v>6</v>
      </c>
      <c r="F71" t="s">
        <v>58</v>
      </c>
      <c r="G71" s="10">
        <v>46708</v>
      </c>
      <c r="H71" s="11">
        <v>14404</v>
      </c>
      <c r="I71" s="10">
        <v>203</v>
      </c>
    </row>
    <row r="72" spans="5:9" x14ac:dyDescent="0.25">
      <c r="E72" t="s">
        <v>6</v>
      </c>
      <c r="F72" t="s">
        <v>59</v>
      </c>
      <c r="G72" s="10">
        <v>99021</v>
      </c>
      <c r="H72" s="11">
        <v>30989</v>
      </c>
      <c r="I72" s="10">
        <v>1696</v>
      </c>
    </row>
    <row r="73" spans="5:9" x14ac:dyDescent="0.25">
      <c r="E73" t="s">
        <v>6</v>
      </c>
      <c r="F73" t="s">
        <v>60</v>
      </c>
      <c r="G73" s="10">
        <v>80329</v>
      </c>
      <c r="H73" s="11">
        <v>17640</v>
      </c>
      <c r="I73" s="10">
        <v>538</v>
      </c>
    </row>
    <row r="74" spans="5:9" x14ac:dyDescent="0.25">
      <c r="E74" t="s">
        <v>6</v>
      </c>
      <c r="F74" t="s">
        <v>61</v>
      </c>
      <c r="G74" s="10">
        <v>119090</v>
      </c>
      <c r="H74" s="11">
        <v>29918</v>
      </c>
      <c r="I74" s="10">
        <v>2051</v>
      </c>
    </row>
    <row r="75" spans="5:9" x14ac:dyDescent="0.25">
      <c r="E75" t="s">
        <v>6</v>
      </c>
      <c r="F75" t="s">
        <v>62</v>
      </c>
      <c r="G75" s="10">
        <v>115241</v>
      </c>
      <c r="H75" s="11">
        <v>26805</v>
      </c>
      <c r="I75" s="10">
        <v>1116</v>
      </c>
    </row>
    <row r="76" spans="5:9" x14ac:dyDescent="0.25">
      <c r="E76" t="s">
        <v>7</v>
      </c>
      <c r="F76" t="s">
        <v>51</v>
      </c>
      <c r="G76" s="10">
        <v>33506</v>
      </c>
      <c r="H76" s="11">
        <v>10233</v>
      </c>
      <c r="I76" s="10">
        <v>900</v>
      </c>
    </row>
    <row r="77" spans="5:9" x14ac:dyDescent="0.25">
      <c r="E77" t="s">
        <v>7</v>
      </c>
      <c r="F77" t="s">
        <v>52</v>
      </c>
      <c r="G77" s="10">
        <v>106035</v>
      </c>
      <c r="H77" s="11">
        <v>21584</v>
      </c>
      <c r="I77" s="10">
        <v>98</v>
      </c>
    </row>
    <row r="78" spans="5:9" x14ac:dyDescent="0.25">
      <c r="E78" t="s">
        <v>7</v>
      </c>
      <c r="F78" t="s">
        <v>53</v>
      </c>
      <c r="G78" s="10">
        <v>47387</v>
      </c>
      <c r="H78" s="11">
        <v>15742</v>
      </c>
      <c r="I78" s="10">
        <v>339</v>
      </c>
    </row>
    <row r="79" spans="5:9" x14ac:dyDescent="0.25">
      <c r="E79" t="s">
        <v>7</v>
      </c>
      <c r="F79" t="s">
        <v>54</v>
      </c>
      <c r="G79" s="10">
        <v>59407</v>
      </c>
      <c r="H79" s="11">
        <v>14949</v>
      </c>
      <c r="I79" s="10">
        <v>1054</v>
      </c>
    </row>
    <row r="80" spans="5:9" x14ac:dyDescent="0.25">
      <c r="E80" t="s">
        <v>7</v>
      </c>
      <c r="F80" t="s">
        <v>55</v>
      </c>
      <c r="G80" s="10">
        <v>32518</v>
      </c>
      <c r="H80" s="11">
        <v>6722</v>
      </c>
      <c r="I80" s="10">
        <v>181</v>
      </c>
    </row>
    <row r="81" spans="5:9" x14ac:dyDescent="0.25">
      <c r="E81" t="s">
        <v>7</v>
      </c>
      <c r="F81" t="s">
        <v>56</v>
      </c>
      <c r="G81" s="10">
        <v>81150</v>
      </c>
      <c r="H81" s="11">
        <v>24988</v>
      </c>
      <c r="I81" s="10">
        <v>2062</v>
      </c>
    </row>
    <row r="82" spans="5:9" x14ac:dyDescent="0.25">
      <c r="E82" t="s">
        <v>7</v>
      </c>
      <c r="F82" t="s">
        <v>57</v>
      </c>
      <c r="G82" s="10">
        <v>126641</v>
      </c>
      <c r="H82" s="11">
        <v>32724</v>
      </c>
      <c r="I82" s="10">
        <v>1565</v>
      </c>
    </row>
    <row r="83" spans="5:9" x14ac:dyDescent="0.25">
      <c r="E83" t="s">
        <v>7</v>
      </c>
      <c r="F83" t="s">
        <v>58</v>
      </c>
      <c r="G83" s="10">
        <v>14702</v>
      </c>
      <c r="H83" s="11">
        <v>5765</v>
      </c>
      <c r="I83" s="10">
        <v>330</v>
      </c>
    </row>
    <row r="84" spans="5:9" x14ac:dyDescent="0.25">
      <c r="E84" t="s">
        <v>7</v>
      </c>
      <c r="F84" t="s">
        <v>59</v>
      </c>
      <c r="G84" s="10">
        <v>34775</v>
      </c>
      <c r="H84" s="11">
        <v>8024</v>
      </c>
      <c r="I84" s="10">
        <v>57</v>
      </c>
    </row>
    <row r="85" spans="5:9" x14ac:dyDescent="0.25">
      <c r="E85" t="s">
        <v>7</v>
      </c>
      <c r="F85" t="s">
        <v>60</v>
      </c>
      <c r="G85" s="10">
        <v>24936</v>
      </c>
      <c r="H85" s="11">
        <v>8840</v>
      </c>
      <c r="I85" s="10">
        <v>293</v>
      </c>
    </row>
    <row r="86" spans="5:9" x14ac:dyDescent="0.25">
      <c r="E86" t="s">
        <v>7</v>
      </c>
      <c r="F86" t="s">
        <v>61</v>
      </c>
      <c r="G86" s="10">
        <v>60095</v>
      </c>
      <c r="H86" s="11">
        <v>17047</v>
      </c>
      <c r="I86" s="10">
        <v>491</v>
      </c>
    </row>
    <row r="87" spans="5:9" x14ac:dyDescent="0.25">
      <c r="E87" t="s">
        <v>7</v>
      </c>
      <c r="F87" t="s">
        <v>62</v>
      </c>
      <c r="G87" s="10">
        <v>55976</v>
      </c>
      <c r="H87" s="11">
        <v>19433</v>
      </c>
      <c r="I87" s="10">
        <v>1061</v>
      </c>
    </row>
    <row r="88" spans="5:9" x14ac:dyDescent="0.25">
      <c r="E88" t="s">
        <v>8</v>
      </c>
      <c r="F88" t="s">
        <v>51</v>
      </c>
      <c r="G88" s="10">
        <v>13699</v>
      </c>
      <c r="H88" s="11">
        <v>5387</v>
      </c>
      <c r="I88" s="10">
        <v>135</v>
      </c>
    </row>
    <row r="89" spans="5:9" x14ac:dyDescent="0.25">
      <c r="E89" t="s">
        <v>8</v>
      </c>
      <c r="F89" t="s">
        <v>52</v>
      </c>
      <c r="G89" s="10">
        <v>130660</v>
      </c>
      <c r="H89" s="11">
        <v>46170</v>
      </c>
      <c r="I89" s="10">
        <v>2588</v>
      </c>
    </row>
    <row r="90" spans="5:9" x14ac:dyDescent="0.25">
      <c r="E90" t="s">
        <v>8</v>
      </c>
      <c r="F90" t="s">
        <v>53</v>
      </c>
      <c r="G90" s="10">
        <v>40579</v>
      </c>
      <c r="H90" s="11">
        <v>10360</v>
      </c>
      <c r="I90" s="10">
        <v>742</v>
      </c>
    </row>
    <row r="91" spans="5:9" x14ac:dyDescent="0.25">
      <c r="E91" t="s">
        <v>8</v>
      </c>
      <c r="F91" t="s">
        <v>54</v>
      </c>
      <c r="G91" s="10">
        <v>86779</v>
      </c>
      <c r="H91" s="11">
        <v>18676</v>
      </c>
      <c r="I91" s="10">
        <v>917</v>
      </c>
    </row>
    <row r="92" spans="5:9" x14ac:dyDescent="0.25">
      <c r="E92" t="s">
        <v>8</v>
      </c>
      <c r="F92" t="s">
        <v>55</v>
      </c>
      <c r="G92" s="10">
        <v>91275</v>
      </c>
      <c r="H92" s="11">
        <v>26968</v>
      </c>
      <c r="I92" s="10">
        <v>1429</v>
      </c>
    </row>
    <row r="93" spans="5:9" x14ac:dyDescent="0.25">
      <c r="E93" t="s">
        <v>8</v>
      </c>
      <c r="F93" t="s">
        <v>56</v>
      </c>
      <c r="G93" s="10">
        <v>52106</v>
      </c>
      <c r="H93" s="11">
        <v>16896</v>
      </c>
      <c r="I93" s="10">
        <v>14</v>
      </c>
    </row>
    <row r="94" spans="5:9" x14ac:dyDescent="0.25">
      <c r="E94" t="s">
        <v>8</v>
      </c>
      <c r="F94" t="s">
        <v>57</v>
      </c>
      <c r="G94" s="10">
        <v>130094</v>
      </c>
      <c r="H94" s="11">
        <v>42028</v>
      </c>
      <c r="I94" s="10">
        <v>1121</v>
      </c>
    </row>
    <row r="95" spans="5:9" x14ac:dyDescent="0.25">
      <c r="E95" t="s">
        <v>8</v>
      </c>
      <c r="F95" t="s">
        <v>58</v>
      </c>
      <c r="G95" s="10">
        <v>100717</v>
      </c>
      <c r="H95" s="11">
        <v>26927</v>
      </c>
      <c r="I95" s="10">
        <v>269</v>
      </c>
    </row>
    <row r="96" spans="5:9" x14ac:dyDescent="0.25">
      <c r="E96" t="s">
        <v>8</v>
      </c>
      <c r="F96" t="s">
        <v>59</v>
      </c>
      <c r="G96" s="10">
        <v>107019</v>
      </c>
      <c r="H96" s="11">
        <v>33632</v>
      </c>
      <c r="I96" s="10">
        <v>127</v>
      </c>
    </row>
    <row r="97" spans="5:9" x14ac:dyDescent="0.25">
      <c r="E97" t="s">
        <v>8</v>
      </c>
      <c r="F97" t="s">
        <v>60</v>
      </c>
      <c r="G97" s="10">
        <v>131137</v>
      </c>
      <c r="H97" s="11">
        <v>31941</v>
      </c>
      <c r="I97" s="10">
        <v>2681</v>
      </c>
    </row>
    <row r="98" spans="5:9" x14ac:dyDescent="0.25">
      <c r="E98" t="s">
        <v>8</v>
      </c>
      <c r="F98" t="s">
        <v>61</v>
      </c>
      <c r="G98" s="10">
        <v>91529</v>
      </c>
      <c r="H98" s="11">
        <v>32533</v>
      </c>
      <c r="I98" s="10">
        <v>482</v>
      </c>
    </row>
    <row r="99" spans="5:9" x14ac:dyDescent="0.25">
      <c r="E99" t="s">
        <v>8</v>
      </c>
      <c r="F99" t="s">
        <v>62</v>
      </c>
      <c r="G99" s="10">
        <v>100705</v>
      </c>
      <c r="H99" s="11">
        <v>20627</v>
      </c>
      <c r="I99" s="10">
        <v>174</v>
      </c>
    </row>
    <row r="100" spans="5:9" x14ac:dyDescent="0.25">
      <c r="E100" t="s">
        <v>9</v>
      </c>
      <c r="F100" t="s">
        <v>51</v>
      </c>
      <c r="G100" s="10">
        <v>55213</v>
      </c>
      <c r="H100" s="11">
        <v>21731</v>
      </c>
      <c r="I100" s="10">
        <v>1100</v>
      </c>
    </row>
    <row r="101" spans="5:9" x14ac:dyDescent="0.25">
      <c r="E101" t="s">
        <v>9</v>
      </c>
      <c r="F101" t="s">
        <v>52</v>
      </c>
      <c r="G101" s="10">
        <v>32012</v>
      </c>
      <c r="H101" s="11">
        <v>9052</v>
      </c>
      <c r="I101" s="10">
        <v>158</v>
      </c>
    </row>
    <row r="102" spans="5:9" x14ac:dyDescent="0.25">
      <c r="E102" t="s">
        <v>9</v>
      </c>
      <c r="F102" t="s">
        <v>53</v>
      </c>
      <c r="G102" s="10">
        <v>67301</v>
      </c>
      <c r="H102" s="11">
        <v>16339</v>
      </c>
      <c r="I102" s="10">
        <v>331</v>
      </c>
    </row>
    <row r="103" spans="5:9" x14ac:dyDescent="0.25">
      <c r="E103" t="s">
        <v>9</v>
      </c>
      <c r="F103" t="s">
        <v>54</v>
      </c>
      <c r="G103" s="10">
        <v>130756</v>
      </c>
      <c r="H103" s="11">
        <v>41080</v>
      </c>
      <c r="I103" s="10">
        <v>3229</v>
      </c>
    </row>
    <row r="104" spans="5:9" x14ac:dyDescent="0.25">
      <c r="E104" t="s">
        <v>9</v>
      </c>
      <c r="F104" t="s">
        <v>55</v>
      </c>
      <c r="G104" s="10">
        <v>81088</v>
      </c>
      <c r="H104" s="11">
        <v>31619</v>
      </c>
      <c r="I104" s="10">
        <v>1530</v>
      </c>
    </row>
    <row r="105" spans="5:9" x14ac:dyDescent="0.25">
      <c r="E105" t="s">
        <v>9</v>
      </c>
      <c r="F105" t="s">
        <v>56</v>
      </c>
      <c r="G105" s="10">
        <v>27196</v>
      </c>
      <c r="H105" s="11">
        <v>8290</v>
      </c>
      <c r="I105" s="10">
        <v>189</v>
      </c>
    </row>
    <row r="106" spans="5:9" x14ac:dyDescent="0.25">
      <c r="E106" t="s">
        <v>9</v>
      </c>
      <c r="F106" t="s">
        <v>57</v>
      </c>
      <c r="G106" s="10">
        <v>21208</v>
      </c>
      <c r="H106" s="11">
        <v>5577</v>
      </c>
      <c r="I106" s="10">
        <v>552</v>
      </c>
    </row>
    <row r="107" spans="5:9" x14ac:dyDescent="0.25">
      <c r="E107" t="s">
        <v>9</v>
      </c>
      <c r="F107" t="s">
        <v>58</v>
      </c>
      <c r="G107" s="10">
        <v>16904</v>
      </c>
      <c r="H107" s="11">
        <v>3858</v>
      </c>
      <c r="I107" s="10">
        <v>40</v>
      </c>
    </row>
    <row r="108" spans="5:9" x14ac:dyDescent="0.25">
      <c r="E108" t="s">
        <v>9</v>
      </c>
      <c r="F108" t="s">
        <v>59</v>
      </c>
      <c r="G108" s="10">
        <v>131488</v>
      </c>
      <c r="H108" s="11">
        <v>38738</v>
      </c>
      <c r="I108" s="10">
        <v>51</v>
      </c>
    </row>
    <row r="109" spans="5:9" x14ac:dyDescent="0.25">
      <c r="E109" t="s">
        <v>9</v>
      </c>
      <c r="F109" t="s">
        <v>60</v>
      </c>
      <c r="G109" s="10">
        <v>130167</v>
      </c>
      <c r="H109" s="11">
        <v>42098</v>
      </c>
      <c r="I109" s="10">
        <v>2796</v>
      </c>
    </row>
    <row r="110" spans="5:9" x14ac:dyDescent="0.25">
      <c r="E110" t="s">
        <v>9</v>
      </c>
      <c r="F110" t="s">
        <v>61</v>
      </c>
      <c r="G110" s="10">
        <v>30312</v>
      </c>
      <c r="H110" s="11">
        <v>10805</v>
      </c>
      <c r="I110" s="10">
        <v>85</v>
      </c>
    </row>
    <row r="111" spans="5:9" x14ac:dyDescent="0.25">
      <c r="E111" t="s">
        <v>9</v>
      </c>
      <c r="F111" t="s">
        <v>62</v>
      </c>
      <c r="G111" s="10">
        <v>25950</v>
      </c>
      <c r="H111" s="11">
        <v>7184</v>
      </c>
      <c r="I111" s="10">
        <v>64</v>
      </c>
    </row>
    <row r="112" spans="5:9" x14ac:dyDescent="0.25">
      <c r="E112" t="s">
        <v>10</v>
      </c>
      <c r="F112" t="s">
        <v>51</v>
      </c>
      <c r="G112" s="10">
        <v>136083</v>
      </c>
      <c r="H112" s="11">
        <v>42478</v>
      </c>
      <c r="I112" s="10">
        <v>733</v>
      </c>
    </row>
    <row r="113" spans="5:9" x14ac:dyDescent="0.25">
      <c r="E113" t="s">
        <v>10</v>
      </c>
      <c r="F113" t="s">
        <v>52</v>
      </c>
      <c r="G113" s="10">
        <v>139904</v>
      </c>
      <c r="H113" s="11">
        <v>49572</v>
      </c>
      <c r="I113" s="10">
        <v>4316</v>
      </c>
    </row>
    <row r="114" spans="5:9" x14ac:dyDescent="0.25">
      <c r="E114" t="s">
        <v>10</v>
      </c>
      <c r="F114" t="s">
        <v>53</v>
      </c>
      <c r="G114" s="10">
        <v>11154</v>
      </c>
      <c r="H114" s="11">
        <v>4292</v>
      </c>
      <c r="I114" s="10">
        <v>15</v>
      </c>
    </row>
    <row r="115" spans="5:9" x14ac:dyDescent="0.25">
      <c r="E115" t="s">
        <v>10</v>
      </c>
      <c r="F115" t="s">
        <v>54</v>
      </c>
      <c r="G115" s="10">
        <v>122012</v>
      </c>
      <c r="H115" s="11">
        <v>30078</v>
      </c>
      <c r="I115" s="10">
        <v>1959</v>
      </c>
    </row>
    <row r="116" spans="5:9" x14ac:dyDescent="0.25">
      <c r="E116" t="s">
        <v>10</v>
      </c>
      <c r="F116" t="s">
        <v>55</v>
      </c>
      <c r="G116" s="10">
        <v>46473</v>
      </c>
      <c r="H116" s="11">
        <v>10056</v>
      </c>
      <c r="I116" s="10">
        <v>399</v>
      </c>
    </row>
    <row r="117" spans="5:9" x14ac:dyDescent="0.25">
      <c r="E117" t="s">
        <v>10</v>
      </c>
      <c r="F117" t="s">
        <v>56</v>
      </c>
      <c r="G117" s="10">
        <v>56362</v>
      </c>
      <c r="H117" s="11">
        <v>14213</v>
      </c>
      <c r="I117" s="10">
        <v>517</v>
      </c>
    </row>
    <row r="118" spans="5:9" x14ac:dyDescent="0.25">
      <c r="E118" t="s">
        <v>10</v>
      </c>
      <c r="F118" t="s">
        <v>57</v>
      </c>
      <c r="G118" s="10">
        <v>57696</v>
      </c>
      <c r="H118" s="11">
        <v>22856</v>
      </c>
      <c r="I118" s="10">
        <v>437</v>
      </c>
    </row>
    <row r="119" spans="5:9" x14ac:dyDescent="0.25">
      <c r="E119" t="s">
        <v>10</v>
      </c>
      <c r="F119" t="s">
        <v>58</v>
      </c>
      <c r="G119" s="10">
        <v>88658</v>
      </c>
      <c r="H119" s="11">
        <v>33639</v>
      </c>
      <c r="I119" s="10">
        <v>515</v>
      </c>
    </row>
    <row r="120" spans="5:9" x14ac:dyDescent="0.25">
      <c r="E120" t="s">
        <v>10</v>
      </c>
      <c r="F120" t="s">
        <v>59</v>
      </c>
      <c r="G120" s="10">
        <v>58485</v>
      </c>
      <c r="H120" s="11">
        <v>20248</v>
      </c>
      <c r="I120" s="10">
        <v>888</v>
      </c>
    </row>
    <row r="121" spans="5:9" x14ac:dyDescent="0.25">
      <c r="E121" t="s">
        <v>10</v>
      </c>
      <c r="F121" t="s">
        <v>60</v>
      </c>
      <c r="G121" s="10">
        <v>89605</v>
      </c>
      <c r="H121" s="11">
        <v>19983</v>
      </c>
      <c r="I121" s="10">
        <v>376</v>
      </c>
    </row>
    <row r="122" spans="5:9" x14ac:dyDescent="0.25">
      <c r="E122" t="s">
        <v>10</v>
      </c>
      <c r="F122" t="s">
        <v>61</v>
      </c>
      <c r="G122" s="10">
        <v>61063</v>
      </c>
      <c r="H122" s="11">
        <v>19309</v>
      </c>
      <c r="I122" s="10">
        <v>949</v>
      </c>
    </row>
    <row r="123" spans="5:9" x14ac:dyDescent="0.25">
      <c r="E123" t="s">
        <v>10</v>
      </c>
      <c r="F123" t="s">
        <v>62</v>
      </c>
      <c r="G123" s="10">
        <v>92629</v>
      </c>
      <c r="H123" s="11">
        <v>18555</v>
      </c>
      <c r="I123" s="10">
        <v>1841</v>
      </c>
    </row>
    <row r="124" spans="5:9" x14ac:dyDescent="0.25">
      <c r="E124" t="s">
        <v>11</v>
      </c>
      <c r="F124" t="s">
        <v>51</v>
      </c>
      <c r="G124" s="10">
        <v>142492</v>
      </c>
      <c r="H124" s="11">
        <v>46784</v>
      </c>
      <c r="I124" s="10">
        <v>4549</v>
      </c>
    </row>
    <row r="125" spans="5:9" x14ac:dyDescent="0.25">
      <c r="E125" t="s">
        <v>11</v>
      </c>
      <c r="F125" t="s">
        <v>52</v>
      </c>
      <c r="G125" s="10">
        <v>80153</v>
      </c>
      <c r="H125" s="11">
        <v>24199</v>
      </c>
      <c r="I125" s="10">
        <v>1075</v>
      </c>
    </row>
    <row r="126" spans="5:9" x14ac:dyDescent="0.25">
      <c r="E126" t="s">
        <v>11</v>
      </c>
      <c r="F126" t="s">
        <v>53</v>
      </c>
      <c r="G126" s="10">
        <v>19016</v>
      </c>
      <c r="H126" s="11">
        <v>5515</v>
      </c>
      <c r="I126" s="10">
        <v>373</v>
      </c>
    </row>
    <row r="127" spans="5:9" x14ac:dyDescent="0.25">
      <c r="E127" t="s">
        <v>11</v>
      </c>
      <c r="F127" t="s">
        <v>54</v>
      </c>
      <c r="G127" s="10">
        <v>87825</v>
      </c>
      <c r="H127" s="11">
        <v>21652</v>
      </c>
      <c r="I127" s="10">
        <v>1706</v>
      </c>
    </row>
    <row r="128" spans="5:9" x14ac:dyDescent="0.25">
      <c r="E128" t="s">
        <v>11</v>
      </c>
      <c r="F128" t="s">
        <v>55</v>
      </c>
      <c r="G128" s="10">
        <v>139631</v>
      </c>
      <c r="H128" s="11">
        <v>31873</v>
      </c>
      <c r="I128" s="10">
        <v>298</v>
      </c>
    </row>
    <row r="129" spans="5:9" x14ac:dyDescent="0.25">
      <c r="E129" t="s">
        <v>11</v>
      </c>
      <c r="F129" t="s">
        <v>56</v>
      </c>
      <c r="G129" s="10">
        <v>62288</v>
      </c>
      <c r="H129" s="11">
        <v>20271</v>
      </c>
      <c r="I129" s="10">
        <v>603</v>
      </c>
    </row>
    <row r="130" spans="5:9" x14ac:dyDescent="0.25">
      <c r="E130" t="s">
        <v>11</v>
      </c>
      <c r="F130" t="s">
        <v>57</v>
      </c>
      <c r="G130" s="10">
        <v>32567</v>
      </c>
      <c r="H130" s="11">
        <v>10912</v>
      </c>
      <c r="I130" s="10">
        <v>1052</v>
      </c>
    </row>
    <row r="131" spans="5:9" x14ac:dyDescent="0.25">
      <c r="E131" t="s">
        <v>11</v>
      </c>
      <c r="F131" t="s">
        <v>58</v>
      </c>
      <c r="G131" s="10">
        <v>133665</v>
      </c>
      <c r="H131" s="11">
        <v>44693</v>
      </c>
      <c r="I131" s="10">
        <v>634</v>
      </c>
    </row>
    <row r="132" spans="5:9" x14ac:dyDescent="0.25">
      <c r="E132" t="s">
        <v>11</v>
      </c>
      <c r="F132" t="s">
        <v>59</v>
      </c>
      <c r="G132" s="10">
        <v>11393</v>
      </c>
      <c r="H132" s="11">
        <v>4434</v>
      </c>
      <c r="I132" s="10">
        <v>211</v>
      </c>
    </row>
    <row r="133" spans="5:9" x14ac:dyDescent="0.25">
      <c r="E133" t="s">
        <v>11</v>
      </c>
      <c r="F133" t="s">
        <v>60</v>
      </c>
      <c r="G133" s="10">
        <v>129559</v>
      </c>
      <c r="H133" s="11">
        <v>44642</v>
      </c>
      <c r="I133" s="10">
        <v>2353</v>
      </c>
    </row>
    <row r="134" spans="5:9" x14ac:dyDescent="0.25">
      <c r="E134" t="s">
        <v>11</v>
      </c>
      <c r="F134" t="s">
        <v>61</v>
      </c>
      <c r="G134" s="10">
        <v>31134</v>
      </c>
      <c r="H134" s="11">
        <v>10623</v>
      </c>
      <c r="I134" s="10">
        <v>82</v>
      </c>
    </row>
    <row r="135" spans="5:9" x14ac:dyDescent="0.25">
      <c r="E135" t="s">
        <v>11</v>
      </c>
      <c r="F135" t="s">
        <v>62</v>
      </c>
      <c r="G135" s="10">
        <v>55129</v>
      </c>
      <c r="H135" s="11">
        <v>16672</v>
      </c>
      <c r="I135" s="10">
        <v>1585</v>
      </c>
    </row>
    <row r="136" spans="5:9" x14ac:dyDescent="0.25">
      <c r="E136" t="s">
        <v>12</v>
      </c>
      <c r="F136" t="s">
        <v>51</v>
      </c>
      <c r="G136" s="10">
        <v>98872</v>
      </c>
      <c r="H136" s="11">
        <v>25548</v>
      </c>
      <c r="I136" s="10">
        <v>213</v>
      </c>
    </row>
    <row r="137" spans="5:9" x14ac:dyDescent="0.25">
      <c r="E137" t="s">
        <v>12</v>
      </c>
      <c r="F137" t="s">
        <v>52</v>
      </c>
      <c r="G137" s="10">
        <v>86887</v>
      </c>
      <c r="H137" s="11">
        <v>34600</v>
      </c>
      <c r="I137" s="10">
        <v>2203</v>
      </c>
    </row>
    <row r="138" spans="5:9" x14ac:dyDescent="0.25">
      <c r="E138" t="s">
        <v>12</v>
      </c>
      <c r="F138" t="s">
        <v>53</v>
      </c>
      <c r="G138" s="10">
        <v>148237</v>
      </c>
      <c r="H138" s="11">
        <v>34737</v>
      </c>
      <c r="I138" s="10">
        <v>2427</v>
      </c>
    </row>
    <row r="139" spans="5:9" x14ac:dyDescent="0.25">
      <c r="E139" t="s">
        <v>12</v>
      </c>
      <c r="F139" t="s">
        <v>54</v>
      </c>
      <c r="G139" s="10">
        <v>50934</v>
      </c>
      <c r="H139" s="11">
        <v>20260</v>
      </c>
      <c r="I139" s="10">
        <v>1209</v>
      </c>
    </row>
    <row r="140" spans="5:9" x14ac:dyDescent="0.25">
      <c r="E140" t="s">
        <v>12</v>
      </c>
      <c r="F140" t="s">
        <v>55</v>
      </c>
      <c r="G140" s="10">
        <v>87557</v>
      </c>
      <c r="H140" s="11">
        <v>29883</v>
      </c>
      <c r="I140" s="10">
        <v>2253</v>
      </c>
    </row>
    <row r="141" spans="5:9" x14ac:dyDescent="0.25">
      <c r="E141" t="s">
        <v>12</v>
      </c>
      <c r="F141" t="s">
        <v>56</v>
      </c>
      <c r="G141" s="10">
        <v>32307</v>
      </c>
      <c r="H141" s="11">
        <v>10255</v>
      </c>
      <c r="I141" s="10">
        <v>248</v>
      </c>
    </row>
    <row r="142" spans="5:9" x14ac:dyDescent="0.25">
      <c r="E142" t="s">
        <v>12</v>
      </c>
      <c r="F142" t="s">
        <v>57</v>
      </c>
      <c r="G142" s="10">
        <v>113675</v>
      </c>
      <c r="H142" s="11">
        <v>25922</v>
      </c>
      <c r="I142" s="10">
        <v>230</v>
      </c>
    </row>
    <row r="143" spans="5:9" x14ac:dyDescent="0.25">
      <c r="E143" t="s">
        <v>12</v>
      </c>
      <c r="F143" t="s">
        <v>58</v>
      </c>
      <c r="G143" s="10">
        <v>72658</v>
      </c>
      <c r="H143" s="11">
        <v>27271</v>
      </c>
      <c r="I143" s="10">
        <v>534</v>
      </c>
    </row>
    <row r="144" spans="5:9" x14ac:dyDescent="0.25">
      <c r="E144" t="s">
        <v>12</v>
      </c>
      <c r="F144" t="s">
        <v>59</v>
      </c>
      <c r="G144" s="10">
        <v>55066</v>
      </c>
      <c r="H144" s="11">
        <v>15120</v>
      </c>
      <c r="I144" s="10">
        <v>1259</v>
      </c>
    </row>
    <row r="145" spans="5:9" x14ac:dyDescent="0.25">
      <c r="E145" t="s">
        <v>12</v>
      </c>
      <c r="F145" t="s">
        <v>60</v>
      </c>
      <c r="G145" s="10">
        <v>114726</v>
      </c>
      <c r="H145" s="11">
        <v>27244</v>
      </c>
      <c r="I145" s="10">
        <v>475</v>
      </c>
    </row>
    <row r="146" spans="5:9" x14ac:dyDescent="0.25">
      <c r="E146" t="s">
        <v>12</v>
      </c>
      <c r="F146" t="s">
        <v>61</v>
      </c>
      <c r="G146" s="10">
        <v>36854</v>
      </c>
      <c r="H146" s="11">
        <v>11105</v>
      </c>
      <c r="I146" s="10">
        <v>986</v>
      </c>
    </row>
    <row r="147" spans="5:9" x14ac:dyDescent="0.25">
      <c r="E147" t="s">
        <v>12</v>
      </c>
      <c r="F147" t="s">
        <v>62</v>
      </c>
      <c r="G147" s="10">
        <v>25744</v>
      </c>
      <c r="H147" s="11">
        <v>8685</v>
      </c>
      <c r="I147" s="10">
        <v>121</v>
      </c>
    </row>
    <row r="148" spans="5:9" x14ac:dyDescent="0.25">
      <c r="E148" t="s">
        <v>13</v>
      </c>
      <c r="F148" t="s">
        <v>51</v>
      </c>
      <c r="G148" s="10">
        <v>83270</v>
      </c>
      <c r="H148" s="11">
        <v>20636</v>
      </c>
      <c r="I148" s="10">
        <v>577</v>
      </c>
    </row>
    <row r="149" spans="5:9" x14ac:dyDescent="0.25">
      <c r="E149" t="s">
        <v>13</v>
      </c>
      <c r="F149" t="s">
        <v>52</v>
      </c>
      <c r="G149" s="10">
        <v>60636</v>
      </c>
      <c r="H149" s="11">
        <v>21253</v>
      </c>
      <c r="I149" s="10">
        <v>1194</v>
      </c>
    </row>
    <row r="150" spans="5:9" x14ac:dyDescent="0.25">
      <c r="E150" t="s">
        <v>13</v>
      </c>
      <c r="F150" t="s">
        <v>53</v>
      </c>
      <c r="G150" s="10">
        <v>115731</v>
      </c>
      <c r="H150" s="11">
        <v>24925</v>
      </c>
      <c r="I150" s="10">
        <v>1037</v>
      </c>
    </row>
    <row r="151" spans="5:9" x14ac:dyDescent="0.25">
      <c r="E151" t="s">
        <v>13</v>
      </c>
      <c r="F151" t="s">
        <v>54</v>
      </c>
      <c r="G151" s="10">
        <v>44710</v>
      </c>
      <c r="H151" s="11">
        <v>16574</v>
      </c>
      <c r="I151" s="10">
        <v>830</v>
      </c>
    </row>
    <row r="152" spans="5:9" x14ac:dyDescent="0.25">
      <c r="E152" t="s">
        <v>13</v>
      </c>
      <c r="F152" t="s">
        <v>55</v>
      </c>
      <c r="G152" s="10">
        <v>146068</v>
      </c>
      <c r="H152" s="11">
        <v>49985</v>
      </c>
      <c r="I152" s="10">
        <v>595</v>
      </c>
    </row>
    <row r="153" spans="5:9" x14ac:dyDescent="0.25">
      <c r="E153" t="s">
        <v>13</v>
      </c>
      <c r="F153" t="s">
        <v>56</v>
      </c>
      <c r="G153" s="10">
        <v>146416</v>
      </c>
      <c r="H153" s="11">
        <v>51796</v>
      </c>
      <c r="I153" s="10">
        <v>2944</v>
      </c>
    </row>
    <row r="154" spans="5:9" x14ac:dyDescent="0.25">
      <c r="E154" t="s">
        <v>13</v>
      </c>
      <c r="F154" t="s">
        <v>57</v>
      </c>
      <c r="G154" s="10">
        <v>19883</v>
      </c>
      <c r="H154" s="11">
        <v>4068</v>
      </c>
      <c r="I154" s="10">
        <v>125</v>
      </c>
    </row>
    <row r="155" spans="5:9" x14ac:dyDescent="0.25">
      <c r="E155" t="s">
        <v>13</v>
      </c>
      <c r="F155" t="s">
        <v>58</v>
      </c>
      <c r="G155" s="10">
        <v>116217</v>
      </c>
      <c r="H155" s="11">
        <v>35495</v>
      </c>
      <c r="I155" s="10">
        <v>2682</v>
      </c>
    </row>
    <row r="156" spans="5:9" x14ac:dyDescent="0.25">
      <c r="E156" t="s">
        <v>13</v>
      </c>
      <c r="F156" t="s">
        <v>59</v>
      </c>
      <c r="G156" s="10">
        <v>74465</v>
      </c>
      <c r="H156" s="11">
        <v>29058</v>
      </c>
      <c r="I156" s="10">
        <v>2905</v>
      </c>
    </row>
    <row r="157" spans="5:9" x14ac:dyDescent="0.25">
      <c r="E157" t="s">
        <v>13</v>
      </c>
      <c r="F157" t="s">
        <v>60</v>
      </c>
      <c r="G157" s="10">
        <v>66069</v>
      </c>
      <c r="H157" s="11">
        <v>25141</v>
      </c>
      <c r="I157" s="10">
        <v>1229</v>
      </c>
    </row>
    <row r="158" spans="5:9" x14ac:dyDescent="0.25">
      <c r="E158" t="s">
        <v>13</v>
      </c>
      <c r="F158" t="s">
        <v>61</v>
      </c>
      <c r="G158" s="10">
        <v>89555</v>
      </c>
      <c r="H158" s="11">
        <v>29905</v>
      </c>
      <c r="I158" s="10">
        <v>2747</v>
      </c>
    </row>
    <row r="159" spans="5:9" x14ac:dyDescent="0.25">
      <c r="E159" t="s">
        <v>13</v>
      </c>
      <c r="F159" t="s">
        <v>62</v>
      </c>
      <c r="G159" s="10">
        <v>61314</v>
      </c>
      <c r="H159" s="11">
        <v>21420</v>
      </c>
      <c r="I159" s="10">
        <v>502</v>
      </c>
    </row>
    <row r="160" spans="5:9" x14ac:dyDescent="0.25">
      <c r="E160" t="s">
        <v>14</v>
      </c>
      <c r="F160" t="s">
        <v>51</v>
      </c>
      <c r="G160" s="10">
        <v>56003</v>
      </c>
      <c r="H160" s="11">
        <v>18958</v>
      </c>
      <c r="I160" s="10">
        <v>164</v>
      </c>
    </row>
    <row r="161" spans="5:9" x14ac:dyDescent="0.25">
      <c r="E161" t="s">
        <v>14</v>
      </c>
      <c r="F161" t="s">
        <v>52</v>
      </c>
      <c r="G161" s="10">
        <v>114632</v>
      </c>
      <c r="H161" s="11">
        <v>38501</v>
      </c>
      <c r="I161" s="10">
        <v>3774</v>
      </c>
    </row>
    <row r="162" spans="5:9" x14ac:dyDescent="0.25">
      <c r="E162" t="s">
        <v>14</v>
      </c>
      <c r="F162" t="s">
        <v>53</v>
      </c>
      <c r="G162" s="10">
        <v>124630</v>
      </c>
      <c r="H162" s="11">
        <v>29484</v>
      </c>
      <c r="I162" s="10">
        <v>1438</v>
      </c>
    </row>
    <row r="163" spans="5:9" x14ac:dyDescent="0.25">
      <c r="E163" t="s">
        <v>14</v>
      </c>
      <c r="F163" t="s">
        <v>54</v>
      </c>
      <c r="G163" s="10">
        <v>18005</v>
      </c>
      <c r="H163" s="11">
        <v>5901</v>
      </c>
      <c r="I163" s="10">
        <v>318</v>
      </c>
    </row>
    <row r="164" spans="5:9" x14ac:dyDescent="0.25">
      <c r="E164" t="s">
        <v>14</v>
      </c>
      <c r="F164" t="s">
        <v>55</v>
      </c>
      <c r="G164" s="10">
        <v>47825</v>
      </c>
      <c r="H164" s="11">
        <v>13975</v>
      </c>
      <c r="I164" s="10">
        <v>1124</v>
      </c>
    </row>
    <row r="165" spans="5:9" x14ac:dyDescent="0.25">
      <c r="E165" t="s">
        <v>14</v>
      </c>
      <c r="F165" t="s">
        <v>56</v>
      </c>
      <c r="G165" s="10">
        <v>57782</v>
      </c>
      <c r="H165" s="11">
        <v>15893</v>
      </c>
      <c r="I165" s="10">
        <v>1303</v>
      </c>
    </row>
    <row r="166" spans="5:9" x14ac:dyDescent="0.25">
      <c r="E166" t="s">
        <v>14</v>
      </c>
      <c r="F166" t="s">
        <v>57</v>
      </c>
      <c r="G166" s="10">
        <v>81008</v>
      </c>
      <c r="H166" s="11">
        <v>22058</v>
      </c>
      <c r="I166" s="10">
        <v>1124</v>
      </c>
    </row>
    <row r="167" spans="5:9" x14ac:dyDescent="0.25">
      <c r="E167" t="s">
        <v>14</v>
      </c>
      <c r="F167" t="s">
        <v>58</v>
      </c>
      <c r="G167" s="10">
        <v>73488</v>
      </c>
      <c r="H167" s="11">
        <v>27073</v>
      </c>
      <c r="I167" s="10">
        <v>1364</v>
      </c>
    </row>
    <row r="168" spans="5:9" x14ac:dyDescent="0.25">
      <c r="E168" t="s">
        <v>14</v>
      </c>
      <c r="F168" t="s">
        <v>59</v>
      </c>
      <c r="G168" s="10">
        <v>115465</v>
      </c>
      <c r="H168" s="11">
        <v>41736</v>
      </c>
      <c r="I168" s="10">
        <v>2147</v>
      </c>
    </row>
    <row r="169" spans="5:9" x14ac:dyDescent="0.25">
      <c r="E169" t="s">
        <v>14</v>
      </c>
      <c r="F169" t="s">
        <v>60</v>
      </c>
      <c r="G169" s="10">
        <v>137882</v>
      </c>
      <c r="H169" s="11">
        <v>31197</v>
      </c>
      <c r="I169" s="10">
        <v>3063</v>
      </c>
    </row>
    <row r="170" spans="5:9" x14ac:dyDescent="0.25">
      <c r="E170" t="s">
        <v>14</v>
      </c>
      <c r="F170" t="s">
        <v>61</v>
      </c>
      <c r="G170" s="10">
        <v>52099</v>
      </c>
      <c r="H170" s="11">
        <v>10858</v>
      </c>
      <c r="I170" s="10">
        <v>223</v>
      </c>
    </row>
    <row r="171" spans="5:9" x14ac:dyDescent="0.25">
      <c r="E171" t="s">
        <v>14</v>
      </c>
      <c r="F171" t="s">
        <v>62</v>
      </c>
      <c r="G171" s="10">
        <v>38421</v>
      </c>
      <c r="H171" s="11">
        <v>10368</v>
      </c>
      <c r="I171" s="10">
        <v>569</v>
      </c>
    </row>
    <row r="172" spans="5:9" x14ac:dyDescent="0.25">
      <c r="E172" t="s">
        <v>15</v>
      </c>
      <c r="F172" t="s">
        <v>51</v>
      </c>
      <c r="G172" s="10">
        <v>62031</v>
      </c>
      <c r="H172" s="11">
        <v>19613</v>
      </c>
      <c r="I172" s="10">
        <v>1779</v>
      </c>
    </row>
    <row r="173" spans="5:9" x14ac:dyDescent="0.25">
      <c r="E173" t="s">
        <v>15</v>
      </c>
      <c r="F173" t="s">
        <v>52</v>
      </c>
      <c r="G173" s="10">
        <v>64219</v>
      </c>
      <c r="H173" s="11">
        <v>23376</v>
      </c>
      <c r="I173" s="10">
        <v>1544</v>
      </c>
    </row>
    <row r="174" spans="5:9" x14ac:dyDescent="0.25">
      <c r="E174" t="s">
        <v>15</v>
      </c>
      <c r="F174" t="s">
        <v>53</v>
      </c>
      <c r="G174" s="10">
        <v>19471</v>
      </c>
      <c r="H174" s="11">
        <v>6856</v>
      </c>
      <c r="I174" s="10">
        <v>167</v>
      </c>
    </row>
    <row r="175" spans="5:9" x14ac:dyDescent="0.25">
      <c r="E175" t="s">
        <v>15</v>
      </c>
      <c r="F175" t="s">
        <v>54</v>
      </c>
      <c r="G175" s="10">
        <v>74789</v>
      </c>
      <c r="H175" s="11">
        <v>19642</v>
      </c>
      <c r="I175" s="10">
        <v>1184</v>
      </c>
    </row>
    <row r="176" spans="5:9" x14ac:dyDescent="0.25">
      <c r="E176" t="s">
        <v>15</v>
      </c>
      <c r="F176" t="s">
        <v>55</v>
      </c>
      <c r="G176" s="10">
        <v>136467</v>
      </c>
      <c r="H176" s="11">
        <v>41839</v>
      </c>
      <c r="I176" s="10">
        <v>1836</v>
      </c>
    </row>
    <row r="177" spans="5:9" x14ac:dyDescent="0.25">
      <c r="E177" t="s">
        <v>15</v>
      </c>
      <c r="F177" t="s">
        <v>56</v>
      </c>
      <c r="G177" s="10">
        <v>92041</v>
      </c>
      <c r="H177" s="11">
        <v>25277</v>
      </c>
      <c r="I177" s="10">
        <v>2322</v>
      </c>
    </row>
    <row r="178" spans="5:9" x14ac:dyDescent="0.25">
      <c r="E178" t="s">
        <v>15</v>
      </c>
      <c r="F178" t="s">
        <v>57</v>
      </c>
      <c r="G178" s="10">
        <v>121152</v>
      </c>
      <c r="H178" s="11">
        <v>25886</v>
      </c>
      <c r="I178" s="10">
        <v>1899</v>
      </c>
    </row>
    <row r="179" spans="5:9" x14ac:dyDescent="0.25">
      <c r="E179" t="s">
        <v>15</v>
      </c>
      <c r="F179" t="s">
        <v>58</v>
      </c>
      <c r="G179" s="10">
        <v>124540</v>
      </c>
      <c r="H179" s="11">
        <v>35145</v>
      </c>
      <c r="I179" s="10">
        <v>3022</v>
      </c>
    </row>
    <row r="180" spans="5:9" x14ac:dyDescent="0.25">
      <c r="E180" t="s">
        <v>15</v>
      </c>
      <c r="F180" t="s">
        <v>59</v>
      </c>
      <c r="G180" s="10">
        <v>109030</v>
      </c>
      <c r="H180" s="11">
        <v>39824</v>
      </c>
      <c r="I180" s="10">
        <v>3414</v>
      </c>
    </row>
    <row r="181" spans="5:9" x14ac:dyDescent="0.25">
      <c r="E181" t="s">
        <v>15</v>
      </c>
      <c r="F181" t="s">
        <v>60</v>
      </c>
      <c r="G181" s="10">
        <v>133724</v>
      </c>
      <c r="H181" s="11">
        <v>28304</v>
      </c>
      <c r="I181" s="10">
        <v>705</v>
      </c>
    </row>
    <row r="182" spans="5:9" x14ac:dyDescent="0.25">
      <c r="E182" t="s">
        <v>15</v>
      </c>
      <c r="F182" t="s">
        <v>61</v>
      </c>
      <c r="G182" s="10">
        <v>108818</v>
      </c>
      <c r="H182" s="11">
        <v>29176</v>
      </c>
      <c r="I182" s="10">
        <v>2520</v>
      </c>
    </row>
    <row r="183" spans="5:9" x14ac:dyDescent="0.25">
      <c r="E183" t="s">
        <v>15</v>
      </c>
      <c r="F183" t="s">
        <v>62</v>
      </c>
      <c r="G183" s="10">
        <v>111505</v>
      </c>
      <c r="H183" s="11">
        <v>29973</v>
      </c>
      <c r="I183" s="10">
        <v>89</v>
      </c>
    </row>
    <row r="184" spans="5:9" x14ac:dyDescent="0.25">
      <c r="E184" t="s">
        <v>16</v>
      </c>
      <c r="F184" t="s">
        <v>51</v>
      </c>
      <c r="G184" s="10">
        <v>106208</v>
      </c>
      <c r="H184" s="11">
        <v>34468</v>
      </c>
      <c r="I184" s="10">
        <v>1627</v>
      </c>
    </row>
    <row r="185" spans="5:9" x14ac:dyDescent="0.25">
      <c r="E185" t="s">
        <v>16</v>
      </c>
      <c r="F185" t="s">
        <v>52</v>
      </c>
      <c r="G185" s="10">
        <v>69445</v>
      </c>
      <c r="H185" s="11">
        <v>20713</v>
      </c>
      <c r="I185" s="10">
        <v>1688</v>
      </c>
    </row>
    <row r="186" spans="5:9" x14ac:dyDescent="0.25">
      <c r="E186" t="s">
        <v>16</v>
      </c>
      <c r="F186" t="s">
        <v>53</v>
      </c>
      <c r="G186" s="10">
        <v>10816</v>
      </c>
      <c r="H186" s="11">
        <v>2566</v>
      </c>
      <c r="I186" s="10">
        <v>164</v>
      </c>
    </row>
    <row r="187" spans="5:9" x14ac:dyDescent="0.25">
      <c r="E187" t="s">
        <v>16</v>
      </c>
      <c r="F187" t="s">
        <v>54</v>
      </c>
      <c r="G187" s="10">
        <v>101732</v>
      </c>
      <c r="H187" s="11">
        <v>31596</v>
      </c>
      <c r="I187" s="10">
        <v>1878</v>
      </c>
    </row>
    <row r="188" spans="5:9" x14ac:dyDescent="0.25">
      <c r="E188" t="s">
        <v>16</v>
      </c>
      <c r="F188" t="s">
        <v>55</v>
      </c>
      <c r="G188" s="10">
        <v>77557</v>
      </c>
      <c r="H188" s="11">
        <v>16493</v>
      </c>
      <c r="I188" s="10">
        <v>695</v>
      </c>
    </row>
    <row r="189" spans="5:9" x14ac:dyDescent="0.25">
      <c r="E189" t="s">
        <v>16</v>
      </c>
      <c r="F189" t="s">
        <v>56</v>
      </c>
      <c r="G189" s="10">
        <v>79750</v>
      </c>
      <c r="H189" s="11">
        <v>24373</v>
      </c>
      <c r="I189" s="10">
        <v>225</v>
      </c>
    </row>
    <row r="190" spans="5:9" x14ac:dyDescent="0.25">
      <c r="E190" t="s">
        <v>16</v>
      </c>
      <c r="F190" t="s">
        <v>57</v>
      </c>
      <c r="G190" s="10">
        <v>149719</v>
      </c>
      <c r="H190" s="11">
        <v>54257</v>
      </c>
      <c r="I190" s="10">
        <v>2261</v>
      </c>
    </row>
    <row r="191" spans="5:9" x14ac:dyDescent="0.25">
      <c r="E191" t="s">
        <v>16</v>
      </c>
      <c r="F191" t="s">
        <v>58</v>
      </c>
      <c r="G191" s="10">
        <v>115193</v>
      </c>
      <c r="H191" s="11">
        <v>33389</v>
      </c>
      <c r="I191" s="10">
        <v>888</v>
      </c>
    </row>
    <row r="192" spans="5:9" x14ac:dyDescent="0.25">
      <c r="E192" t="s">
        <v>16</v>
      </c>
      <c r="F192" t="s">
        <v>59</v>
      </c>
      <c r="G192" s="10">
        <v>35864</v>
      </c>
      <c r="H192" s="11">
        <v>8000</v>
      </c>
      <c r="I192" s="10">
        <v>584</v>
      </c>
    </row>
    <row r="193" spans="5:9" x14ac:dyDescent="0.25">
      <c r="E193" t="s">
        <v>16</v>
      </c>
      <c r="F193" t="s">
        <v>60</v>
      </c>
      <c r="G193" s="10">
        <v>66070</v>
      </c>
      <c r="H193" s="11">
        <v>14208</v>
      </c>
      <c r="I193" s="10">
        <v>1067</v>
      </c>
    </row>
    <row r="194" spans="5:9" x14ac:dyDescent="0.25">
      <c r="E194" t="s">
        <v>16</v>
      </c>
      <c r="F194" t="s">
        <v>61</v>
      </c>
      <c r="G194" s="10">
        <v>39814</v>
      </c>
      <c r="H194" s="11">
        <v>9253</v>
      </c>
      <c r="I194" s="10">
        <v>539</v>
      </c>
    </row>
    <row r="195" spans="5:9" x14ac:dyDescent="0.25">
      <c r="E195" t="s">
        <v>16</v>
      </c>
      <c r="F195" t="s">
        <v>62</v>
      </c>
      <c r="G195" s="10">
        <v>39466</v>
      </c>
      <c r="H195" s="11">
        <v>10604</v>
      </c>
      <c r="I195" s="10">
        <v>287</v>
      </c>
    </row>
    <row r="196" spans="5:9" x14ac:dyDescent="0.25">
      <c r="E196" t="s">
        <v>17</v>
      </c>
      <c r="F196" t="s">
        <v>51</v>
      </c>
      <c r="G196" s="10">
        <v>14266</v>
      </c>
      <c r="H196" s="11">
        <v>3701</v>
      </c>
      <c r="I196" s="10">
        <v>28</v>
      </c>
    </row>
    <row r="197" spans="5:9" x14ac:dyDescent="0.25">
      <c r="E197" t="s">
        <v>17</v>
      </c>
      <c r="F197" t="s">
        <v>52</v>
      </c>
      <c r="G197" s="10">
        <v>90539</v>
      </c>
      <c r="H197" s="11">
        <v>32224</v>
      </c>
      <c r="I197" s="10">
        <v>1550</v>
      </c>
    </row>
    <row r="198" spans="5:9" x14ac:dyDescent="0.25">
      <c r="E198" t="s">
        <v>17</v>
      </c>
      <c r="F198" t="s">
        <v>53</v>
      </c>
      <c r="G198" s="10">
        <v>54366</v>
      </c>
      <c r="H198" s="11">
        <v>19704</v>
      </c>
      <c r="I198" s="10">
        <v>1746</v>
      </c>
    </row>
    <row r="199" spans="5:9" x14ac:dyDescent="0.25">
      <c r="E199" t="s">
        <v>17</v>
      </c>
      <c r="F199" t="s">
        <v>54</v>
      </c>
      <c r="G199" s="10">
        <v>82694</v>
      </c>
      <c r="H199" s="11">
        <v>17301</v>
      </c>
      <c r="I199" s="10">
        <v>612</v>
      </c>
    </row>
    <row r="200" spans="5:9" x14ac:dyDescent="0.25">
      <c r="E200" t="s">
        <v>17</v>
      </c>
      <c r="F200" t="s">
        <v>55</v>
      </c>
      <c r="G200" s="10">
        <v>33960</v>
      </c>
      <c r="H200" s="11">
        <v>11631</v>
      </c>
      <c r="I200" s="10">
        <v>839</v>
      </c>
    </row>
    <row r="201" spans="5:9" x14ac:dyDescent="0.25">
      <c r="E201" t="s">
        <v>17</v>
      </c>
      <c r="F201" t="s">
        <v>56</v>
      </c>
      <c r="G201" s="10">
        <v>70801</v>
      </c>
      <c r="H201" s="11">
        <v>16529</v>
      </c>
      <c r="I201" s="10">
        <v>625</v>
      </c>
    </row>
    <row r="202" spans="5:9" x14ac:dyDescent="0.25">
      <c r="E202" t="s">
        <v>17</v>
      </c>
      <c r="F202" t="s">
        <v>57</v>
      </c>
      <c r="G202" s="10">
        <v>87567</v>
      </c>
      <c r="H202" s="11">
        <v>19895</v>
      </c>
      <c r="I202" s="10">
        <v>445</v>
      </c>
    </row>
    <row r="203" spans="5:9" x14ac:dyDescent="0.25">
      <c r="E203" t="s">
        <v>17</v>
      </c>
      <c r="F203" t="s">
        <v>58</v>
      </c>
      <c r="G203" s="10">
        <v>126820</v>
      </c>
      <c r="H203" s="11">
        <v>34736</v>
      </c>
      <c r="I203" s="10">
        <v>2622</v>
      </c>
    </row>
    <row r="204" spans="5:9" x14ac:dyDescent="0.25">
      <c r="E204" t="s">
        <v>17</v>
      </c>
      <c r="F204" t="s">
        <v>59</v>
      </c>
      <c r="G204" s="10">
        <v>76073</v>
      </c>
      <c r="H204" s="11">
        <v>22643</v>
      </c>
      <c r="I204" s="10">
        <v>1906</v>
      </c>
    </row>
    <row r="205" spans="5:9" x14ac:dyDescent="0.25">
      <c r="E205" t="s">
        <v>17</v>
      </c>
      <c r="F205" t="s">
        <v>60</v>
      </c>
      <c r="G205" s="10">
        <v>63627</v>
      </c>
      <c r="H205" s="11">
        <v>22652</v>
      </c>
      <c r="I205" s="10">
        <v>539</v>
      </c>
    </row>
    <row r="206" spans="5:9" x14ac:dyDescent="0.25">
      <c r="E206" t="s">
        <v>17</v>
      </c>
      <c r="F206" t="s">
        <v>61</v>
      </c>
      <c r="G206" s="10">
        <v>126993</v>
      </c>
      <c r="H206" s="11">
        <v>25855</v>
      </c>
      <c r="I206" s="10">
        <v>992</v>
      </c>
    </row>
    <row r="207" spans="5:9" x14ac:dyDescent="0.25">
      <c r="E207" t="s">
        <v>17</v>
      </c>
      <c r="F207" t="s">
        <v>62</v>
      </c>
      <c r="G207" s="10">
        <v>32659</v>
      </c>
      <c r="H207" s="11">
        <v>6547</v>
      </c>
      <c r="I207" s="10">
        <v>135</v>
      </c>
    </row>
    <row r="208" spans="5:9" x14ac:dyDescent="0.25">
      <c r="E208" t="s">
        <v>18</v>
      </c>
      <c r="F208" t="s">
        <v>51</v>
      </c>
      <c r="G208" s="10">
        <v>18805</v>
      </c>
      <c r="H208" s="11">
        <v>4870</v>
      </c>
      <c r="I208" s="10">
        <v>390</v>
      </c>
    </row>
    <row r="209" spans="5:9" x14ac:dyDescent="0.25">
      <c r="E209" t="s">
        <v>18</v>
      </c>
      <c r="F209" t="s">
        <v>52</v>
      </c>
      <c r="G209" s="10">
        <v>127174</v>
      </c>
      <c r="H209" s="11">
        <v>50489</v>
      </c>
      <c r="I209" s="10">
        <v>2284</v>
      </c>
    </row>
    <row r="210" spans="5:9" x14ac:dyDescent="0.25">
      <c r="E210" t="s">
        <v>18</v>
      </c>
      <c r="F210" t="s">
        <v>53</v>
      </c>
      <c r="G210" s="10">
        <v>15096</v>
      </c>
      <c r="H210" s="11">
        <v>3554</v>
      </c>
      <c r="I210" s="10">
        <v>192</v>
      </c>
    </row>
    <row r="211" spans="5:9" x14ac:dyDescent="0.25">
      <c r="E211" t="s">
        <v>18</v>
      </c>
      <c r="F211" t="s">
        <v>54</v>
      </c>
      <c r="G211" s="10">
        <v>52040</v>
      </c>
      <c r="H211" s="11">
        <v>15818</v>
      </c>
      <c r="I211" s="10">
        <v>1325</v>
      </c>
    </row>
    <row r="212" spans="5:9" x14ac:dyDescent="0.25">
      <c r="E212" t="s">
        <v>18</v>
      </c>
      <c r="F212" t="s">
        <v>55</v>
      </c>
      <c r="G212" s="10">
        <v>95405</v>
      </c>
      <c r="H212" s="11">
        <v>33943</v>
      </c>
      <c r="I212" s="10">
        <v>3114</v>
      </c>
    </row>
    <row r="213" spans="5:9" x14ac:dyDescent="0.25">
      <c r="E213" t="s">
        <v>18</v>
      </c>
      <c r="F213" t="s">
        <v>56</v>
      </c>
      <c r="G213" s="10">
        <v>100861</v>
      </c>
      <c r="H213" s="11">
        <v>40011</v>
      </c>
      <c r="I213" s="10">
        <v>951</v>
      </c>
    </row>
    <row r="214" spans="5:9" x14ac:dyDescent="0.25">
      <c r="E214" t="s">
        <v>18</v>
      </c>
      <c r="F214" t="s">
        <v>57</v>
      </c>
      <c r="G214" s="10">
        <v>24702</v>
      </c>
      <c r="H214" s="11">
        <v>7412</v>
      </c>
      <c r="I214" s="10">
        <v>587</v>
      </c>
    </row>
    <row r="215" spans="5:9" x14ac:dyDescent="0.25">
      <c r="E215" t="s">
        <v>18</v>
      </c>
      <c r="F215" t="s">
        <v>58</v>
      </c>
      <c r="G215" s="10">
        <v>77916</v>
      </c>
      <c r="H215" s="11">
        <v>28660</v>
      </c>
      <c r="I215" s="10">
        <v>2483</v>
      </c>
    </row>
    <row r="216" spans="5:9" x14ac:dyDescent="0.25">
      <c r="E216" t="s">
        <v>18</v>
      </c>
      <c r="F216" t="s">
        <v>59</v>
      </c>
      <c r="G216" s="10">
        <v>86165</v>
      </c>
      <c r="H216" s="11">
        <v>21916</v>
      </c>
      <c r="I216" s="10">
        <v>337</v>
      </c>
    </row>
    <row r="217" spans="5:9" x14ac:dyDescent="0.25">
      <c r="E217" t="s">
        <v>18</v>
      </c>
      <c r="F217" t="s">
        <v>60</v>
      </c>
      <c r="G217" s="10">
        <v>95699</v>
      </c>
      <c r="H217" s="11">
        <v>29270</v>
      </c>
      <c r="I217" s="10">
        <v>205</v>
      </c>
    </row>
    <row r="218" spans="5:9" x14ac:dyDescent="0.25">
      <c r="E218" t="s">
        <v>18</v>
      </c>
      <c r="F218" t="s">
        <v>61</v>
      </c>
      <c r="G218" s="10">
        <v>18029</v>
      </c>
      <c r="H218" s="11">
        <v>5298</v>
      </c>
      <c r="I218" s="10">
        <v>313</v>
      </c>
    </row>
    <row r="219" spans="5:9" x14ac:dyDescent="0.25">
      <c r="E219" t="s">
        <v>18</v>
      </c>
      <c r="F219" t="s">
        <v>62</v>
      </c>
      <c r="G219" s="10">
        <v>21124</v>
      </c>
      <c r="H219" s="11">
        <v>4467</v>
      </c>
      <c r="I219" s="10">
        <v>256</v>
      </c>
    </row>
    <row r="220" spans="5:9" x14ac:dyDescent="0.25">
      <c r="E220" t="s">
        <v>19</v>
      </c>
      <c r="F220" t="s">
        <v>51</v>
      </c>
      <c r="G220" s="10">
        <v>148884</v>
      </c>
      <c r="H220" s="11">
        <v>57026</v>
      </c>
      <c r="I220" s="10">
        <v>4051</v>
      </c>
    </row>
    <row r="221" spans="5:9" x14ac:dyDescent="0.25">
      <c r="E221" t="s">
        <v>19</v>
      </c>
      <c r="F221" t="s">
        <v>52</v>
      </c>
      <c r="G221" s="10">
        <v>77897</v>
      </c>
      <c r="H221" s="11">
        <v>17359</v>
      </c>
      <c r="I221" s="10">
        <v>1162</v>
      </c>
    </row>
    <row r="222" spans="5:9" x14ac:dyDescent="0.25">
      <c r="E222" t="s">
        <v>19</v>
      </c>
      <c r="F222" t="s">
        <v>53</v>
      </c>
      <c r="G222" s="10">
        <v>23315</v>
      </c>
      <c r="H222" s="11">
        <v>4683</v>
      </c>
      <c r="I222" s="10">
        <v>195</v>
      </c>
    </row>
    <row r="223" spans="5:9" x14ac:dyDescent="0.25">
      <c r="E223" t="s">
        <v>19</v>
      </c>
      <c r="F223" t="s">
        <v>54</v>
      </c>
      <c r="G223" s="10">
        <v>55722</v>
      </c>
      <c r="H223" s="11">
        <v>19096</v>
      </c>
      <c r="I223" s="10">
        <v>47</v>
      </c>
    </row>
    <row r="224" spans="5:9" x14ac:dyDescent="0.25">
      <c r="E224" t="s">
        <v>19</v>
      </c>
      <c r="F224" t="s">
        <v>55</v>
      </c>
      <c r="G224" s="10">
        <v>40736</v>
      </c>
      <c r="H224" s="11">
        <v>14977</v>
      </c>
      <c r="I224" s="10">
        <v>895</v>
      </c>
    </row>
    <row r="225" spans="5:9" x14ac:dyDescent="0.25">
      <c r="E225" t="s">
        <v>19</v>
      </c>
      <c r="F225" t="s">
        <v>56</v>
      </c>
      <c r="G225" s="10">
        <v>29945</v>
      </c>
      <c r="H225" s="11">
        <v>11521</v>
      </c>
      <c r="I225" s="10">
        <v>560</v>
      </c>
    </row>
    <row r="226" spans="5:9" x14ac:dyDescent="0.25">
      <c r="E226" t="s">
        <v>19</v>
      </c>
      <c r="F226" t="s">
        <v>57</v>
      </c>
      <c r="G226" s="10">
        <v>27487</v>
      </c>
      <c r="H226" s="11">
        <v>10364</v>
      </c>
      <c r="I226" s="10">
        <v>92</v>
      </c>
    </row>
    <row r="227" spans="5:9" x14ac:dyDescent="0.25">
      <c r="E227" t="s">
        <v>19</v>
      </c>
      <c r="F227" t="s">
        <v>58</v>
      </c>
      <c r="G227" s="10">
        <v>58688</v>
      </c>
      <c r="H227" s="11">
        <v>22735</v>
      </c>
      <c r="I227" s="10">
        <v>1289</v>
      </c>
    </row>
    <row r="228" spans="5:9" x14ac:dyDescent="0.25">
      <c r="E228" t="s">
        <v>19</v>
      </c>
      <c r="F228" t="s">
        <v>59</v>
      </c>
      <c r="G228" s="10">
        <v>21291</v>
      </c>
      <c r="H228" s="11">
        <v>6834</v>
      </c>
      <c r="I228" s="10">
        <v>437</v>
      </c>
    </row>
    <row r="229" spans="5:9" x14ac:dyDescent="0.25">
      <c r="E229" t="s">
        <v>19</v>
      </c>
      <c r="F229" t="s">
        <v>60</v>
      </c>
      <c r="G229" s="10">
        <v>42068</v>
      </c>
      <c r="H229" s="11">
        <v>14773</v>
      </c>
      <c r="I229" s="10">
        <v>176</v>
      </c>
    </row>
    <row r="230" spans="5:9" x14ac:dyDescent="0.25">
      <c r="E230" t="s">
        <v>19</v>
      </c>
      <c r="F230" t="s">
        <v>61</v>
      </c>
      <c r="G230" s="10">
        <v>77907</v>
      </c>
      <c r="H230" s="11">
        <v>17722</v>
      </c>
      <c r="I230" s="10">
        <v>648</v>
      </c>
    </row>
    <row r="231" spans="5:9" x14ac:dyDescent="0.25">
      <c r="E231" t="s">
        <v>19</v>
      </c>
      <c r="F231" t="s">
        <v>62</v>
      </c>
      <c r="G231" s="10">
        <v>129278</v>
      </c>
      <c r="H231" s="11">
        <v>48115</v>
      </c>
      <c r="I231" s="10">
        <v>1152</v>
      </c>
    </row>
    <row r="232" spans="5:9" x14ac:dyDescent="0.25">
      <c r="E232" t="s">
        <v>20</v>
      </c>
      <c r="F232" t="s">
        <v>51</v>
      </c>
      <c r="G232" s="10">
        <v>73502</v>
      </c>
      <c r="H232" s="11">
        <v>19794</v>
      </c>
      <c r="I232" s="10">
        <v>186</v>
      </c>
    </row>
    <row r="233" spans="5:9" x14ac:dyDescent="0.25">
      <c r="E233" t="s">
        <v>20</v>
      </c>
      <c r="F233" t="s">
        <v>52</v>
      </c>
      <c r="G233" s="10">
        <v>26036</v>
      </c>
      <c r="H233" s="11">
        <v>7840</v>
      </c>
      <c r="I233" s="10">
        <v>217</v>
      </c>
    </row>
    <row r="234" spans="5:9" x14ac:dyDescent="0.25">
      <c r="E234" t="s">
        <v>20</v>
      </c>
      <c r="F234" t="s">
        <v>53</v>
      </c>
      <c r="G234" s="10">
        <v>91232</v>
      </c>
      <c r="H234" s="11">
        <v>29822</v>
      </c>
      <c r="I234" s="10">
        <v>1850</v>
      </c>
    </row>
    <row r="235" spans="5:9" x14ac:dyDescent="0.25">
      <c r="E235" t="s">
        <v>20</v>
      </c>
      <c r="F235" t="s">
        <v>54</v>
      </c>
      <c r="G235" s="10">
        <v>11040</v>
      </c>
      <c r="H235" s="11">
        <v>4109</v>
      </c>
      <c r="I235" s="10">
        <v>34</v>
      </c>
    </row>
    <row r="236" spans="5:9" x14ac:dyDescent="0.25">
      <c r="E236" t="s">
        <v>20</v>
      </c>
      <c r="F236" t="s">
        <v>55</v>
      </c>
      <c r="G236" s="10">
        <v>96704</v>
      </c>
      <c r="H236" s="11">
        <v>34680</v>
      </c>
      <c r="I236" s="10">
        <v>2112</v>
      </c>
    </row>
    <row r="237" spans="5:9" x14ac:dyDescent="0.25">
      <c r="E237" t="s">
        <v>20</v>
      </c>
      <c r="F237" t="s">
        <v>56</v>
      </c>
      <c r="G237" s="10">
        <v>80106</v>
      </c>
      <c r="H237" s="11">
        <v>28693</v>
      </c>
      <c r="I237" s="10">
        <v>1125</v>
      </c>
    </row>
    <row r="238" spans="5:9" x14ac:dyDescent="0.25">
      <c r="E238" t="s">
        <v>20</v>
      </c>
      <c r="F238" t="s">
        <v>57</v>
      </c>
      <c r="G238" s="10">
        <v>56459</v>
      </c>
      <c r="H238" s="11">
        <v>17545</v>
      </c>
      <c r="I238" s="10">
        <v>51</v>
      </c>
    </row>
    <row r="239" spans="5:9" x14ac:dyDescent="0.25">
      <c r="E239" t="s">
        <v>20</v>
      </c>
      <c r="F239" t="s">
        <v>58</v>
      </c>
      <c r="G239" s="10">
        <v>35267</v>
      </c>
      <c r="H239" s="11">
        <v>13290</v>
      </c>
      <c r="I239" s="10">
        <v>827</v>
      </c>
    </row>
    <row r="240" spans="5:9" x14ac:dyDescent="0.25">
      <c r="E240" t="s">
        <v>20</v>
      </c>
      <c r="F240" t="s">
        <v>59</v>
      </c>
      <c r="G240" s="10">
        <v>66211</v>
      </c>
      <c r="H240" s="11">
        <v>16976</v>
      </c>
      <c r="I240" s="10">
        <v>525</v>
      </c>
    </row>
    <row r="241" spans="5:9" x14ac:dyDescent="0.25">
      <c r="E241" t="s">
        <v>20</v>
      </c>
      <c r="F241" t="s">
        <v>60</v>
      </c>
      <c r="G241" s="10">
        <v>23208</v>
      </c>
      <c r="H241" s="11">
        <v>8422</v>
      </c>
      <c r="I241" s="10">
        <v>209</v>
      </c>
    </row>
    <row r="242" spans="5:9" x14ac:dyDescent="0.25">
      <c r="E242" t="s">
        <v>20</v>
      </c>
      <c r="F242" t="s">
        <v>61</v>
      </c>
      <c r="G242" s="10">
        <v>78784</v>
      </c>
      <c r="H242" s="11">
        <v>16749</v>
      </c>
      <c r="I242" s="10">
        <v>268</v>
      </c>
    </row>
    <row r="243" spans="5:9" x14ac:dyDescent="0.25">
      <c r="E243" t="s">
        <v>20</v>
      </c>
      <c r="F243" t="s">
        <v>62</v>
      </c>
      <c r="G243" s="10">
        <v>100373</v>
      </c>
      <c r="H243" s="11">
        <v>21897</v>
      </c>
      <c r="I243" s="10">
        <v>488</v>
      </c>
    </row>
    <row r="244" spans="5:9" x14ac:dyDescent="0.25">
      <c r="E244" t="s">
        <v>21</v>
      </c>
      <c r="F244" t="s">
        <v>51</v>
      </c>
      <c r="G244" s="10">
        <v>26166</v>
      </c>
      <c r="H244" s="11">
        <v>7643</v>
      </c>
      <c r="I244" s="10">
        <v>229</v>
      </c>
    </row>
    <row r="245" spans="5:9" x14ac:dyDescent="0.25">
      <c r="E245" t="s">
        <v>21</v>
      </c>
      <c r="F245" t="s">
        <v>52</v>
      </c>
      <c r="G245" s="10">
        <v>118173</v>
      </c>
      <c r="H245" s="11">
        <v>42616</v>
      </c>
      <c r="I245" s="10">
        <v>3895</v>
      </c>
    </row>
    <row r="246" spans="5:9" x14ac:dyDescent="0.25">
      <c r="E246" t="s">
        <v>21</v>
      </c>
      <c r="F246" t="s">
        <v>53</v>
      </c>
      <c r="G246" s="10">
        <v>53947</v>
      </c>
      <c r="H246" s="11">
        <v>11108</v>
      </c>
      <c r="I246" s="10">
        <v>691</v>
      </c>
    </row>
    <row r="247" spans="5:9" x14ac:dyDescent="0.25">
      <c r="E247" t="s">
        <v>21</v>
      </c>
      <c r="F247" t="s">
        <v>54</v>
      </c>
      <c r="G247" s="10">
        <v>41235</v>
      </c>
      <c r="H247" s="11">
        <v>12994</v>
      </c>
      <c r="I247" s="10">
        <v>291</v>
      </c>
    </row>
    <row r="248" spans="5:9" x14ac:dyDescent="0.25">
      <c r="E248" t="s">
        <v>21</v>
      </c>
      <c r="F248" t="s">
        <v>55</v>
      </c>
      <c r="G248" s="10">
        <v>136742</v>
      </c>
      <c r="H248" s="11">
        <v>37275</v>
      </c>
      <c r="I248" s="10">
        <v>2749</v>
      </c>
    </row>
    <row r="249" spans="5:9" x14ac:dyDescent="0.25">
      <c r="E249" t="s">
        <v>21</v>
      </c>
      <c r="F249" t="s">
        <v>56</v>
      </c>
      <c r="G249" s="10">
        <v>122807</v>
      </c>
      <c r="H249" s="11">
        <v>31045</v>
      </c>
      <c r="I249" s="10">
        <v>1321</v>
      </c>
    </row>
    <row r="250" spans="5:9" x14ac:dyDescent="0.25">
      <c r="E250" t="s">
        <v>21</v>
      </c>
      <c r="F250" t="s">
        <v>57</v>
      </c>
      <c r="G250" s="10">
        <v>12687</v>
      </c>
      <c r="H250" s="11">
        <v>4060</v>
      </c>
      <c r="I250" s="10">
        <v>246</v>
      </c>
    </row>
    <row r="251" spans="5:9" x14ac:dyDescent="0.25">
      <c r="E251" t="s">
        <v>21</v>
      </c>
      <c r="F251" t="s">
        <v>58</v>
      </c>
      <c r="G251" s="10">
        <v>15046</v>
      </c>
      <c r="H251" s="11">
        <v>5449</v>
      </c>
      <c r="I251" s="10">
        <v>229</v>
      </c>
    </row>
    <row r="252" spans="5:9" x14ac:dyDescent="0.25">
      <c r="E252" t="s">
        <v>21</v>
      </c>
      <c r="F252" t="s">
        <v>59</v>
      </c>
      <c r="G252" s="10">
        <v>99138</v>
      </c>
      <c r="H252" s="11">
        <v>32671</v>
      </c>
      <c r="I252" s="10">
        <v>2591</v>
      </c>
    </row>
    <row r="253" spans="5:9" x14ac:dyDescent="0.25">
      <c r="E253" t="s">
        <v>21</v>
      </c>
      <c r="F253" t="s">
        <v>60</v>
      </c>
      <c r="G253" s="10">
        <v>98203</v>
      </c>
      <c r="H253" s="11">
        <v>33675</v>
      </c>
      <c r="I253" s="10">
        <v>2361</v>
      </c>
    </row>
    <row r="254" spans="5:9" x14ac:dyDescent="0.25">
      <c r="E254" t="s">
        <v>21</v>
      </c>
      <c r="F254" t="s">
        <v>61</v>
      </c>
      <c r="G254" s="10">
        <v>86547</v>
      </c>
      <c r="H254" s="11">
        <v>28474</v>
      </c>
      <c r="I254" s="10">
        <v>1843</v>
      </c>
    </row>
    <row r="255" spans="5:9" x14ac:dyDescent="0.25">
      <c r="E255" t="s">
        <v>21</v>
      </c>
      <c r="F255" t="s">
        <v>62</v>
      </c>
      <c r="G255" s="10">
        <v>135894</v>
      </c>
      <c r="H255" s="11">
        <v>33780</v>
      </c>
      <c r="I255" s="10">
        <v>2008</v>
      </c>
    </row>
    <row r="256" spans="5:9" x14ac:dyDescent="0.25">
      <c r="E256" t="s">
        <v>22</v>
      </c>
      <c r="F256" t="s">
        <v>51</v>
      </c>
      <c r="G256" s="10">
        <v>99675</v>
      </c>
      <c r="H256" s="11">
        <v>29642</v>
      </c>
      <c r="I256" s="10">
        <v>124</v>
      </c>
    </row>
    <row r="257" spans="5:9" x14ac:dyDescent="0.25">
      <c r="E257" t="s">
        <v>22</v>
      </c>
      <c r="F257" t="s">
        <v>52</v>
      </c>
      <c r="G257" s="10">
        <v>83694</v>
      </c>
      <c r="H257" s="11">
        <v>21543</v>
      </c>
      <c r="I257" s="10">
        <v>133</v>
      </c>
    </row>
    <row r="258" spans="5:9" x14ac:dyDescent="0.25">
      <c r="E258" t="s">
        <v>22</v>
      </c>
      <c r="F258" t="s">
        <v>53</v>
      </c>
      <c r="G258" s="10">
        <v>65520</v>
      </c>
      <c r="H258" s="11">
        <v>23883</v>
      </c>
      <c r="I258" s="10">
        <v>1249</v>
      </c>
    </row>
    <row r="259" spans="5:9" x14ac:dyDescent="0.25">
      <c r="E259" t="s">
        <v>22</v>
      </c>
      <c r="F259" t="s">
        <v>54</v>
      </c>
      <c r="G259" s="10">
        <v>132632</v>
      </c>
      <c r="H259" s="11">
        <v>38951</v>
      </c>
      <c r="I259" s="10">
        <v>821</v>
      </c>
    </row>
    <row r="260" spans="5:9" x14ac:dyDescent="0.25">
      <c r="E260" t="s">
        <v>22</v>
      </c>
      <c r="F260" t="s">
        <v>55</v>
      </c>
      <c r="G260" s="10">
        <v>65031</v>
      </c>
      <c r="H260" s="11">
        <v>17570</v>
      </c>
      <c r="I260" s="10">
        <v>1317</v>
      </c>
    </row>
    <row r="261" spans="5:9" x14ac:dyDescent="0.25">
      <c r="E261" t="s">
        <v>22</v>
      </c>
      <c r="F261" t="s">
        <v>56</v>
      </c>
      <c r="G261" s="10">
        <v>85627</v>
      </c>
      <c r="H261" s="11">
        <v>26284</v>
      </c>
      <c r="I261" s="10">
        <v>1572</v>
      </c>
    </row>
    <row r="262" spans="5:9" x14ac:dyDescent="0.25">
      <c r="E262" t="s">
        <v>22</v>
      </c>
      <c r="F262" t="s">
        <v>57</v>
      </c>
      <c r="G262" s="10">
        <v>40446</v>
      </c>
      <c r="H262" s="11">
        <v>8475</v>
      </c>
      <c r="I262" s="10">
        <v>589</v>
      </c>
    </row>
    <row r="263" spans="5:9" x14ac:dyDescent="0.25">
      <c r="E263" t="s">
        <v>22</v>
      </c>
      <c r="F263" t="s">
        <v>58</v>
      </c>
      <c r="G263" s="10">
        <v>128202</v>
      </c>
      <c r="H263" s="11">
        <v>47695</v>
      </c>
      <c r="I263" s="10">
        <v>1917</v>
      </c>
    </row>
    <row r="264" spans="5:9" x14ac:dyDescent="0.25">
      <c r="E264" t="s">
        <v>22</v>
      </c>
      <c r="F264" t="s">
        <v>59</v>
      </c>
      <c r="G264" s="10">
        <v>103803</v>
      </c>
      <c r="H264" s="11">
        <v>32999</v>
      </c>
      <c r="I264" s="10">
        <v>1742</v>
      </c>
    </row>
    <row r="265" spans="5:9" x14ac:dyDescent="0.25">
      <c r="E265" t="s">
        <v>22</v>
      </c>
      <c r="F265" t="s">
        <v>60</v>
      </c>
      <c r="G265" s="10">
        <v>137073</v>
      </c>
      <c r="H265" s="11">
        <v>49982</v>
      </c>
      <c r="I265" s="10">
        <v>647</v>
      </c>
    </row>
    <row r="266" spans="5:9" x14ac:dyDescent="0.25">
      <c r="E266" t="s">
        <v>22</v>
      </c>
      <c r="F266" t="s">
        <v>61</v>
      </c>
      <c r="G266" s="10">
        <v>85712</v>
      </c>
      <c r="H266" s="11">
        <v>21229</v>
      </c>
      <c r="I266" s="10">
        <v>1382</v>
      </c>
    </row>
    <row r="267" spans="5:9" x14ac:dyDescent="0.25">
      <c r="E267" t="s">
        <v>22</v>
      </c>
      <c r="F267" t="s">
        <v>62</v>
      </c>
      <c r="G267" s="10">
        <v>55117</v>
      </c>
      <c r="H267" s="11">
        <v>20733</v>
      </c>
      <c r="I267" s="10">
        <v>1216</v>
      </c>
    </row>
    <row r="268" spans="5:9" x14ac:dyDescent="0.25">
      <c r="E268" t="s">
        <v>23</v>
      </c>
      <c r="F268" t="s">
        <v>51</v>
      </c>
      <c r="G268" s="10">
        <v>84981</v>
      </c>
      <c r="H268" s="11">
        <v>30858</v>
      </c>
      <c r="I268" s="10">
        <v>76</v>
      </c>
    </row>
    <row r="269" spans="5:9" x14ac:dyDescent="0.25">
      <c r="E269" t="s">
        <v>23</v>
      </c>
      <c r="F269" t="s">
        <v>52</v>
      </c>
      <c r="G269" s="10">
        <v>42256</v>
      </c>
      <c r="H269" s="11">
        <v>14032</v>
      </c>
      <c r="I269" s="10">
        <v>1049</v>
      </c>
    </row>
    <row r="270" spans="5:9" x14ac:dyDescent="0.25">
      <c r="E270" t="s">
        <v>23</v>
      </c>
      <c r="F270" t="s">
        <v>53</v>
      </c>
      <c r="G270" s="10">
        <v>114328</v>
      </c>
      <c r="H270" s="11">
        <v>30204</v>
      </c>
      <c r="I270" s="10">
        <v>2154</v>
      </c>
    </row>
    <row r="271" spans="5:9" x14ac:dyDescent="0.25">
      <c r="E271" t="s">
        <v>23</v>
      </c>
      <c r="F271" t="s">
        <v>54</v>
      </c>
      <c r="G271" s="10">
        <v>93546</v>
      </c>
      <c r="H271" s="11">
        <v>28451</v>
      </c>
      <c r="I271" s="10">
        <v>462</v>
      </c>
    </row>
    <row r="272" spans="5:9" x14ac:dyDescent="0.25">
      <c r="E272" t="s">
        <v>23</v>
      </c>
      <c r="F272" t="s">
        <v>55</v>
      </c>
      <c r="G272" s="10">
        <v>123554</v>
      </c>
      <c r="H272" s="11">
        <v>26047</v>
      </c>
      <c r="I272" s="10">
        <v>1004</v>
      </c>
    </row>
    <row r="273" spans="5:9" x14ac:dyDescent="0.25">
      <c r="E273" t="s">
        <v>23</v>
      </c>
      <c r="F273" t="s">
        <v>56</v>
      </c>
      <c r="G273" s="10">
        <v>36450</v>
      </c>
      <c r="H273" s="11">
        <v>12339</v>
      </c>
      <c r="I273" s="10">
        <v>806</v>
      </c>
    </row>
    <row r="274" spans="5:9" x14ac:dyDescent="0.25">
      <c r="E274" t="s">
        <v>23</v>
      </c>
      <c r="F274" t="s">
        <v>57</v>
      </c>
      <c r="G274" s="10">
        <v>131757</v>
      </c>
      <c r="H274" s="11">
        <v>31760</v>
      </c>
      <c r="I274" s="10">
        <v>1955</v>
      </c>
    </row>
    <row r="275" spans="5:9" x14ac:dyDescent="0.25">
      <c r="E275" t="s">
        <v>23</v>
      </c>
      <c r="F275" t="s">
        <v>58</v>
      </c>
      <c r="G275" s="10">
        <v>120588</v>
      </c>
      <c r="H275" s="11">
        <v>45491</v>
      </c>
      <c r="I275" s="10">
        <v>3315</v>
      </c>
    </row>
    <row r="276" spans="5:9" x14ac:dyDescent="0.25">
      <c r="E276" t="s">
        <v>23</v>
      </c>
      <c r="F276" t="s">
        <v>59</v>
      </c>
      <c r="G276" s="10">
        <v>75594</v>
      </c>
      <c r="H276" s="11">
        <v>26419</v>
      </c>
      <c r="I276" s="10">
        <v>1244</v>
      </c>
    </row>
    <row r="277" spans="5:9" x14ac:dyDescent="0.25">
      <c r="E277" t="s">
        <v>23</v>
      </c>
      <c r="F277" t="s">
        <v>60</v>
      </c>
      <c r="G277" s="10">
        <v>53691</v>
      </c>
      <c r="H277" s="11">
        <v>17445</v>
      </c>
      <c r="I277" s="10">
        <v>455</v>
      </c>
    </row>
    <row r="278" spans="5:9" x14ac:dyDescent="0.25">
      <c r="E278" t="s">
        <v>23</v>
      </c>
      <c r="F278" t="s">
        <v>61</v>
      </c>
      <c r="G278" s="10">
        <v>15697</v>
      </c>
      <c r="H278" s="11">
        <v>5771</v>
      </c>
      <c r="I278" s="10">
        <v>334</v>
      </c>
    </row>
    <row r="279" spans="5:9" x14ac:dyDescent="0.25">
      <c r="E279" t="s">
        <v>23</v>
      </c>
      <c r="F279" t="s">
        <v>62</v>
      </c>
      <c r="G279" s="10">
        <v>100486</v>
      </c>
      <c r="H279" s="11">
        <v>20216</v>
      </c>
      <c r="I279" s="10">
        <v>817</v>
      </c>
    </row>
    <row r="280" spans="5:9" x14ac:dyDescent="0.25">
      <c r="E280" t="s">
        <v>24</v>
      </c>
      <c r="F280" t="s">
        <v>51</v>
      </c>
      <c r="G280" s="10">
        <v>67992</v>
      </c>
      <c r="H280" s="11">
        <v>26375</v>
      </c>
      <c r="I280" s="10">
        <v>1722</v>
      </c>
    </row>
    <row r="281" spans="5:9" x14ac:dyDescent="0.25">
      <c r="E281" t="s">
        <v>24</v>
      </c>
      <c r="F281" t="s">
        <v>52</v>
      </c>
      <c r="G281" s="10">
        <v>121420</v>
      </c>
      <c r="H281" s="11">
        <v>32403</v>
      </c>
      <c r="I281" s="10">
        <v>88</v>
      </c>
    </row>
    <row r="282" spans="5:9" x14ac:dyDescent="0.25">
      <c r="E282" t="s">
        <v>24</v>
      </c>
      <c r="F282" t="s">
        <v>53</v>
      </c>
      <c r="G282" s="10">
        <v>54813</v>
      </c>
      <c r="H282" s="11">
        <v>11909</v>
      </c>
      <c r="I282" s="10">
        <v>1040</v>
      </c>
    </row>
    <row r="283" spans="5:9" x14ac:dyDescent="0.25">
      <c r="E283" t="s">
        <v>24</v>
      </c>
      <c r="F283" t="s">
        <v>54</v>
      </c>
      <c r="G283" s="10">
        <v>88867</v>
      </c>
      <c r="H283" s="11">
        <v>27760</v>
      </c>
      <c r="I283" s="10">
        <v>113</v>
      </c>
    </row>
    <row r="284" spans="5:9" x14ac:dyDescent="0.25">
      <c r="E284" t="s">
        <v>24</v>
      </c>
      <c r="F284" t="s">
        <v>55</v>
      </c>
      <c r="G284" s="10">
        <v>79294</v>
      </c>
      <c r="H284" s="11">
        <v>22260</v>
      </c>
      <c r="I284" s="10">
        <v>1695</v>
      </c>
    </row>
    <row r="285" spans="5:9" x14ac:dyDescent="0.25">
      <c r="E285" t="s">
        <v>24</v>
      </c>
      <c r="F285" t="s">
        <v>56</v>
      </c>
      <c r="G285" s="10">
        <v>23145</v>
      </c>
      <c r="H285" s="11">
        <v>9066</v>
      </c>
      <c r="I285" s="10">
        <v>155</v>
      </c>
    </row>
    <row r="286" spans="5:9" x14ac:dyDescent="0.25">
      <c r="E286" t="s">
        <v>24</v>
      </c>
      <c r="F286" t="s">
        <v>57</v>
      </c>
      <c r="G286" s="10">
        <v>116712</v>
      </c>
      <c r="H286" s="11">
        <v>29602</v>
      </c>
      <c r="I286" s="10">
        <v>841</v>
      </c>
    </row>
    <row r="287" spans="5:9" x14ac:dyDescent="0.25">
      <c r="E287" t="s">
        <v>24</v>
      </c>
      <c r="F287" t="s">
        <v>58</v>
      </c>
      <c r="G287" s="10">
        <v>146478</v>
      </c>
      <c r="H287" s="11">
        <v>46700</v>
      </c>
      <c r="I287" s="10">
        <v>3276</v>
      </c>
    </row>
    <row r="288" spans="5:9" x14ac:dyDescent="0.25">
      <c r="E288" t="s">
        <v>24</v>
      </c>
      <c r="F288" t="s">
        <v>59</v>
      </c>
      <c r="G288" s="10">
        <v>117997</v>
      </c>
      <c r="H288" s="11">
        <v>41697</v>
      </c>
      <c r="I288" s="10">
        <v>2541</v>
      </c>
    </row>
    <row r="289" spans="5:9" x14ac:dyDescent="0.25">
      <c r="E289" t="s">
        <v>24</v>
      </c>
      <c r="F289" t="s">
        <v>60</v>
      </c>
      <c r="G289" s="10">
        <v>97789</v>
      </c>
      <c r="H289" s="11">
        <v>37484</v>
      </c>
      <c r="I289" s="10">
        <v>2772</v>
      </c>
    </row>
    <row r="290" spans="5:9" x14ac:dyDescent="0.25">
      <c r="E290" t="s">
        <v>24</v>
      </c>
      <c r="F290" t="s">
        <v>61</v>
      </c>
      <c r="G290" s="10">
        <v>75665</v>
      </c>
      <c r="H290" s="11">
        <v>18560</v>
      </c>
      <c r="I290" s="10">
        <v>898</v>
      </c>
    </row>
    <row r="291" spans="5:9" x14ac:dyDescent="0.25">
      <c r="E291" t="s">
        <v>24</v>
      </c>
      <c r="F291" t="s">
        <v>62</v>
      </c>
      <c r="G291" s="10">
        <v>87184</v>
      </c>
      <c r="H291" s="11">
        <v>23927</v>
      </c>
      <c r="I291" s="10">
        <v>354</v>
      </c>
    </row>
    <row r="292" spans="5:9" x14ac:dyDescent="0.25">
      <c r="E292" t="s">
        <v>25</v>
      </c>
      <c r="F292" t="s">
        <v>51</v>
      </c>
      <c r="G292" s="10">
        <v>66604</v>
      </c>
      <c r="H292" s="11">
        <v>15730</v>
      </c>
      <c r="I292" s="10">
        <v>675</v>
      </c>
    </row>
    <row r="293" spans="5:9" x14ac:dyDescent="0.25">
      <c r="E293" t="s">
        <v>25</v>
      </c>
      <c r="F293" t="s">
        <v>52</v>
      </c>
      <c r="G293" s="10">
        <v>123687</v>
      </c>
      <c r="H293" s="11">
        <v>46974</v>
      </c>
      <c r="I293" s="10">
        <v>4103</v>
      </c>
    </row>
    <row r="294" spans="5:9" x14ac:dyDescent="0.25">
      <c r="E294" t="s">
        <v>25</v>
      </c>
      <c r="F294" t="s">
        <v>53</v>
      </c>
      <c r="G294" s="10">
        <v>73503</v>
      </c>
      <c r="H294" s="11">
        <v>26795</v>
      </c>
      <c r="I294" s="10">
        <v>216</v>
      </c>
    </row>
    <row r="295" spans="5:9" x14ac:dyDescent="0.25">
      <c r="E295" t="s">
        <v>25</v>
      </c>
      <c r="F295" t="s">
        <v>54</v>
      </c>
      <c r="G295" s="10">
        <v>26933</v>
      </c>
      <c r="H295" s="11">
        <v>9721</v>
      </c>
      <c r="I295" s="10">
        <v>477</v>
      </c>
    </row>
    <row r="296" spans="5:9" x14ac:dyDescent="0.25">
      <c r="E296" t="s">
        <v>25</v>
      </c>
      <c r="F296" t="s">
        <v>55</v>
      </c>
      <c r="G296" s="10">
        <v>124965</v>
      </c>
      <c r="H296" s="11">
        <v>29501</v>
      </c>
      <c r="I296" s="10">
        <v>878</v>
      </c>
    </row>
    <row r="297" spans="5:9" x14ac:dyDescent="0.25">
      <c r="E297" t="s">
        <v>25</v>
      </c>
      <c r="F297" t="s">
        <v>56</v>
      </c>
      <c r="G297" s="10">
        <v>99979</v>
      </c>
      <c r="H297" s="11">
        <v>22066</v>
      </c>
      <c r="I297" s="10">
        <v>1953</v>
      </c>
    </row>
    <row r="298" spans="5:9" x14ac:dyDescent="0.25">
      <c r="E298" t="s">
        <v>25</v>
      </c>
      <c r="F298" t="s">
        <v>57</v>
      </c>
      <c r="G298" s="10">
        <v>52319</v>
      </c>
      <c r="H298" s="11">
        <v>20619</v>
      </c>
      <c r="I298" s="10">
        <v>1747</v>
      </c>
    </row>
    <row r="299" spans="5:9" x14ac:dyDescent="0.25">
      <c r="E299" t="s">
        <v>25</v>
      </c>
      <c r="F299" t="s">
        <v>58</v>
      </c>
      <c r="G299" s="10">
        <v>116093</v>
      </c>
      <c r="H299" s="11">
        <v>32871</v>
      </c>
      <c r="I299" s="10">
        <v>2148</v>
      </c>
    </row>
    <row r="300" spans="5:9" x14ac:dyDescent="0.25">
      <c r="E300" t="s">
        <v>25</v>
      </c>
      <c r="F300" t="s">
        <v>59</v>
      </c>
      <c r="G300" s="10">
        <v>39926</v>
      </c>
      <c r="H300" s="11">
        <v>15200</v>
      </c>
      <c r="I300" s="10">
        <v>1158</v>
      </c>
    </row>
    <row r="301" spans="5:9" x14ac:dyDescent="0.25">
      <c r="E301" t="s">
        <v>25</v>
      </c>
      <c r="F301" t="s">
        <v>60</v>
      </c>
      <c r="G301" s="10">
        <v>107488</v>
      </c>
      <c r="H301" s="11">
        <v>25411</v>
      </c>
      <c r="I301" s="10">
        <v>2333</v>
      </c>
    </row>
    <row r="302" spans="5:9" x14ac:dyDescent="0.25">
      <c r="E302" t="s">
        <v>25</v>
      </c>
      <c r="F302" t="s">
        <v>61</v>
      </c>
      <c r="G302" s="10">
        <v>131616</v>
      </c>
      <c r="H302" s="11">
        <v>49197</v>
      </c>
      <c r="I302" s="10">
        <v>2457</v>
      </c>
    </row>
    <row r="303" spans="5:9" x14ac:dyDescent="0.25">
      <c r="E303" t="s">
        <v>25</v>
      </c>
      <c r="F303" t="s">
        <v>62</v>
      </c>
      <c r="G303" s="10">
        <v>38288</v>
      </c>
      <c r="H303" s="11">
        <v>12227</v>
      </c>
      <c r="I303" s="10">
        <v>1039</v>
      </c>
    </row>
    <row r="304" spans="5:9" x14ac:dyDescent="0.25">
      <c r="E304" t="s">
        <v>26</v>
      </c>
      <c r="F304" t="s">
        <v>51</v>
      </c>
      <c r="G304" s="10">
        <v>116205</v>
      </c>
      <c r="H304" s="11">
        <v>30961</v>
      </c>
      <c r="I304" s="10">
        <v>1626</v>
      </c>
    </row>
    <row r="305" spans="5:9" x14ac:dyDescent="0.25">
      <c r="E305" t="s">
        <v>26</v>
      </c>
      <c r="F305" t="s">
        <v>52</v>
      </c>
      <c r="G305" s="10">
        <v>110845</v>
      </c>
      <c r="H305" s="11">
        <v>35901</v>
      </c>
      <c r="I305" s="10">
        <v>1446</v>
      </c>
    </row>
    <row r="306" spans="5:9" x14ac:dyDescent="0.25">
      <c r="E306" t="s">
        <v>26</v>
      </c>
      <c r="F306" t="s">
        <v>53</v>
      </c>
      <c r="G306" s="10">
        <v>99527</v>
      </c>
      <c r="H306" s="11">
        <v>20990</v>
      </c>
      <c r="I306" s="10">
        <v>488</v>
      </c>
    </row>
    <row r="307" spans="5:9" x14ac:dyDescent="0.25">
      <c r="E307" t="s">
        <v>26</v>
      </c>
      <c r="F307" t="s">
        <v>54</v>
      </c>
      <c r="G307" s="10">
        <v>118902</v>
      </c>
      <c r="H307" s="11">
        <v>41950</v>
      </c>
      <c r="I307" s="10">
        <v>3145</v>
      </c>
    </row>
    <row r="308" spans="5:9" x14ac:dyDescent="0.25">
      <c r="E308" t="s">
        <v>26</v>
      </c>
      <c r="F308" t="s">
        <v>55</v>
      </c>
      <c r="G308" s="10">
        <v>29566</v>
      </c>
      <c r="H308" s="11">
        <v>11323</v>
      </c>
      <c r="I308" s="10">
        <v>461</v>
      </c>
    </row>
    <row r="309" spans="5:9" x14ac:dyDescent="0.25">
      <c r="E309" t="s">
        <v>26</v>
      </c>
      <c r="F309" t="s">
        <v>56</v>
      </c>
      <c r="G309" s="10">
        <v>83664</v>
      </c>
      <c r="H309" s="11">
        <v>30480</v>
      </c>
      <c r="I309" s="10">
        <v>1526</v>
      </c>
    </row>
    <row r="310" spans="5:9" x14ac:dyDescent="0.25">
      <c r="E310" t="s">
        <v>26</v>
      </c>
      <c r="F310" t="s">
        <v>57</v>
      </c>
      <c r="G310" s="10">
        <v>66711</v>
      </c>
      <c r="H310" s="11">
        <v>18097</v>
      </c>
      <c r="I310" s="10">
        <v>342</v>
      </c>
    </row>
    <row r="311" spans="5:9" x14ac:dyDescent="0.25">
      <c r="E311" t="s">
        <v>26</v>
      </c>
      <c r="F311" t="s">
        <v>58</v>
      </c>
      <c r="G311" s="10">
        <v>80549</v>
      </c>
      <c r="H311" s="11">
        <v>29156</v>
      </c>
      <c r="I311" s="10">
        <v>2799</v>
      </c>
    </row>
    <row r="312" spans="5:9" x14ac:dyDescent="0.25">
      <c r="E312" t="s">
        <v>26</v>
      </c>
      <c r="F312" t="s">
        <v>59</v>
      </c>
      <c r="G312" s="10">
        <v>136503</v>
      </c>
      <c r="H312" s="11">
        <v>32902</v>
      </c>
      <c r="I312" s="10">
        <v>864</v>
      </c>
    </row>
    <row r="313" spans="5:9" x14ac:dyDescent="0.25">
      <c r="E313" t="s">
        <v>26</v>
      </c>
      <c r="F313" t="s">
        <v>60</v>
      </c>
      <c r="G313" s="10">
        <v>36867</v>
      </c>
      <c r="H313" s="11">
        <v>12730</v>
      </c>
      <c r="I313" s="10">
        <v>954</v>
      </c>
    </row>
    <row r="314" spans="5:9" x14ac:dyDescent="0.25">
      <c r="E314" t="s">
        <v>26</v>
      </c>
      <c r="F314" t="s">
        <v>61</v>
      </c>
      <c r="G314" s="10">
        <v>56334</v>
      </c>
      <c r="H314" s="11">
        <v>21181</v>
      </c>
      <c r="I314" s="10">
        <v>1952</v>
      </c>
    </row>
    <row r="315" spans="5:9" x14ac:dyDescent="0.25">
      <c r="E315" t="s">
        <v>26</v>
      </c>
      <c r="F315" t="s">
        <v>62</v>
      </c>
      <c r="G315" s="10">
        <v>74300</v>
      </c>
      <c r="H315" s="11">
        <v>25681</v>
      </c>
      <c r="I315" s="10">
        <v>137</v>
      </c>
    </row>
    <row r="316" spans="5:9" x14ac:dyDescent="0.25">
      <c r="E316" t="s">
        <v>27</v>
      </c>
      <c r="F316" t="s">
        <v>51</v>
      </c>
      <c r="G316" s="10">
        <v>59506</v>
      </c>
      <c r="H316" s="11">
        <v>23654</v>
      </c>
      <c r="I316" s="10">
        <v>718</v>
      </c>
    </row>
    <row r="317" spans="5:9" x14ac:dyDescent="0.25">
      <c r="E317" t="s">
        <v>27</v>
      </c>
      <c r="F317" t="s">
        <v>52</v>
      </c>
      <c r="G317" s="10">
        <v>131798</v>
      </c>
      <c r="H317" s="11">
        <v>31335</v>
      </c>
      <c r="I317" s="10">
        <v>918</v>
      </c>
    </row>
    <row r="318" spans="5:9" x14ac:dyDescent="0.25">
      <c r="E318" t="s">
        <v>27</v>
      </c>
      <c r="F318" t="s">
        <v>53</v>
      </c>
      <c r="G318" s="10">
        <v>117239</v>
      </c>
      <c r="H318" s="11">
        <v>42475</v>
      </c>
      <c r="I318" s="10">
        <v>2892</v>
      </c>
    </row>
    <row r="319" spans="5:9" x14ac:dyDescent="0.25">
      <c r="E319" t="s">
        <v>27</v>
      </c>
      <c r="F319" t="s">
        <v>54</v>
      </c>
      <c r="G319" s="10">
        <v>145381</v>
      </c>
      <c r="H319" s="11">
        <v>30458</v>
      </c>
      <c r="I319" s="10">
        <v>1711</v>
      </c>
    </row>
    <row r="320" spans="5:9" x14ac:dyDescent="0.25">
      <c r="E320" t="s">
        <v>27</v>
      </c>
      <c r="F320" t="s">
        <v>55</v>
      </c>
      <c r="G320" s="10">
        <v>49576</v>
      </c>
      <c r="H320" s="11">
        <v>13286</v>
      </c>
      <c r="I320" s="10">
        <v>664</v>
      </c>
    </row>
    <row r="321" spans="5:9" x14ac:dyDescent="0.25">
      <c r="E321" t="s">
        <v>27</v>
      </c>
      <c r="F321" t="s">
        <v>56</v>
      </c>
      <c r="G321" s="10">
        <v>108085</v>
      </c>
      <c r="H321" s="11">
        <v>38057</v>
      </c>
      <c r="I321" s="10">
        <v>858</v>
      </c>
    </row>
    <row r="322" spans="5:9" x14ac:dyDescent="0.25">
      <c r="E322" t="s">
        <v>27</v>
      </c>
      <c r="F322" t="s">
        <v>57</v>
      </c>
      <c r="G322" s="10">
        <v>69645</v>
      </c>
      <c r="H322" s="11">
        <v>20778</v>
      </c>
      <c r="I322" s="10">
        <v>234</v>
      </c>
    </row>
    <row r="323" spans="5:9" x14ac:dyDescent="0.25">
      <c r="E323" t="s">
        <v>27</v>
      </c>
      <c r="F323" t="s">
        <v>58</v>
      </c>
      <c r="G323" s="10">
        <v>73181</v>
      </c>
      <c r="H323" s="11">
        <v>19944</v>
      </c>
      <c r="I323" s="10">
        <v>299</v>
      </c>
    </row>
    <row r="324" spans="5:9" x14ac:dyDescent="0.25">
      <c r="E324" t="s">
        <v>27</v>
      </c>
      <c r="F324" t="s">
        <v>59</v>
      </c>
      <c r="G324" s="10">
        <v>33155</v>
      </c>
      <c r="H324" s="11">
        <v>12729</v>
      </c>
      <c r="I324" s="10">
        <v>1148</v>
      </c>
    </row>
    <row r="325" spans="5:9" x14ac:dyDescent="0.25">
      <c r="E325" t="s">
        <v>27</v>
      </c>
      <c r="F325" t="s">
        <v>60</v>
      </c>
      <c r="G325" s="10">
        <v>30246</v>
      </c>
      <c r="H325" s="11">
        <v>8200</v>
      </c>
      <c r="I325" s="10">
        <v>559</v>
      </c>
    </row>
    <row r="326" spans="5:9" x14ac:dyDescent="0.25">
      <c r="E326" t="s">
        <v>27</v>
      </c>
      <c r="F326" t="s">
        <v>61</v>
      </c>
      <c r="G326" s="10">
        <v>74986</v>
      </c>
      <c r="H326" s="11">
        <v>20508</v>
      </c>
      <c r="I326" s="10">
        <v>1352</v>
      </c>
    </row>
    <row r="327" spans="5:9" x14ac:dyDescent="0.25">
      <c r="E327" t="s">
        <v>27</v>
      </c>
      <c r="F327" t="s">
        <v>62</v>
      </c>
      <c r="G327" s="10">
        <v>62988</v>
      </c>
      <c r="H327" s="11">
        <v>22160</v>
      </c>
      <c r="I327" s="10">
        <v>715</v>
      </c>
    </row>
    <row r="328" spans="5:9" x14ac:dyDescent="0.25">
      <c r="E328" t="s">
        <v>28</v>
      </c>
      <c r="F328" t="s">
        <v>51</v>
      </c>
      <c r="G328" s="10">
        <v>142213</v>
      </c>
      <c r="H328" s="11">
        <v>33345</v>
      </c>
      <c r="I328" s="10">
        <v>955</v>
      </c>
    </row>
    <row r="329" spans="5:9" x14ac:dyDescent="0.25">
      <c r="E329" t="s">
        <v>28</v>
      </c>
      <c r="F329" t="s">
        <v>52</v>
      </c>
      <c r="G329" s="10">
        <v>77063</v>
      </c>
      <c r="H329" s="11">
        <v>21841</v>
      </c>
      <c r="I329" s="10">
        <v>1663</v>
      </c>
    </row>
    <row r="330" spans="5:9" x14ac:dyDescent="0.25">
      <c r="E330" t="s">
        <v>28</v>
      </c>
      <c r="F330" t="s">
        <v>53</v>
      </c>
      <c r="G330" s="10">
        <v>54340</v>
      </c>
      <c r="H330" s="11">
        <v>19937</v>
      </c>
      <c r="I330" s="10">
        <v>398</v>
      </c>
    </row>
    <row r="331" spans="5:9" x14ac:dyDescent="0.25">
      <c r="E331" t="s">
        <v>28</v>
      </c>
      <c r="F331" t="s">
        <v>54</v>
      </c>
      <c r="G331" s="10">
        <v>67755</v>
      </c>
      <c r="H331" s="11">
        <v>20663</v>
      </c>
      <c r="I331" s="10">
        <v>296</v>
      </c>
    </row>
    <row r="332" spans="5:9" x14ac:dyDescent="0.25">
      <c r="E332" t="s">
        <v>28</v>
      </c>
      <c r="F332" t="s">
        <v>55</v>
      </c>
      <c r="G332" s="10">
        <v>130932</v>
      </c>
      <c r="H332" s="11">
        <v>35036</v>
      </c>
      <c r="I332" s="10">
        <v>2543</v>
      </c>
    </row>
    <row r="333" spans="5:9" x14ac:dyDescent="0.25">
      <c r="E333" t="s">
        <v>28</v>
      </c>
      <c r="F333" t="s">
        <v>56</v>
      </c>
      <c r="G333" s="10">
        <v>127437</v>
      </c>
      <c r="H333" s="11">
        <v>42902</v>
      </c>
      <c r="I333" s="10">
        <v>3803</v>
      </c>
    </row>
    <row r="334" spans="5:9" x14ac:dyDescent="0.25">
      <c r="E334" t="s">
        <v>28</v>
      </c>
      <c r="F334" t="s">
        <v>57</v>
      </c>
      <c r="G334" s="10">
        <v>118625</v>
      </c>
      <c r="H334" s="11">
        <v>36558</v>
      </c>
      <c r="I334" s="10">
        <v>3491</v>
      </c>
    </row>
    <row r="335" spans="5:9" x14ac:dyDescent="0.25">
      <c r="E335" t="s">
        <v>28</v>
      </c>
      <c r="F335" t="s">
        <v>58</v>
      </c>
      <c r="G335" s="10">
        <v>44798</v>
      </c>
      <c r="H335" s="11">
        <v>14378</v>
      </c>
      <c r="I335" s="10">
        <v>1333</v>
      </c>
    </row>
    <row r="336" spans="5:9" x14ac:dyDescent="0.25">
      <c r="E336" t="s">
        <v>28</v>
      </c>
      <c r="F336" t="s">
        <v>59</v>
      </c>
      <c r="G336" s="10">
        <v>134241</v>
      </c>
      <c r="H336" s="11">
        <v>40229</v>
      </c>
      <c r="I336" s="10">
        <v>834</v>
      </c>
    </row>
    <row r="337" spans="5:9" x14ac:dyDescent="0.25">
      <c r="E337" t="s">
        <v>28</v>
      </c>
      <c r="F337" t="s">
        <v>60</v>
      </c>
      <c r="G337" s="10">
        <v>77138</v>
      </c>
      <c r="H337" s="11">
        <v>28909</v>
      </c>
      <c r="I337" s="10">
        <v>1916</v>
      </c>
    </row>
    <row r="338" spans="5:9" x14ac:dyDescent="0.25">
      <c r="E338" t="s">
        <v>28</v>
      </c>
      <c r="F338" t="s">
        <v>61</v>
      </c>
      <c r="G338" s="10">
        <v>12697</v>
      </c>
      <c r="H338" s="11">
        <v>3329</v>
      </c>
      <c r="I338" s="10">
        <v>154</v>
      </c>
    </row>
    <row r="339" spans="5:9" x14ac:dyDescent="0.25">
      <c r="E339" t="s">
        <v>28</v>
      </c>
      <c r="F339" t="s">
        <v>62</v>
      </c>
      <c r="G339" s="10">
        <v>16054</v>
      </c>
      <c r="H339" s="11">
        <v>6128</v>
      </c>
      <c r="I339" s="10">
        <v>476</v>
      </c>
    </row>
    <row r="340" spans="5:9" x14ac:dyDescent="0.25">
      <c r="E340" t="s">
        <v>29</v>
      </c>
      <c r="F340" t="s">
        <v>51</v>
      </c>
      <c r="G340" s="10">
        <v>30835</v>
      </c>
      <c r="H340" s="11">
        <v>11708</v>
      </c>
      <c r="I340" s="10">
        <v>996</v>
      </c>
    </row>
    <row r="341" spans="5:9" x14ac:dyDescent="0.25">
      <c r="E341" t="s">
        <v>29</v>
      </c>
      <c r="F341" t="s">
        <v>52</v>
      </c>
      <c r="G341" s="10">
        <v>41219</v>
      </c>
      <c r="H341" s="11">
        <v>11873</v>
      </c>
      <c r="I341" s="10">
        <v>720</v>
      </c>
    </row>
    <row r="342" spans="5:9" x14ac:dyDescent="0.25">
      <c r="E342" t="s">
        <v>29</v>
      </c>
      <c r="F342" t="s">
        <v>53</v>
      </c>
      <c r="G342" s="10">
        <v>122290</v>
      </c>
      <c r="H342" s="11">
        <v>29023</v>
      </c>
      <c r="I342" s="10">
        <v>1600</v>
      </c>
    </row>
    <row r="343" spans="5:9" x14ac:dyDescent="0.25">
      <c r="E343" t="s">
        <v>29</v>
      </c>
      <c r="F343" t="s">
        <v>54</v>
      </c>
      <c r="G343" s="10">
        <v>13072</v>
      </c>
      <c r="H343" s="11">
        <v>4500</v>
      </c>
      <c r="I343" s="10">
        <v>230</v>
      </c>
    </row>
    <row r="344" spans="5:9" x14ac:dyDescent="0.25">
      <c r="E344" t="s">
        <v>29</v>
      </c>
      <c r="F344" t="s">
        <v>55</v>
      </c>
      <c r="G344" s="10">
        <v>17719</v>
      </c>
      <c r="H344" s="11">
        <v>4805</v>
      </c>
      <c r="I344" s="10">
        <v>77</v>
      </c>
    </row>
    <row r="345" spans="5:9" x14ac:dyDescent="0.25">
      <c r="E345" t="s">
        <v>29</v>
      </c>
      <c r="F345" t="s">
        <v>56</v>
      </c>
      <c r="G345" s="10">
        <v>91240</v>
      </c>
      <c r="H345" s="11">
        <v>21646</v>
      </c>
      <c r="I345" s="10">
        <v>28</v>
      </c>
    </row>
    <row r="346" spans="5:9" x14ac:dyDescent="0.25">
      <c r="E346" t="s">
        <v>29</v>
      </c>
      <c r="F346" t="s">
        <v>57</v>
      </c>
      <c r="G346" s="10">
        <v>26142</v>
      </c>
      <c r="H346" s="11">
        <v>9661</v>
      </c>
      <c r="I346" s="10">
        <v>158</v>
      </c>
    </row>
    <row r="347" spans="5:9" x14ac:dyDescent="0.25">
      <c r="E347" t="s">
        <v>29</v>
      </c>
      <c r="F347" t="s">
        <v>58</v>
      </c>
      <c r="G347" s="10">
        <v>59248</v>
      </c>
      <c r="H347" s="11">
        <v>17293</v>
      </c>
      <c r="I347" s="10">
        <v>1080</v>
      </c>
    </row>
    <row r="348" spans="5:9" x14ac:dyDescent="0.25">
      <c r="E348" t="s">
        <v>29</v>
      </c>
      <c r="F348" t="s">
        <v>59</v>
      </c>
      <c r="G348" s="10">
        <v>141244</v>
      </c>
      <c r="H348" s="11">
        <v>37896</v>
      </c>
      <c r="I348" s="10">
        <v>1806</v>
      </c>
    </row>
    <row r="349" spans="5:9" x14ac:dyDescent="0.25">
      <c r="E349" t="s">
        <v>29</v>
      </c>
      <c r="F349" t="s">
        <v>60</v>
      </c>
      <c r="G349" s="10">
        <v>118211</v>
      </c>
      <c r="H349" s="11">
        <v>27001</v>
      </c>
      <c r="I349" s="10">
        <v>2535</v>
      </c>
    </row>
    <row r="350" spans="5:9" x14ac:dyDescent="0.25">
      <c r="E350" t="s">
        <v>29</v>
      </c>
      <c r="F350" t="s">
        <v>61</v>
      </c>
      <c r="G350" s="10">
        <v>104859</v>
      </c>
      <c r="H350" s="11">
        <v>26437</v>
      </c>
      <c r="I350" s="10">
        <v>179</v>
      </c>
    </row>
    <row r="351" spans="5:9" x14ac:dyDescent="0.25">
      <c r="E351" t="s">
        <v>29</v>
      </c>
      <c r="F351" t="s">
        <v>62</v>
      </c>
      <c r="G351" s="10">
        <v>81175</v>
      </c>
      <c r="H351" s="11">
        <v>16884</v>
      </c>
      <c r="I351" s="10">
        <v>1583</v>
      </c>
    </row>
    <row r="352" spans="5:9" x14ac:dyDescent="0.25">
      <c r="E352" t="s">
        <v>30</v>
      </c>
      <c r="F352" t="s">
        <v>51</v>
      </c>
      <c r="G352" s="10">
        <v>30403</v>
      </c>
      <c r="H352" s="11">
        <v>9043</v>
      </c>
      <c r="I352" s="10">
        <v>108</v>
      </c>
    </row>
    <row r="353" spans="5:9" x14ac:dyDescent="0.25">
      <c r="E353" t="s">
        <v>30</v>
      </c>
      <c r="F353" t="s">
        <v>52</v>
      </c>
      <c r="G353" s="10">
        <v>73927</v>
      </c>
      <c r="H353" s="11">
        <v>28593</v>
      </c>
      <c r="I353" s="10">
        <v>1555</v>
      </c>
    </row>
    <row r="354" spans="5:9" x14ac:dyDescent="0.25">
      <c r="E354" t="s">
        <v>30</v>
      </c>
      <c r="F354" t="s">
        <v>53</v>
      </c>
      <c r="G354" s="10">
        <v>25379</v>
      </c>
      <c r="H354" s="11">
        <v>5847</v>
      </c>
      <c r="I354" s="10">
        <v>451</v>
      </c>
    </row>
    <row r="355" spans="5:9" x14ac:dyDescent="0.25">
      <c r="E355" t="s">
        <v>30</v>
      </c>
      <c r="F355" t="s">
        <v>54</v>
      </c>
      <c r="G355" s="10">
        <v>115458</v>
      </c>
      <c r="H355" s="11">
        <v>30956</v>
      </c>
      <c r="I355" s="10">
        <v>1281</v>
      </c>
    </row>
    <row r="356" spans="5:9" x14ac:dyDescent="0.25">
      <c r="E356" t="s">
        <v>30</v>
      </c>
      <c r="F356" t="s">
        <v>55</v>
      </c>
      <c r="G356" s="10">
        <v>87254</v>
      </c>
      <c r="H356" s="11">
        <v>30841</v>
      </c>
      <c r="I356" s="10">
        <v>378</v>
      </c>
    </row>
    <row r="357" spans="5:9" x14ac:dyDescent="0.25">
      <c r="E357" t="s">
        <v>30</v>
      </c>
      <c r="F357" t="s">
        <v>56</v>
      </c>
      <c r="G357" s="10">
        <v>133104</v>
      </c>
      <c r="H357" s="11">
        <v>28288</v>
      </c>
      <c r="I357" s="10">
        <v>2750</v>
      </c>
    </row>
    <row r="358" spans="5:9" x14ac:dyDescent="0.25">
      <c r="E358" t="s">
        <v>30</v>
      </c>
      <c r="F358" t="s">
        <v>57</v>
      </c>
      <c r="G358" s="10">
        <v>118760</v>
      </c>
      <c r="H358" s="11">
        <v>28691</v>
      </c>
      <c r="I358" s="10">
        <v>55</v>
      </c>
    </row>
    <row r="359" spans="5:9" x14ac:dyDescent="0.25">
      <c r="E359" t="s">
        <v>30</v>
      </c>
      <c r="F359" t="s">
        <v>58</v>
      </c>
      <c r="G359" s="10">
        <v>10141</v>
      </c>
      <c r="H359" s="11">
        <v>2628</v>
      </c>
      <c r="I359" s="10">
        <v>132</v>
      </c>
    </row>
    <row r="360" spans="5:9" x14ac:dyDescent="0.25">
      <c r="E360" t="s">
        <v>30</v>
      </c>
      <c r="F360" t="s">
        <v>59</v>
      </c>
      <c r="G360" s="10">
        <v>37757</v>
      </c>
      <c r="H360" s="11">
        <v>11520</v>
      </c>
      <c r="I360" s="10">
        <v>263</v>
      </c>
    </row>
    <row r="361" spans="5:9" x14ac:dyDescent="0.25">
      <c r="E361" t="s">
        <v>30</v>
      </c>
      <c r="F361" t="s">
        <v>60</v>
      </c>
      <c r="G361" s="10">
        <v>75371</v>
      </c>
      <c r="H361" s="11">
        <v>16090</v>
      </c>
      <c r="I361" s="10">
        <v>800</v>
      </c>
    </row>
    <row r="362" spans="5:9" x14ac:dyDescent="0.25">
      <c r="E362" t="s">
        <v>30</v>
      </c>
      <c r="F362" t="s">
        <v>61</v>
      </c>
      <c r="G362" s="10">
        <v>149969</v>
      </c>
      <c r="H362" s="11">
        <v>56865</v>
      </c>
      <c r="I362" s="10">
        <v>1745</v>
      </c>
    </row>
    <row r="363" spans="5:9" x14ac:dyDescent="0.25">
      <c r="E363" t="s">
        <v>30</v>
      </c>
      <c r="F363" t="s">
        <v>62</v>
      </c>
      <c r="G363" s="10">
        <v>105703</v>
      </c>
      <c r="H363" s="11">
        <v>25231</v>
      </c>
      <c r="I363" s="10">
        <v>1750</v>
      </c>
    </row>
    <row r="364" spans="5:9" x14ac:dyDescent="0.25">
      <c r="E364" t="s">
        <v>31</v>
      </c>
      <c r="F364" t="s">
        <v>51</v>
      </c>
      <c r="G364" s="10">
        <v>16892</v>
      </c>
      <c r="H364" s="11">
        <v>5922</v>
      </c>
      <c r="I364" s="10">
        <v>244</v>
      </c>
    </row>
    <row r="365" spans="5:9" x14ac:dyDescent="0.25">
      <c r="E365" t="s">
        <v>31</v>
      </c>
      <c r="F365" t="s">
        <v>52</v>
      </c>
      <c r="G365" s="10">
        <v>91036</v>
      </c>
      <c r="H365" s="11">
        <v>20019</v>
      </c>
      <c r="I365" s="10">
        <v>67</v>
      </c>
    </row>
    <row r="366" spans="5:9" x14ac:dyDescent="0.25">
      <c r="E366" t="s">
        <v>31</v>
      </c>
      <c r="F366" t="s">
        <v>53</v>
      </c>
      <c r="G366" s="10">
        <v>148727</v>
      </c>
      <c r="H366" s="11">
        <v>50801</v>
      </c>
      <c r="I366" s="10">
        <v>415</v>
      </c>
    </row>
    <row r="367" spans="5:9" x14ac:dyDescent="0.25">
      <c r="E367" t="s">
        <v>31</v>
      </c>
      <c r="F367" t="s">
        <v>54</v>
      </c>
      <c r="G367" s="10">
        <v>59900</v>
      </c>
      <c r="H367" s="11">
        <v>13173</v>
      </c>
      <c r="I367" s="10">
        <v>670</v>
      </c>
    </row>
    <row r="368" spans="5:9" x14ac:dyDescent="0.25">
      <c r="E368" t="s">
        <v>31</v>
      </c>
      <c r="F368" t="s">
        <v>55</v>
      </c>
      <c r="G368" s="10">
        <v>26272</v>
      </c>
      <c r="H368" s="11">
        <v>8249</v>
      </c>
      <c r="I368" s="10">
        <v>317</v>
      </c>
    </row>
    <row r="369" spans="5:9" x14ac:dyDescent="0.25">
      <c r="E369" t="s">
        <v>31</v>
      </c>
      <c r="F369" t="s">
        <v>56</v>
      </c>
      <c r="G369" s="10">
        <v>46883</v>
      </c>
      <c r="H369" s="11">
        <v>10029</v>
      </c>
      <c r="I369" s="10">
        <v>464</v>
      </c>
    </row>
    <row r="370" spans="5:9" x14ac:dyDescent="0.25">
      <c r="E370" t="s">
        <v>31</v>
      </c>
      <c r="F370" t="s">
        <v>57</v>
      </c>
      <c r="G370" s="10">
        <v>116872</v>
      </c>
      <c r="H370" s="11">
        <v>39492</v>
      </c>
      <c r="I370" s="10">
        <v>1337</v>
      </c>
    </row>
    <row r="371" spans="5:9" x14ac:dyDescent="0.25">
      <c r="E371" t="s">
        <v>31</v>
      </c>
      <c r="F371" t="s">
        <v>58</v>
      </c>
      <c r="G371" s="10">
        <v>24344</v>
      </c>
      <c r="H371" s="11">
        <v>5569</v>
      </c>
      <c r="I371" s="10">
        <v>83</v>
      </c>
    </row>
    <row r="372" spans="5:9" x14ac:dyDescent="0.25">
      <c r="E372" t="s">
        <v>31</v>
      </c>
      <c r="F372" t="s">
        <v>59</v>
      </c>
      <c r="G372" s="10">
        <v>43798</v>
      </c>
      <c r="H372" s="11">
        <v>15058</v>
      </c>
      <c r="I372" s="10">
        <v>834</v>
      </c>
    </row>
    <row r="373" spans="5:9" x14ac:dyDescent="0.25">
      <c r="E373" t="s">
        <v>31</v>
      </c>
      <c r="F373" t="s">
        <v>60</v>
      </c>
      <c r="G373" s="10">
        <v>129068</v>
      </c>
      <c r="H373" s="11">
        <v>49347</v>
      </c>
      <c r="I373" s="10">
        <v>1365</v>
      </c>
    </row>
    <row r="374" spans="5:9" x14ac:dyDescent="0.25">
      <c r="E374" t="s">
        <v>31</v>
      </c>
      <c r="F374" t="s">
        <v>61</v>
      </c>
      <c r="G374" s="10">
        <v>89640</v>
      </c>
      <c r="H374" s="11">
        <v>34676</v>
      </c>
      <c r="I374" s="10">
        <v>2302</v>
      </c>
    </row>
    <row r="375" spans="5:9" x14ac:dyDescent="0.25">
      <c r="E375" t="s">
        <v>31</v>
      </c>
      <c r="F375" t="s">
        <v>62</v>
      </c>
      <c r="G375" s="10">
        <v>118732</v>
      </c>
      <c r="H375" s="11">
        <v>27049</v>
      </c>
      <c r="I375" s="10">
        <v>2321</v>
      </c>
    </row>
    <row r="376" spans="5:9" x14ac:dyDescent="0.25">
      <c r="E376" t="s">
        <v>32</v>
      </c>
      <c r="F376" t="s">
        <v>51</v>
      </c>
      <c r="G376" s="10">
        <v>32506</v>
      </c>
      <c r="H376" s="11">
        <v>12941</v>
      </c>
      <c r="I376" s="10">
        <v>220</v>
      </c>
    </row>
    <row r="377" spans="5:9" x14ac:dyDescent="0.25">
      <c r="E377" t="s">
        <v>32</v>
      </c>
      <c r="F377" t="s">
        <v>52</v>
      </c>
      <c r="G377" s="10">
        <v>84030</v>
      </c>
      <c r="H377" s="11">
        <v>24019</v>
      </c>
      <c r="I377" s="10">
        <v>1738</v>
      </c>
    </row>
    <row r="378" spans="5:9" x14ac:dyDescent="0.25">
      <c r="E378" t="s">
        <v>32</v>
      </c>
      <c r="F378" t="s">
        <v>53</v>
      </c>
      <c r="G378" s="10">
        <v>120819</v>
      </c>
      <c r="H378" s="11">
        <v>37488</v>
      </c>
      <c r="I378" s="10">
        <v>183</v>
      </c>
    </row>
    <row r="379" spans="5:9" x14ac:dyDescent="0.25">
      <c r="E379" t="s">
        <v>32</v>
      </c>
      <c r="F379" t="s">
        <v>54</v>
      </c>
      <c r="G379" s="10">
        <v>119197</v>
      </c>
      <c r="H379" s="11">
        <v>24490</v>
      </c>
      <c r="I379" s="10">
        <v>2144</v>
      </c>
    </row>
    <row r="380" spans="5:9" x14ac:dyDescent="0.25">
      <c r="E380" t="s">
        <v>32</v>
      </c>
      <c r="F380" t="s">
        <v>55</v>
      </c>
      <c r="G380" s="10">
        <v>12121</v>
      </c>
      <c r="H380" s="11">
        <v>3918</v>
      </c>
      <c r="I380" s="10">
        <v>355</v>
      </c>
    </row>
    <row r="381" spans="5:9" x14ac:dyDescent="0.25">
      <c r="E381" t="s">
        <v>32</v>
      </c>
      <c r="F381" t="s">
        <v>56</v>
      </c>
      <c r="G381" s="10">
        <v>10032</v>
      </c>
      <c r="H381" s="11">
        <v>2969</v>
      </c>
      <c r="I381" s="10">
        <v>241</v>
      </c>
    </row>
    <row r="382" spans="5:9" x14ac:dyDescent="0.25">
      <c r="E382" t="s">
        <v>32</v>
      </c>
      <c r="F382" t="s">
        <v>57</v>
      </c>
      <c r="G382" s="10">
        <v>99818</v>
      </c>
      <c r="H382" s="11">
        <v>33925</v>
      </c>
      <c r="I382" s="10">
        <v>2251</v>
      </c>
    </row>
    <row r="383" spans="5:9" x14ac:dyDescent="0.25">
      <c r="E383" t="s">
        <v>32</v>
      </c>
      <c r="F383" t="s">
        <v>58</v>
      </c>
      <c r="G383" s="10">
        <v>77098</v>
      </c>
      <c r="H383" s="11">
        <v>15848</v>
      </c>
      <c r="I383" s="10">
        <v>671</v>
      </c>
    </row>
    <row r="384" spans="5:9" x14ac:dyDescent="0.25">
      <c r="E384" t="s">
        <v>32</v>
      </c>
      <c r="F384" t="s">
        <v>59</v>
      </c>
      <c r="G384" s="10">
        <v>115080</v>
      </c>
      <c r="H384" s="11">
        <v>34897</v>
      </c>
      <c r="I384" s="10">
        <v>63</v>
      </c>
    </row>
    <row r="385" spans="5:9" x14ac:dyDescent="0.25">
      <c r="E385" t="s">
        <v>32</v>
      </c>
      <c r="F385" t="s">
        <v>60</v>
      </c>
      <c r="G385" s="10">
        <v>112750</v>
      </c>
      <c r="H385" s="11">
        <v>43630</v>
      </c>
      <c r="I385" s="10">
        <v>1440</v>
      </c>
    </row>
    <row r="386" spans="5:9" x14ac:dyDescent="0.25">
      <c r="E386" t="s">
        <v>32</v>
      </c>
      <c r="F386" t="s">
        <v>61</v>
      </c>
      <c r="G386" s="10">
        <v>44380</v>
      </c>
      <c r="H386" s="11">
        <v>14811</v>
      </c>
      <c r="I386" s="10">
        <v>1009</v>
      </c>
    </row>
    <row r="387" spans="5:9" x14ac:dyDescent="0.25">
      <c r="E387" t="s">
        <v>32</v>
      </c>
      <c r="F387" t="s">
        <v>62</v>
      </c>
      <c r="G387" s="10">
        <v>100483</v>
      </c>
      <c r="H387" s="11">
        <v>28289</v>
      </c>
      <c r="I387" s="10">
        <v>844</v>
      </c>
    </row>
    <row r="388" spans="5:9" x14ac:dyDescent="0.25">
      <c r="E388" t="s">
        <v>33</v>
      </c>
      <c r="F388" t="s">
        <v>51</v>
      </c>
      <c r="G388" s="10">
        <v>32318</v>
      </c>
      <c r="H388" s="11">
        <v>12486</v>
      </c>
      <c r="I388" s="10">
        <v>587</v>
      </c>
    </row>
    <row r="389" spans="5:9" x14ac:dyDescent="0.25">
      <c r="E389" t="s">
        <v>33</v>
      </c>
      <c r="F389" t="s">
        <v>52</v>
      </c>
      <c r="G389" s="10">
        <v>140949</v>
      </c>
      <c r="H389" s="11">
        <v>45905</v>
      </c>
      <c r="I389" s="10">
        <v>1136</v>
      </c>
    </row>
    <row r="390" spans="5:9" x14ac:dyDescent="0.25">
      <c r="E390" t="s">
        <v>33</v>
      </c>
      <c r="F390" t="s">
        <v>53</v>
      </c>
      <c r="G390" s="10">
        <v>85176</v>
      </c>
      <c r="H390" s="11">
        <v>29142</v>
      </c>
      <c r="I390" s="10">
        <v>605</v>
      </c>
    </row>
    <row r="391" spans="5:9" x14ac:dyDescent="0.25">
      <c r="E391" t="s">
        <v>33</v>
      </c>
      <c r="F391" t="s">
        <v>54</v>
      </c>
      <c r="G391" s="10">
        <v>29954</v>
      </c>
      <c r="H391" s="11">
        <v>9853</v>
      </c>
      <c r="I391" s="10">
        <v>295</v>
      </c>
    </row>
    <row r="392" spans="5:9" x14ac:dyDescent="0.25">
      <c r="E392" t="s">
        <v>33</v>
      </c>
      <c r="F392" t="s">
        <v>55</v>
      </c>
      <c r="G392" s="10">
        <v>24249</v>
      </c>
      <c r="H392" s="11">
        <v>9103</v>
      </c>
      <c r="I392" s="10">
        <v>858</v>
      </c>
    </row>
    <row r="393" spans="5:9" x14ac:dyDescent="0.25">
      <c r="E393" t="s">
        <v>33</v>
      </c>
      <c r="F393" t="s">
        <v>56</v>
      </c>
      <c r="G393" s="10">
        <v>140034</v>
      </c>
      <c r="H393" s="11">
        <v>40286</v>
      </c>
      <c r="I393" s="10">
        <v>1749</v>
      </c>
    </row>
    <row r="394" spans="5:9" x14ac:dyDescent="0.25">
      <c r="E394" t="s">
        <v>33</v>
      </c>
      <c r="F394" t="s">
        <v>57</v>
      </c>
      <c r="G394" s="10">
        <v>134496</v>
      </c>
      <c r="H394" s="11">
        <v>29715</v>
      </c>
      <c r="I394" s="10">
        <v>663</v>
      </c>
    </row>
    <row r="395" spans="5:9" x14ac:dyDescent="0.25">
      <c r="E395" t="s">
        <v>33</v>
      </c>
      <c r="F395" t="s">
        <v>58</v>
      </c>
      <c r="G395" s="10">
        <v>145082</v>
      </c>
      <c r="H395" s="11">
        <v>49864</v>
      </c>
      <c r="I395" s="10">
        <v>686</v>
      </c>
    </row>
    <row r="396" spans="5:9" x14ac:dyDescent="0.25">
      <c r="E396" t="s">
        <v>33</v>
      </c>
      <c r="F396" t="s">
        <v>59</v>
      </c>
      <c r="G396" s="10">
        <v>109377</v>
      </c>
      <c r="H396" s="11">
        <v>25613</v>
      </c>
      <c r="I396" s="10">
        <v>1700</v>
      </c>
    </row>
    <row r="397" spans="5:9" x14ac:dyDescent="0.25">
      <c r="E397" t="s">
        <v>33</v>
      </c>
      <c r="F397" t="s">
        <v>60</v>
      </c>
      <c r="G397" s="10">
        <v>94141</v>
      </c>
      <c r="H397" s="11">
        <v>26925</v>
      </c>
      <c r="I397" s="10">
        <v>1170</v>
      </c>
    </row>
    <row r="398" spans="5:9" x14ac:dyDescent="0.25">
      <c r="E398" t="s">
        <v>33</v>
      </c>
      <c r="F398" t="s">
        <v>61</v>
      </c>
      <c r="G398" s="10">
        <v>96686</v>
      </c>
      <c r="H398" s="11">
        <v>31154</v>
      </c>
      <c r="I398" s="10">
        <v>1937</v>
      </c>
    </row>
    <row r="399" spans="5:9" x14ac:dyDescent="0.25">
      <c r="E399" t="s">
        <v>33</v>
      </c>
      <c r="F399" t="s">
        <v>62</v>
      </c>
      <c r="G399" s="10">
        <v>139404</v>
      </c>
      <c r="H399" s="11">
        <v>34051</v>
      </c>
      <c r="I399" s="10">
        <v>413</v>
      </c>
    </row>
    <row r="400" spans="5:9" x14ac:dyDescent="0.25">
      <c r="E400" t="s">
        <v>34</v>
      </c>
      <c r="F400" t="s">
        <v>51</v>
      </c>
      <c r="G400" s="10">
        <v>140461</v>
      </c>
      <c r="H400" s="11">
        <v>50984</v>
      </c>
      <c r="I400" s="10">
        <v>1509</v>
      </c>
    </row>
    <row r="401" spans="5:9" x14ac:dyDescent="0.25">
      <c r="E401" t="s">
        <v>34</v>
      </c>
      <c r="F401" t="s">
        <v>52</v>
      </c>
      <c r="G401" s="10">
        <v>24451</v>
      </c>
      <c r="H401" s="11">
        <v>7274</v>
      </c>
      <c r="I401" s="10">
        <v>299</v>
      </c>
    </row>
    <row r="402" spans="5:9" x14ac:dyDescent="0.25">
      <c r="E402" t="s">
        <v>34</v>
      </c>
      <c r="F402" t="s">
        <v>53</v>
      </c>
      <c r="G402" s="10">
        <v>105516</v>
      </c>
      <c r="H402" s="11">
        <v>30904</v>
      </c>
      <c r="I402" s="10">
        <v>2957</v>
      </c>
    </row>
    <row r="403" spans="5:9" x14ac:dyDescent="0.25">
      <c r="E403" t="s">
        <v>34</v>
      </c>
      <c r="F403" t="s">
        <v>54</v>
      </c>
      <c r="G403" s="10">
        <v>106097</v>
      </c>
      <c r="H403" s="11">
        <v>42389</v>
      </c>
      <c r="I403" s="10">
        <v>3762</v>
      </c>
    </row>
    <row r="404" spans="5:9" x14ac:dyDescent="0.25">
      <c r="E404" t="s">
        <v>34</v>
      </c>
      <c r="F404" t="s">
        <v>55</v>
      </c>
      <c r="G404" s="10">
        <v>16549</v>
      </c>
      <c r="H404" s="11">
        <v>5277</v>
      </c>
      <c r="I404" s="10">
        <v>19</v>
      </c>
    </row>
    <row r="405" spans="5:9" x14ac:dyDescent="0.25">
      <c r="E405" t="s">
        <v>34</v>
      </c>
      <c r="F405" t="s">
        <v>56</v>
      </c>
      <c r="G405" s="10">
        <v>61928</v>
      </c>
      <c r="H405" s="11">
        <v>24633</v>
      </c>
      <c r="I405" s="10">
        <v>1342</v>
      </c>
    </row>
    <row r="406" spans="5:9" x14ac:dyDescent="0.25">
      <c r="E406" t="s">
        <v>34</v>
      </c>
      <c r="F406" t="s">
        <v>57</v>
      </c>
      <c r="G406" s="10">
        <v>74414</v>
      </c>
      <c r="H406" s="11">
        <v>26495</v>
      </c>
      <c r="I406" s="10">
        <v>1190</v>
      </c>
    </row>
    <row r="407" spans="5:9" x14ac:dyDescent="0.25">
      <c r="E407" t="s">
        <v>34</v>
      </c>
      <c r="F407" t="s">
        <v>58</v>
      </c>
      <c r="G407" s="10">
        <v>129282</v>
      </c>
      <c r="H407" s="11">
        <v>39516</v>
      </c>
      <c r="I407" s="10">
        <v>2051</v>
      </c>
    </row>
    <row r="408" spans="5:9" x14ac:dyDescent="0.25">
      <c r="E408" t="s">
        <v>34</v>
      </c>
      <c r="F408" t="s">
        <v>59</v>
      </c>
      <c r="G408" s="10">
        <v>60565</v>
      </c>
      <c r="H408" s="11">
        <v>22778</v>
      </c>
      <c r="I408" s="10">
        <v>762</v>
      </c>
    </row>
    <row r="409" spans="5:9" x14ac:dyDescent="0.25">
      <c r="E409" t="s">
        <v>34</v>
      </c>
      <c r="F409" t="s">
        <v>60</v>
      </c>
      <c r="G409" s="10">
        <v>114470</v>
      </c>
      <c r="H409" s="11">
        <v>33420</v>
      </c>
      <c r="I409" s="10">
        <v>777</v>
      </c>
    </row>
    <row r="410" spans="5:9" x14ac:dyDescent="0.25">
      <c r="E410" t="s">
        <v>34</v>
      </c>
      <c r="F410" t="s">
        <v>61</v>
      </c>
      <c r="G410" s="10">
        <v>115357</v>
      </c>
      <c r="H410" s="11">
        <v>26300</v>
      </c>
      <c r="I410" s="10">
        <v>2426</v>
      </c>
    </row>
    <row r="411" spans="5:9" x14ac:dyDescent="0.25">
      <c r="E411" t="s">
        <v>34</v>
      </c>
      <c r="F411" t="s">
        <v>62</v>
      </c>
      <c r="G411" s="10">
        <v>21332</v>
      </c>
      <c r="H411" s="11">
        <v>6729</v>
      </c>
      <c r="I411" s="10">
        <v>409</v>
      </c>
    </row>
    <row r="412" spans="5:9" x14ac:dyDescent="0.25">
      <c r="E412" t="s">
        <v>35</v>
      </c>
      <c r="F412" t="s">
        <v>51</v>
      </c>
      <c r="G412" s="10">
        <v>15566</v>
      </c>
      <c r="H412" s="11">
        <v>3982</v>
      </c>
      <c r="I412" s="10">
        <v>50</v>
      </c>
    </row>
    <row r="413" spans="5:9" x14ac:dyDescent="0.25">
      <c r="E413" t="s">
        <v>35</v>
      </c>
      <c r="F413" t="s">
        <v>52</v>
      </c>
      <c r="G413" s="10">
        <v>56891</v>
      </c>
      <c r="H413" s="11">
        <v>20131</v>
      </c>
      <c r="I413" s="10">
        <v>596</v>
      </c>
    </row>
    <row r="414" spans="5:9" x14ac:dyDescent="0.25">
      <c r="E414" t="s">
        <v>35</v>
      </c>
      <c r="F414" t="s">
        <v>53</v>
      </c>
      <c r="G414" s="10">
        <v>146866</v>
      </c>
      <c r="H414" s="11">
        <v>58310</v>
      </c>
      <c r="I414" s="10">
        <v>1622</v>
      </c>
    </row>
    <row r="415" spans="5:9" x14ac:dyDescent="0.25">
      <c r="E415" t="s">
        <v>35</v>
      </c>
      <c r="F415" t="s">
        <v>54</v>
      </c>
      <c r="G415" s="10">
        <v>96251</v>
      </c>
      <c r="H415" s="11">
        <v>20321</v>
      </c>
      <c r="I415" s="10">
        <v>527</v>
      </c>
    </row>
    <row r="416" spans="5:9" x14ac:dyDescent="0.25">
      <c r="E416" t="s">
        <v>35</v>
      </c>
      <c r="F416" t="s">
        <v>55</v>
      </c>
      <c r="G416" s="10">
        <v>80348</v>
      </c>
      <c r="H416" s="11">
        <v>23825</v>
      </c>
      <c r="I416" s="10">
        <v>1662</v>
      </c>
    </row>
    <row r="417" spans="5:9" x14ac:dyDescent="0.25">
      <c r="E417" t="s">
        <v>35</v>
      </c>
      <c r="F417" t="s">
        <v>56</v>
      </c>
      <c r="G417" s="10">
        <v>49347</v>
      </c>
      <c r="H417" s="11">
        <v>19363</v>
      </c>
      <c r="I417" s="10">
        <v>504</v>
      </c>
    </row>
    <row r="418" spans="5:9" x14ac:dyDescent="0.25">
      <c r="E418" t="s">
        <v>35</v>
      </c>
      <c r="F418" t="s">
        <v>57</v>
      </c>
      <c r="G418" s="10">
        <v>147349</v>
      </c>
      <c r="H418" s="11">
        <v>52218</v>
      </c>
      <c r="I418" s="10">
        <v>4394</v>
      </c>
    </row>
    <row r="419" spans="5:9" x14ac:dyDescent="0.25">
      <c r="E419" t="s">
        <v>35</v>
      </c>
      <c r="F419" t="s">
        <v>58</v>
      </c>
      <c r="G419" s="10">
        <v>142227</v>
      </c>
      <c r="H419" s="11">
        <v>50680</v>
      </c>
      <c r="I419" s="10">
        <v>123</v>
      </c>
    </row>
    <row r="420" spans="5:9" x14ac:dyDescent="0.25">
      <c r="E420" t="s">
        <v>35</v>
      </c>
      <c r="F420" t="s">
        <v>59</v>
      </c>
      <c r="G420" s="10">
        <v>77924</v>
      </c>
      <c r="H420" s="11">
        <v>19268</v>
      </c>
      <c r="I420" s="10">
        <v>1847</v>
      </c>
    </row>
    <row r="421" spans="5:9" x14ac:dyDescent="0.25">
      <c r="E421" t="s">
        <v>35</v>
      </c>
      <c r="F421" t="s">
        <v>60</v>
      </c>
      <c r="G421" s="10">
        <v>22766</v>
      </c>
      <c r="H421" s="11">
        <v>8535</v>
      </c>
      <c r="I421" s="10">
        <v>688</v>
      </c>
    </row>
    <row r="422" spans="5:9" x14ac:dyDescent="0.25">
      <c r="E422" t="s">
        <v>35</v>
      </c>
      <c r="F422" t="s">
        <v>61</v>
      </c>
      <c r="G422" s="10">
        <v>95237</v>
      </c>
      <c r="H422" s="11">
        <v>25189</v>
      </c>
      <c r="I422" s="10">
        <v>1739</v>
      </c>
    </row>
    <row r="423" spans="5:9" x14ac:dyDescent="0.25">
      <c r="E423" t="s">
        <v>35</v>
      </c>
      <c r="F423" t="s">
        <v>62</v>
      </c>
      <c r="G423" s="10">
        <v>61030</v>
      </c>
      <c r="H423" s="11">
        <v>24077</v>
      </c>
      <c r="I423" s="10">
        <v>1986</v>
      </c>
    </row>
    <row r="424" spans="5:9" x14ac:dyDescent="0.25">
      <c r="E424" t="s">
        <v>36</v>
      </c>
      <c r="F424" t="s">
        <v>51</v>
      </c>
      <c r="G424" s="10">
        <v>113116</v>
      </c>
      <c r="H424" s="11">
        <v>27080</v>
      </c>
      <c r="I424" s="10">
        <v>824</v>
      </c>
    </row>
    <row r="425" spans="5:9" x14ac:dyDescent="0.25">
      <c r="E425" t="s">
        <v>36</v>
      </c>
      <c r="F425" t="s">
        <v>52</v>
      </c>
      <c r="G425" s="10">
        <v>81769</v>
      </c>
      <c r="H425" s="11">
        <v>29414</v>
      </c>
      <c r="I425" s="10">
        <v>2161</v>
      </c>
    </row>
    <row r="426" spans="5:9" x14ac:dyDescent="0.25">
      <c r="E426" t="s">
        <v>36</v>
      </c>
      <c r="F426" t="s">
        <v>53</v>
      </c>
      <c r="G426" s="10">
        <v>123624</v>
      </c>
      <c r="H426" s="11">
        <v>38381</v>
      </c>
      <c r="I426" s="10">
        <v>2823</v>
      </c>
    </row>
    <row r="427" spans="5:9" x14ac:dyDescent="0.25">
      <c r="E427" t="s">
        <v>36</v>
      </c>
      <c r="F427" t="s">
        <v>54</v>
      </c>
      <c r="G427" s="10">
        <v>70755</v>
      </c>
      <c r="H427" s="11">
        <v>20499</v>
      </c>
      <c r="I427" s="10">
        <v>714</v>
      </c>
    </row>
    <row r="428" spans="5:9" x14ac:dyDescent="0.25">
      <c r="E428" t="s">
        <v>36</v>
      </c>
      <c r="F428" t="s">
        <v>55</v>
      </c>
      <c r="G428" s="10">
        <v>104748</v>
      </c>
      <c r="H428" s="11">
        <v>36925</v>
      </c>
      <c r="I428" s="10">
        <v>508</v>
      </c>
    </row>
    <row r="429" spans="5:9" x14ac:dyDescent="0.25">
      <c r="E429" t="s">
        <v>36</v>
      </c>
      <c r="F429" t="s">
        <v>56</v>
      </c>
      <c r="G429" s="10">
        <v>34836</v>
      </c>
      <c r="H429" s="11">
        <v>12174</v>
      </c>
      <c r="I429" s="10">
        <v>1051</v>
      </c>
    </row>
    <row r="430" spans="5:9" x14ac:dyDescent="0.25">
      <c r="E430" t="s">
        <v>36</v>
      </c>
      <c r="F430" t="s">
        <v>57</v>
      </c>
      <c r="G430" s="10">
        <v>135736</v>
      </c>
      <c r="H430" s="11">
        <v>41501</v>
      </c>
      <c r="I430" s="10">
        <v>2458</v>
      </c>
    </row>
    <row r="431" spans="5:9" x14ac:dyDescent="0.25">
      <c r="E431" t="s">
        <v>36</v>
      </c>
      <c r="F431" t="s">
        <v>58</v>
      </c>
      <c r="G431" s="10">
        <v>90342</v>
      </c>
      <c r="H431" s="11">
        <v>31966</v>
      </c>
      <c r="I431" s="10">
        <v>1877</v>
      </c>
    </row>
    <row r="432" spans="5:9" x14ac:dyDescent="0.25">
      <c r="E432" t="s">
        <v>36</v>
      </c>
      <c r="F432" t="s">
        <v>59</v>
      </c>
      <c r="G432" s="10">
        <v>31427</v>
      </c>
      <c r="H432" s="11">
        <v>11637</v>
      </c>
      <c r="I432" s="10">
        <v>866</v>
      </c>
    </row>
    <row r="433" spans="5:9" x14ac:dyDescent="0.25">
      <c r="E433" t="s">
        <v>36</v>
      </c>
      <c r="F433" t="s">
        <v>60</v>
      </c>
      <c r="G433" s="10">
        <v>40306</v>
      </c>
      <c r="H433" s="11">
        <v>16023</v>
      </c>
      <c r="I433" s="10">
        <v>972</v>
      </c>
    </row>
    <row r="434" spans="5:9" x14ac:dyDescent="0.25">
      <c r="E434" t="s">
        <v>36</v>
      </c>
      <c r="F434" t="s">
        <v>61</v>
      </c>
      <c r="G434" s="10">
        <v>44348</v>
      </c>
      <c r="H434" s="11">
        <v>14091</v>
      </c>
      <c r="I434" s="10">
        <v>777</v>
      </c>
    </row>
    <row r="435" spans="5:9" x14ac:dyDescent="0.25">
      <c r="E435" t="s">
        <v>36</v>
      </c>
      <c r="F435" t="s">
        <v>62</v>
      </c>
      <c r="G435" s="10">
        <v>147532</v>
      </c>
      <c r="H435" s="11">
        <v>47659</v>
      </c>
      <c r="I435" s="10">
        <v>364</v>
      </c>
    </row>
    <row r="436" spans="5:9" x14ac:dyDescent="0.25">
      <c r="E436" t="s">
        <v>37</v>
      </c>
      <c r="F436" t="s">
        <v>51</v>
      </c>
      <c r="G436" s="10">
        <v>45765</v>
      </c>
      <c r="H436" s="11">
        <v>17942</v>
      </c>
      <c r="I436" s="10">
        <v>126</v>
      </c>
    </row>
    <row r="437" spans="5:9" x14ac:dyDescent="0.25">
      <c r="E437" t="s">
        <v>37</v>
      </c>
      <c r="F437" t="s">
        <v>52</v>
      </c>
      <c r="G437" s="10">
        <v>95589</v>
      </c>
      <c r="H437" s="11">
        <v>29452</v>
      </c>
      <c r="I437" s="10">
        <v>569</v>
      </c>
    </row>
    <row r="438" spans="5:9" x14ac:dyDescent="0.25">
      <c r="E438" t="s">
        <v>37</v>
      </c>
      <c r="F438" t="s">
        <v>53</v>
      </c>
      <c r="G438" s="10">
        <v>111290</v>
      </c>
      <c r="H438" s="11">
        <v>24301</v>
      </c>
      <c r="I438" s="10">
        <v>1434</v>
      </c>
    </row>
    <row r="439" spans="5:9" x14ac:dyDescent="0.25">
      <c r="E439" t="s">
        <v>37</v>
      </c>
      <c r="F439" t="s">
        <v>54</v>
      </c>
      <c r="G439" s="10">
        <v>62716</v>
      </c>
      <c r="H439" s="11">
        <v>15456</v>
      </c>
      <c r="I439" s="10">
        <v>1506</v>
      </c>
    </row>
    <row r="440" spans="5:9" x14ac:dyDescent="0.25">
      <c r="E440" t="s">
        <v>37</v>
      </c>
      <c r="F440" t="s">
        <v>55</v>
      </c>
      <c r="G440" s="10">
        <v>149308</v>
      </c>
      <c r="H440" s="11">
        <v>41526</v>
      </c>
      <c r="I440" s="10">
        <v>1612</v>
      </c>
    </row>
    <row r="441" spans="5:9" x14ac:dyDescent="0.25">
      <c r="E441" t="s">
        <v>37</v>
      </c>
      <c r="F441" t="s">
        <v>56</v>
      </c>
      <c r="G441" s="10">
        <v>36032</v>
      </c>
      <c r="H441" s="11">
        <v>13594</v>
      </c>
      <c r="I441" s="10">
        <v>113</v>
      </c>
    </row>
    <row r="442" spans="5:9" x14ac:dyDescent="0.25">
      <c r="E442" t="s">
        <v>37</v>
      </c>
      <c r="F442" t="s">
        <v>57</v>
      </c>
      <c r="G442" s="10">
        <v>107052</v>
      </c>
      <c r="H442" s="11">
        <v>30331</v>
      </c>
      <c r="I442" s="10">
        <v>1080</v>
      </c>
    </row>
    <row r="443" spans="5:9" x14ac:dyDescent="0.25">
      <c r="E443" t="s">
        <v>37</v>
      </c>
      <c r="F443" t="s">
        <v>58</v>
      </c>
      <c r="G443" s="10">
        <v>121187</v>
      </c>
      <c r="H443" s="11">
        <v>44110</v>
      </c>
      <c r="I443" s="10">
        <v>2430</v>
      </c>
    </row>
    <row r="444" spans="5:9" x14ac:dyDescent="0.25">
      <c r="E444" t="s">
        <v>37</v>
      </c>
      <c r="F444" t="s">
        <v>59</v>
      </c>
      <c r="G444" s="10">
        <v>143619</v>
      </c>
      <c r="H444" s="11">
        <v>48755</v>
      </c>
      <c r="I444" s="10">
        <v>2174</v>
      </c>
    </row>
    <row r="445" spans="5:9" x14ac:dyDescent="0.25">
      <c r="E445" t="s">
        <v>37</v>
      </c>
      <c r="F445" t="s">
        <v>60</v>
      </c>
      <c r="G445" s="10">
        <v>67779</v>
      </c>
      <c r="H445" s="11">
        <v>13642</v>
      </c>
      <c r="I445" s="10">
        <v>977</v>
      </c>
    </row>
    <row r="446" spans="5:9" x14ac:dyDescent="0.25">
      <c r="E446" t="s">
        <v>37</v>
      </c>
      <c r="F446" t="s">
        <v>61</v>
      </c>
      <c r="G446" s="10">
        <v>97629</v>
      </c>
      <c r="H446" s="11">
        <v>35410</v>
      </c>
      <c r="I446" s="10">
        <v>1160</v>
      </c>
    </row>
    <row r="447" spans="5:9" x14ac:dyDescent="0.25">
      <c r="E447" t="s">
        <v>37</v>
      </c>
      <c r="F447" t="s">
        <v>62</v>
      </c>
      <c r="G447" s="10">
        <v>22300</v>
      </c>
      <c r="H447" s="11">
        <v>6431</v>
      </c>
      <c r="I447" s="10">
        <v>340</v>
      </c>
    </row>
    <row r="448" spans="5:9" x14ac:dyDescent="0.25">
      <c r="E448" t="s">
        <v>38</v>
      </c>
      <c r="F448" t="s">
        <v>51</v>
      </c>
      <c r="G448" s="10">
        <v>125747</v>
      </c>
      <c r="H448" s="11">
        <v>30444</v>
      </c>
      <c r="I448" s="10">
        <v>1707</v>
      </c>
    </row>
    <row r="449" spans="5:9" x14ac:dyDescent="0.25">
      <c r="E449" t="s">
        <v>38</v>
      </c>
      <c r="F449" t="s">
        <v>52</v>
      </c>
      <c r="G449" s="10">
        <v>112467</v>
      </c>
      <c r="H449" s="11">
        <v>29175</v>
      </c>
      <c r="I449" s="10">
        <v>598</v>
      </c>
    </row>
    <row r="450" spans="5:9" x14ac:dyDescent="0.25">
      <c r="E450" t="s">
        <v>38</v>
      </c>
      <c r="F450" t="s">
        <v>53</v>
      </c>
      <c r="G450" s="10">
        <v>64199</v>
      </c>
      <c r="H450" s="11">
        <v>15167</v>
      </c>
      <c r="I450" s="10">
        <v>1143</v>
      </c>
    </row>
    <row r="451" spans="5:9" x14ac:dyDescent="0.25">
      <c r="E451" t="s">
        <v>38</v>
      </c>
      <c r="F451" t="s">
        <v>54</v>
      </c>
      <c r="G451" s="10">
        <v>54016</v>
      </c>
      <c r="H451" s="11">
        <v>16466</v>
      </c>
      <c r="I451" s="10">
        <v>535</v>
      </c>
    </row>
    <row r="452" spans="5:9" x14ac:dyDescent="0.25">
      <c r="E452" t="s">
        <v>38</v>
      </c>
      <c r="F452" t="s">
        <v>55</v>
      </c>
      <c r="G452" s="10">
        <v>46223</v>
      </c>
      <c r="H452" s="11">
        <v>10019</v>
      </c>
      <c r="I452" s="10">
        <v>218</v>
      </c>
    </row>
    <row r="453" spans="5:9" x14ac:dyDescent="0.25">
      <c r="E453" t="s">
        <v>38</v>
      </c>
      <c r="F453" t="s">
        <v>56</v>
      </c>
      <c r="G453" s="10">
        <v>132449</v>
      </c>
      <c r="H453" s="11">
        <v>35380</v>
      </c>
      <c r="I453" s="10">
        <v>226</v>
      </c>
    </row>
    <row r="454" spans="5:9" x14ac:dyDescent="0.25">
      <c r="E454" t="s">
        <v>38</v>
      </c>
      <c r="F454" t="s">
        <v>57</v>
      </c>
      <c r="G454" s="10">
        <v>137361</v>
      </c>
      <c r="H454" s="11">
        <v>48764</v>
      </c>
      <c r="I454" s="10">
        <v>987</v>
      </c>
    </row>
    <row r="455" spans="5:9" x14ac:dyDescent="0.25">
      <c r="E455" t="s">
        <v>38</v>
      </c>
      <c r="F455" t="s">
        <v>58</v>
      </c>
      <c r="G455" s="10">
        <v>21831</v>
      </c>
      <c r="H455" s="11">
        <v>6742</v>
      </c>
      <c r="I455" s="10">
        <v>99</v>
      </c>
    </row>
    <row r="456" spans="5:9" x14ac:dyDescent="0.25">
      <c r="E456" t="s">
        <v>38</v>
      </c>
      <c r="F456" t="s">
        <v>59</v>
      </c>
      <c r="G456" s="10">
        <v>58546</v>
      </c>
      <c r="H456" s="11">
        <v>16164</v>
      </c>
      <c r="I456" s="10">
        <v>723</v>
      </c>
    </row>
    <row r="457" spans="5:9" x14ac:dyDescent="0.25">
      <c r="E457" t="s">
        <v>38</v>
      </c>
      <c r="F457" t="s">
        <v>60</v>
      </c>
      <c r="G457" s="10">
        <v>51960</v>
      </c>
      <c r="H457" s="11">
        <v>12780</v>
      </c>
      <c r="I457" s="10">
        <v>433</v>
      </c>
    </row>
    <row r="458" spans="5:9" x14ac:dyDescent="0.25">
      <c r="E458" t="s">
        <v>38</v>
      </c>
      <c r="F458" t="s">
        <v>61</v>
      </c>
      <c r="G458" s="10">
        <v>88159</v>
      </c>
      <c r="H458" s="11">
        <v>21218</v>
      </c>
      <c r="I458" s="10">
        <v>1774</v>
      </c>
    </row>
    <row r="459" spans="5:9" x14ac:dyDescent="0.25">
      <c r="E459" t="s">
        <v>38</v>
      </c>
      <c r="F459" t="s">
        <v>62</v>
      </c>
      <c r="G459" s="10">
        <v>111675</v>
      </c>
      <c r="H459" s="11">
        <v>29874</v>
      </c>
      <c r="I459" s="10">
        <v>873</v>
      </c>
    </row>
    <row r="460" spans="5:9" x14ac:dyDescent="0.25">
      <c r="E460" t="s">
        <v>39</v>
      </c>
      <c r="F460" t="s">
        <v>51</v>
      </c>
      <c r="G460" s="10">
        <v>72977</v>
      </c>
      <c r="H460" s="11">
        <v>26807</v>
      </c>
      <c r="I460" s="10">
        <v>523</v>
      </c>
    </row>
    <row r="461" spans="5:9" x14ac:dyDescent="0.25">
      <c r="E461" t="s">
        <v>39</v>
      </c>
      <c r="F461" t="s">
        <v>52</v>
      </c>
      <c r="G461" s="10">
        <v>146235</v>
      </c>
      <c r="H461" s="11">
        <v>48999</v>
      </c>
      <c r="I461" s="10">
        <v>1097</v>
      </c>
    </row>
    <row r="462" spans="5:9" x14ac:dyDescent="0.25">
      <c r="E462" t="s">
        <v>39</v>
      </c>
      <c r="F462" t="s">
        <v>53</v>
      </c>
      <c r="G462" s="10">
        <v>107007</v>
      </c>
      <c r="H462" s="11">
        <v>37573</v>
      </c>
      <c r="I462" s="10">
        <v>2775</v>
      </c>
    </row>
    <row r="463" spans="5:9" x14ac:dyDescent="0.25">
      <c r="E463" t="s">
        <v>39</v>
      </c>
      <c r="F463" t="s">
        <v>54</v>
      </c>
      <c r="G463" s="10">
        <v>102178</v>
      </c>
      <c r="H463" s="11">
        <v>34971</v>
      </c>
      <c r="I463" s="10">
        <v>930</v>
      </c>
    </row>
    <row r="464" spans="5:9" x14ac:dyDescent="0.25">
      <c r="E464" t="s">
        <v>39</v>
      </c>
      <c r="F464" t="s">
        <v>55</v>
      </c>
      <c r="G464" s="10">
        <v>120672</v>
      </c>
      <c r="H464" s="11">
        <v>24971</v>
      </c>
      <c r="I464" s="10">
        <v>2428</v>
      </c>
    </row>
    <row r="465" spans="5:9" x14ac:dyDescent="0.25">
      <c r="E465" t="s">
        <v>39</v>
      </c>
      <c r="F465" t="s">
        <v>56</v>
      </c>
      <c r="G465" s="10">
        <v>38935</v>
      </c>
      <c r="H465" s="11">
        <v>10711</v>
      </c>
      <c r="I465" s="10">
        <v>1060</v>
      </c>
    </row>
    <row r="466" spans="5:9" x14ac:dyDescent="0.25">
      <c r="E466" t="s">
        <v>39</v>
      </c>
      <c r="F466" t="s">
        <v>57</v>
      </c>
      <c r="G466" s="10">
        <v>52514</v>
      </c>
      <c r="H466" s="11">
        <v>15391</v>
      </c>
      <c r="I466" s="10">
        <v>949</v>
      </c>
    </row>
    <row r="467" spans="5:9" x14ac:dyDescent="0.25">
      <c r="E467" t="s">
        <v>39</v>
      </c>
      <c r="F467" t="s">
        <v>58</v>
      </c>
      <c r="G467" s="10">
        <v>51460</v>
      </c>
      <c r="H467" s="11">
        <v>18842</v>
      </c>
      <c r="I467" s="10">
        <v>29</v>
      </c>
    </row>
    <row r="468" spans="5:9" x14ac:dyDescent="0.25">
      <c r="E468" t="s">
        <v>39</v>
      </c>
      <c r="F468" t="s">
        <v>59</v>
      </c>
      <c r="G468" s="10">
        <v>56359</v>
      </c>
      <c r="H468" s="11">
        <v>21641</v>
      </c>
      <c r="I468" s="10">
        <v>1962</v>
      </c>
    </row>
    <row r="469" spans="5:9" x14ac:dyDescent="0.25">
      <c r="E469" t="s">
        <v>39</v>
      </c>
      <c r="F469" t="s">
        <v>60</v>
      </c>
      <c r="G469" s="10">
        <v>94703</v>
      </c>
      <c r="H469" s="11">
        <v>29784</v>
      </c>
      <c r="I469" s="10">
        <v>339</v>
      </c>
    </row>
    <row r="470" spans="5:9" x14ac:dyDescent="0.25">
      <c r="E470" t="s">
        <v>39</v>
      </c>
      <c r="F470" t="s">
        <v>61</v>
      </c>
      <c r="G470" s="10">
        <v>113382</v>
      </c>
      <c r="H470" s="11">
        <v>36766</v>
      </c>
      <c r="I470" s="10">
        <v>1562</v>
      </c>
    </row>
    <row r="471" spans="5:9" x14ac:dyDescent="0.25">
      <c r="E471" t="s">
        <v>39</v>
      </c>
      <c r="F471" t="s">
        <v>62</v>
      </c>
      <c r="G471" s="10">
        <v>129530</v>
      </c>
      <c r="H471" s="11">
        <v>51356</v>
      </c>
      <c r="I471" s="10">
        <v>848</v>
      </c>
    </row>
    <row r="472" spans="5:9" x14ac:dyDescent="0.25">
      <c r="E472" t="s">
        <v>40</v>
      </c>
      <c r="F472" t="s">
        <v>51</v>
      </c>
      <c r="G472" s="10">
        <v>43046</v>
      </c>
      <c r="H472" s="11">
        <v>11018</v>
      </c>
      <c r="I472" s="10">
        <v>980</v>
      </c>
    </row>
    <row r="473" spans="5:9" x14ac:dyDescent="0.25">
      <c r="E473" t="s">
        <v>40</v>
      </c>
      <c r="F473" t="s">
        <v>52</v>
      </c>
      <c r="G473" s="10">
        <v>75386</v>
      </c>
      <c r="H473" s="11">
        <v>20700</v>
      </c>
      <c r="I473" s="10">
        <v>274</v>
      </c>
    </row>
    <row r="474" spans="5:9" x14ac:dyDescent="0.25">
      <c r="E474" t="s">
        <v>40</v>
      </c>
      <c r="F474" t="s">
        <v>53</v>
      </c>
      <c r="G474" s="10">
        <v>136870</v>
      </c>
      <c r="H474" s="11">
        <v>50647</v>
      </c>
      <c r="I474" s="10">
        <v>2411</v>
      </c>
    </row>
    <row r="475" spans="5:9" x14ac:dyDescent="0.25">
      <c r="E475" t="s">
        <v>40</v>
      </c>
      <c r="F475" t="s">
        <v>54</v>
      </c>
      <c r="G475" s="10">
        <v>55549</v>
      </c>
      <c r="H475" s="11">
        <v>19142</v>
      </c>
      <c r="I475" s="10">
        <v>981</v>
      </c>
    </row>
    <row r="476" spans="5:9" x14ac:dyDescent="0.25">
      <c r="E476" t="s">
        <v>40</v>
      </c>
      <c r="F476" t="s">
        <v>55</v>
      </c>
      <c r="G476" s="10">
        <v>122896</v>
      </c>
      <c r="H476" s="11">
        <v>41348</v>
      </c>
      <c r="I476" s="10">
        <v>690</v>
      </c>
    </row>
    <row r="477" spans="5:9" x14ac:dyDescent="0.25">
      <c r="E477" t="s">
        <v>40</v>
      </c>
      <c r="F477" t="s">
        <v>56</v>
      </c>
      <c r="G477" s="10">
        <v>136067</v>
      </c>
      <c r="H477" s="11">
        <v>34293</v>
      </c>
      <c r="I477" s="10">
        <v>779</v>
      </c>
    </row>
    <row r="478" spans="5:9" x14ac:dyDescent="0.25">
      <c r="E478" t="s">
        <v>40</v>
      </c>
      <c r="F478" t="s">
        <v>57</v>
      </c>
      <c r="G478" s="10">
        <v>40615</v>
      </c>
      <c r="H478" s="11">
        <v>13089</v>
      </c>
      <c r="I478" s="10">
        <v>126</v>
      </c>
    </row>
    <row r="479" spans="5:9" x14ac:dyDescent="0.25">
      <c r="E479" t="s">
        <v>40</v>
      </c>
      <c r="F479" t="s">
        <v>58</v>
      </c>
      <c r="G479" s="10">
        <v>20956</v>
      </c>
      <c r="H479" s="11">
        <v>7260</v>
      </c>
      <c r="I479" s="10">
        <v>565</v>
      </c>
    </row>
    <row r="480" spans="5:9" x14ac:dyDescent="0.25">
      <c r="E480" t="s">
        <v>40</v>
      </c>
      <c r="F480" t="s">
        <v>59</v>
      </c>
      <c r="G480" s="10">
        <v>99192</v>
      </c>
      <c r="H480" s="11">
        <v>36770</v>
      </c>
      <c r="I480" s="10">
        <v>3025</v>
      </c>
    </row>
    <row r="481" spans="5:9" x14ac:dyDescent="0.25">
      <c r="E481" t="s">
        <v>40</v>
      </c>
      <c r="F481" t="s">
        <v>60</v>
      </c>
      <c r="G481" s="10">
        <v>127885</v>
      </c>
      <c r="H481" s="11">
        <v>29512</v>
      </c>
      <c r="I481" s="10">
        <v>554</v>
      </c>
    </row>
    <row r="482" spans="5:9" x14ac:dyDescent="0.25">
      <c r="E482" t="s">
        <v>40</v>
      </c>
      <c r="F482" t="s">
        <v>61</v>
      </c>
      <c r="G482" s="10">
        <v>106196</v>
      </c>
      <c r="H482" s="11">
        <v>27038</v>
      </c>
      <c r="I482" s="10">
        <v>926</v>
      </c>
    </row>
    <row r="483" spans="5:9" x14ac:dyDescent="0.25">
      <c r="E483" t="s">
        <v>40</v>
      </c>
      <c r="F483" t="s">
        <v>62</v>
      </c>
      <c r="G483" s="10">
        <v>83124</v>
      </c>
      <c r="H483" s="11">
        <v>32028</v>
      </c>
      <c r="I483" s="10">
        <v>659</v>
      </c>
    </row>
    <row r="484" spans="5:9" x14ac:dyDescent="0.25">
      <c r="E484" t="s">
        <v>41</v>
      </c>
      <c r="F484" t="s">
        <v>51</v>
      </c>
      <c r="G484" s="10">
        <v>101643</v>
      </c>
      <c r="H484" s="11">
        <v>26845</v>
      </c>
      <c r="I484" s="10">
        <v>1423</v>
      </c>
    </row>
    <row r="485" spans="5:9" x14ac:dyDescent="0.25">
      <c r="E485" t="s">
        <v>41</v>
      </c>
      <c r="F485" t="s">
        <v>52</v>
      </c>
      <c r="G485" s="10">
        <v>74732</v>
      </c>
      <c r="H485" s="11">
        <v>26608</v>
      </c>
      <c r="I485" s="10">
        <v>2317</v>
      </c>
    </row>
    <row r="486" spans="5:9" x14ac:dyDescent="0.25">
      <c r="E486" t="s">
        <v>41</v>
      </c>
      <c r="F486" t="s">
        <v>53</v>
      </c>
      <c r="G486" s="10">
        <v>44785</v>
      </c>
      <c r="H486" s="11">
        <v>10281</v>
      </c>
      <c r="I486" s="10">
        <v>298</v>
      </c>
    </row>
    <row r="487" spans="5:9" x14ac:dyDescent="0.25">
      <c r="E487" t="s">
        <v>41</v>
      </c>
      <c r="F487" t="s">
        <v>54</v>
      </c>
      <c r="G487" s="10">
        <v>46568</v>
      </c>
      <c r="H487" s="11">
        <v>15846</v>
      </c>
      <c r="I487" s="10">
        <v>940</v>
      </c>
    </row>
    <row r="488" spans="5:9" x14ac:dyDescent="0.25">
      <c r="E488" t="s">
        <v>41</v>
      </c>
      <c r="F488" t="s">
        <v>55</v>
      </c>
      <c r="G488" s="10">
        <v>46599</v>
      </c>
      <c r="H488" s="11">
        <v>14828</v>
      </c>
      <c r="I488" s="10">
        <v>156</v>
      </c>
    </row>
    <row r="489" spans="5:9" x14ac:dyDescent="0.25">
      <c r="E489" t="s">
        <v>41</v>
      </c>
      <c r="F489" t="s">
        <v>56</v>
      </c>
      <c r="G489" s="10">
        <v>22588</v>
      </c>
      <c r="H489" s="11">
        <v>5601</v>
      </c>
      <c r="I489" s="10">
        <v>167</v>
      </c>
    </row>
    <row r="490" spans="5:9" x14ac:dyDescent="0.25">
      <c r="E490" t="s">
        <v>41</v>
      </c>
      <c r="F490" t="s">
        <v>57</v>
      </c>
      <c r="G490" s="10">
        <v>10569</v>
      </c>
      <c r="H490" s="11">
        <v>3190</v>
      </c>
      <c r="I490" s="10">
        <v>73</v>
      </c>
    </row>
    <row r="491" spans="5:9" x14ac:dyDescent="0.25">
      <c r="E491" t="s">
        <v>41</v>
      </c>
      <c r="F491" t="s">
        <v>58</v>
      </c>
      <c r="G491" s="10">
        <v>33958</v>
      </c>
      <c r="H491" s="11">
        <v>11499</v>
      </c>
      <c r="I491" s="10">
        <v>374</v>
      </c>
    </row>
    <row r="492" spans="5:9" x14ac:dyDescent="0.25">
      <c r="E492" t="s">
        <v>41</v>
      </c>
      <c r="F492" t="s">
        <v>59</v>
      </c>
      <c r="G492" s="10">
        <v>59334</v>
      </c>
      <c r="H492" s="11">
        <v>20846</v>
      </c>
      <c r="I492" s="10">
        <v>139</v>
      </c>
    </row>
    <row r="493" spans="5:9" x14ac:dyDescent="0.25">
      <c r="E493" t="s">
        <v>41</v>
      </c>
      <c r="F493" t="s">
        <v>60</v>
      </c>
      <c r="G493" s="10">
        <v>146945</v>
      </c>
      <c r="H493" s="11">
        <v>56093</v>
      </c>
      <c r="I493" s="10">
        <v>3330</v>
      </c>
    </row>
    <row r="494" spans="5:9" x14ac:dyDescent="0.25">
      <c r="E494" t="s">
        <v>41</v>
      </c>
      <c r="F494" t="s">
        <v>61</v>
      </c>
      <c r="G494" s="10">
        <v>22795</v>
      </c>
      <c r="H494" s="11">
        <v>5944</v>
      </c>
      <c r="I494" s="10">
        <v>76</v>
      </c>
    </row>
    <row r="495" spans="5:9" x14ac:dyDescent="0.25">
      <c r="E495" t="s">
        <v>41</v>
      </c>
      <c r="F495" t="s">
        <v>62</v>
      </c>
      <c r="G495" s="10">
        <v>14895</v>
      </c>
      <c r="H495" s="11">
        <v>4009</v>
      </c>
      <c r="I495" s="10">
        <v>207</v>
      </c>
    </row>
    <row r="496" spans="5:9" x14ac:dyDescent="0.25">
      <c r="E496" t="s">
        <v>42</v>
      </c>
      <c r="F496" t="s">
        <v>51</v>
      </c>
      <c r="G496" s="10">
        <v>116428</v>
      </c>
      <c r="H496" s="11">
        <v>43484</v>
      </c>
      <c r="I496" s="10">
        <v>1541</v>
      </c>
    </row>
    <row r="497" spans="5:9" x14ac:dyDescent="0.25">
      <c r="E497" t="s">
        <v>42</v>
      </c>
      <c r="F497" t="s">
        <v>52</v>
      </c>
      <c r="G497" s="10">
        <v>36195</v>
      </c>
      <c r="H497" s="11">
        <v>10967</v>
      </c>
      <c r="I497" s="10">
        <v>1047</v>
      </c>
    </row>
    <row r="498" spans="5:9" x14ac:dyDescent="0.25">
      <c r="E498" t="s">
        <v>42</v>
      </c>
      <c r="F498" t="s">
        <v>53</v>
      </c>
      <c r="G498" s="10">
        <v>131699</v>
      </c>
      <c r="H498" s="11">
        <v>41367</v>
      </c>
      <c r="I498" s="10">
        <v>916</v>
      </c>
    </row>
    <row r="499" spans="5:9" x14ac:dyDescent="0.25">
      <c r="E499" t="s">
        <v>42</v>
      </c>
      <c r="F499" t="s">
        <v>54</v>
      </c>
      <c r="G499" s="10">
        <v>60669</v>
      </c>
      <c r="H499" s="11">
        <v>20018</v>
      </c>
      <c r="I499" s="10">
        <v>1121</v>
      </c>
    </row>
    <row r="500" spans="5:9" x14ac:dyDescent="0.25">
      <c r="E500" t="s">
        <v>42</v>
      </c>
      <c r="F500" t="s">
        <v>55</v>
      </c>
      <c r="G500" s="10">
        <v>22522</v>
      </c>
      <c r="H500" s="11">
        <v>5165</v>
      </c>
      <c r="I500" s="10">
        <v>361</v>
      </c>
    </row>
    <row r="501" spans="5:9" x14ac:dyDescent="0.25">
      <c r="E501" t="s">
        <v>42</v>
      </c>
      <c r="F501" t="s">
        <v>56</v>
      </c>
      <c r="G501" s="10">
        <v>56979</v>
      </c>
      <c r="H501" s="11">
        <v>17228</v>
      </c>
      <c r="I501" s="10">
        <v>1236</v>
      </c>
    </row>
    <row r="502" spans="5:9" x14ac:dyDescent="0.25">
      <c r="E502" t="s">
        <v>42</v>
      </c>
      <c r="F502" t="s">
        <v>57</v>
      </c>
      <c r="G502" s="10">
        <v>87882</v>
      </c>
      <c r="H502" s="11">
        <v>25567</v>
      </c>
      <c r="I502" s="10">
        <v>320</v>
      </c>
    </row>
    <row r="503" spans="5:9" x14ac:dyDescent="0.25">
      <c r="E503" t="s">
        <v>42</v>
      </c>
      <c r="F503" t="s">
        <v>58</v>
      </c>
      <c r="G503" s="10">
        <v>94972</v>
      </c>
      <c r="H503" s="11">
        <v>19831</v>
      </c>
      <c r="I503" s="10">
        <v>102</v>
      </c>
    </row>
    <row r="504" spans="5:9" x14ac:dyDescent="0.25">
      <c r="E504" t="s">
        <v>42</v>
      </c>
      <c r="F504" t="s">
        <v>59</v>
      </c>
      <c r="G504" s="10">
        <v>74892</v>
      </c>
      <c r="H504" s="11">
        <v>15442</v>
      </c>
      <c r="I504" s="10">
        <v>209</v>
      </c>
    </row>
    <row r="505" spans="5:9" x14ac:dyDescent="0.25">
      <c r="E505" t="s">
        <v>42</v>
      </c>
      <c r="F505" t="s">
        <v>60</v>
      </c>
      <c r="G505" s="10">
        <v>126217</v>
      </c>
      <c r="H505" s="11">
        <v>47991</v>
      </c>
      <c r="I505" s="10">
        <v>1985</v>
      </c>
    </row>
    <row r="506" spans="5:9" x14ac:dyDescent="0.25">
      <c r="E506" t="s">
        <v>42</v>
      </c>
      <c r="F506" t="s">
        <v>61</v>
      </c>
      <c r="G506" s="10">
        <v>43228</v>
      </c>
      <c r="H506" s="11">
        <v>16128</v>
      </c>
      <c r="I506" s="10">
        <v>873</v>
      </c>
    </row>
    <row r="507" spans="5:9" x14ac:dyDescent="0.25">
      <c r="E507" t="s">
        <v>42</v>
      </c>
      <c r="F507" t="s">
        <v>62</v>
      </c>
      <c r="G507" s="10">
        <v>68210</v>
      </c>
      <c r="H507" s="11">
        <v>13844</v>
      </c>
      <c r="I507" s="10">
        <v>564</v>
      </c>
    </row>
    <row r="508" spans="5:9" x14ac:dyDescent="0.25">
      <c r="E508" t="s">
        <v>43</v>
      </c>
      <c r="F508" t="s">
        <v>51</v>
      </c>
      <c r="G508" s="10">
        <v>45604</v>
      </c>
      <c r="H508" s="11">
        <v>11425</v>
      </c>
      <c r="I508" s="10">
        <v>515</v>
      </c>
    </row>
    <row r="509" spans="5:9" x14ac:dyDescent="0.25">
      <c r="E509" t="s">
        <v>43</v>
      </c>
      <c r="F509" t="s">
        <v>52</v>
      </c>
      <c r="G509" s="10">
        <v>82011</v>
      </c>
      <c r="H509" s="11">
        <v>24993</v>
      </c>
      <c r="I509" s="10">
        <v>1564</v>
      </c>
    </row>
    <row r="510" spans="5:9" x14ac:dyDescent="0.25">
      <c r="E510" t="s">
        <v>43</v>
      </c>
      <c r="F510" t="s">
        <v>53</v>
      </c>
      <c r="G510" s="10">
        <v>96814</v>
      </c>
      <c r="H510" s="11">
        <v>22449</v>
      </c>
      <c r="I510" s="10">
        <v>1680</v>
      </c>
    </row>
    <row r="511" spans="5:9" x14ac:dyDescent="0.25">
      <c r="E511" t="s">
        <v>43</v>
      </c>
      <c r="F511" t="s">
        <v>54</v>
      </c>
      <c r="G511" s="10">
        <v>35587</v>
      </c>
      <c r="H511" s="11">
        <v>11471</v>
      </c>
      <c r="I511" s="10">
        <v>876</v>
      </c>
    </row>
    <row r="512" spans="5:9" x14ac:dyDescent="0.25">
      <c r="E512" t="s">
        <v>43</v>
      </c>
      <c r="F512" t="s">
        <v>55</v>
      </c>
      <c r="G512" s="10">
        <v>41372</v>
      </c>
      <c r="H512" s="11">
        <v>9194</v>
      </c>
      <c r="I512" s="10">
        <v>235</v>
      </c>
    </row>
    <row r="513" spans="5:9" x14ac:dyDescent="0.25">
      <c r="E513" t="s">
        <v>43</v>
      </c>
      <c r="F513" t="s">
        <v>56</v>
      </c>
      <c r="G513" s="10">
        <v>85107</v>
      </c>
      <c r="H513" s="11">
        <v>19382</v>
      </c>
      <c r="I513" s="10">
        <v>1711</v>
      </c>
    </row>
    <row r="514" spans="5:9" x14ac:dyDescent="0.25">
      <c r="E514" t="s">
        <v>43</v>
      </c>
      <c r="F514" t="s">
        <v>57</v>
      </c>
      <c r="G514" s="10">
        <v>54851</v>
      </c>
      <c r="H514" s="11">
        <v>20495</v>
      </c>
      <c r="I514" s="10">
        <v>536</v>
      </c>
    </row>
    <row r="515" spans="5:9" x14ac:dyDescent="0.25">
      <c r="E515" t="s">
        <v>43</v>
      </c>
      <c r="F515" t="s">
        <v>58</v>
      </c>
      <c r="G515" s="10">
        <v>37749</v>
      </c>
      <c r="H515" s="11">
        <v>10385</v>
      </c>
      <c r="I515" s="10">
        <v>39</v>
      </c>
    </row>
    <row r="516" spans="5:9" x14ac:dyDescent="0.25">
      <c r="E516" t="s">
        <v>43</v>
      </c>
      <c r="F516" t="s">
        <v>59</v>
      </c>
      <c r="G516" s="10">
        <v>67958</v>
      </c>
      <c r="H516" s="11">
        <v>24097</v>
      </c>
      <c r="I516" s="10">
        <v>1610</v>
      </c>
    </row>
    <row r="517" spans="5:9" x14ac:dyDescent="0.25">
      <c r="E517" t="s">
        <v>43</v>
      </c>
      <c r="F517" t="s">
        <v>60</v>
      </c>
      <c r="G517" s="10">
        <v>132289</v>
      </c>
      <c r="H517" s="11">
        <v>32890</v>
      </c>
      <c r="I517" s="10">
        <v>782</v>
      </c>
    </row>
    <row r="518" spans="5:9" x14ac:dyDescent="0.25">
      <c r="E518" t="s">
        <v>43</v>
      </c>
      <c r="F518" t="s">
        <v>61</v>
      </c>
      <c r="G518" s="10">
        <v>43420</v>
      </c>
      <c r="H518" s="11">
        <v>17221</v>
      </c>
      <c r="I518" s="10">
        <v>716</v>
      </c>
    </row>
    <row r="519" spans="5:9" x14ac:dyDescent="0.25">
      <c r="E519" t="s">
        <v>43</v>
      </c>
      <c r="F519" t="s">
        <v>62</v>
      </c>
      <c r="G519" s="10">
        <v>99974</v>
      </c>
      <c r="H519" s="11">
        <v>22148</v>
      </c>
      <c r="I519" s="10">
        <v>1456</v>
      </c>
    </row>
    <row r="520" spans="5:9" x14ac:dyDescent="0.25">
      <c r="E520" t="s">
        <v>44</v>
      </c>
      <c r="F520" t="s">
        <v>51</v>
      </c>
      <c r="G520" s="10">
        <v>55228</v>
      </c>
      <c r="H520" s="11">
        <v>15762</v>
      </c>
      <c r="I520" s="10">
        <v>1566</v>
      </c>
    </row>
    <row r="521" spans="5:9" x14ac:dyDescent="0.25">
      <c r="E521" t="s">
        <v>44</v>
      </c>
      <c r="F521" t="s">
        <v>52</v>
      </c>
      <c r="G521" s="10">
        <v>86927</v>
      </c>
      <c r="H521" s="11">
        <v>31406</v>
      </c>
      <c r="I521" s="10">
        <v>1675</v>
      </c>
    </row>
    <row r="522" spans="5:9" x14ac:dyDescent="0.25">
      <c r="E522" t="s">
        <v>44</v>
      </c>
      <c r="F522" t="s">
        <v>53</v>
      </c>
      <c r="G522" s="10">
        <v>11270</v>
      </c>
      <c r="H522" s="11">
        <v>2864</v>
      </c>
      <c r="I522" s="10">
        <v>268</v>
      </c>
    </row>
    <row r="523" spans="5:9" x14ac:dyDescent="0.25">
      <c r="E523" t="s">
        <v>44</v>
      </c>
      <c r="F523" t="s">
        <v>54</v>
      </c>
      <c r="G523" s="10">
        <v>149316</v>
      </c>
      <c r="H523" s="11">
        <v>46107</v>
      </c>
      <c r="I523" s="10">
        <v>887</v>
      </c>
    </row>
    <row r="524" spans="5:9" x14ac:dyDescent="0.25">
      <c r="E524" t="s">
        <v>44</v>
      </c>
      <c r="F524" t="s">
        <v>55</v>
      </c>
      <c r="G524" s="10">
        <v>133071</v>
      </c>
      <c r="H524" s="11">
        <v>32252</v>
      </c>
      <c r="I524" s="10">
        <v>2976</v>
      </c>
    </row>
    <row r="525" spans="5:9" x14ac:dyDescent="0.25">
      <c r="E525" t="s">
        <v>44</v>
      </c>
      <c r="F525" t="s">
        <v>56</v>
      </c>
      <c r="G525" s="10">
        <v>114417</v>
      </c>
      <c r="H525" s="11">
        <v>23662</v>
      </c>
      <c r="I525" s="10">
        <v>203</v>
      </c>
    </row>
    <row r="526" spans="5:9" x14ac:dyDescent="0.25">
      <c r="E526" t="s">
        <v>44</v>
      </c>
      <c r="F526" t="s">
        <v>57</v>
      </c>
      <c r="G526" s="10">
        <v>149954</v>
      </c>
      <c r="H526" s="11">
        <v>46144</v>
      </c>
      <c r="I526" s="10">
        <v>760</v>
      </c>
    </row>
    <row r="527" spans="5:9" x14ac:dyDescent="0.25">
      <c r="E527" t="s">
        <v>44</v>
      </c>
      <c r="F527" t="s">
        <v>58</v>
      </c>
      <c r="G527" s="10">
        <v>22173</v>
      </c>
      <c r="H527" s="11">
        <v>8456</v>
      </c>
      <c r="I527" s="10">
        <v>144</v>
      </c>
    </row>
    <row r="528" spans="5:9" x14ac:dyDescent="0.25">
      <c r="E528" t="s">
        <v>44</v>
      </c>
      <c r="F528" t="s">
        <v>59</v>
      </c>
      <c r="G528" s="10">
        <v>84918</v>
      </c>
      <c r="H528" s="11">
        <v>19964</v>
      </c>
      <c r="I528" s="10">
        <v>1021</v>
      </c>
    </row>
    <row r="529" spans="5:9" x14ac:dyDescent="0.25">
      <c r="E529" t="s">
        <v>44</v>
      </c>
      <c r="F529" t="s">
        <v>60</v>
      </c>
      <c r="G529" s="10">
        <v>61124</v>
      </c>
      <c r="H529" s="11">
        <v>21856</v>
      </c>
      <c r="I529" s="10">
        <v>603</v>
      </c>
    </row>
    <row r="530" spans="5:9" x14ac:dyDescent="0.25">
      <c r="E530" t="s">
        <v>44</v>
      </c>
      <c r="F530" t="s">
        <v>61</v>
      </c>
      <c r="G530" s="10">
        <v>16468</v>
      </c>
      <c r="H530" s="11">
        <v>5386</v>
      </c>
      <c r="I530" s="10">
        <v>474</v>
      </c>
    </row>
    <row r="531" spans="5:9" x14ac:dyDescent="0.25">
      <c r="E531" t="s">
        <v>44</v>
      </c>
      <c r="F531" t="s">
        <v>62</v>
      </c>
      <c r="G531" s="10">
        <v>37819</v>
      </c>
      <c r="H531" s="11">
        <v>12916</v>
      </c>
      <c r="I531" s="10">
        <v>774</v>
      </c>
    </row>
    <row r="532" spans="5:9" x14ac:dyDescent="0.25">
      <c r="E532" t="s">
        <v>45</v>
      </c>
      <c r="F532" t="s">
        <v>51</v>
      </c>
      <c r="G532" s="10">
        <v>42913</v>
      </c>
      <c r="H532" s="11">
        <v>14802</v>
      </c>
      <c r="I532" s="10">
        <v>1251</v>
      </c>
    </row>
    <row r="533" spans="5:9" x14ac:dyDescent="0.25">
      <c r="E533" t="s">
        <v>45</v>
      </c>
      <c r="F533" t="s">
        <v>52</v>
      </c>
      <c r="G533" s="10">
        <v>64160</v>
      </c>
      <c r="H533" s="11">
        <v>22859</v>
      </c>
      <c r="I533" s="10">
        <v>850</v>
      </c>
    </row>
    <row r="534" spans="5:9" x14ac:dyDescent="0.25">
      <c r="E534" t="s">
        <v>45</v>
      </c>
      <c r="F534" t="s">
        <v>53</v>
      </c>
      <c r="G534" s="10">
        <v>115994</v>
      </c>
      <c r="H534" s="11">
        <v>40975</v>
      </c>
      <c r="I534" s="10">
        <v>2500</v>
      </c>
    </row>
    <row r="535" spans="5:9" x14ac:dyDescent="0.25">
      <c r="E535" t="s">
        <v>45</v>
      </c>
      <c r="F535" t="s">
        <v>54</v>
      </c>
      <c r="G535" s="10">
        <v>20979</v>
      </c>
      <c r="H535" s="11">
        <v>7833</v>
      </c>
      <c r="I535" s="10">
        <v>280</v>
      </c>
    </row>
    <row r="536" spans="5:9" x14ac:dyDescent="0.25">
      <c r="E536" t="s">
        <v>45</v>
      </c>
      <c r="F536" t="s">
        <v>55</v>
      </c>
      <c r="G536" s="10">
        <v>84771</v>
      </c>
      <c r="H536" s="11">
        <v>24090</v>
      </c>
      <c r="I536" s="10">
        <v>803</v>
      </c>
    </row>
    <row r="537" spans="5:9" x14ac:dyDescent="0.25">
      <c r="E537" t="s">
        <v>45</v>
      </c>
      <c r="F537" t="s">
        <v>56</v>
      </c>
      <c r="G537" s="10">
        <v>80166</v>
      </c>
      <c r="H537" s="11">
        <v>20754</v>
      </c>
      <c r="I537" s="10">
        <v>1286</v>
      </c>
    </row>
    <row r="538" spans="5:9" x14ac:dyDescent="0.25">
      <c r="E538" t="s">
        <v>45</v>
      </c>
      <c r="F538" t="s">
        <v>57</v>
      </c>
      <c r="G538" s="10">
        <v>22718</v>
      </c>
      <c r="H538" s="11">
        <v>6945</v>
      </c>
      <c r="I538" s="10">
        <v>227</v>
      </c>
    </row>
    <row r="539" spans="5:9" x14ac:dyDescent="0.25">
      <c r="E539" t="s">
        <v>45</v>
      </c>
      <c r="F539" t="s">
        <v>58</v>
      </c>
      <c r="G539" s="10">
        <v>138440</v>
      </c>
      <c r="H539" s="11">
        <v>50215</v>
      </c>
      <c r="I539" s="10">
        <v>4467</v>
      </c>
    </row>
    <row r="540" spans="5:9" x14ac:dyDescent="0.25">
      <c r="E540" t="s">
        <v>45</v>
      </c>
      <c r="F540" t="s">
        <v>59</v>
      </c>
      <c r="G540" s="10">
        <v>16231</v>
      </c>
      <c r="H540" s="11">
        <v>3978</v>
      </c>
      <c r="I540" s="10">
        <v>73</v>
      </c>
    </row>
    <row r="541" spans="5:9" x14ac:dyDescent="0.25">
      <c r="E541" t="s">
        <v>45</v>
      </c>
      <c r="F541" t="s">
        <v>60</v>
      </c>
      <c r="G541" s="10">
        <v>67106</v>
      </c>
      <c r="H541" s="11">
        <v>25502</v>
      </c>
      <c r="I541" s="10">
        <v>2208</v>
      </c>
    </row>
    <row r="542" spans="5:9" x14ac:dyDescent="0.25">
      <c r="E542" t="s">
        <v>45</v>
      </c>
      <c r="F542" t="s">
        <v>61</v>
      </c>
      <c r="G542" s="10">
        <v>146633</v>
      </c>
      <c r="H542" s="11">
        <v>34144</v>
      </c>
      <c r="I542" s="10">
        <v>355</v>
      </c>
    </row>
    <row r="543" spans="5:9" x14ac:dyDescent="0.25">
      <c r="E543" t="s">
        <v>45</v>
      </c>
      <c r="F543" t="s">
        <v>62</v>
      </c>
      <c r="G543" s="10">
        <v>53412</v>
      </c>
      <c r="H543" s="11">
        <v>17831</v>
      </c>
      <c r="I543" s="10">
        <v>1389</v>
      </c>
    </row>
    <row r="544" spans="5:9" x14ac:dyDescent="0.25">
      <c r="E544" t="s">
        <v>46</v>
      </c>
      <c r="F544" t="s">
        <v>51</v>
      </c>
      <c r="G544" s="10">
        <v>135167</v>
      </c>
      <c r="H544" s="11">
        <v>34511</v>
      </c>
      <c r="I544" s="10">
        <v>2147</v>
      </c>
    </row>
    <row r="545" spans="5:9" x14ac:dyDescent="0.25">
      <c r="E545" t="s">
        <v>46</v>
      </c>
      <c r="F545" t="s">
        <v>52</v>
      </c>
      <c r="G545" s="10">
        <v>130692</v>
      </c>
      <c r="H545" s="11">
        <v>40502</v>
      </c>
      <c r="I545" s="10">
        <v>3182</v>
      </c>
    </row>
    <row r="546" spans="5:9" x14ac:dyDescent="0.25">
      <c r="E546" t="s">
        <v>46</v>
      </c>
      <c r="F546" t="s">
        <v>53</v>
      </c>
      <c r="G546" s="10">
        <v>92350</v>
      </c>
      <c r="H546" s="11">
        <v>23923</v>
      </c>
      <c r="I546" s="10">
        <v>146</v>
      </c>
    </row>
    <row r="547" spans="5:9" x14ac:dyDescent="0.25">
      <c r="E547" t="s">
        <v>46</v>
      </c>
      <c r="F547" t="s">
        <v>54</v>
      </c>
      <c r="G547" s="10">
        <v>65995</v>
      </c>
      <c r="H547" s="11">
        <v>20254</v>
      </c>
      <c r="I547" s="10">
        <v>1213</v>
      </c>
    </row>
    <row r="548" spans="5:9" x14ac:dyDescent="0.25">
      <c r="E548" t="s">
        <v>46</v>
      </c>
      <c r="F548" t="s">
        <v>55</v>
      </c>
      <c r="G548" s="10">
        <v>74543</v>
      </c>
      <c r="H548" s="11">
        <v>15085</v>
      </c>
      <c r="I548" s="10">
        <v>1343</v>
      </c>
    </row>
    <row r="549" spans="5:9" x14ac:dyDescent="0.25">
      <c r="E549" t="s">
        <v>46</v>
      </c>
      <c r="F549" t="s">
        <v>56</v>
      </c>
      <c r="G549" s="10">
        <v>109278</v>
      </c>
      <c r="H549" s="11">
        <v>42251</v>
      </c>
      <c r="I549" s="10">
        <v>4218</v>
      </c>
    </row>
    <row r="550" spans="5:9" x14ac:dyDescent="0.25">
      <c r="E550" t="s">
        <v>46</v>
      </c>
      <c r="F550" t="s">
        <v>57</v>
      </c>
      <c r="G550" s="10">
        <v>84384</v>
      </c>
      <c r="H550" s="11">
        <v>28912</v>
      </c>
      <c r="I550" s="10">
        <v>1321</v>
      </c>
    </row>
    <row r="551" spans="5:9" x14ac:dyDescent="0.25">
      <c r="E551" t="s">
        <v>46</v>
      </c>
      <c r="F551" t="s">
        <v>58</v>
      </c>
      <c r="G551" s="10">
        <v>80746</v>
      </c>
      <c r="H551" s="11">
        <v>20361</v>
      </c>
      <c r="I551" s="10">
        <v>1448</v>
      </c>
    </row>
    <row r="552" spans="5:9" x14ac:dyDescent="0.25">
      <c r="E552" t="s">
        <v>46</v>
      </c>
      <c r="F552" t="s">
        <v>59</v>
      </c>
      <c r="G552" s="10">
        <v>93462</v>
      </c>
      <c r="H552" s="11">
        <v>20124</v>
      </c>
      <c r="I552" s="10">
        <v>1112</v>
      </c>
    </row>
    <row r="553" spans="5:9" x14ac:dyDescent="0.25">
      <c r="E553" t="s">
        <v>46</v>
      </c>
      <c r="F553" t="s">
        <v>60</v>
      </c>
      <c r="G553" s="10">
        <v>42056</v>
      </c>
      <c r="H553" s="11">
        <v>10746</v>
      </c>
      <c r="I553" s="10">
        <v>176</v>
      </c>
    </row>
    <row r="554" spans="5:9" x14ac:dyDescent="0.25">
      <c r="E554" t="s">
        <v>46</v>
      </c>
      <c r="F554" t="s">
        <v>61</v>
      </c>
      <c r="G554" s="10">
        <v>84224</v>
      </c>
      <c r="H554" s="11">
        <v>32079</v>
      </c>
      <c r="I554" s="10">
        <v>786</v>
      </c>
    </row>
    <row r="555" spans="5:9" x14ac:dyDescent="0.25">
      <c r="E555" t="s">
        <v>46</v>
      </c>
      <c r="F555" t="s">
        <v>62</v>
      </c>
      <c r="G555" s="10">
        <v>102999</v>
      </c>
      <c r="H555" s="11">
        <v>21612</v>
      </c>
      <c r="I555" s="10">
        <v>577</v>
      </c>
    </row>
    <row r="556" spans="5:9" x14ac:dyDescent="0.25">
      <c r="E556" t="s">
        <v>47</v>
      </c>
      <c r="F556" t="s">
        <v>51</v>
      </c>
      <c r="G556" s="10">
        <v>95453</v>
      </c>
      <c r="H556" s="11">
        <v>25973</v>
      </c>
      <c r="I556" s="10">
        <v>749</v>
      </c>
    </row>
    <row r="557" spans="5:9" x14ac:dyDescent="0.25">
      <c r="E557" t="s">
        <v>47</v>
      </c>
      <c r="F557" t="s">
        <v>52</v>
      </c>
      <c r="G557" s="10">
        <v>83117</v>
      </c>
      <c r="H557" s="11">
        <v>20696</v>
      </c>
      <c r="I557" s="10">
        <v>999</v>
      </c>
    </row>
    <row r="558" spans="5:9" x14ac:dyDescent="0.25">
      <c r="E558" t="s">
        <v>47</v>
      </c>
      <c r="F558" t="s">
        <v>53</v>
      </c>
      <c r="G558" s="10">
        <v>93393</v>
      </c>
      <c r="H558" s="11">
        <v>31559</v>
      </c>
      <c r="I558" s="10">
        <v>1636</v>
      </c>
    </row>
    <row r="559" spans="5:9" x14ac:dyDescent="0.25">
      <c r="E559" t="s">
        <v>47</v>
      </c>
      <c r="F559" t="s">
        <v>54</v>
      </c>
      <c r="G559" s="10">
        <v>59482</v>
      </c>
      <c r="H559" s="11">
        <v>19251</v>
      </c>
      <c r="I559" s="10">
        <v>1292</v>
      </c>
    </row>
    <row r="560" spans="5:9" x14ac:dyDescent="0.25">
      <c r="E560" t="s">
        <v>47</v>
      </c>
      <c r="F560" t="s">
        <v>55</v>
      </c>
      <c r="G560" s="10">
        <v>57212</v>
      </c>
      <c r="H560" s="11">
        <v>16142</v>
      </c>
      <c r="I560" s="10">
        <v>466</v>
      </c>
    </row>
    <row r="561" spans="5:9" x14ac:dyDescent="0.25">
      <c r="E561" t="s">
        <v>47</v>
      </c>
      <c r="F561" t="s">
        <v>56</v>
      </c>
      <c r="G561" s="10">
        <v>32645</v>
      </c>
      <c r="H561" s="11">
        <v>11215</v>
      </c>
      <c r="I561" s="10">
        <v>1044</v>
      </c>
    </row>
    <row r="562" spans="5:9" x14ac:dyDescent="0.25">
      <c r="E562" t="s">
        <v>47</v>
      </c>
      <c r="F562" t="s">
        <v>57</v>
      </c>
      <c r="G562" s="10">
        <v>19538</v>
      </c>
      <c r="H562" s="11">
        <v>7717</v>
      </c>
      <c r="I562" s="10">
        <v>266</v>
      </c>
    </row>
    <row r="563" spans="5:9" x14ac:dyDescent="0.25">
      <c r="E563" t="s">
        <v>47</v>
      </c>
      <c r="F563" t="s">
        <v>58</v>
      </c>
      <c r="G563" s="10">
        <v>105428</v>
      </c>
      <c r="H563" s="11">
        <v>28811</v>
      </c>
      <c r="I563" s="10">
        <v>2175</v>
      </c>
    </row>
    <row r="564" spans="5:9" x14ac:dyDescent="0.25">
      <c r="E564" t="s">
        <v>47</v>
      </c>
      <c r="F564" t="s">
        <v>59</v>
      </c>
      <c r="G564" s="10">
        <v>62302</v>
      </c>
      <c r="H564" s="11">
        <v>16265</v>
      </c>
      <c r="I564" s="10">
        <v>384</v>
      </c>
    </row>
    <row r="565" spans="5:9" x14ac:dyDescent="0.25">
      <c r="E565" t="s">
        <v>47</v>
      </c>
      <c r="F565" t="s">
        <v>60</v>
      </c>
      <c r="G565" s="10">
        <v>107723</v>
      </c>
      <c r="H565" s="11">
        <v>24671</v>
      </c>
      <c r="I565" s="10">
        <v>277</v>
      </c>
    </row>
    <row r="566" spans="5:9" x14ac:dyDescent="0.25">
      <c r="E566" t="s">
        <v>47</v>
      </c>
      <c r="F566" t="s">
        <v>61</v>
      </c>
      <c r="G566" s="10">
        <v>59435</v>
      </c>
      <c r="H566" s="11">
        <v>21374</v>
      </c>
      <c r="I566" s="10">
        <v>812</v>
      </c>
    </row>
    <row r="567" spans="5:9" x14ac:dyDescent="0.25">
      <c r="E567" t="s">
        <v>47</v>
      </c>
      <c r="F567" t="s">
        <v>62</v>
      </c>
      <c r="G567" s="10">
        <v>26999</v>
      </c>
      <c r="H567" s="11">
        <v>6317</v>
      </c>
      <c r="I567" s="10">
        <v>391</v>
      </c>
    </row>
    <row r="568" spans="5:9" x14ac:dyDescent="0.25">
      <c r="E568" t="s">
        <v>48</v>
      </c>
      <c r="F568" t="s">
        <v>51</v>
      </c>
      <c r="G568" s="10">
        <v>114890</v>
      </c>
      <c r="H568" s="11">
        <v>38139</v>
      </c>
      <c r="I568" s="10">
        <v>538</v>
      </c>
    </row>
    <row r="569" spans="5:9" x14ac:dyDescent="0.25">
      <c r="E569" t="s">
        <v>48</v>
      </c>
      <c r="F569" t="s">
        <v>52</v>
      </c>
      <c r="G569" s="10">
        <v>138559</v>
      </c>
      <c r="H569" s="11">
        <v>34885</v>
      </c>
      <c r="I569" s="10">
        <v>1199</v>
      </c>
    </row>
    <row r="570" spans="5:9" x14ac:dyDescent="0.25">
      <c r="E570" t="s">
        <v>48</v>
      </c>
      <c r="F570" t="s">
        <v>53</v>
      </c>
      <c r="G570" s="10">
        <v>45687</v>
      </c>
      <c r="H570" s="11">
        <v>11250</v>
      </c>
      <c r="I570" s="10">
        <v>501</v>
      </c>
    </row>
    <row r="571" spans="5:9" x14ac:dyDescent="0.25">
      <c r="E571" t="s">
        <v>48</v>
      </c>
      <c r="F571" t="s">
        <v>54</v>
      </c>
      <c r="G571" s="10">
        <v>19448</v>
      </c>
      <c r="H571" s="11">
        <v>7073</v>
      </c>
      <c r="I571" s="10">
        <v>34</v>
      </c>
    </row>
    <row r="572" spans="5:9" x14ac:dyDescent="0.25">
      <c r="E572" t="s">
        <v>48</v>
      </c>
      <c r="F572" t="s">
        <v>55</v>
      </c>
      <c r="G572" s="10">
        <v>109714</v>
      </c>
      <c r="H572" s="11">
        <v>42643</v>
      </c>
      <c r="I572" s="10">
        <v>3766</v>
      </c>
    </row>
    <row r="573" spans="5:9" x14ac:dyDescent="0.25">
      <c r="E573" t="s">
        <v>48</v>
      </c>
      <c r="F573" t="s">
        <v>56</v>
      </c>
      <c r="G573" s="10">
        <v>66558</v>
      </c>
      <c r="H573" s="11">
        <v>24906</v>
      </c>
      <c r="I573" s="10">
        <v>1862</v>
      </c>
    </row>
    <row r="574" spans="5:9" x14ac:dyDescent="0.25">
      <c r="E574" t="s">
        <v>48</v>
      </c>
      <c r="F574" t="s">
        <v>57</v>
      </c>
      <c r="G574" s="10">
        <v>40756</v>
      </c>
      <c r="H574" s="11">
        <v>12844</v>
      </c>
      <c r="I574" s="10">
        <v>342</v>
      </c>
    </row>
    <row r="575" spans="5:9" x14ac:dyDescent="0.25">
      <c r="E575" t="s">
        <v>48</v>
      </c>
      <c r="F575" t="s">
        <v>58</v>
      </c>
      <c r="G575" s="10">
        <v>98351</v>
      </c>
      <c r="H575" s="11">
        <v>33275</v>
      </c>
      <c r="I575" s="10">
        <v>384</v>
      </c>
    </row>
    <row r="576" spans="5:9" x14ac:dyDescent="0.25">
      <c r="E576" t="s">
        <v>48</v>
      </c>
      <c r="F576" t="s">
        <v>59</v>
      </c>
      <c r="G576" s="10">
        <v>97214</v>
      </c>
      <c r="H576" s="11">
        <v>20931</v>
      </c>
      <c r="I576" s="10">
        <v>626</v>
      </c>
    </row>
    <row r="577" spans="5:9" x14ac:dyDescent="0.25">
      <c r="E577" t="s">
        <v>48</v>
      </c>
      <c r="F577" t="s">
        <v>60</v>
      </c>
      <c r="G577" s="10">
        <v>126749</v>
      </c>
      <c r="H577" s="11">
        <v>33080</v>
      </c>
      <c r="I577" s="10">
        <v>2749</v>
      </c>
    </row>
    <row r="578" spans="5:9" x14ac:dyDescent="0.25">
      <c r="E578" t="s">
        <v>48</v>
      </c>
      <c r="F578" t="s">
        <v>61</v>
      </c>
      <c r="G578" s="10">
        <v>137444</v>
      </c>
      <c r="H578" s="11">
        <v>46684</v>
      </c>
      <c r="I578" s="10">
        <v>244</v>
      </c>
    </row>
    <row r="579" spans="5:9" x14ac:dyDescent="0.25">
      <c r="E579" t="s">
        <v>48</v>
      </c>
      <c r="F579" t="s">
        <v>62</v>
      </c>
      <c r="G579" s="10">
        <v>92981</v>
      </c>
      <c r="H579" s="11">
        <v>33796</v>
      </c>
      <c r="I579" s="10">
        <v>2908</v>
      </c>
    </row>
    <row r="580" spans="5:9" x14ac:dyDescent="0.25">
      <c r="E580" t="s">
        <v>49</v>
      </c>
      <c r="F580" t="s">
        <v>51</v>
      </c>
      <c r="G580" s="10">
        <v>107207</v>
      </c>
      <c r="H580" s="11">
        <v>24061</v>
      </c>
      <c r="I580" s="10">
        <v>1315</v>
      </c>
    </row>
    <row r="581" spans="5:9" x14ac:dyDescent="0.25">
      <c r="E581" t="s">
        <v>49</v>
      </c>
      <c r="F581" t="s">
        <v>52</v>
      </c>
      <c r="G581" s="10">
        <v>91834</v>
      </c>
      <c r="H581" s="11">
        <v>23241</v>
      </c>
      <c r="I581" s="10">
        <v>1216</v>
      </c>
    </row>
    <row r="582" spans="5:9" x14ac:dyDescent="0.25">
      <c r="E582" t="s">
        <v>49</v>
      </c>
      <c r="F582" t="s">
        <v>53</v>
      </c>
      <c r="G582" s="10">
        <v>95287</v>
      </c>
      <c r="H582" s="11">
        <v>28687</v>
      </c>
      <c r="I582" s="10">
        <v>798</v>
      </c>
    </row>
    <row r="583" spans="5:9" x14ac:dyDescent="0.25">
      <c r="E583" t="s">
        <v>49</v>
      </c>
      <c r="F583" t="s">
        <v>54</v>
      </c>
      <c r="G583" s="10">
        <v>59175</v>
      </c>
      <c r="H583" s="11">
        <v>20643</v>
      </c>
      <c r="I583" s="10">
        <v>1834</v>
      </c>
    </row>
    <row r="584" spans="5:9" x14ac:dyDescent="0.25">
      <c r="E584" t="s">
        <v>49</v>
      </c>
      <c r="F584" t="s">
        <v>55</v>
      </c>
      <c r="G584" s="10">
        <v>74440</v>
      </c>
      <c r="H584" s="11">
        <v>21461</v>
      </c>
      <c r="I584" s="10">
        <v>616</v>
      </c>
    </row>
    <row r="585" spans="5:9" x14ac:dyDescent="0.25">
      <c r="E585" t="s">
        <v>49</v>
      </c>
      <c r="F585" t="s">
        <v>56</v>
      </c>
      <c r="G585" s="10">
        <v>98742</v>
      </c>
      <c r="H585" s="11">
        <v>20448</v>
      </c>
      <c r="I585" s="10">
        <v>1289</v>
      </c>
    </row>
    <row r="586" spans="5:9" x14ac:dyDescent="0.25">
      <c r="E586" t="s">
        <v>49</v>
      </c>
      <c r="F586" t="s">
        <v>57</v>
      </c>
      <c r="G586" s="10">
        <v>115930</v>
      </c>
      <c r="H586" s="11">
        <v>28688</v>
      </c>
      <c r="I586" s="10">
        <v>2270</v>
      </c>
    </row>
    <row r="587" spans="5:9" x14ac:dyDescent="0.25">
      <c r="E587" t="s">
        <v>49</v>
      </c>
      <c r="F587" t="s">
        <v>58</v>
      </c>
      <c r="G587" s="10">
        <v>145060</v>
      </c>
      <c r="H587" s="11">
        <v>56953</v>
      </c>
      <c r="I587" s="10">
        <v>2695</v>
      </c>
    </row>
    <row r="588" spans="5:9" x14ac:dyDescent="0.25">
      <c r="E588" t="s">
        <v>49</v>
      </c>
      <c r="F588" t="s">
        <v>59</v>
      </c>
      <c r="G588" s="10">
        <v>104632</v>
      </c>
      <c r="H588" s="11">
        <v>27777</v>
      </c>
      <c r="I588" s="10">
        <v>598</v>
      </c>
    </row>
    <row r="589" spans="5:9" x14ac:dyDescent="0.25">
      <c r="E589" t="s">
        <v>49</v>
      </c>
      <c r="F589" t="s">
        <v>60</v>
      </c>
      <c r="G589" s="10">
        <v>60266</v>
      </c>
      <c r="H589" s="11">
        <v>19660</v>
      </c>
      <c r="I589" s="10">
        <v>182</v>
      </c>
    </row>
    <row r="590" spans="5:9" x14ac:dyDescent="0.25">
      <c r="E590" t="s">
        <v>49</v>
      </c>
      <c r="F590" t="s">
        <v>61</v>
      </c>
      <c r="G590" s="10">
        <v>35116</v>
      </c>
      <c r="H590" s="11">
        <v>8339</v>
      </c>
      <c r="I590" s="10">
        <v>252</v>
      </c>
    </row>
    <row r="591" spans="5:9" x14ac:dyDescent="0.25">
      <c r="E591" t="s">
        <v>49</v>
      </c>
      <c r="F591" t="s">
        <v>62</v>
      </c>
      <c r="G591" s="10">
        <v>43089</v>
      </c>
      <c r="H591" s="11">
        <v>9025</v>
      </c>
      <c r="I591" s="10">
        <v>111</v>
      </c>
    </row>
    <row r="592" spans="5:9" x14ac:dyDescent="0.25">
      <c r="E592" t="s">
        <v>50</v>
      </c>
      <c r="F592" t="s">
        <v>51</v>
      </c>
      <c r="G592" s="10">
        <v>29288</v>
      </c>
      <c r="H592" s="11">
        <v>8789</v>
      </c>
      <c r="I592" s="10">
        <v>272</v>
      </c>
    </row>
    <row r="593" spans="5:9" x14ac:dyDescent="0.25">
      <c r="E593" t="s">
        <v>50</v>
      </c>
      <c r="F593" t="s">
        <v>52</v>
      </c>
      <c r="G593" s="10">
        <v>101957</v>
      </c>
      <c r="H593" s="11">
        <v>23113</v>
      </c>
      <c r="I593" s="10">
        <v>1041</v>
      </c>
    </row>
    <row r="594" spans="5:9" x14ac:dyDescent="0.25">
      <c r="E594" t="s">
        <v>50</v>
      </c>
      <c r="F594" t="s">
        <v>53</v>
      </c>
      <c r="G594" s="10">
        <v>53672</v>
      </c>
      <c r="H594" s="11">
        <v>13943</v>
      </c>
      <c r="I594" s="10">
        <v>1175</v>
      </c>
    </row>
    <row r="595" spans="5:9" x14ac:dyDescent="0.25">
      <c r="E595" t="s">
        <v>50</v>
      </c>
      <c r="F595" t="s">
        <v>54</v>
      </c>
      <c r="G595" s="10">
        <v>87730</v>
      </c>
      <c r="H595" s="11">
        <v>30906</v>
      </c>
      <c r="I595" s="10">
        <v>1874</v>
      </c>
    </row>
    <row r="596" spans="5:9" x14ac:dyDescent="0.25">
      <c r="E596" t="s">
        <v>50</v>
      </c>
      <c r="F596" t="s">
        <v>55</v>
      </c>
      <c r="G596" s="10">
        <v>97704</v>
      </c>
      <c r="H596" s="11">
        <v>23506</v>
      </c>
      <c r="I596" s="10">
        <v>1775</v>
      </c>
    </row>
    <row r="597" spans="5:9" x14ac:dyDescent="0.25">
      <c r="E597" t="s">
        <v>50</v>
      </c>
      <c r="F597" t="s">
        <v>56</v>
      </c>
      <c r="G597" s="10">
        <v>64126</v>
      </c>
      <c r="H597" s="11">
        <v>13720</v>
      </c>
      <c r="I597" s="10">
        <v>197</v>
      </c>
    </row>
    <row r="598" spans="5:9" x14ac:dyDescent="0.25">
      <c r="E598" t="s">
        <v>50</v>
      </c>
      <c r="F598" t="s">
        <v>57</v>
      </c>
      <c r="G598" s="10">
        <v>25263</v>
      </c>
      <c r="H598" s="11">
        <v>5975</v>
      </c>
      <c r="I598" s="10">
        <v>59</v>
      </c>
    </row>
    <row r="599" spans="5:9" x14ac:dyDescent="0.25">
      <c r="E599" t="s">
        <v>50</v>
      </c>
      <c r="F599" t="s">
        <v>58</v>
      </c>
      <c r="G599" s="10">
        <v>149678</v>
      </c>
      <c r="H599" s="11">
        <v>50863</v>
      </c>
      <c r="I599" s="10">
        <v>4108</v>
      </c>
    </row>
    <row r="600" spans="5:9" x14ac:dyDescent="0.25">
      <c r="E600" t="s">
        <v>50</v>
      </c>
      <c r="F600" t="s">
        <v>59</v>
      </c>
      <c r="G600" s="10">
        <v>41018</v>
      </c>
      <c r="H600" s="11">
        <v>16264</v>
      </c>
      <c r="I600" s="10">
        <v>301</v>
      </c>
    </row>
    <row r="601" spans="5:9" x14ac:dyDescent="0.25">
      <c r="E601" t="s">
        <v>50</v>
      </c>
      <c r="F601" t="s">
        <v>60</v>
      </c>
      <c r="G601" s="10">
        <v>82181</v>
      </c>
      <c r="H601" s="11">
        <v>22842</v>
      </c>
      <c r="I601" s="10">
        <v>335</v>
      </c>
    </row>
    <row r="602" spans="5:9" x14ac:dyDescent="0.25">
      <c r="E602" t="s">
        <v>50</v>
      </c>
      <c r="F602" t="s">
        <v>61</v>
      </c>
      <c r="G602" s="10">
        <v>74731</v>
      </c>
      <c r="H602" s="11">
        <v>27231</v>
      </c>
      <c r="I602" s="10">
        <v>1600</v>
      </c>
    </row>
    <row r="603" spans="5:9" ht="15.75" thickBot="1" x14ac:dyDescent="0.3">
      <c r="E603" t="s">
        <v>50</v>
      </c>
      <c r="F603" s="8" t="s">
        <v>62</v>
      </c>
      <c r="G603" s="12">
        <v>41678</v>
      </c>
      <c r="H603" s="13">
        <v>8794</v>
      </c>
      <c r="I603" s="12">
        <v>27</v>
      </c>
    </row>
  </sheetData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5AB5-2DEB-4352-A709-0FA3516B615B}">
  <dimension ref="A7:L7"/>
  <sheetViews>
    <sheetView showGridLines="0" workbookViewId="0">
      <selection activeCell="G21" sqref="G21"/>
    </sheetView>
  </sheetViews>
  <sheetFormatPr defaultRowHeight="15" x14ac:dyDescent="0.25"/>
  <cols>
    <col min="1" max="1" width="3.375" style="3" customWidth="1"/>
    <col min="2" max="2" width="5.125" style="3" customWidth="1"/>
    <col min="3" max="3" width="9.375" customWidth="1"/>
  </cols>
  <sheetData>
    <row r="7" spans="4:12" x14ac:dyDescent="0.25">
      <c r="D7" s="5" t="s">
        <v>0</v>
      </c>
      <c r="E7" s="4"/>
      <c r="F7" s="4"/>
      <c r="G7" s="4"/>
      <c r="H7" s="4"/>
      <c r="I7" s="4"/>
      <c r="J7" s="4"/>
      <c r="K7" s="4"/>
      <c r="L7" s="4"/>
    </row>
  </sheetData>
  <hyperlinks>
    <hyperlink ref="D7" r:id="rId1" display="Синтаксис и применение функций даты и время из официального источника" xr:uid="{D17CFD40-8FB7-4BBD-8461-660396C6CE0A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57693B-4ABE-4C86-A927-EB6D336652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Тема урока</vt:lpstr>
      <vt:lpstr>Выполнить</vt:lpstr>
      <vt:lpstr>Отчет</vt:lpstr>
      <vt:lpstr>Справка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Alikperov</dc:creator>
  <cp:lastModifiedBy>user</cp:lastModifiedBy>
  <dcterms:created xsi:type="dcterms:W3CDTF">2024-08-24T22:17:11Z</dcterms:created>
  <dcterms:modified xsi:type="dcterms:W3CDTF">2026-03-29T15:48:57Z</dcterms:modified>
</cp:coreProperties>
</file>