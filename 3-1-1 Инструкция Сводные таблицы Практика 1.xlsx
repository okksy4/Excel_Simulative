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5B641EE2-E0B5-4302-8CE1-FD66FD7DEDAB}" xr6:coauthVersionLast="37" xr6:coauthVersionMax="47" xr10:uidLastSave="{00000000-0000-0000-0000-000000000000}"/>
  <bookViews>
    <workbookView xWindow="0" yWindow="0" windowWidth="17745" windowHeight="12435" tabRatio="737" activeTab="1" xr2:uid="{BE275577-B430-4DCB-AA1E-9DF443D9D709}"/>
  </bookViews>
  <sheets>
    <sheet name="Тема урока" sheetId="16" r:id="rId1"/>
    <sheet name="Выполнить" sheetId="17" r:id="rId2"/>
    <sheet name="Продажи_отчет" sheetId="21" r:id="rId3"/>
    <sheet name="Продажи" sheetId="22" state="hidden" r:id="rId4"/>
    <sheet name="Справка" sheetId="3" r:id="rId5"/>
  </sheets>
  <definedNames>
    <definedName name="_xlnm._FilterDatabase" localSheetId="3" hidden="1">Продажи!$E$8:$N$2004</definedName>
    <definedName name="_xlnm._FilterDatabase" localSheetId="2" hidden="1">Продажи_отчет!$E$8:$K$1006</definedName>
    <definedName name="пр_тип">Продажи_отчет!$E$8:$K$2004</definedName>
    <definedName name="Срез_Gender">#N/A</definedName>
    <definedName name="Срез_Годы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2" l="1"/>
  <c r="M3" i="22"/>
  <c r="Q4" i="22" a="1"/>
  <c r="Q4" i="22" s="1"/>
  <c r="Q3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N575" i="22"/>
  <c r="N576" i="22"/>
  <c r="N577" i="22"/>
  <c r="N578" i="22"/>
  <c r="N579" i="22"/>
  <c r="N580" i="22"/>
  <c r="N581" i="22"/>
  <c r="N582" i="22"/>
  <c r="N583" i="22"/>
  <c r="N584" i="22"/>
  <c r="N585" i="22"/>
  <c r="N586" i="22"/>
  <c r="N587" i="22"/>
  <c r="N588" i="22"/>
  <c r="N589" i="22"/>
  <c r="N590" i="22"/>
  <c r="N591" i="22"/>
  <c r="N592" i="22"/>
  <c r="N593" i="22"/>
  <c r="N594" i="22"/>
  <c r="N595" i="22"/>
  <c r="N596" i="22"/>
  <c r="N597" i="22"/>
  <c r="N598" i="22"/>
  <c r="N599" i="22"/>
  <c r="N600" i="22"/>
  <c r="N601" i="22"/>
  <c r="N602" i="22"/>
  <c r="N603" i="22"/>
  <c r="N604" i="22"/>
  <c r="N605" i="22"/>
  <c r="N606" i="22"/>
  <c r="N607" i="22"/>
  <c r="N608" i="22"/>
  <c r="N609" i="22"/>
  <c r="N610" i="22"/>
  <c r="N611" i="22"/>
  <c r="N612" i="22"/>
  <c r="N613" i="22"/>
  <c r="N614" i="22"/>
  <c r="N615" i="22"/>
  <c r="N616" i="22"/>
  <c r="N617" i="22"/>
  <c r="N618" i="22"/>
  <c r="N619" i="22"/>
  <c r="N620" i="22"/>
  <c r="N621" i="22"/>
  <c r="N622" i="22"/>
  <c r="N623" i="22"/>
  <c r="N624" i="22"/>
  <c r="N625" i="22"/>
  <c r="N626" i="22"/>
  <c r="N627" i="22"/>
  <c r="N628" i="22"/>
  <c r="N629" i="22"/>
  <c r="N630" i="22"/>
  <c r="N631" i="22"/>
  <c r="N632" i="22"/>
  <c r="N633" i="22"/>
  <c r="N634" i="22"/>
  <c r="N635" i="22"/>
  <c r="N636" i="22"/>
  <c r="N637" i="22"/>
  <c r="N638" i="22"/>
  <c r="N639" i="22"/>
  <c r="N640" i="22"/>
  <c r="N641" i="22"/>
  <c r="N642" i="22"/>
  <c r="N643" i="22"/>
  <c r="N644" i="22"/>
  <c r="N645" i="22"/>
  <c r="N646" i="22"/>
  <c r="N647" i="22"/>
  <c r="N648" i="22"/>
  <c r="N649" i="22"/>
  <c r="N650" i="22"/>
  <c r="N651" i="22"/>
  <c r="N652" i="22"/>
  <c r="N653" i="22"/>
  <c r="N654" i="22"/>
  <c r="N655" i="22"/>
  <c r="N656" i="22"/>
  <c r="N657" i="22"/>
  <c r="N658" i="22"/>
  <c r="N659" i="22"/>
  <c r="N660" i="22"/>
  <c r="N661" i="22"/>
  <c r="N662" i="22"/>
  <c r="N663" i="22"/>
  <c r="N664" i="22"/>
  <c r="N665" i="22"/>
  <c r="N666" i="22"/>
  <c r="N667" i="22"/>
  <c r="N668" i="22"/>
  <c r="N669" i="22"/>
  <c r="N670" i="22"/>
  <c r="N671" i="22"/>
  <c r="N672" i="22"/>
  <c r="N673" i="22"/>
  <c r="N674" i="22"/>
  <c r="N675" i="22"/>
  <c r="N676" i="22"/>
  <c r="N677" i="22"/>
  <c r="N678" i="22"/>
  <c r="N679" i="22"/>
  <c r="N680" i="22"/>
  <c r="N681" i="22"/>
  <c r="N682" i="22"/>
  <c r="N683" i="22"/>
  <c r="N684" i="22"/>
  <c r="N685" i="22"/>
  <c r="N686" i="22"/>
  <c r="N687" i="22"/>
  <c r="N688" i="22"/>
  <c r="N689" i="22"/>
  <c r="N690" i="22"/>
  <c r="N691" i="22"/>
  <c r="N692" i="22"/>
  <c r="N693" i="22"/>
  <c r="N694" i="22"/>
  <c r="N695" i="22"/>
  <c r="N696" i="22"/>
  <c r="N697" i="22"/>
  <c r="N698" i="22"/>
  <c r="N699" i="22"/>
  <c r="N700" i="22"/>
  <c r="N701" i="22"/>
  <c r="N702" i="22"/>
  <c r="N703" i="22"/>
  <c r="N704" i="22"/>
  <c r="N705" i="22"/>
  <c r="N706" i="22"/>
  <c r="N707" i="22"/>
  <c r="N708" i="22"/>
  <c r="N709" i="22"/>
  <c r="N710" i="22"/>
  <c r="N711" i="22"/>
  <c r="N712" i="22"/>
  <c r="N713" i="22"/>
  <c r="N714" i="22"/>
  <c r="N715" i="22"/>
  <c r="N716" i="22"/>
  <c r="N717" i="22"/>
  <c r="N718" i="22"/>
  <c r="N719" i="22"/>
  <c r="N720" i="22"/>
  <c r="N721" i="22"/>
  <c r="N722" i="22"/>
  <c r="N723" i="22"/>
  <c r="N724" i="22"/>
  <c r="N725" i="22"/>
  <c r="N726" i="22"/>
  <c r="N727" i="22"/>
  <c r="N728" i="22"/>
  <c r="N729" i="22"/>
  <c r="N730" i="22"/>
  <c r="N731" i="22"/>
  <c r="N732" i="22"/>
  <c r="N733" i="22"/>
  <c r="N734" i="22"/>
  <c r="N735" i="22"/>
  <c r="N736" i="22"/>
  <c r="N737" i="22"/>
  <c r="N738" i="22"/>
  <c r="N739" i="22"/>
  <c r="N740" i="22"/>
  <c r="N741" i="22"/>
  <c r="N742" i="22"/>
  <c r="N743" i="22"/>
  <c r="N744" i="22"/>
  <c r="N745" i="22"/>
  <c r="N746" i="22"/>
  <c r="N747" i="22"/>
  <c r="N748" i="22"/>
  <c r="N749" i="22"/>
  <c r="N750" i="22"/>
  <c r="N751" i="22"/>
  <c r="N752" i="22"/>
  <c r="N753" i="22"/>
  <c r="N754" i="22"/>
  <c r="N755" i="22"/>
  <c r="N756" i="22"/>
  <c r="N757" i="22"/>
  <c r="N758" i="22"/>
  <c r="N759" i="22"/>
  <c r="N760" i="22"/>
  <c r="N761" i="22"/>
  <c r="N762" i="22"/>
  <c r="N763" i="22"/>
  <c r="N764" i="22"/>
  <c r="N765" i="22"/>
  <c r="N766" i="22"/>
  <c r="N767" i="22"/>
  <c r="N768" i="22"/>
  <c r="N769" i="22"/>
  <c r="N770" i="22"/>
  <c r="N771" i="22"/>
  <c r="N772" i="22"/>
  <c r="N773" i="22"/>
  <c r="N774" i="22"/>
  <c r="N775" i="22"/>
  <c r="N776" i="22"/>
  <c r="N777" i="22"/>
  <c r="N778" i="22"/>
  <c r="N779" i="22"/>
  <c r="N780" i="22"/>
  <c r="N781" i="22"/>
  <c r="N782" i="22"/>
  <c r="N783" i="22"/>
  <c r="N784" i="22"/>
  <c r="N785" i="22"/>
  <c r="N786" i="22"/>
  <c r="N787" i="22"/>
  <c r="N788" i="22"/>
  <c r="N789" i="22"/>
  <c r="N790" i="22"/>
  <c r="N791" i="22"/>
  <c r="N792" i="22"/>
  <c r="N793" i="22"/>
  <c r="N794" i="22"/>
  <c r="N795" i="22"/>
  <c r="N796" i="22"/>
  <c r="N797" i="22"/>
  <c r="N798" i="22"/>
  <c r="N799" i="22"/>
  <c r="N800" i="22"/>
  <c r="N801" i="22"/>
  <c r="N802" i="22"/>
  <c r="N803" i="22"/>
  <c r="N804" i="22"/>
  <c r="N805" i="22"/>
  <c r="N806" i="22"/>
  <c r="N807" i="22"/>
  <c r="N808" i="22"/>
  <c r="N809" i="22"/>
  <c r="N810" i="22"/>
  <c r="N811" i="22"/>
  <c r="N812" i="22"/>
  <c r="N813" i="22"/>
  <c r="N814" i="22"/>
  <c r="N815" i="22"/>
  <c r="N816" i="22"/>
  <c r="N817" i="22"/>
  <c r="N818" i="22"/>
  <c r="N819" i="22"/>
  <c r="N820" i="22"/>
  <c r="N821" i="22"/>
  <c r="N822" i="22"/>
  <c r="N823" i="22"/>
  <c r="N824" i="22"/>
  <c r="N825" i="22"/>
  <c r="N826" i="22"/>
  <c r="N827" i="22"/>
  <c r="N828" i="22"/>
  <c r="N829" i="22"/>
  <c r="N830" i="22"/>
  <c r="N831" i="22"/>
  <c r="N832" i="22"/>
  <c r="N833" i="22"/>
  <c r="N834" i="22"/>
  <c r="N835" i="22"/>
  <c r="N836" i="22"/>
  <c r="N837" i="22"/>
  <c r="N838" i="22"/>
  <c r="N839" i="22"/>
  <c r="N840" i="22"/>
  <c r="N841" i="22"/>
  <c r="N842" i="22"/>
  <c r="N843" i="22"/>
  <c r="N844" i="22"/>
  <c r="N845" i="22"/>
  <c r="N846" i="22"/>
  <c r="N847" i="22"/>
  <c r="N848" i="22"/>
  <c r="N849" i="22"/>
  <c r="N850" i="22"/>
  <c r="N851" i="22"/>
  <c r="N852" i="22"/>
  <c r="N853" i="22"/>
  <c r="N854" i="22"/>
  <c r="N855" i="22"/>
  <c r="N856" i="22"/>
  <c r="N857" i="22"/>
  <c r="N858" i="22"/>
  <c r="N859" i="22"/>
  <c r="N860" i="22"/>
  <c r="N861" i="22"/>
  <c r="N862" i="22"/>
  <c r="N863" i="22"/>
  <c r="N864" i="22"/>
  <c r="N865" i="22"/>
  <c r="N866" i="22"/>
  <c r="N867" i="22"/>
  <c r="N868" i="22"/>
  <c r="N869" i="22"/>
  <c r="N870" i="22"/>
  <c r="N871" i="22"/>
  <c r="N872" i="22"/>
  <c r="N873" i="22"/>
  <c r="N874" i="22"/>
  <c r="N875" i="22"/>
  <c r="N876" i="22"/>
  <c r="N877" i="22"/>
  <c r="N878" i="22"/>
  <c r="N879" i="22"/>
  <c r="N880" i="22"/>
  <c r="N881" i="22"/>
  <c r="N882" i="22"/>
  <c r="N883" i="22"/>
  <c r="N884" i="22"/>
  <c r="N885" i="22"/>
  <c r="N886" i="22"/>
  <c r="N887" i="22"/>
  <c r="N888" i="22"/>
  <c r="N889" i="22"/>
  <c r="N890" i="22"/>
  <c r="N891" i="22"/>
  <c r="N892" i="22"/>
  <c r="N893" i="22"/>
  <c r="N894" i="22"/>
  <c r="N895" i="22"/>
  <c r="N896" i="22"/>
  <c r="N897" i="22"/>
  <c r="N898" i="22"/>
  <c r="N899" i="22"/>
  <c r="N900" i="22"/>
  <c r="N901" i="22"/>
  <c r="N902" i="22"/>
  <c r="N903" i="22"/>
  <c r="N904" i="22"/>
  <c r="N905" i="22"/>
  <c r="N906" i="22"/>
  <c r="N907" i="22"/>
  <c r="N908" i="22"/>
  <c r="N909" i="22"/>
  <c r="N910" i="22"/>
  <c r="N911" i="22"/>
  <c r="N912" i="22"/>
  <c r="N913" i="22"/>
  <c r="N914" i="22"/>
  <c r="N915" i="22"/>
  <c r="N916" i="22"/>
  <c r="N917" i="22"/>
  <c r="N918" i="22"/>
  <c r="N919" i="22"/>
  <c r="N920" i="22"/>
  <c r="N921" i="22"/>
  <c r="N922" i="22"/>
  <c r="N923" i="22"/>
  <c r="N924" i="22"/>
  <c r="N925" i="22"/>
  <c r="N926" i="22"/>
  <c r="N927" i="22"/>
  <c r="N928" i="22"/>
  <c r="N929" i="22"/>
  <c r="N930" i="22"/>
  <c r="N931" i="22"/>
  <c r="N932" i="22"/>
  <c r="N933" i="22"/>
  <c r="N934" i="22"/>
  <c r="N935" i="22"/>
  <c r="N936" i="22"/>
  <c r="N937" i="22"/>
  <c r="N938" i="22"/>
  <c r="N939" i="22"/>
  <c r="N940" i="22"/>
  <c r="N941" i="22"/>
  <c r="N942" i="22"/>
  <c r="N943" i="22"/>
  <c r="N944" i="22"/>
  <c r="N945" i="22"/>
  <c r="N946" i="22"/>
  <c r="N947" i="22"/>
  <c r="N948" i="22"/>
  <c r="N949" i="22"/>
  <c r="N950" i="22"/>
  <c r="N951" i="22"/>
  <c r="N952" i="22"/>
  <c r="N953" i="22"/>
  <c r="N954" i="22"/>
  <c r="N955" i="22"/>
  <c r="N956" i="22"/>
  <c r="N957" i="22"/>
  <c r="N958" i="22"/>
  <c r="N959" i="22"/>
  <c r="N960" i="22"/>
  <c r="N961" i="22"/>
  <c r="N962" i="22"/>
  <c r="N963" i="22"/>
  <c r="N964" i="22"/>
  <c r="N965" i="22"/>
  <c r="N966" i="22"/>
  <c r="N967" i="22"/>
  <c r="N968" i="22"/>
  <c r="N969" i="22"/>
  <c r="N970" i="22"/>
  <c r="N971" i="22"/>
  <c r="N972" i="22"/>
  <c r="N973" i="22"/>
  <c r="N974" i="22"/>
  <c r="N975" i="22"/>
  <c r="N976" i="22"/>
  <c r="N977" i="22"/>
  <c r="N978" i="22"/>
  <c r="N979" i="22"/>
  <c r="N980" i="22"/>
  <c r="N981" i="22"/>
  <c r="N982" i="22"/>
  <c r="N983" i="22"/>
  <c r="N984" i="22"/>
  <c r="N985" i="22"/>
  <c r="N986" i="22"/>
  <c r="N987" i="22"/>
  <c r="N988" i="22"/>
  <c r="N989" i="22"/>
  <c r="N990" i="22"/>
  <c r="N991" i="22"/>
  <c r="N992" i="22"/>
  <c r="N993" i="22"/>
  <c r="N994" i="22"/>
  <c r="N995" i="22"/>
  <c r="N996" i="22"/>
  <c r="N997" i="22"/>
  <c r="N998" i="22"/>
  <c r="N999" i="22"/>
  <c r="N1000" i="22"/>
  <c r="N1001" i="22"/>
  <c r="N1002" i="22"/>
  <c r="N1003" i="22"/>
  <c r="N1004" i="22"/>
  <c r="N1005" i="22"/>
  <c r="N1006" i="22"/>
  <c r="N1007" i="22"/>
  <c r="N1008" i="22"/>
  <c r="N1009" i="22"/>
  <c r="N1010" i="22"/>
  <c r="N1011" i="22"/>
  <c r="N1012" i="22"/>
  <c r="N1013" i="22"/>
  <c r="N1014" i="22"/>
  <c r="N1015" i="22"/>
  <c r="N1016" i="22"/>
  <c r="N1017" i="22"/>
  <c r="N1018" i="22"/>
  <c r="N1019" i="22"/>
  <c r="N1020" i="22"/>
  <c r="N1021" i="22"/>
  <c r="N1022" i="22"/>
  <c r="N1023" i="22"/>
  <c r="N1024" i="22"/>
  <c r="N1025" i="22"/>
  <c r="N1026" i="22"/>
  <c r="N1027" i="22"/>
  <c r="N1028" i="22"/>
  <c r="N1029" i="22"/>
  <c r="N1030" i="22"/>
  <c r="N1031" i="22"/>
  <c r="N1032" i="22"/>
  <c r="N1033" i="22"/>
  <c r="N1034" i="22"/>
  <c r="N1035" i="22"/>
  <c r="N1036" i="22"/>
  <c r="N1037" i="22"/>
  <c r="N1038" i="22"/>
  <c r="N1039" i="22"/>
  <c r="N1040" i="22"/>
  <c r="N1041" i="22"/>
  <c r="N1042" i="22"/>
  <c r="N1043" i="22"/>
  <c r="N1044" i="22"/>
  <c r="N1045" i="22"/>
  <c r="N1046" i="22"/>
  <c r="N1047" i="22"/>
  <c r="N1048" i="22"/>
  <c r="N1049" i="22"/>
  <c r="N1050" i="22"/>
  <c r="N1051" i="22"/>
  <c r="N1052" i="22"/>
  <c r="N1053" i="22"/>
  <c r="N1054" i="22"/>
  <c r="N1055" i="22"/>
  <c r="N1056" i="22"/>
  <c r="N1057" i="22"/>
  <c r="N1058" i="22"/>
  <c r="N1059" i="22"/>
  <c r="N1060" i="22"/>
  <c r="N1061" i="22"/>
  <c r="N1062" i="22"/>
  <c r="N1063" i="22"/>
  <c r="N1064" i="22"/>
  <c r="N1065" i="22"/>
  <c r="N1066" i="22"/>
  <c r="N1067" i="22"/>
  <c r="N1068" i="22"/>
  <c r="N1069" i="22"/>
  <c r="N1070" i="22"/>
  <c r="N1071" i="22"/>
  <c r="N1072" i="22"/>
  <c r="N1073" i="22"/>
  <c r="N1074" i="22"/>
  <c r="N1075" i="22"/>
  <c r="N1076" i="22"/>
  <c r="N1077" i="22"/>
  <c r="N1078" i="22"/>
  <c r="N1079" i="22"/>
  <c r="N1080" i="22"/>
  <c r="N1081" i="22"/>
  <c r="N1082" i="22"/>
  <c r="N1083" i="22"/>
  <c r="N1084" i="22"/>
  <c r="N1085" i="22"/>
  <c r="N1086" i="22"/>
  <c r="N1087" i="22"/>
  <c r="N1088" i="22"/>
  <c r="N1089" i="22"/>
  <c r="N1090" i="22"/>
  <c r="N1091" i="22"/>
  <c r="N1092" i="22"/>
  <c r="N1093" i="22"/>
  <c r="N1094" i="22"/>
  <c r="N1095" i="22"/>
  <c r="N1096" i="22"/>
  <c r="N1097" i="22"/>
  <c r="N1098" i="22"/>
  <c r="N1099" i="22"/>
  <c r="N1100" i="22"/>
  <c r="N1101" i="22"/>
  <c r="N1102" i="22"/>
  <c r="N1103" i="22"/>
  <c r="N1104" i="22"/>
  <c r="N1105" i="22"/>
  <c r="N1106" i="22"/>
  <c r="N1107" i="22"/>
  <c r="N1108" i="22"/>
  <c r="N1109" i="22"/>
  <c r="N1110" i="22"/>
  <c r="N1111" i="22"/>
  <c r="N1112" i="22"/>
  <c r="N1113" i="22"/>
  <c r="N1114" i="22"/>
  <c r="N1115" i="22"/>
  <c r="N1116" i="22"/>
  <c r="N1117" i="22"/>
  <c r="N1118" i="22"/>
  <c r="N1119" i="22"/>
  <c r="N1120" i="22"/>
  <c r="N1121" i="22"/>
  <c r="N1122" i="22"/>
  <c r="N1123" i="22"/>
  <c r="N1124" i="22"/>
  <c r="N1125" i="22"/>
  <c r="N1126" i="22"/>
  <c r="N1127" i="22"/>
  <c r="N1128" i="22"/>
  <c r="N1129" i="22"/>
  <c r="N1130" i="22"/>
  <c r="N1131" i="22"/>
  <c r="N1132" i="22"/>
  <c r="N1133" i="22"/>
  <c r="N1134" i="22"/>
  <c r="N1135" i="22"/>
  <c r="N1136" i="22"/>
  <c r="N1137" i="22"/>
  <c r="N1138" i="22"/>
  <c r="N1139" i="22"/>
  <c r="N1140" i="22"/>
  <c r="N1141" i="22"/>
  <c r="N1142" i="22"/>
  <c r="N1143" i="22"/>
  <c r="N1144" i="22"/>
  <c r="N1145" i="22"/>
  <c r="N1146" i="22"/>
  <c r="N1147" i="22"/>
  <c r="N1148" i="22"/>
  <c r="N1149" i="22"/>
  <c r="N1150" i="22"/>
  <c r="N1151" i="22"/>
  <c r="N1152" i="22"/>
  <c r="N1153" i="22"/>
  <c r="N1154" i="22"/>
  <c r="N1155" i="22"/>
  <c r="N1156" i="22"/>
  <c r="N1157" i="22"/>
  <c r="N1158" i="22"/>
  <c r="N1159" i="22"/>
  <c r="N1160" i="22"/>
  <c r="N1161" i="22"/>
  <c r="N1162" i="22"/>
  <c r="N1163" i="22"/>
  <c r="N1164" i="22"/>
  <c r="N1165" i="22"/>
  <c r="N1166" i="22"/>
  <c r="N1167" i="22"/>
  <c r="N1168" i="22"/>
  <c r="N1169" i="22"/>
  <c r="N1170" i="22"/>
  <c r="N1171" i="22"/>
  <c r="N1172" i="22"/>
  <c r="N1173" i="22"/>
  <c r="N1174" i="22"/>
  <c r="N1175" i="22"/>
  <c r="N1176" i="22"/>
  <c r="N1177" i="22"/>
  <c r="N1178" i="22"/>
  <c r="N1179" i="22"/>
  <c r="N1180" i="22"/>
  <c r="N1181" i="22"/>
  <c r="N1182" i="22"/>
  <c r="N1183" i="22"/>
  <c r="N1184" i="22"/>
  <c r="N1185" i="22"/>
  <c r="N1186" i="22"/>
  <c r="N1187" i="22"/>
  <c r="N1188" i="22"/>
  <c r="N1189" i="22"/>
  <c r="N1190" i="22"/>
  <c r="N1191" i="22"/>
  <c r="N1192" i="22"/>
  <c r="N1193" i="22"/>
  <c r="N1194" i="22"/>
  <c r="N1195" i="22"/>
  <c r="N1196" i="22"/>
  <c r="N1197" i="22"/>
  <c r="N1198" i="22"/>
  <c r="N1199" i="22"/>
  <c r="N1200" i="22"/>
  <c r="N1201" i="22"/>
  <c r="N1202" i="22"/>
  <c r="N1203" i="22"/>
  <c r="N1204" i="22"/>
  <c r="N1205" i="22"/>
  <c r="N1206" i="22"/>
  <c r="N1207" i="22"/>
  <c r="N1208" i="22"/>
  <c r="N1209" i="22"/>
  <c r="N1210" i="22"/>
  <c r="N1211" i="22"/>
  <c r="N1212" i="22"/>
  <c r="N1213" i="22"/>
  <c r="N1214" i="22"/>
  <c r="N1215" i="22"/>
  <c r="N1216" i="22"/>
  <c r="N1217" i="22"/>
  <c r="N1218" i="22"/>
  <c r="N1219" i="22"/>
  <c r="N1220" i="22"/>
  <c r="N1221" i="22"/>
  <c r="N1222" i="22"/>
  <c r="N1223" i="22"/>
  <c r="N1224" i="22"/>
  <c r="N1225" i="22"/>
  <c r="N1226" i="22"/>
  <c r="N1227" i="22"/>
  <c r="N1228" i="22"/>
  <c r="N1229" i="22"/>
  <c r="N1230" i="22"/>
  <c r="N1231" i="22"/>
  <c r="N1232" i="22"/>
  <c r="N1233" i="22"/>
  <c r="N1234" i="22"/>
  <c r="N1235" i="22"/>
  <c r="N1236" i="22"/>
  <c r="N1237" i="22"/>
  <c r="N1238" i="22"/>
  <c r="N1239" i="22"/>
  <c r="N1240" i="22"/>
  <c r="N1241" i="22"/>
  <c r="N1242" i="22"/>
  <c r="N1243" i="22"/>
  <c r="N1244" i="22"/>
  <c r="N1245" i="22"/>
  <c r="N1246" i="22"/>
  <c r="N1247" i="22"/>
  <c r="N1248" i="22"/>
  <c r="N1249" i="22"/>
  <c r="N1250" i="22"/>
  <c r="N1251" i="22"/>
  <c r="N1252" i="22"/>
  <c r="N1253" i="22"/>
  <c r="N1254" i="22"/>
  <c r="N1255" i="22"/>
  <c r="N1256" i="22"/>
  <c r="N1257" i="22"/>
  <c r="N1258" i="22"/>
  <c r="N1259" i="22"/>
  <c r="N1260" i="22"/>
  <c r="N1261" i="22"/>
  <c r="N1262" i="22"/>
  <c r="N1263" i="22"/>
  <c r="N1264" i="22"/>
  <c r="N1265" i="22"/>
  <c r="N1266" i="22"/>
  <c r="N1267" i="22"/>
  <c r="N1268" i="22"/>
  <c r="N1269" i="22"/>
  <c r="N1270" i="22"/>
  <c r="N1271" i="22"/>
  <c r="N1272" i="22"/>
  <c r="N1273" i="22"/>
  <c r="N1274" i="22"/>
  <c r="N1275" i="22"/>
  <c r="N1276" i="22"/>
  <c r="N1277" i="22"/>
  <c r="N1278" i="22"/>
  <c r="N1279" i="22"/>
  <c r="N1280" i="22"/>
  <c r="N1281" i="22"/>
  <c r="N1282" i="22"/>
  <c r="N1283" i="22"/>
  <c r="N1284" i="22"/>
  <c r="N1285" i="22"/>
  <c r="N1286" i="22"/>
  <c r="N1287" i="22"/>
  <c r="N1288" i="22"/>
  <c r="N1289" i="22"/>
  <c r="N1290" i="22"/>
  <c r="N1291" i="22"/>
  <c r="N1292" i="22"/>
  <c r="N1293" i="22"/>
  <c r="N1294" i="22"/>
  <c r="N1295" i="22"/>
  <c r="N1296" i="22"/>
  <c r="N1297" i="22"/>
  <c r="N1298" i="22"/>
  <c r="N1299" i="22"/>
  <c r="N1300" i="22"/>
  <c r="N1301" i="22"/>
  <c r="N1302" i="22"/>
  <c r="N1303" i="22"/>
  <c r="N1304" i="22"/>
  <c r="N1305" i="22"/>
  <c r="N1306" i="22"/>
  <c r="N1307" i="22"/>
  <c r="N1308" i="22"/>
  <c r="N1309" i="22"/>
  <c r="N1310" i="22"/>
  <c r="N1311" i="22"/>
  <c r="N1312" i="22"/>
  <c r="N1313" i="22"/>
  <c r="N1314" i="22"/>
  <c r="N1315" i="22"/>
  <c r="N1316" i="22"/>
  <c r="N1317" i="22"/>
  <c r="N1318" i="22"/>
  <c r="N1319" i="22"/>
  <c r="N1320" i="22"/>
  <c r="N1321" i="22"/>
  <c r="N1322" i="22"/>
  <c r="N1323" i="22"/>
  <c r="N1324" i="22"/>
  <c r="N1325" i="22"/>
  <c r="N1326" i="22"/>
  <c r="N1327" i="22"/>
  <c r="N1328" i="22"/>
  <c r="N1329" i="22"/>
  <c r="N1330" i="22"/>
  <c r="N1331" i="22"/>
  <c r="N1332" i="22"/>
  <c r="N1333" i="22"/>
  <c r="N1334" i="22"/>
  <c r="N1335" i="22"/>
  <c r="N1336" i="22"/>
  <c r="N1337" i="22"/>
  <c r="N1338" i="22"/>
  <c r="N1339" i="22"/>
  <c r="N1340" i="22"/>
  <c r="N1341" i="22"/>
  <c r="N1342" i="22"/>
  <c r="N1343" i="22"/>
  <c r="N1344" i="22"/>
  <c r="N1345" i="22"/>
  <c r="N1346" i="22"/>
  <c r="N1347" i="22"/>
  <c r="N1348" i="22"/>
  <c r="N1349" i="22"/>
  <c r="N1350" i="22"/>
  <c r="N1351" i="22"/>
  <c r="N1352" i="22"/>
  <c r="N1353" i="22"/>
  <c r="N1354" i="22"/>
  <c r="N1355" i="22"/>
  <c r="N1356" i="22"/>
  <c r="N1357" i="22"/>
  <c r="N1358" i="22"/>
  <c r="N1359" i="22"/>
  <c r="N1360" i="22"/>
  <c r="N1361" i="22"/>
  <c r="N1362" i="22"/>
  <c r="N1363" i="22"/>
  <c r="N1364" i="22"/>
  <c r="N1365" i="22"/>
  <c r="N1366" i="22"/>
  <c r="N1367" i="22"/>
  <c r="N1368" i="22"/>
  <c r="N1369" i="22"/>
  <c r="N1370" i="22"/>
  <c r="N1371" i="22"/>
  <c r="N1372" i="22"/>
  <c r="N1373" i="22"/>
  <c r="N1374" i="22"/>
  <c r="N1375" i="22"/>
  <c r="N1376" i="22"/>
  <c r="N1377" i="22"/>
  <c r="N1378" i="22"/>
  <c r="N1379" i="22"/>
  <c r="N1380" i="22"/>
  <c r="N1381" i="22"/>
  <c r="N1382" i="22"/>
  <c r="N1383" i="22"/>
  <c r="N1384" i="22"/>
  <c r="N1385" i="22"/>
  <c r="N1386" i="22"/>
  <c r="N1387" i="22"/>
  <c r="N1388" i="22"/>
  <c r="N1389" i="22"/>
  <c r="N1390" i="22"/>
  <c r="N1391" i="22"/>
  <c r="N1392" i="22"/>
  <c r="N1393" i="22"/>
  <c r="N1394" i="22"/>
  <c r="N1395" i="22"/>
  <c r="N1396" i="22"/>
  <c r="N1397" i="22"/>
  <c r="N1398" i="22"/>
  <c r="N1399" i="22"/>
  <c r="N1400" i="22"/>
  <c r="N1401" i="22"/>
  <c r="N1402" i="22"/>
  <c r="N1403" i="22"/>
  <c r="N1404" i="22"/>
  <c r="N1405" i="22"/>
  <c r="N1406" i="22"/>
  <c r="N1407" i="22"/>
  <c r="N1408" i="22"/>
  <c r="N1409" i="22"/>
  <c r="N1410" i="22"/>
  <c r="N1411" i="22"/>
  <c r="N1412" i="22"/>
  <c r="N1413" i="22"/>
  <c r="N1414" i="22"/>
  <c r="N1415" i="22"/>
  <c r="N1416" i="22"/>
  <c r="N1417" i="22"/>
  <c r="N1418" i="22"/>
  <c r="N1419" i="22"/>
  <c r="N1420" i="22"/>
  <c r="N1421" i="22"/>
  <c r="N1422" i="22"/>
  <c r="N1423" i="22"/>
  <c r="N1424" i="22"/>
  <c r="N1425" i="22"/>
  <c r="N1426" i="22"/>
  <c r="N1427" i="22"/>
  <c r="N1428" i="22"/>
  <c r="N1429" i="22"/>
  <c r="N1430" i="22"/>
  <c r="N1431" i="22"/>
  <c r="N1432" i="22"/>
  <c r="N1433" i="22"/>
  <c r="N1434" i="22"/>
  <c r="N1435" i="22"/>
  <c r="N1436" i="22"/>
  <c r="N1437" i="22"/>
  <c r="N1438" i="22"/>
  <c r="N1439" i="22"/>
  <c r="N1440" i="22"/>
  <c r="N1441" i="22"/>
  <c r="N1442" i="22"/>
  <c r="N1443" i="22"/>
  <c r="N1444" i="22"/>
  <c r="N1445" i="22"/>
  <c r="N1446" i="22"/>
  <c r="N1447" i="22"/>
  <c r="N1448" i="22"/>
  <c r="N1449" i="22"/>
  <c r="N1450" i="22"/>
  <c r="N1451" i="22"/>
  <c r="N1452" i="22"/>
  <c r="N1453" i="22"/>
  <c r="N1454" i="22"/>
  <c r="N1455" i="22"/>
  <c r="N1456" i="22"/>
  <c r="N1457" i="22"/>
  <c r="N1458" i="22"/>
  <c r="N1459" i="22"/>
  <c r="N1460" i="22"/>
  <c r="N1461" i="22"/>
  <c r="N1462" i="22"/>
  <c r="N1463" i="22"/>
  <c r="N1464" i="22"/>
  <c r="N1465" i="22"/>
  <c r="N1466" i="22"/>
  <c r="N1467" i="22"/>
  <c r="N1468" i="22"/>
  <c r="N1469" i="22"/>
  <c r="N1470" i="22"/>
  <c r="N1471" i="22"/>
  <c r="N1472" i="22"/>
  <c r="N1473" i="22"/>
  <c r="N1474" i="22"/>
  <c r="N1475" i="22"/>
  <c r="N1476" i="22"/>
  <c r="N1477" i="22"/>
  <c r="N1478" i="22"/>
  <c r="N1479" i="22"/>
  <c r="N1480" i="22"/>
  <c r="N1481" i="22"/>
  <c r="N1482" i="22"/>
  <c r="N1483" i="22"/>
  <c r="N1484" i="22"/>
  <c r="N1485" i="22"/>
  <c r="N1486" i="22"/>
  <c r="N1487" i="22"/>
  <c r="N1488" i="22"/>
  <c r="N1489" i="22"/>
  <c r="N1490" i="22"/>
  <c r="N1491" i="22"/>
  <c r="N1492" i="22"/>
  <c r="N1493" i="22"/>
  <c r="N1494" i="22"/>
  <c r="N1495" i="22"/>
  <c r="N1496" i="22"/>
  <c r="N1497" i="22"/>
  <c r="N1498" i="22"/>
  <c r="N1499" i="22"/>
  <c r="N1500" i="22"/>
  <c r="N1501" i="22"/>
  <c r="N1502" i="22"/>
  <c r="N1503" i="22"/>
  <c r="N1504" i="22"/>
  <c r="N1505" i="22"/>
  <c r="N1506" i="22"/>
  <c r="N1507" i="22"/>
  <c r="N1508" i="22"/>
  <c r="N1509" i="22"/>
  <c r="N1510" i="22"/>
  <c r="N1511" i="22"/>
  <c r="N1512" i="22"/>
  <c r="N1513" i="22"/>
  <c r="N1514" i="22"/>
  <c r="N1515" i="22"/>
  <c r="N1516" i="22"/>
  <c r="N1517" i="22"/>
  <c r="N1518" i="22"/>
  <c r="N1519" i="22"/>
  <c r="N1520" i="22"/>
  <c r="N1521" i="22"/>
  <c r="N1522" i="22"/>
  <c r="N1523" i="22"/>
  <c r="N1524" i="22"/>
  <c r="N1525" i="22"/>
  <c r="N1526" i="22"/>
  <c r="N1527" i="22"/>
  <c r="N1528" i="22"/>
  <c r="N1529" i="22"/>
  <c r="N1530" i="22"/>
  <c r="N1531" i="22"/>
  <c r="N1532" i="22"/>
  <c r="N1533" i="22"/>
  <c r="N1534" i="22"/>
  <c r="N1535" i="22"/>
  <c r="N1536" i="22"/>
  <c r="N1537" i="22"/>
  <c r="N1538" i="22"/>
  <c r="N1539" i="22"/>
  <c r="N1540" i="22"/>
  <c r="N1541" i="22"/>
  <c r="N1542" i="22"/>
  <c r="N1543" i="22"/>
  <c r="N1544" i="22"/>
  <c r="N1545" i="22"/>
  <c r="N1546" i="22"/>
  <c r="N1547" i="22"/>
  <c r="N1548" i="22"/>
  <c r="N1549" i="22"/>
  <c r="N1550" i="22"/>
  <c r="N1551" i="22"/>
  <c r="N1552" i="22"/>
  <c r="N1553" i="22"/>
  <c r="N1554" i="22"/>
  <c r="N1555" i="22"/>
  <c r="N1556" i="22"/>
  <c r="N1557" i="22"/>
  <c r="N1558" i="22"/>
  <c r="N1559" i="22"/>
  <c r="N1560" i="22"/>
  <c r="N1561" i="22"/>
  <c r="N1562" i="22"/>
  <c r="N1563" i="22"/>
  <c r="N1564" i="22"/>
  <c r="N1565" i="22"/>
  <c r="N1566" i="22"/>
  <c r="N1567" i="22"/>
  <c r="N1568" i="22"/>
  <c r="N1569" i="22"/>
  <c r="N1570" i="22"/>
  <c r="N1571" i="22"/>
  <c r="N1572" i="22"/>
  <c r="N1573" i="22"/>
  <c r="N1574" i="22"/>
  <c r="N1575" i="22"/>
  <c r="N1576" i="22"/>
  <c r="N1577" i="22"/>
  <c r="N1578" i="22"/>
  <c r="N1579" i="22"/>
  <c r="N1580" i="22"/>
  <c r="N1581" i="22"/>
  <c r="N1582" i="22"/>
  <c r="N1583" i="22"/>
  <c r="N1584" i="22"/>
  <c r="N1585" i="22"/>
  <c r="N1586" i="22"/>
  <c r="N1587" i="22"/>
  <c r="N1588" i="22"/>
  <c r="N1589" i="22"/>
  <c r="N1590" i="22"/>
  <c r="N1591" i="22"/>
  <c r="N1592" i="22"/>
  <c r="N1593" i="22"/>
  <c r="N1594" i="22"/>
  <c r="N1595" i="22"/>
  <c r="N1596" i="22"/>
  <c r="N1597" i="22"/>
  <c r="N1598" i="22"/>
  <c r="N1599" i="22"/>
  <c r="N1600" i="22"/>
  <c r="N1601" i="22"/>
  <c r="N1602" i="22"/>
  <c r="N1603" i="22"/>
  <c r="N1604" i="22"/>
  <c r="N1605" i="22"/>
  <c r="N1606" i="22"/>
  <c r="N1607" i="22"/>
  <c r="N1608" i="22"/>
  <c r="N1609" i="22"/>
  <c r="N1610" i="22"/>
  <c r="N1611" i="22"/>
  <c r="N1612" i="22"/>
  <c r="N1613" i="22"/>
  <c r="N1614" i="22"/>
  <c r="N1615" i="22"/>
  <c r="N1616" i="22"/>
  <c r="N1617" i="22"/>
  <c r="N1618" i="22"/>
  <c r="N1619" i="22"/>
  <c r="N1620" i="22"/>
  <c r="N1621" i="22"/>
  <c r="N1622" i="22"/>
  <c r="N1623" i="22"/>
  <c r="N1624" i="22"/>
  <c r="N1625" i="22"/>
  <c r="N1626" i="22"/>
  <c r="N1627" i="22"/>
  <c r="N1628" i="22"/>
  <c r="N1629" i="22"/>
  <c r="N1630" i="22"/>
  <c r="N1631" i="22"/>
  <c r="N1632" i="22"/>
  <c r="N1633" i="22"/>
  <c r="N1634" i="22"/>
  <c r="N1635" i="22"/>
  <c r="N1636" i="22"/>
  <c r="N1637" i="22"/>
  <c r="N1638" i="22"/>
  <c r="N1639" i="22"/>
  <c r="N1640" i="22"/>
  <c r="N1641" i="22"/>
  <c r="N1642" i="22"/>
  <c r="N1643" i="22"/>
  <c r="N1644" i="22"/>
  <c r="N1645" i="22"/>
  <c r="N1646" i="22"/>
  <c r="N1647" i="22"/>
  <c r="N1648" i="22"/>
  <c r="N1649" i="22"/>
  <c r="N1650" i="22"/>
  <c r="N1651" i="22"/>
  <c r="N1652" i="22"/>
  <c r="N1653" i="22"/>
  <c r="N1654" i="22"/>
  <c r="N1655" i="22"/>
  <c r="N1656" i="22"/>
  <c r="N1657" i="22"/>
  <c r="N1658" i="22"/>
  <c r="N1659" i="22"/>
  <c r="N1660" i="22"/>
  <c r="N1661" i="22"/>
  <c r="N1662" i="22"/>
  <c r="N1663" i="22"/>
  <c r="N1664" i="22"/>
  <c r="N1665" i="22"/>
  <c r="N1666" i="22"/>
  <c r="N1667" i="22"/>
  <c r="N1668" i="22"/>
  <c r="N1669" i="22"/>
  <c r="N1670" i="22"/>
  <c r="N1671" i="22"/>
  <c r="N1672" i="22"/>
  <c r="N1673" i="22"/>
  <c r="N1674" i="22"/>
  <c r="N1675" i="22"/>
  <c r="N1676" i="22"/>
  <c r="N1677" i="22"/>
  <c r="N1678" i="22"/>
  <c r="N1679" i="22"/>
  <c r="N1680" i="22"/>
  <c r="N1681" i="22"/>
  <c r="N1682" i="22"/>
  <c r="N1683" i="22"/>
  <c r="N1684" i="22"/>
  <c r="N1685" i="22"/>
  <c r="N1686" i="22"/>
  <c r="N1687" i="22"/>
  <c r="N1688" i="22"/>
  <c r="N1689" i="22"/>
  <c r="N1690" i="22"/>
  <c r="N1691" i="22"/>
  <c r="N1692" i="22"/>
  <c r="N1693" i="22"/>
  <c r="N1694" i="22"/>
  <c r="N1695" i="22"/>
  <c r="N1696" i="22"/>
  <c r="N1697" i="22"/>
  <c r="N1698" i="22"/>
  <c r="N1699" i="22"/>
  <c r="N1700" i="22"/>
  <c r="N1701" i="22"/>
  <c r="N1702" i="22"/>
  <c r="N1703" i="22"/>
  <c r="N1704" i="22"/>
  <c r="N1705" i="22"/>
  <c r="N1706" i="22"/>
  <c r="N1707" i="22"/>
  <c r="N1708" i="22"/>
  <c r="N1709" i="22"/>
  <c r="N1710" i="22"/>
  <c r="N1711" i="22"/>
  <c r="N1712" i="22"/>
  <c r="N1713" i="22"/>
  <c r="N1714" i="22"/>
  <c r="N1715" i="22"/>
  <c r="N1716" i="22"/>
  <c r="N1717" i="22"/>
  <c r="N1718" i="22"/>
  <c r="N1719" i="22"/>
  <c r="N1720" i="22"/>
  <c r="N1721" i="22"/>
  <c r="N1722" i="22"/>
  <c r="N1723" i="22"/>
  <c r="N1724" i="22"/>
  <c r="N1725" i="22"/>
  <c r="N1726" i="22"/>
  <c r="N1727" i="22"/>
  <c r="N1728" i="22"/>
  <c r="N1729" i="22"/>
  <c r="N1730" i="22"/>
  <c r="N1731" i="22"/>
  <c r="N1732" i="22"/>
  <c r="N1733" i="22"/>
  <c r="N1734" i="22"/>
  <c r="N1735" i="22"/>
  <c r="N1736" i="22"/>
  <c r="N1737" i="22"/>
  <c r="N1738" i="22"/>
  <c r="N1739" i="22"/>
  <c r="N1740" i="22"/>
  <c r="N1741" i="22"/>
  <c r="N1742" i="22"/>
  <c r="N1743" i="22"/>
  <c r="N1744" i="22"/>
  <c r="N1745" i="22"/>
  <c r="N1746" i="22"/>
  <c r="N1747" i="22"/>
  <c r="N1748" i="22"/>
  <c r="N1749" i="22"/>
  <c r="N1750" i="22"/>
  <c r="N1751" i="22"/>
  <c r="N1752" i="22"/>
  <c r="N1753" i="22"/>
  <c r="N1754" i="22"/>
  <c r="N1755" i="22"/>
  <c r="N1756" i="22"/>
  <c r="N1757" i="22"/>
  <c r="N1758" i="22"/>
  <c r="N1759" i="22"/>
  <c r="N1760" i="22"/>
  <c r="N1761" i="22"/>
  <c r="N1762" i="22"/>
  <c r="N1763" i="22"/>
  <c r="N1764" i="22"/>
  <c r="N1765" i="22"/>
  <c r="N1766" i="22"/>
  <c r="N1767" i="22"/>
  <c r="N1768" i="22"/>
  <c r="N1769" i="22"/>
  <c r="N1770" i="22"/>
  <c r="N1771" i="22"/>
  <c r="N1772" i="22"/>
  <c r="N1773" i="22"/>
  <c r="N1774" i="22"/>
  <c r="N1775" i="22"/>
  <c r="N1776" i="22"/>
  <c r="N1777" i="22"/>
  <c r="N1778" i="22"/>
  <c r="N1779" i="22"/>
  <c r="N1780" i="22"/>
  <c r="N1781" i="22"/>
  <c r="N1782" i="22"/>
  <c r="N1783" i="22"/>
  <c r="N1784" i="22"/>
  <c r="N1785" i="22"/>
  <c r="N1786" i="22"/>
  <c r="N1787" i="22"/>
  <c r="N1788" i="22"/>
  <c r="N1789" i="22"/>
  <c r="N1790" i="22"/>
  <c r="N1791" i="22"/>
  <c r="N1792" i="22"/>
  <c r="N1793" i="22"/>
  <c r="N1794" i="22"/>
  <c r="N1795" i="22"/>
  <c r="N1796" i="22"/>
  <c r="N1797" i="22"/>
  <c r="N1798" i="22"/>
  <c r="N1799" i="22"/>
  <c r="N1800" i="22"/>
  <c r="N1801" i="22"/>
  <c r="N1802" i="22"/>
  <c r="N1803" i="22"/>
  <c r="N1804" i="22"/>
  <c r="N1805" i="22"/>
  <c r="N1806" i="22"/>
  <c r="N1807" i="22"/>
  <c r="N1808" i="22"/>
  <c r="N1809" i="22"/>
  <c r="N1810" i="22"/>
  <c r="N1811" i="22"/>
  <c r="N1812" i="22"/>
  <c r="N1813" i="22"/>
  <c r="N1814" i="22"/>
  <c r="N1815" i="22"/>
  <c r="N1816" i="22"/>
  <c r="N1817" i="22"/>
  <c r="N1818" i="22"/>
  <c r="N1819" i="22"/>
  <c r="N1820" i="22"/>
  <c r="N1821" i="22"/>
  <c r="N1822" i="22"/>
  <c r="N1823" i="22"/>
  <c r="N1824" i="22"/>
  <c r="N1825" i="22"/>
  <c r="N1826" i="22"/>
  <c r="N1827" i="22"/>
  <c r="N1828" i="22"/>
  <c r="N1829" i="22"/>
  <c r="N1830" i="22"/>
  <c r="N1831" i="22"/>
  <c r="N1832" i="22"/>
  <c r="N1833" i="22"/>
  <c r="N1834" i="22"/>
  <c r="N1835" i="22"/>
  <c r="N1836" i="22"/>
  <c r="N1837" i="22"/>
  <c r="N1838" i="22"/>
  <c r="N1839" i="22"/>
  <c r="N1840" i="22"/>
  <c r="N1841" i="22"/>
  <c r="N1842" i="22"/>
  <c r="N1843" i="22"/>
  <c r="N1844" i="22"/>
  <c r="N1845" i="22"/>
  <c r="N1846" i="22"/>
  <c r="N1847" i="22"/>
  <c r="N1848" i="22"/>
  <c r="N1849" i="22"/>
  <c r="N1850" i="22"/>
  <c r="N1851" i="22"/>
  <c r="N1852" i="22"/>
  <c r="N1853" i="22"/>
  <c r="N1854" i="22"/>
  <c r="N1855" i="22"/>
  <c r="N1856" i="22"/>
  <c r="N1857" i="22"/>
  <c r="N1858" i="22"/>
  <c r="N1859" i="22"/>
  <c r="N1860" i="22"/>
  <c r="N1861" i="22"/>
  <c r="N1862" i="22"/>
  <c r="N1863" i="22"/>
  <c r="N1864" i="22"/>
  <c r="N1865" i="22"/>
  <c r="N1866" i="22"/>
  <c r="N1867" i="22"/>
  <c r="N1868" i="22"/>
  <c r="N1869" i="22"/>
  <c r="N1870" i="22"/>
  <c r="N1871" i="22"/>
  <c r="N1872" i="22"/>
  <c r="N1873" i="22"/>
  <c r="N1874" i="22"/>
  <c r="N1875" i="22"/>
  <c r="N1876" i="22"/>
  <c r="N1877" i="22"/>
  <c r="N1878" i="22"/>
  <c r="N1879" i="22"/>
  <c r="N1880" i="22"/>
  <c r="N1881" i="22"/>
  <c r="N1882" i="22"/>
  <c r="N1883" i="22"/>
  <c r="N1884" i="22"/>
  <c r="N1885" i="22"/>
  <c r="N1886" i="22"/>
  <c r="N1887" i="22"/>
  <c r="N1888" i="22"/>
  <c r="N1889" i="22"/>
  <c r="N1890" i="22"/>
  <c r="N1891" i="22"/>
  <c r="N1892" i="22"/>
  <c r="N1893" i="22"/>
  <c r="N1894" i="22"/>
  <c r="N1895" i="22"/>
  <c r="N1896" i="22"/>
  <c r="N1897" i="22"/>
  <c r="N1898" i="22"/>
  <c r="N1899" i="22"/>
  <c r="N1900" i="22"/>
  <c r="N1901" i="22"/>
  <c r="N1902" i="22"/>
  <c r="N1903" i="22"/>
  <c r="N1904" i="22"/>
  <c r="N1905" i="22"/>
  <c r="N1906" i="22"/>
  <c r="N1907" i="22"/>
  <c r="N1908" i="22"/>
  <c r="N1909" i="22"/>
  <c r="N1910" i="22"/>
  <c r="N1911" i="22"/>
  <c r="N1912" i="22"/>
  <c r="N1913" i="22"/>
  <c r="N1914" i="22"/>
  <c r="N1915" i="22"/>
  <c r="N1916" i="22"/>
  <c r="N1917" i="22"/>
  <c r="N1918" i="22"/>
  <c r="N1919" i="22"/>
  <c r="N1920" i="22"/>
  <c r="N1921" i="22"/>
  <c r="N1922" i="22"/>
  <c r="N1923" i="22"/>
  <c r="N1924" i="22"/>
  <c r="N1925" i="22"/>
  <c r="N1926" i="22"/>
  <c r="N1927" i="22"/>
  <c r="N1928" i="22"/>
  <c r="N1929" i="22"/>
  <c r="N1930" i="22"/>
  <c r="N1931" i="22"/>
  <c r="N1932" i="22"/>
  <c r="N1933" i="22"/>
  <c r="N1934" i="22"/>
  <c r="N1935" i="22"/>
  <c r="N1936" i="22"/>
  <c r="N1937" i="22"/>
  <c r="N1938" i="22"/>
  <c r="N1939" i="22"/>
  <c r="N1940" i="22"/>
  <c r="N1941" i="22"/>
  <c r="N1942" i="22"/>
  <c r="N1943" i="22"/>
  <c r="N1944" i="22"/>
  <c r="N1945" i="22"/>
  <c r="N1946" i="22"/>
  <c r="N1947" i="22"/>
  <c r="N1948" i="22"/>
  <c r="N1949" i="22"/>
  <c r="N1950" i="22"/>
  <c r="N1951" i="22"/>
  <c r="N1952" i="22"/>
  <c r="N1953" i="22"/>
  <c r="N1954" i="22"/>
  <c r="N1955" i="22"/>
  <c r="N1956" i="22"/>
  <c r="N1957" i="22"/>
  <c r="N1958" i="22"/>
  <c r="N1959" i="22"/>
  <c r="N1960" i="22"/>
  <c r="N1961" i="22"/>
  <c r="N1962" i="22"/>
  <c r="N1963" i="22"/>
  <c r="N1964" i="22"/>
  <c r="N1965" i="22"/>
  <c r="N1966" i="22"/>
  <c r="N1967" i="22"/>
  <c r="N1968" i="22"/>
  <c r="N1969" i="22"/>
  <c r="N1970" i="22"/>
  <c r="N1971" i="22"/>
  <c r="N1972" i="22"/>
  <c r="N1973" i="22"/>
  <c r="N1974" i="22"/>
  <c r="N1975" i="22"/>
  <c r="N1976" i="22"/>
  <c r="N1977" i="22"/>
  <c r="N1978" i="22"/>
  <c r="N1979" i="22"/>
  <c r="N1980" i="22"/>
  <c r="N1981" i="22"/>
  <c r="N1982" i="22"/>
  <c r="N1983" i="22"/>
  <c r="N1984" i="22"/>
  <c r="N1985" i="22"/>
  <c r="N1986" i="22"/>
  <c r="N1987" i="22"/>
  <c r="N1988" i="22"/>
  <c r="N1989" i="22"/>
  <c r="N1990" i="22"/>
  <c r="N1991" i="22"/>
  <c r="N1992" i="22"/>
  <c r="N1993" i="22"/>
  <c r="N1994" i="22"/>
  <c r="N1995" i="22"/>
  <c r="N1996" i="22"/>
  <c r="N1997" i="22"/>
  <c r="N1998" i="22"/>
  <c r="N1999" i="22"/>
  <c r="N2000" i="22"/>
  <c r="N2001" i="22"/>
  <c r="N2002" i="22"/>
  <c r="N2003" i="22"/>
  <c r="N2004" i="22"/>
  <c r="N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588" i="22"/>
  <c r="H589" i="22"/>
  <c r="H590" i="22"/>
  <c r="H591" i="22"/>
  <c r="H592" i="22"/>
  <c r="H593" i="22"/>
  <c r="H594" i="22"/>
  <c r="H595" i="22"/>
  <c r="H596" i="22"/>
  <c r="H597" i="22"/>
  <c r="H598" i="22"/>
  <c r="H599" i="22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H644" i="22"/>
  <c r="H645" i="22"/>
  <c r="H646" i="22"/>
  <c r="H647" i="22"/>
  <c r="H648" i="22"/>
  <c r="H649" i="22"/>
  <c r="H650" i="22"/>
  <c r="H651" i="22"/>
  <c r="H652" i="22"/>
  <c r="H653" i="22"/>
  <c r="H654" i="22"/>
  <c r="H655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78" i="22"/>
  <c r="H879" i="22"/>
  <c r="H880" i="22"/>
  <c r="H881" i="22"/>
  <c r="H882" i="22"/>
  <c r="H883" i="22"/>
  <c r="H884" i="22"/>
  <c r="H885" i="22"/>
  <c r="H886" i="22"/>
  <c r="H887" i="22"/>
  <c r="H888" i="22"/>
  <c r="H889" i="22"/>
  <c r="H890" i="22"/>
  <c r="H891" i="22"/>
  <c r="H892" i="22"/>
  <c r="H893" i="22"/>
  <c r="H894" i="22"/>
  <c r="H895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H969" i="22"/>
  <c r="H970" i="22"/>
  <c r="H971" i="22"/>
  <c r="H972" i="22"/>
  <c r="H973" i="22"/>
  <c r="H974" i="22"/>
  <c r="H975" i="22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1046" i="22"/>
  <c r="H1047" i="22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H1060" i="22"/>
  <c r="H1061" i="22"/>
  <c r="H1062" i="22"/>
  <c r="H1063" i="22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H1124" i="22"/>
  <c r="H1125" i="22"/>
  <c r="H1126" i="22"/>
  <c r="H1127" i="22"/>
  <c r="H1128" i="22"/>
  <c r="H1129" i="22"/>
  <c r="H1130" i="22"/>
  <c r="H1131" i="22"/>
  <c r="H1132" i="22"/>
  <c r="H1133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46" i="22"/>
  <c r="H1147" i="22"/>
  <c r="H1148" i="22"/>
  <c r="H1149" i="22"/>
  <c r="H1150" i="22"/>
  <c r="H1151" i="22"/>
  <c r="H1152" i="22"/>
  <c r="H1153" i="22"/>
  <c r="H1154" i="22"/>
  <c r="H1155" i="22"/>
  <c r="H1156" i="22"/>
  <c r="H1157" i="22"/>
  <c r="H1158" i="22"/>
  <c r="H1159" i="22"/>
  <c r="H1160" i="22"/>
  <c r="H1161" i="22"/>
  <c r="H1162" i="22"/>
  <c r="H1163" i="22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H1187" i="22"/>
  <c r="H1188" i="22"/>
  <c r="H1189" i="22"/>
  <c r="H1190" i="22"/>
  <c r="H1191" i="22"/>
  <c r="H1192" i="22"/>
  <c r="H1193" i="22"/>
  <c r="H1194" i="22"/>
  <c r="H1195" i="22"/>
  <c r="H1196" i="22"/>
  <c r="H1197" i="22"/>
  <c r="H1198" i="22"/>
  <c r="H1199" i="22"/>
  <c r="H1200" i="22"/>
  <c r="H1201" i="22"/>
  <c r="H1202" i="22"/>
  <c r="H1203" i="22"/>
  <c r="H1204" i="22"/>
  <c r="H1205" i="22"/>
  <c r="H1206" i="22"/>
  <c r="H1207" i="22"/>
  <c r="H1208" i="22"/>
  <c r="H1209" i="22"/>
  <c r="H1210" i="22"/>
  <c r="H1211" i="22"/>
  <c r="H1212" i="22"/>
  <c r="H1213" i="22"/>
  <c r="H1214" i="22"/>
  <c r="H1215" i="22"/>
  <c r="H1216" i="22"/>
  <c r="H1217" i="22"/>
  <c r="H1218" i="22"/>
  <c r="H1219" i="22"/>
  <c r="H1220" i="22"/>
  <c r="H1221" i="22"/>
  <c r="H1222" i="22"/>
  <c r="H1223" i="22"/>
  <c r="H1224" i="22"/>
  <c r="H1225" i="22"/>
  <c r="H1226" i="22"/>
  <c r="H1227" i="22"/>
  <c r="H1228" i="22"/>
  <c r="H1229" i="22"/>
  <c r="H1230" i="22"/>
  <c r="H1231" i="22"/>
  <c r="H1232" i="22"/>
  <c r="H1233" i="22"/>
  <c r="H1234" i="22"/>
  <c r="H1235" i="22"/>
  <c r="H1236" i="22"/>
  <c r="H1237" i="22"/>
  <c r="H1238" i="22"/>
  <c r="H1239" i="22"/>
  <c r="H1240" i="22"/>
  <c r="H1241" i="22"/>
  <c r="H1242" i="22"/>
  <c r="H1243" i="22"/>
  <c r="H1244" i="22"/>
  <c r="H1245" i="22"/>
  <c r="H1246" i="22"/>
  <c r="H1247" i="22"/>
  <c r="H1248" i="22"/>
  <c r="H1249" i="22"/>
  <c r="H1250" i="22"/>
  <c r="H1251" i="22"/>
  <c r="H1252" i="22"/>
  <c r="H1253" i="22"/>
  <c r="H1254" i="22"/>
  <c r="H1255" i="22"/>
  <c r="H1256" i="22"/>
  <c r="H1257" i="22"/>
  <c r="H1258" i="22"/>
  <c r="H1259" i="22"/>
  <c r="H1260" i="22"/>
  <c r="H1261" i="22"/>
  <c r="H1262" i="22"/>
  <c r="H1263" i="22"/>
  <c r="H1264" i="22"/>
  <c r="H1265" i="22"/>
  <c r="H1266" i="22"/>
  <c r="H1267" i="22"/>
  <c r="H1268" i="22"/>
  <c r="H1269" i="22"/>
  <c r="H1270" i="22"/>
  <c r="H1271" i="22"/>
  <c r="H1272" i="22"/>
  <c r="H1273" i="22"/>
  <c r="H1274" i="22"/>
  <c r="H1275" i="22"/>
  <c r="H1276" i="22"/>
  <c r="H1277" i="22"/>
  <c r="H1278" i="22"/>
  <c r="H1279" i="22"/>
  <c r="H1280" i="22"/>
  <c r="H1281" i="22"/>
  <c r="H1282" i="22"/>
  <c r="H1283" i="22"/>
  <c r="H1284" i="22"/>
  <c r="H1285" i="22"/>
  <c r="H1286" i="22"/>
  <c r="H1287" i="22"/>
  <c r="H1288" i="22"/>
  <c r="H1289" i="22"/>
  <c r="H1290" i="22"/>
  <c r="H1291" i="22"/>
  <c r="H1292" i="22"/>
  <c r="H1293" i="22"/>
  <c r="H1294" i="22"/>
  <c r="H1295" i="22"/>
  <c r="H1296" i="22"/>
  <c r="H1297" i="22"/>
  <c r="H1298" i="22"/>
  <c r="H1299" i="22"/>
  <c r="H1300" i="22"/>
  <c r="H1301" i="22"/>
  <c r="H1302" i="22"/>
  <c r="H1303" i="22"/>
  <c r="H1304" i="22"/>
  <c r="H1305" i="22"/>
  <c r="H1306" i="22"/>
  <c r="H1307" i="22"/>
  <c r="H1308" i="22"/>
  <c r="H1309" i="22"/>
  <c r="H1310" i="22"/>
  <c r="H1311" i="22"/>
  <c r="H1312" i="22"/>
  <c r="H1313" i="22"/>
  <c r="H1314" i="22"/>
  <c r="H1315" i="22"/>
  <c r="H1316" i="22"/>
  <c r="H1317" i="22"/>
  <c r="H1318" i="22"/>
  <c r="H1319" i="22"/>
  <c r="H1320" i="22"/>
  <c r="H1321" i="22"/>
  <c r="H1322" i="22"/>
  <c r="H1323" i="22"/>
  <c r="H1324" i="22"/>
  <c r="H1325" i="22"/>
  <c r="H1326" i="22"/>
  <c r="H1327" i="22"/>
  <c r="H1328" i="22"/>
  <c r="H1329" i="22"/>
  <c r="H1330" i="22"/>
  <c r="H1331" i="22"/>
  <c r="H1332" i="22"/>
  <c r="H1333" i="22"/>
  <c r="H1334" i="22"/>
  <c r="H1335" i="22"/>
  <c r="H1336" i="22"/>
  <c r="H1337" i="22"/>
  <c r="H1338" i="22"/>
  <c r="H1339" i="22"/>
  <c r="H1340" i="22"/>
  <c r="H1341" i="22"/>
  <c r="H1342" i="22"/>
  <c r="H1343" i="22"/>
  <c r="H1344" i="22"/>
  <c r="H1345" i="22"/>
  <c r="H1346" i="22"/>
  <c r="H1347" i="22"/>
  <c r="H1348" i="22"/>
  <c r="H1349" i="22"/>
  <c r="H1350" i="22"/>
  <c r="H1351" i="22"/>
  <c r="H1352" i="22"/>
  <c r="H1353" i="22"/>
  <c r="H1354" i="22"/>
  <c r="H1355" i="22"/>
  <c r="H1356" i="22"/>
  <c r="H1357" i="22"/>
  <c r="H1358" i="22"/>
  <c r="H1359" i="22"/>
  <c r="H1360" i="22"/>
  <c r="H1361" i="22"/>
  <c r="H1362" i="22"/>
  <c r="H1363" i="22"/>
  <c r="H1364" i="22"/>
  <c r="H1365" i="22"/>
  <c r="H1366" i="22"/>
  <c r="H1367" i="22"/>
  <c r="H1368" i="22"/>
  <c r="H1369" i="22"/>
  <c r="H1370" i="22"/>
  <c r="H1371" i="22"/>
  <c r="H1372" i="22"/>
  <c r="H1373" i="22"/>
  <c r="H1374" i="22"/>
  <c r="H1375" i="22"/>
  <c r="H1376" i="22"/>
  <c r="H1377" i="22"/>
  <c r="H1378" i="22"/>
  <c r="H1379" i="22"/>
  <c r="H1380" i="22"/>
  <c r="H1381" i="22"/>
  <c r="H1382" i="22"/>
  <c r="H1383" i="22"/>
  <c r="H1384" i="22"/>
  <c r="H1385" i="22"/>
  <c r="H1386" i="22"/>
  <c r="H1387" i="22"/>
  <c r="H1388" i="22"/>
  <c r="H1389" i="22"/>
  <c r="H1390" i="22"/>
  <c r="H1391" i="22"/>
  <c r="H1392" i="22"/>
  <c r="H1393" i="22"/>
  <c r="H1394" i="22"/>
  <c r="H1395" i="22"/>
  <c r="H1396" i="22"/>
  <c r="H1397" i="22"/>
  <c r="H1398" i="22"/>
  <c r="H1399" i="22"/>
  <c r="H1400" i="22"/>
  <c r="H1401" i="22"/>
  <c r="H1402" i="22"/>
  <c r="H1403" i="22"/>
  <c r="H1404" i="22"/>
  <c r="H1405" i="22"/>
  <c r="H1406" i="22"/>
  <c r="H1407" i="22"/>
  <c r="H1408" i="22"/>
  <c r="H1409" i="22"/>
  <c r="H1410" i="22"/>
  <c r="H1411" i="22"/>
  <c r="H1412" i="22"/>
  <c r="H1413" i="22"/>
  <c r="H1414" i="22"/>
  <c r="H1415" i="22"/>
  <c r="H1416" i="22"/>
  <c r="H1417" i="22"/>
  <c r="H1418" i="22"/>
  <c r="H1419" i="22"/>
  <c r="H1420" i="22"/>
  <c r="H1421" i="22"/>
  <c r="H1422" i="22"/>
  <c r="H1423" i="22"/>
  <c r="H1424" i="22"/>
  <c r="H1425" i="22"/>
  <c r="H1426" i="22"/>
  <c r="H1427" i="22"/>
  <c r="H1428" i="22"/>
  <c r="H1429" i="22"/>
  <c r="H1430" i="22"/>
  <c r="H1431" i="22"/>
  <c r="H1432" i="22"/>
  <c r="H1433" i="22"/>
  <c r="H1434" i="22"/>
  <c r="H1435" i="22"/>
  <c r="H1436" i="22"/>
  <c r="H1437" i="22"/>
  <c r="H1438" i="22"/>
  <c r="H1439" i="22"/>
  <c r="H1440" i="22"/>
  <c r="H1441" i="22"/>
  <c r="H1442" i="22"/>
  <c r="H1443" i="22"/>
  <c r="H1444" i="22"/>
  <c r="H1445" i="22"/>
  <c r="H1446" i="22"/>
  <c r="H1447" i="22"/>
  <c r="H1448" i="22"/>
  <c r="H1449" i="22"/>
  <c r="H1450" i="22"/>
  <c r="H1451" i="22"/>
  <c r="H1452" i="22"/>
  <c r="H1453" i="22"/>
  <c r="H1454" i="22"/>
  <c r="H1455" i="22"/>
  <c r="H1456" i="22"/>
  <c r="H1457" i="22"/>
  <c r="H1458" i="22"/>
  <c r="H1459" i="22"/>
  <c r="H1460" i="22"/>
  <c r="H1461" i="22"/>
  <c r="H1462" i="22"/>
  <c r="H1463" i="22"/>
  <c r="H1464" i="22"/>
  <c r="H1465" i="22"/>
  <c r="H1466" i="22"/>
  <c r="H1467" i="22"/>
  <c r="H1468" i="22"/>
  <c r="H1469" i="22"/>
  <c r="H1470" i="22"/>
  <c r="H1471" i="22"/>
  <c r="H1472" i="22"/>
  <c r="H1473" i="22"/>
  <c r="H1474" i="22"/>
  <c r="H1475" i="22"/>
  <c r="H1476" i="22"/>
  <c r="H1477" i="22"/>
  <c r="H1478" i="22"/>
  <c r="H1479" i="22"/>
  <c r="H1480" i="22"/>
  <c r="H1481" i="22"/>
  <c r="H1482" i="22"/>
  <c r="H1483" i="22"/>
  <c r="H1484" i="22"/>
  <c r="H1485" i="22"/>
  <c r="H1486" i="22"/>
  <c r="H1487" i="22"/>
  <c r="H1488" i="22"/>
  <c r="H1489" i="22"/>
  <c r="H1490" i="22"/>
  <c r="H1491" i="22"/>
  <c r="H1492" i="22"/>
  <c r="H1493" i="22"/>
  <c r="H1494" i="22"/>
  <c r="H1495" i="22"/>
  <c r="H1496" i="22"/>
  <c r="H1497" i="22"/>
  <c r="H1498" i="22"/>
  <c r="H1499" i="22"/>
  <c r="H1500" i="22"/>
  <c r="H1501" i="22"/>
  <c r="H1502" i="22"/>
  <c r="H1503" i="22"/>
  <c r="H1504" i="22"/>
  <c r="H1505" i="22"/>
  <c r="H1506" i="22"/>
  <c r="H1507" i="22"/>
  <c r="H1508" i="22"/>
  <c r="H1509" i="22"/>
  <c r="H1510" i="22"/>
  <c r="H1511" i="22"/>
  <c r="H1512" i="22"/>
  <c r="H1513" i="22"/>
  <c r="H1514" i="22"/>
  <c r="H1515" i="22"/>
  <c r="H1516" i="22"/>
  <c r="H1517" i="22"/>
  <c r="H1518" i="22"/>
  <c r="H1519" i="22"/>
  <c r="H1520" i="22"/>
  <c r="H1521" i="22"/>
  <c r="H1522" i="22"/>
  <c r="H1523" i="22"/>
  <c r="H1524" i="22"/>
  <c r="H1525" i="22"/>
  <c r="H1526" i="22"/>
  <c r="H1527" i="22"/>
  <c r="H1528" i="22"/>
  <c r="H1529" i="22"/>
  <c r="H1530" i="22"/>
  <c r="H1531" i="22"/>
  <c r="H1532" i="22"/>
  <c r="H1533" i="22"/>
  <c r="H1534" i="22"/>
  <c r="H1535" i="22"/>
  <c r="H1536" i="22"/>
  <c r="H1537" i="22"/>
  <c r="H1538" i="22"/>
  <c r="H1539" i="22"/>
  <c r="H1540" i="22"/>
  <c r="H1541" i="22"/>
  <c r="H1542" i="22"/>
  <c r="H1543" i="22"/>
  <c r="H1544" i="22"/>
  <c r="H1545" i="22"/>
  <c r="H1546" i="22"/>
  <c r="H1547" i="22"/>
  <c r="H1548" i="22"/>
  <c r="H1549" i="22"/>
  <c r="H1550" i="22"/>
  <c r="H1551" i="22"/>
  <c r="H1552" i="22"/>
  <c r="H1553" i="22"/>
  <c r="H1554" i="22"/>
  <c r="H1555" i="22"/>
  <c r="H1556" i="22"/>
  <c r="H1557" i="22"/>
  <c r="H1558" i="22"/>
  <c r="H1559" i="22"/>
  <c r="H1560" i="22"/>
  <c r="H1561" i="22"/>
  <c r="H1562" i="22"/>
  <c r="H1563" i="22"/>
  <c r="H1564" i="22"/>
  <c r="H1565" i="22"/>
  <c r="H1566" i="22"/>
  <c r="H1567" i="22"/>
  <c r="H1568" i="22"/>
  <c r="H1569" i="22"/>
  <c r="H1570" i="22"/>
  <c r="H1571" i="22"/>
  <c r="H1572" i="22"/>
  <c r="H1573" i="22"/>
  <c r="H1574" i="22"/>
  <c r="H1575" i="22"/>
  <c r="H1576" i="22"/>
  <c r="H1577" i="22"/>
  <c r="H1578" i="22"/>
  <c r="H1579" i="22"/>
  <c r="H1580" i="22"/>
  <c r="H1581" i="22"/>
  <c r="H1582" i="22"/>
  <c r="H1583" i="22"/>
  <c r="H1584" i="22"/>
  <c r="H1585" i="22"/>
  <c r="H1586" i="22"/>
  <c r="H1587" i="22"/>
  <c r="H1588" i="22"/>
  <c r="H1589" i="22"/>
  <c r="H1590" i="22"/>
  <c r="H1591" i="22"/>
  <c r="H1592" i="22"/>
  <c r="H1593" i="22"/>
  <c r="H1594" i="22"/>
  <c r="H1595" i="22"/>
  <c r="H1596" i="22"/>
  <c r="H1597" i="22"/>
  <c r="H1598" i="22"/>
  <c r="H1599" i="22"/>
  <c r="H1600" i="22"/>
  <c r="H1601" i="22"/>
  <c r="H1602" i="22"/>
  <c r="H1603" i="22"/>
  <c r="H1604" i="22"/>
  <c r="H1605" i="22"/>
  <c r="H1606" i="22"/>
  <c r="H1607" i="22"/>
  <c r="H1608" i="22"/>
  <c r="H1609" i="22"/>
  <c r="H1610" i="22"/>
  <c r="H1611" i="22"/>
  <c r="H1612" i="22"/>
  <c r="H1613" i="22"/>
  <c r="H1614" i="22"/>
  <c r="H1615" i="22"/>
  <c r="H1616" i="22"/>
  <c r="H1617" i="22"/>
  <c r="H1618" i="22"/>
  <c r="H1619" i="22"/>
  <c r="H1620" i="22"/>
  <c r="H1621" i="22"/>
  <c r="H1622" i="22"/>
  <c r="H1623" i="22"/>
  <c r="H1624" i="22"/>
  <c r="H1625" i="22"/>
  <c r="H1626" i="22"/>
  <c r="H1627" i="22"/>
  <c r="H1628" i="22"/>
  <c r="H1629" i="22"/>
  <c r="H1630" i="22"/>
  <c r="H1631" i="22"/>
  <c r="H1632" i="22"/>
  <c r="H1633" i="22"/>
  <c r="H1634" i="22"/>
  <c r="H1635" i="22"/>
  <c r="H1636" i="22"/>
  <c r="H1637" i="22"/>
  <c r="H1638" i="22"/>
  <c r="H1639" i="22"/>
  <c r="H1640" i="22"/>
  <c r="H1641" i="22"/>
  <c r="H1642" i="22"/>
  <c r="H1643" i="22"/>
  <c r="H1644" i="22"/>
  <c r="H1645" i="22"/>
  <c r="H1646" i="22"/>
  <c r="H1647" i="22"/>
  <c r="H1648" i="22"/>
  <c r="H1649" i="22"/>
  <c r="H1650" i="22"/>
  <c r="H1651" i="22"/>
  <c r="H1652" i="22"/>
  <c r="H1653" i="22"/>
  <c r="H1654" i="22"/>
  <c r="H1655" i="22"/>
  <c r="H1656" i="22"/>
  <c r="H1657" i="22"/>
  <c r="H1658" i="22"/>
  <c r="H1659" i="22"/>
  <c r="H1660" i="22"/>
  <c r="H1661" i="22"/>
  <c r="H1662" i="22"/>
  <c r="H1663" i="22"/>
  <c r="H1664" i="22"/>
  <c r="H1665" i="22"/>
  <c r="H1666" i="22"/>
  <c r="H1667" i="22"/>
  <c r="H1668" i="22"/>
  <c r="H1669" i="22"/>
  <c r="H1670" i="22"/>
  <c r="H1671" i="22"/>
  <c r="H1672" i="22"/>
  <c r="H1673" i="22"/>
  <c r="H1674" i="22"/>
  <c r="H1675" i="22"/>
  <c r="H1676" i="22"/>
  <c r="H1677" i="22"/>
  <c r="H1678" i="22"/>
  <c r="H1679" i="22"/>
  <c r="H1680" i="22"/>
  <c r="H1681" i="22"/>
  <c r="H1682" i="22"/>
  <c r="H1683" i="22"/>
  <c r="H1684" i="22"/>
  <c r="H1685" i="22"/>
  <c r="H1686" i="22"/>
  <c r="H1687" i="22"/>
  <c r="H1688" i="22"/>
  <c r="H1689" i="22"/>
  <c r="H1690" i="22"/>
  <c r="H1691" i="22"/>
  <c r="H1692" i="22"/>
  <c r="H1693" i="22"/>
  <c r="H1694" i="22"/>
  <c r="H1695" i="22"/>
  <c r="H1696" i="22"/>
  <c r="H1697" i="22"/>
  <c r="H1698" i="22"/>
  <c r="H1699" i="22"/>
  <c r="H1700" i="22"/>
  <c r="H1701" i="22"/>
  <c r="H1702" i="22"/>
  <c r="H1703" i="22"/>
  <c r="H1704" i="22"/>
  <c r="H1705" i="22"/>
  <c r="H1706" i="22"/>
  <c r="H1707" i="22"/>
  <c r="H1708" i="22"/>
  <c r="H1709" i="22"/>
  <c r="H1710" i="22"/>
  <c r="H1711" i="22"/>
  <c r="H1712" i="22"/>
  <c r="H1713" i="22"/>
  <c r="H1714" i="22"/>
  <c r="H1715" i="22"/>
  <c r="H1716" i="22"/>
  <c r="H1717" i="22"/>
  <c r="H1718" i="22"/>
  <c r="H1719" i="22"/>
  <c r="H1720" i="22"/>
  <c r="H1721" i="22"/>
  <c r="H1722" i="22"/>
  <c r="H1723" i="22"/>
  <c r="H1724" i="22"/>
  <c r="H1725" i="22"/>
  <c r="H1726" i="22"/>
  <c r="H1727" i="22"/>
  <c r="H1728" i="22"/>
  <c r="H1729" i="22"/>
  <c r="H1730" i="22"/>
  <c r="H1731" i="22"/>
  <c r="H1732" i="22"/>
  <c r="H1733" i="22"/>
  <c r="H1734" i="22"/>
  <c r="H1735" i="22"/>
  <c r="H1736" i="22"/>
  <c r="H1737" i="22"/>
  <c r="H1738" i="22"/>
  <c r="H1739" i="22"/>
  <c r="H1740" i="22"/>
  <c r="H1741" i="22"/>
  <c r="H1742" i="22"/>
  <c r="H1743" i="22"/>
  <c r="H1744" i="22"/>
  <c r="H1745" i="22"/>
  <c r="H1746" i="22"/>
  <c r="H1747" i="22"/>
  <c r="H1748" i="22"/>
  <c r="H1749" i="22"/>
  <c r="H1750" i="22"/>
  <c r="H1751" i="22"/>
  <c r="H1752" i="22"/>
  <c r="H1753" i="22"/>
  <c r="H1754" i="22"/>
  <c r="H1755" i="22"/>
  <c r="H1756" i="22"/>
  <c r="H1757" i="22"/>
  <c r="H1758" i="22"/>
  <c r="H1759" i="22"/>
  <c r="H1760" i="22"/>
  <c r="H1761" i="22"/>
  <c r="H1762" i="22"/>
  <c r="H1763" i="22"/>
  <c r="H1764" i="22"/>
  <c r="H1765" i="22"/>
  <c r="H1766" i="22"/>
  <c r="H1767" i="22"/>
  <c r="H1768" i="22"/>
  <c r="H1769" i="22"/>
  <c r="H1770" i="22"/>
  <c r="H1771" i="22"/>
  <c r="H1772" i="22"/>
  <c r="H1773" i="22"/>
  <c r="H1774" i="22"/>
  <c r="H1775" i="22"/>
  <c r="H1776" i="22"/>
  <c r="H1777" i="22"/>
  <c r="H1778" i="22"/>
  <c r="H1779" i="22"/>
  <c r="H1780" i="22"/>
  <c r="H1781" i="22"/>
  <c r="H1782" i="22"/>
  <c r="H1783" i="22"/>
  <c r="H1784" i="22"/>
  <c r="H1785" i="22"/>
  <c r="H1786" i="22"/>
  <c r="H1787" i="22"/>
  <c r="H1788" i="22"/>
  <c r="H1789" i="22"/>
  <c r="H1790" i="22"/>
  <c r="H1791" i="22"/>
  <c r="H1792" i="22"/>
  <c r="H1793" i="22"/>
  <c r="H1794" i="22"/>
  <c r="H1795" i="22"/>
  <c r="H1796" i="22"/>
  <c r="H1797" i="22"/>
  <c r="H1798" i="22"/>
  <c r="H1799" i="22"/>
  <c r="H1800" i="22"/>
  <c r="H1801" i="22"/>
  <c r="H1802" i="22"/>
  <c r="H1803" i="22"/>
  <c r="H1804" i="22"/>
  <c r="H1805" i="22"/>
  <c r="H1806" i="22"/>
  <c r="H1807" i="22"/>
  <c r="H1808" i="22"/>
  <c r="H1809" i="22"/>
  <c r="H1810" i="22"/>
  <c r="H1811" i="22"/>
  <c r="H1812" i="22"/>
  <c r="H1813" i="22"/>
  <c r="H1814" i="22"/>
  <c r="H1815" i="22"/>
  <c r="H1816" i="22"/>
  <c r="H1817" i="22"/>
  <c r="H1818" i="22"/>
  <c r="H1819" i="22"/>
  <c r="H1820" i="22"/>
  <c r="H1821" i="22"/>
  <c r="H1822" i="22"/>
  <c r="H1823" i="22"/>
  <c r="H1824" i="22"/>
  <c r="H1825" i="22"/>
  <c r="H1826" i="22"/>
  <c r="H1827" i="22"/>
  <c r="H1828" i="22"/>
  <c r="H1829" i="22"/>
  <c r="H1830" i="22"/>
  <c r="H1831" i="22"/>
  <c r="H1832" i="22"/>
  <c r="H1833" i="22"/>
  <c r="H1834" i="22"/>
  <c r="H1835" i="22"/>
  <c r="H1836" i="22"/>
  <c r="H1837" i="22"/>
  <c r="H1838" i="22"/>
  <c r="H1839" i="22"/>
  <c r="H1840" i="22"/>
  <c r="H1841" i="22"/>
  <c r="H1842" i="22"/>
  <c r="H1843" i="22"/>
  <c r="H1844" i="22"/>
  <c r="H1845" i="22"/>
  <c r="H1846" i="22"/>
  <c r="H1847" i="22"/>
  <c r="H1848" i="22"/>
  <c r="H1849" i="22"/>
  <c r="H1850" i="22"/>
  <c r="H1851" i="22"/>
  <c r="H1852" i="22"/>
  <c r="H1853" i="22"/>
  <c r="H1854" i="22"/>
  <c r="H1855" i="22"/>
  <c r="H1856" i="22"/>
  <c r="H1857" i="22"/>
  <c r="H1858" i="22"/>
  <c r="H1859" i="22"/>
  <c r="H1860" i="22"/>
  <c r="H1861" i="22"/>
  <c r="H1862" i="22"/>
  <c r="H1863" i="22"/>
  <c r="H1864" i="22"/>
  <c r="H1865" i="22"/>
  <c r="H1866" i="22"/>
  <c r="H1867" i="22"/>
  <c r="H1868" i="22"/>
  <c r="H1869" i="22"/>
  <c r="H1870" i="22"/>
  <c r="H1871" i="22"/>
  <c r="H1872" i="22"/>
  <c r="H1873" i="22"/>
  <c r="H1874" i="22"/>
  <c r="H1875" i="22"/>
  <c r="H1876" i="22"/>
  <c r="H1877" i="22"/>
  <c r="H1878" i="22"/>
  <c r="H1879" i="22"/>
  <c r="H1880" i="22"/>
  <c r="H1881" i="22"/>
  <c r="H1882" i="22"/>
  <c r="H1883" i="22"/>
  <c r="H1884" i="22"/>
  <c r="H1885" i="22"/>
  <c r="H1886" i="22"/>
  <c r="H1887" i="22"/>
  <c r="H1888" i="22"/>
  <c r="H1889" i="22"/>
  <c r="H1890" i="22"/>
  <c r="H1891" i="22"/>
  <c r="H1892" i="22"/>
  <c r="H1893" i="22"/>
  <c r="H1894" i="22"/>
  <c r="H1895" i="22"/>
  <c r="H1896" i="22"/>
  <c r="H1897" i="22"/>
  <c r="H1898" i="22"/>
  <c r="H1899" i="22"/>
  <c r="H1900" i="22"/>
  <c r="H1901" i="22"/>
  <c r="H1902" i="22"/>
  <c r="H1903" i="22"/>
  <c r="H1904" i="22"/>
  <c r="H1905" i="22"/>
  <c r="H1906" i="22"/>
  <c r="H1907" i="22"/>
  <c r="H1908" i="22"/>
  <c r="H1909" i="22"/>
  <c r="H1910" i="22"/>
  <c r="H1911" i="22"/>
  <c r="H1912" i="22"/>
  <c r="H1913" i="22"/>
  <c r="H1914" i="22"/>
  <c r="H1915" i="22"/>
  <c r="H1916" i="22"/>
  <c r="H1917" i="22"/>
  <c r="H1918" i="22"/>
  <c r="H1919" i="22"/>
  <c r="H1920" i="22"/>
  <c r="H1921" i="22"/>
  <c r="H1922" i="22"/>
  <c r="H1923" i="22"/>
  <c r="H1924" i="22"/>
  <c r="H1925" i="22"/>
  <c r="H1926" i="22"/>
  <c r="H1927" i="22"/>
  <c r="H1928" i="22"/>
  <c r="H1929" i="22"/>
  <c r="H1930" i="22"/>
  <c r="H1931" i="22"/>
  <c r="H1932" i="22"/>
  <c r="H1933" i="22"/>
  <c r="H1934" i="22"/>
  <c r="H1935" i="22"/>
  <c r="H1936" i="22"/>
  <c r="H1937" i="22"/>
  <c r="H1938" i="22"/>
  <c r="H1939" i="22"/>
  <c r="H1940" i="22"/>
  <c r="H1941" i="22"/>
  <c r="H1942" i="22"/>
  <c r="H1943" i="22"/>
  <c r="H1944" i="22"/>
  <c r="H1945" i="22"/>
  <c r="H1946" i="22"/>
  <c r="H1947" i="22"/>
  <c r="H1948" i="22"/>
  <c r="H1949" i="22"/>
  <c r="H1950" i="22"/>
  <c r="H1951" i="22"/>
  <c r="H1952" i="22"/>
  <c r="H1953" i="22"/>
  <c r="H1954" i="22"/>
  <c r="H1955" i="22"/>
  <c r="H1956" i="22"/>
  <c r="H1957" i="22"/>
  <c r="H1958" i="22"/>
  <c r="H1959" i="22"/>
  <c r="H1960" i="22"/>
  <c r="H1961" i="22"/>
  <c r="H1962" i="22"/>
  <c r="H1963" i="22"/>
  <c r="H1964" i="22"/>
  <c r="H1965" i="22"/>
  <c r="H1966" i="22"/>
  <c r="H1967" i="22"/>
  <c r="H1968" i="22"/>
  <c r="H1969" i="22"/>
  <c r="H1970" i="22"/>
  <c r="H1971" i="22"/>
  <c r="H1972" i="22"/>
  <c r="H1973" i="22"/>
  <c r="H1974" i="22"/>
  <c r="H1975" i="22"/>
  <c r="H1976" i="22"/>
  <c r="H1977" i="22"/>
  <c r="H1978" i="22"/>
  <c r="H1979" i="22"/>
  <c r="H1980" i="22"/>
  <c r="H1981" i="22"/>
  <c r="H1982" i="22"/>
  <c r="H1983" i="22"/>
  <c r="H1984" i="22"/>
  <c r="H1985" i="22"/>
  <c r="H1986" i="22"/>
  <c r="H1987" i="22"/>
  <c r="H1988" i="22"/>
  <c r="H1989" i="22"/>
  <c r="H1990" i="22"/>
  <c r="H1991" i="22"/>
  <c r="H1992" i="22"/>
  <c r="H1993" i="22"/>
  <c r="H1994" i="22"/>
  <c r="H1995" i="22"/>
  <c r="H1996" i="22"/>
  <c r="H1997" i="22"/>
  <c r="H1998" i="22"/>
  <c r="H1999" i="22"/>
  <c r="H2000" i="22"/>
  <c r="H2001" i="22"/>
  <c r="H2002" i="22"/>
  <c r="H2003" i="22"/>
  <c r="H2004" i="22"/>
  <c r="H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629" i="22"/>
  <c r="G630" i="22"/>
  <c r="G631" i="22"/>
  <c r="G632" i="22"/>
  <c r="G633" i="22"/>
  <c r="G634" i="22"/>
  <c r="G635" i="22"/>
  <c r="G636" i="22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739" i="22"/>
  <c r="G740" i="22"/>
  <c r="G741" i="22"/>
  <c r="G742" i="22"/>
  <c r="G743" i="22"/>
  <c r="G744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G793" i="22"/>
  <c r="G794" i="22"/>
  <c r="G795" i="22"/>
  <c r="G796" i="22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887" i="22"/>
  <c r="G888" i="22"/>
  <c r="G889" i="22"/>
  <c r="G890" i="22"/>
  <c r="G891" i="22"/>
  <c r="G892" i="22"/>
  <c r="G893" i="22"/>
  <c r="G894" i="22"/>
  <c r="G895" i="22"/>
  <c r="G896" i="22"/>
  <c r="G897" i="22"/>
  <c r="G898" i="22"/>
  <c r="G899" i="22"/>
  <c r="G900" i="22"/>
  <c r="G901" i="22"/>
  <c r="G902" i="22"/>
  <c r="G903" i="22"/>
  <c r="G904" i="22"/>
  <c r="G905" i="22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922" i="22"/>
  <c r="G923" i="22"/>
  <c r="G924" i="22"/>
  <c r="G925" i="22"/>
  <c r="G926" i="22"/>
  <c r="G927" i="22"/>
  <c r="G928" i="22"/>
  <c r="G929" i="22"/>
  <c r="G930" i="22"/>
  <c r="G931" i="22"/>
  <c r="G932" i="22"/>
  <c r="G933" i="22"/>
  <c r="G934" i="22"/>
  <c r="G935" i="22"/>
  <c r="G936" i="22"/>
  <c r="G937" i="22"/>
  <c r="G938" i="22"/>
  <c r="G939" i="22"/>
  <c r="G940" i="22"/>
  <c r="G941" i="22"/>
  <c r="G942" i="22"/>
  <c r="G943" i="22"/>
  <c r="G944" i="22"/>
  <c r="G945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G1176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G1224" i="22"/>
  <c r="G1225" i="22"/>
  <c r="G1226" i="22"/>
  <c r="G1227" i="22"/>
  <c r="G1228" i="22"/>
  <c r="G1229" i="22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G1264" i="22"/>
  <c r="G1265" i="22"/>
  <c r="G1266" i="22"/>
  <c r="G1267" i="22"/>
  <c r="G1268" i="22"/>
  <c r="G1269" i="22"/>
  <c r="G1270" i="22"/>
  <c r="G1271" i="22"/>
  <c r="G1272" i="22"/>
  <c r="G1273" i="22"/>
  <c r="G1274" i="22"/>
  <c r="G1275" i="22"/>
  <c r="G1276" i="22"/>
  <c r="G1277" i="22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G1296" i="22"/>
  <c r="G1297" i="22"/>
  <c r="G1298" i="22"/>
  <c r="G1299" i="22"/>
  <c r="G1300" i="22"/>
  <c r="G1301" i="22"/>
  <c r="G1302" i="22"/>
  <c r="G1303" i="22"/>
  <c r="G1304" i="22"/>
  <c r="G1305" i="22"/>
  <c r="G1306" i="22"/>
  <c r="G1307" i="22"/>
  <c r="G1308" i="22"/>
  <c r="G1309" i="22"/>
  <c r="G1310" i="22"/>
  <c r="G1311" i="22"/>
  <c r="G1312" i="22"/>
  <c r="G1313" i="22"/>
  <c r="G1314" i="22"/>
  <c r="G1315" i="22"/>
  <c r="G1316" i="22"/>
  <c r="G1317" i="22"/>
  <c r="G1318" i="22"/>
  <c r="G1319" i="22"/>
  <c r="G1320" i="22"/>
  <c r="G1321" i="22"/>
  <c r="G1322" i="22"/>
  <c r="G1323" i="22"/>
  <c r="G1324" i="22"/>
  <c r="G1325" i="22"/>
  <c r="G1326" i="22"/>
  <c r="G1327" i="22"/>
  <c r="G1328" i="22"/>
  <c r="G1329" i="22"/>
  <c r="G1330" i="22"/>
  <c r="G1331" i="22"/>
  <c r="G1332" i="22"/>
  <c r="G1333" i="22"/>
  <c r="G1334" i="22"/>
  <c r="G1335" i="22"/>
  <c r="G1336" i="22"/>
  <c r="G1337" i="22"/>
  <c r="G1338" i="22"/>
  <c r="G1339" i="22"/>
  <c r="G1340" i="22"/>
  <c r="G1341" i="22"/>
  <c r="G1342" i="22"/>
  <c r="G1343" i="22"/>
  <c r="G1344" i="22"/>
  <c r="G1345" i="22"/>
  <c r="G1346" i="22"/>
  <c r="G1347" i="22"/>
  <c r="G1348" i="22"/>
  <c r="G1349" i="22"/>
  <c r="G1350" i="22"/>
  <c r="G1351" i="22"/>
  <c r="G1352" i="22"/>
  <c r="G1353" i="22"/>
  <c r="G1354" i="22"/>
  <c r="G1355" i="22"/>
  <c r="G1356" i="22"/>
  <c r="G1357" i="22"/>
  <c r="G1358" i="22"/>
  <c r="G1359" i="22"/>
  <c r="G1360" i="22"/>
  <c r="G1361" i="22"/>
  <c r="G1362" i="22"/>
  <c r="G1363" i="22"/>
  <c r="G1364" i="22"/>
  <c r="G1365" i="22"/>
  <c r="G1366" i="22"/>
  <c r="G1367" i="22"/>
  <c r="G1368" i="22"/>
  <c r="G1369" i="22"/>
  <c r="G1370" i="22"/>
  <c r="G1371" i="22"/>
  <c r="G1372" i="22"/>
  <c r="G1373" i="22"/>
  <c r="G1374" i="22"/>
  <c r="G1375" i="22"/>
  <c r="G1376" i="22"/>
  <c r="G1377" i="22"/>
  <c r="G1378" i="22"/>
  <c r="G1379" i="22"/>
  <c r="G1380" i="22"/>
  <c r="G1381" i="22"/>
  <c r="G1382" i="22"/>
  <c r="G1383" i="22"/>
  <c r="G1384" i="22"/>
  <c r="G1385" i="22"/>
  <c r="G1386" i="22"/>
  <c r="G1387" i="22"/>
  <c r="G1388" i="22"/>
  <c r="G1389" i="22"/>
  <c r="G1390" i="22"/>
  <c r="G1391" i="22"/>
  <c r="G1392" i="22"/>
  <c r="G1393" i="22"/>
  <c r="G1394" i="22"/>
  <c r="G1395" i="22"/>
  <c r="G1396" i="22"/>
  <c r="G1397" i="22"/>
  <c r="G1398" i="22"/>
  <c r="G1399" i="22"/>
  <c r="G1400" i="22"/>
  <c r="G1401" i="22"/>
  <c r="G1402" i="22"/>
  <c r="G1403" i="22"/>
  <c r="G1404" i="22"/>
  <c r="G1405" i="22"/>
  <c r="G1406" i="22"/>
  <c r="G1407" i="22"/>
  <c r="G1408" i="22"/>
  <c r="G1409" i="22"/>
  <c r="G1410" i="22"/>
  <c r="G1411" i="22"/>
  <c r="G1412" i="22"/>
  <c r="G1413" i="22"/>
  <c r="G1414" i="22"/>
  <c r="G1415" i="22"/>
  <c r="G1416" i="22"/>
  <c r="G1417" i="22"/>
  <c r="G1418" i="22"/>
  <c r="G1419" i="22"/>
  <c r="G1420" i="22"/>
  <c r="G1421" i="22"/>
  <c r="G1422" i="22"/>
  <c r="G1423" i="22"/>
  <c r="G1424" i="22"/>
  <c r="G1425" i="22"/>
  <c r="G1426" i="22"/>
  <c r="G1427" i="22"/>
  <c r="G1428" i="22"/>
  <c r="G1429" i="22"/>
  <c r="G1430" i="22"/>
  <c r="G1431" i="22"/>
  <c r="G1432" i="22"/>
  <c r="G1433" i="22"/>
  <c r="G1434" i="22"/>
  <c r="G1435" i="22"/>
  <c r="G1436" i="22"/>
  <c r="G1437" i="22"/>
  <c r="G1438" i="22"/>
  <c r="G1439" i="22"/>
  <c r="G1440" i="22"/>
  <c r="G1441" i="22"/>
  <c r="G1442" i="22"/>
  <c r="G1443" i="22"/>
  <c r="G1444" i="22"/>
  <c r="G1445" i="22"/>
  <c r="G1446" i="22"/>
  <c r="G1447" i="22"/>
  <c r="G1448" i="22"/>
  <c r="G1449" i="22"/>
  <c r="G1450" i="22"/>
  <c r="G1451" i="22"/>
  <c r="G1452" i="22"/>
  <c r="G1453" i="22"/>
  <c r="G1454" i="22"/>
  <c r="G1455" i="22"/>
  <c r="G1456" i="22"/>
  <c r="G1457" i="22"/>
  <c r="G1458" i="22"/>
  <c r="G1459" i="22"/>
  <c r="G1460" i="22"/>
  <c r="G1461" i="22"/>
  <c r="G1462" i="22"/>
  <c r="G1463" i="22"/>
  <c r="G1464" i="22"/>
  <c r="G1465" i="22"/>
  <c r="G1466" i="22"/>
  <c r="G1467" i="22"/>
  <c r="G1468" i="22"/>
  <c r="G1469" i="22"/>
  <c r="G1470" i="22"/>
  <c r="G1471" i="22"/>
  <c r="G1472" i="22"/>
  <c r="G1473" i="22"/>
  <c r="G1474" i="22"/>
  <c r="G1475" i="22"/>
  <c r="G1476" i="22"/>
  <c r="G1477" i="22"/>
  <c r="G1478" i="22"/>
  <c r="G1479" i="22"/>
  <c r="G1480" i="22"/>
  <c r="G1481" i="22"/>
  <c r="G1482" i="22"/>
  <c r="G1483" i="22"/>
  <c r="G1484" i="22"/>
  <c r="G1485" i="22"/>
  <c r="G1486" i="22"/>
  <c r="G1487" i="22"/>
  <c r="G1488" i="22"/>
  <c r="G1489" i="22"/>
  <c r="G1490" i="22"/>
  <c r="G1491" i="22"/>
  <c r="G1492" i="22"/>
  <c r="G1493" i="22"/>
  <c r="G1494" i="22"/>
  <c r="G1495" i="22"/>
  <c r="G1496" i="22"/>
  <c r="G1497" i="22"/>
  <c r="G1498" i="22"/>
  <c r="G1499" i="22"/>
  <c r="G1500" i="22"/>
  <c r="G1501" i="22"/>
  <c r="G1502" i="22"/>
  <c r="G1503" i="22"/>
  <c r="G1504" i="22"/>
  <c r="G1505" i="22"/>
  <c r="G1506" i="22"/>
  <c r="G1507" i="22"/>
  <c r="G1508" i="22"/>
  <c r="G1509" i="22"/>
  <c r="G1510" i="22"/>
  <c r="G1511" i="22"/>
  <c r="G1512" i="22"/>
  <c r="G1513" i="22"/>
  <c r="G1514" i="22"/>
  <c r="G1515" i="22"/>
  <c r="G1516" i="22"/>
  <c r="G1517" i="22"/>
  <c r="G1518" i="22"/>
  <c r="G1519" i="22"/>
  <c r="G1520" i="22"/>
  <c r="G1521" i="22"/>
  <c r="G1522" i="22"/>
  <c r="G1523" i="22"/>
  <c r="G1524" i="22"/>
  <c r="G1525" i="22"/>
  <c r="G1526" i="22"/>
  <c r="G1527" i="22"/>
  <c r="G1528" i="22"/>
  <c r="G1529" i="22"/>
  <c r="G1530" i="22"/>
  <c r="G1531" i="22"/>
  <c r="G1532" i="22"/>
  <c r="G1533" i="22"/>
  <c r="G1534" i="22"/>
  <c r="G1535" i="22"/>
  <c r="G1536" i="22"/>
  <c r="G1537" i="22"/>
  <c r="G1538" i="22"/>
  <c r="G1539" i="22"/>
  <c r="G1540" i="22"/>
  <c r="G1541" i="22"/>
  <c r="G1542" i="22"/>
  <c r="G1543" i="22"/>
  <c r="G1544" i="22"/>
  <c r="G1545" i="22"/>
  <c r="G1546" i="22"/>
  <c r="G1547" i="22"/>
  <c r="G1548" i="22"/>
  <c r="G1549" i="22"/>
  <c r="G1550" i="22"/>
  <c r="G1551" i="22"/>
  <c r="G1552" i="22"/>
  <c r="G1553" i="22"/>
  <c r="G1554" i="22"/>
  <c r="G1555" i="22"/>
  <c r="G1556" i="22"/>
  <c r="G1557" i="22"/>
  <c r="G1558" i="22"/>
  <c r="G1559" i="22"/>
  <c r="G1560" i="22"/>
  <c r="G1561" i="22"/>
  <c r="G1562" i="22"/>
  <c r="G1563" i="22"/>
  <c r="G1564" i="22"/>
  <c r="G1565" i="22"/>
  <c r="G1566" i="22"/>
  <c r="G1567" i="22"/>
  <c r="G1568" i="22"/>
  <c r="G1569" i="22"/>
  <c r="G1570" i="22"/>
  <c r="G1571" i="22"/>
  <c r="G1572" i="22"/>
  <c r="G1573" i="22"/>
  <c r="G1574" i="22"/>
  <c r="G1575" i="22"/>
  <c r="G1576" i="22"/>
  <c r="G1577" i="22"/>
  <c r="G1578" i="22"/>
  <c r="G1579" i="22"/>
  <c r="G1580" i="22"/>
  <c r="G1581" i="22"/>
  <c r="G1582" i="22"/>
  <c r="G1583" i="22"/>
  <c r="G1584" i="22"/>
  <c r="G1585" i="22"/>
  <c r="G1586" i="22"/>
  <c r="G1587" i="22"/>
  <c r="G1588" i="22"/>
  <c r="G1589" i="22"/>
  <c r="G1590" i="22"/>
  <c r="G1591" i="22"/>
  <c r="G1592" i="22"/>
  <c r="G1593" i="22"/>
  <c r="G1594" i="22"/>
  <c r="G1595" i="22"/>
  <c r="G1596" i="22"/>
  <c r="G1597" i="22"/>
  <c r="G1598" i="22"/>
  <c r="G1599" i="22"/>
  <c r="G1600" i="22"/>
  <c r="G1601" i="22"/>
  <c r="G1602" i="22"/>
  <c r="G1603" i="22"/>
  <c r="G1604" i="22"/>
  <c r="G1605" i="22"/>
  <c r="G1606" i="22"/>
  <c r="G1607" i="22"/>
  <c r="G1608" i="22"/>
  <c r="G1609" i="22"/>
  <c r="G1610" i="22"/>
  <c r="G1611" i="22"/>
  <c r="G1612" i="22"/>
  <c r="G1613" i="22"/>
  <c r="G1614" i="22"/>
  <c r="G1615" i="22"/>
  <c r="G1616" i="22"/>
  <c r="G1617" i="22"/>
  <c r="G1618" i="22"/>
  <c r="G1619" i="22"/>
  <c r="G1620" i="22"/>
  <c r="G1621" i="22"/>
  <c r="G1622" i="22"/>
  <c r="G1623" i="22"/>
  <c r="G1624" i="22"/>
  <c r="G1625" i="22"/>
  <c r="G1626" i="22"/>
  <c r="G1627" i="22"/>
  <c r="G1628" i="22"/>
  <c r="G1629" i="22"/>
  <c r="G1630" i="22"/>
  <c r="G1631" i="22"/>
  <c r="G1632" i="22"/>
  <c r="G1633" i="22"/>
  <c r="G1634" i="22"/>
  <c r="G1635" i="22"/>
  <c r="G1636" i="22"/>
  <c r="G1637" i="22"/>
  <c r="G1638" i="22"/>
  <c r="G1639" i="22"/>
  <c r="G1640" i="22"/>
  <c r="G1641" i="22"/>
  <c r="G1642" i="22"/>
  <c r="G1643" i="22"/>
  <c r="G1644" i="22"/>
  <c r="G1645" i="22"/>
  <c r="G1646" i="22"/>
  <c r="G1647" i="22"/>
  <c r="G1648" i="22"/>
  <c r="G1649" i="22"/>
  <c r="G1650" i="22"/>
  <c r="G1651" i="22"/>
  <c r="G1652" i="22"/>
  <c r="G1653" i="22"/>
  <c r="G1654" i="22"/>
  <c r="G1655" i="22"/>
  <c r="G1656" i="22"/>
  <c r="G1657" i="22"/>
  <c r="G1658" i="22"/>
  <c r="G1659" i="22"/>
  <c r="G1660" i="22"/>
  <c r="G1661" i="22"/>
  <c r="G1662" i="22"/>
  <c r="G1663" i="22"/>
  <c r="G1664" i="22"/>
  <c r="G1665" i="22"/>
  <c r="G1666" i="22"/>
  <c r="G1667" i="22"/>
  <c r="G1668" i="22"/>
  <c r="G1669" i="22"/>
  <c r="G1670" i="22"/>
  <c r="G1671" i="22"/>
  <c r="G1672" i="22"/>
  <c r="G1673" i="22"/>
  <c r="G1674" i="22"/>
  <c r="G1675" i="22"/>
  <c r="G1676" i="22"/>
  <c r="G1677" i="22"/>
  <c r="G1678" i="22"/>
  <c r="G1679" i="22"/>
  <c r="G1680" i="22"/>
  <c r="G1681" i="22"/>
  <c r="G1682" i="22"/>
  <c r="G1683" i="22"/>
  <c r="G1684" i="22"/>
  <c r="G1685" i="22"/>
  <c r="G1686" i="22"/>
  <c r="G1687" i="22"/>
  <c r="G1688" i="22"/>
  <c r="G1689" i="22"/>
  <c r="G1690" i="22"/>
  <c r="G1691" i="22"/>
  <c r="G1692" i="22"/>
  <c r="G1693" i="22"/>
  <c r="G1694" i="22"/>
  <c r="G1695" i="22"/>
  <c r="G1696" i="22"/>
  <c r="G1697" i="22"/>
  <c r="G1698" i="22"/>
  <c r="G1699" i="22"/>
  <c r="G1700" i="22"/>
  <c r="G1701" i="22"/>
  <c r="G1702" i="22"/>
  <c r="G1703" i="22"/>
  <c r="G1704" i="22"/>
  <c r="G1705" i="22"/>
  <c r="G1706" i="22"/>
  <c r="G1707" i="22"/>
  <c r="G1708" i="22"/>
  <c r="G1709" i="22"/>
  <c r="G1710" i="22"/>
  <c r="G1711" i="22"/>
  <c r="G1712" i="22"/>
  <c r="G1713" i="22"/>
  <c r="G1714" i="22"/>
  <c r="G1715" i="22"/>
  <c r="G1716" i="22"/>
  <c r="G1717" i="22"/>
  <c r="G1718" i="22"/>
  <c r="G1719" i="22"/>
  <c r="G1720" i="22"/>
  <c r="G1721" i="22"/>
  <c r="G1722" i="22"/>
  <c r="G1723" i="22"/>
  <c r="G1724" i="22"/>
  <c r="G1725" i="22"/>
  <c r="G1726" i="22"/>
  <c r="G1727" i="22"/>
  <c r="G1728" i="22"/>
  <c r="G1729" i="22"/>
  <c r="G1730" i="22"/>
  <c r="G1731" i="22"/>
  <c r="G1732" i="22"/>
  <c r="G1733" i="22"/>
  <c r="G1734" i="22"/>
  <c r="G1735" i="22"/>
  <c r="G1736" i="22"/>
  <c r="G1737" i="22"/>
  <c r="G1738" i="22"/>
  <c r="G1739" i="22"/>
  <c r="G1740" i="22"/>
  <c r="G1741" i="22"/>
  <c r="G1742" i="22"/>
  <c r="G1743" i="22"/>
  <c r="G1744" i="22"/>
  <c r="G1745" i="22"/>
  <c r="G1746" i="22"/>
  <c r="G1747" i="22"/>
  <c r="G1748" i="22"/>
  <c r="G1749" i="22"/>
  <c r="G1750" i="22"/>
  <c r="G1751" i="22"/>
  <c r="G1752" i="22"/>
  <c r="G1753" i="22"/>
  <c r="G1754" i="22"/>
  <c r="G1755" i="22"/>
  <c r="G1756" i="22"/>
  <c r="G1757" i="22"/>
  <c r="G1758" i="22"/>
  <c r="G1759" i="22"/>
  <c r="G1760" i="22"/>
  <c r="G1761" i="22"/>
  <c r="G1762" i="22"/>
  <c r="G1763" i="22"/>
  <c r="G1764" i="22"/>
  <c r="G1765" i="22"/>
  <c r="G1766" i="22"/>
  <c r="G1767" i="22"/>
  <c r="G1768" i="22"/>
  <c r="G1769" i="22"/>
  <c r="G1770" i="22"/>
  <c r="G1771" i="22"/>
  <c r="G1772" i="22"/>
  <c r="G1773" i="22"/>
  <c r="G1774" i="22"/>
  <c r="G1775" i="22"/>
  <c r="G1776" i="22"/>
  <c r="G1777" i="22"/>
  <c r="G1778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G1807" i="22"/>
  <c r="G1808" i="22"/>
  <c r="G1809" i="22"/>
  <c r="G1810" i="22"/>
  <c r="G1811" i="22"/>
  <c r="G1812" i="22"/>
  <c r="G1813" i="22"/>
  <c r="G1814" i="22"/>
  <c r="G1815" i="22"/>
  <c r="G1816" i="22"/>
  <c r="G1817" i="22"/>
  <c r="G1818" i="22"/>
  <c r="G1819" i="22"/>
  <c r="G1820" i="22"/>
  <c r="G1821" i="22"/>
  <c r="G1822" i="22"/>
  <c r="G1823" i="22"/>
  <c r="G1824" i="22"/>
  <c r="G1825" i="22"/>
  <c r="G1826" i="22"/>
  <c r="G1827" i="22"/>
  <c r="G1828" i="22"/>
  <c r="G1829" i="22"/>
  <c r="G1830" i="22"/>
  <c r="G1831" i="22"/>
  <c r="G1832" i="22"/>
  <c r="G1833" i="22"/>
  <c r="G1834" i="22"/>
  <c r="G1835" i="22"/>
  <c r="G1836" i="22"/>
  <c r="G1837" i="22"/>
  <c r="G1838" i="22"/>
  <c r="G1839" i="22"/>
  <c r="G1840" i="22"/>
  <c r="G1841" i="22"/>
  <c r="G1842" i="22"/>
  <c r="G1843" i="22"/>
  <c r="G1844" i="22"/>
  <c r="G1845" i="22"/>
  <c r="G1846" i="22"/>
  <c r="G1847" i="22"/>
  <c r="G1848" i="22"/>
  <c r="G1849" i="22"/>
  <c r="G1850" i="22"/>
  <c r="G1851" i="22"/>
  <c r="G1852" i="22"/>
  <c r="G1853" i="22"/>
  <c r="G1854" i="22"/>
  <c r="G1855" i="22"/>
  <c r="G1856" i="22"/>
  <c r="G1857" i="22"/>
  <c r="G1858" i="22"/>
  <c r="G1859" i="22"/>
  <c r="G1860" i="22"/>
  <c r="G1861" i="22"/>
  <c r="G1862" i="22"/>
  <c r="G1863" i="22"/>
  <c r="G1864" i="22"/>
  <c r="G1865" i="22"/>
  <c r="G1866" i="22"/>
  <c r="G1867" i="22"/>
  <c r="G1868" i="22"/>
  <c r="G1869" i="22"/>
  <c r="G1870" i="22"/>
  <c r="G1871" i="22"/>
  <c r="G1872" i="22"/>
  <c r="G1873" i="22"/>
  <c r="G1874" i="22"/>
  <c r="G1875" i="22"/>
  <c r="G1876" i="22"/>
  <c r="G1877" i="22"/>
  <c r="G1878" i="22"/>
  <c r="G1879" i="22"/>
  <c r="G1880" i="22"/>
  <c r="G1881" i="22"/>
  <c r="G1882" i="22"/>
  <c r="G1883" i="22"/>
  <c r="G1884" i="22"/>
  <c r="G1885" i="22"/>
  <c r="G1886" i="22"/>
  <c r="G1887" i="22"/>
  <c r="G1888" i="22"/>
  <c r="G1889" i="22"/>
  <c r="G1890" i="22"/>
  <c r="G1891" i="22"/>
  <c r="G1892" i="22"/>
  <c r="G1893" i="22"/>
  <c r="G1894" i="22"/>
  <c r="G1895" i="22"/>
  <c r="G1896" i="22"/>
  <c r="G1897" i="22"/>
  <c r="G1898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G1911" i="22"/>
  <c r="G1912" i="22"/>
  <c r="G1913" i="22"/>
  <c r="G1914" i="22"/>
  <c r="G1915" i="22"/>
  <c r="G1916" i="22"/>
  <c r="G1917" i="22"/>
  <c r="G1918" i="22"/>
  <c r="G1919" i="22"/>
  <c r="G1920" i="22"/>
  <c r="G1921" i="22"/>
  <c r="G1922" i="22"/>
  <c r="G1923" i="22"/>
  <c r="G1924" i="22"/>
  <c r="G1925" i="22"/>
  <c r="G1926" i="22"/>
  <c r="G1927" i="22"/>
  <c r="G1928" i="22"/>
  <c r="G1929" i="22"/>
  <c r="G1930" i="22"/>
  <c r="G1931" i="22"/>
  <c r="G1932" i="22"/>
  <c r="G1933" i="22"/>
  <c r="G1934" i="22"/>
  <c r="G1935" i="22"/>
  <c r="G1936" i="22"/>
  <c r="G1937" i="22"/>
  <c r="G1938" i="22"/>
  <c r="G1939" i="22"/>
  <c r="G1940" i="22"/>
  <c r="G1941" i="22"/>
  <c r="G1942" i="22"/>
  <c r="G1943" i="22"/>
  <c r="G1944" i="22"/>
  <c r="G1945" i="22"/>
  <c r="G1946" i="22"/>
  <c r="G1947" i="22"/>
  <c r="G1948" i="22"/>
  <c r="G1949" i="22"/>
  <c r="G1950" i="22"/>
  <c r="G1951" i="22"/>
  <c r="G1952" i="22"/>
  <c r="G1953" i="22"/>
  <c r="G1954" i="22"/>
  <c r="G1955" i="22"/>
  <c r="G1956" i="22"/>
  <c r="G1957" i="22"/>
  <c r="G1958" i="22"/>
  <c r="G1959" i="22"/>
  <c r="G1960" i="22"/>
  <c r="G1961" i="22"/>
  <c r="G1962" i="22"/>
  <c r="G1963" i="22"/>
  <c r="G1964" i="22"/>
  <c r="G1965" i="22"/>
  <c r="G1966" i="22"/>
  <c r="G1967" i="22"/>
  <c r="G1968" i="22"/>
  <c r="G1969" i="22"/>
  <c r="G1970" i="22"/>
  <c r="G1971" i="22"/>
  <c r="G1972" i="22"/>
  <c r="G1973" i="22"/>
  <c r="G1974" i="22"/>
  <c r="G1975" i="22"/>
  <c r="G1976" i="22"/>
  <c r="G1977" i="22"/>
  <c r="G1978" i="22"/>
  <c r="G1979" i="22"/>
  <c r="G1980" i="22"/>
  <c r="G1981" i="22"/>
  <c r="G1982" i="22"/>
  <c r="G1983" i="22"/>
  <c r="G1984" i="22"/>
  <c r="G1985" i="22"/>
  <c r="G1986" i="22"/>
  <c r="G1987" i="22"/>
  <c r="G1988" i="22"/>
  <c r="G1989" i="22"/>
  <c r="G1990" i="22"/>
  <c r="G1991" i="22"/>
  <c r="G1992" i="22"/>
  <c r="G1993" i="22"/>
  <c r="G1994" i="22"/>
  <c r="G1995" i="22"/>
  <c r="G1996" i="22"/>
  <c r="G1997" i="22"/>
  <c r="G1998" i="22"/>
  <c r="G1999" i="22"/>
  <c r="G2000" i="22"/>
  <c r="G2001" i="22"/>
  <c r="G2002" i="22"/>
  <c r="G2003" i="22"/>
  <c r="G2004" i="22"/>
  <c r="G9" i="22"/>
  <c r="N3" i="22" l="1"/>
  <c r="Q2" i="22"/>
</calcChain>
</file>

<file path=xl/sharedStrings.xml><?xml version="1.0" encoding="utf-8"?>
<sst xmlns="http://schemas.openxmlformats.org/spreadsheetml/2006/main" count="8087" uniqueCount="87">
  <si>
    <t>Quantity</t>
  </si>
  <si>
    <t>Transaction ID</t>
  </si>
  <si>
    <t>Date</t>
  </si>
  <si>
    <t>Gender</t>
  </si>
  <si>
    <t>Age</t>
  </si>
  <si>
    <t>Product Category</t>
  </si>
  <si>
    <t>Price per Unit</t>
  </si>
  <si>
    <t>Male</t>
  </si>
  <si>
    <t>Beauty</t>
  </si>
  <si>
    <t>Female</t>
  </si>
  <si>
    <t>Clothing</t>
  </si>
  <si>
    <t>Electronics</t>
  </si>
  <si>
    <t>Year</t>
  </si>
  <si>
    <t>Month</t>
  </si>
  <si>
    <t>1 вар</t>
  </si>
  <si>
    <t>2 вар</t>
  </si>
  <si>
    <t>3 вар</t>
  </si>
  <si>
    <t>Функция</t>
  </si>
  <si>
    <t>Сведение данных</t>
  </si>
  <si>
    <t>Сумма</t>
  </si>
  <si>
    <t>Сумма значений. Функция по умолчанию для числовых данных.</t>
  </si>
  <si>
    <t>Количество</t>
  </si>
  <si>
    <t>Число значений. Действует аналогично функции СЧЁТЗ. Функция по умолчанию для данных, отличных от числовых.</t>
  </si>
  <si>
    <t>Среднее</t>
  </si>
  <si>
    <t>Среднее арифметическое.</t>
  </si>
  <si>
    <t>Информация по сводным таблицам из официального источника</t>
  </si>
  <si>
    <t>Максимум</t>
  </si>
  <si>
    <t>Наибольшее значение.</t>
  </si>
  <si>
    <t>Минимум</t>
  </si>
  <si>
    <t>Наименьшее значение.</t>
  </si>
  <si>
    <t>Функции Excel (по категориям)</t>
  </si>
  <si>
    <t>Произведение</t>
  </si>
  <si>
    <t>Произведение значений.</t>
  </si>
  <si>
    <t>Количество чисел</t>
  </si>
  <si>
    <t>Количество числовых значений. Действует аналогично функции СЧЁТ.</t>
  </si>
  <si>
    <t>https://excalidraw.com/</t>
  </si>
  <si>
    <t>Стандартное отклонение</t>
  </si>
  <si>
    <t>Оценка стандартного отклонения генеральной совокупности, где выборка является подмножеством всей генеральной совокупности.</t>
  </si>
  <si>
    <t>СТАНДОТКЛОНП</t>
  </si>
  <si>
    <t>Стандартное отклонение генеральной совокупности, которая содержит все сводимые данные.</t>
  </si>
  <si>
    <t>Коды числовых форматов</t>
  </si>
  <si>
    <t>ДИСП</t>
  </si>
  <si>
    <t>Оценка дисперсии генеральной совокупности, где выборка является подмножеством всей генеральной совокупности.</t>
  </si>
  <si>
    <t>Несмещенная дисперсия</t>
  </si>
  <si>
    <t>Дисперсия генеральной совокупности, которая содержит все сводимые данные.</t>
  </si>
  <si>
    <t>Вычисление значений в сводной таблице</t>
  </si>
  <si>
    <t>Результат</t>
  </si>
  <si>
    <t>Без вычислений</t>
  </si>
  <si>
    <t>Значение, введенное в данное поле.</t>
  </si>
  <si>
    <t>% от общей суммы</t>
  </si>
  <si>
    <t>Значения в процентах от общей суммы всех значений или точек данных в отчете.</t>
  </si>
  <si>
    <t>% от суммы по столбцу</t>
  </si>
  <si>
    <t>Все значения в каждом столбце или ряду в процентах от итогового значения по этому столбцу или ряду.</t>
  </si>
  <si>
    <t>% от суммы по строке</t>
  </si>
  <si>
    <t>Значение в каждой строке или категории в процентах от итогового значения по этой строке или категории.</t>
  </si>
  <si>
    <t>Доля</t>
  </si>
  <si>
    <t>Значения в процентах от значения базового элемента в соответствующем базовом поле.</t>
  </si>
  <si>
    <t>% от суммы по родительской строке</t>
  </si>
  <si>
    <t>Рассчитывает значения следующим образом:(значение элемента) / (значение родительского элемента по строкам).</t>
  </si>
  <si>
    <t>% от суммы по родительскому столбцу</t>
  </si>
  <si>
    <t>Рассчитывает значения следующим образом: (значение элемента) / (значение родительского элемента по столбцам).</t>
  </si>
  <si>
    <t>% от родительской суммы</t>
  </si>
  <si>
    <t>Рассчитывает значения следующим образом:(значение элемента) / (значение родительского элемента в выбранном базовом поле).</t>
  </si>
  <si>
    <t>Отличие</t>
  </si>
  <si>
    <t>Значения в виде разности по отношению к значению базового элемента в соответствующем базовом поле.</t>
  </si>
  <si>
    <t>Приведенное отличие</t>
  </si>
  <si>
    <t>Значения в виде разности в процентах по отношению к значению базового элемента в соответствующем базовом поле.</t>
  </si>
  <si>
    <t>С нарастающим итогом в поле</t>
  </si>
  <si>
    <t>Значение в виде нарастающего итога для последовательных элементов в базовом поле.</t>
  </si>
  <si>
    <t>% от суммы с нарастающим итогом в поле</t>
  </si>
  <si>
    <t>Значение в виде нарастающего итога в процентах для последовательных элементов в базовом поле.</t>
  </si>
  <si>
    <t>Сортировка от минимального к максимальному</t>
  </si>
  <si>
    <t>Ранг выбранных значений в определенном поле с учетом того, что наименьшему из них присваивается значение 1, а остальным — значения более высокого ранга соответственно.</t>
  </si>
  <si>
    <t>Сортировка от максимального к минимальному</t>
  </si>
  <si>
    <t>Ранг выбранных значений в определенном поле с учетом того, что наибольшему значению в поле присваивается значение 1, а каждому меньшему значению — более высокий ранг.</t>
  </si>
  <si>
    <t>Индекс</t>
  </si>
  <si>
    <t>Рассчитывает значения следующим образом:((значение в ячейке) x (общий итог)) / ((итог строки) x (итог столбца)).</t>
  </si>
  <si>
    <t>Названия строк</t>
  </si>
  <si>
    <t>Общий итог</t>
  </si>
  <si>
    <t>18-27</t>
  </si>
  <si>
    <t>28-37</t>
  </si>
  <si>
    <t>38-47</t>
  </si>
  <si>
    <t>48-57</t>
  </si>
  <si>
    <t>58-67</t>
  </si>
  <si>
    <t>Кол-во транз-ий</t>
  </si>
  <si>
    <t>Сумма продаж</t>
  </si>
  <si>
    <t>Средняя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</si>
</sst>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  <font>
      <sz val="9"/>
      <color theme="1"/>
      <name val="Univers"/>
      <family val="2"/>
    </font>
    <font>
      <b/>
      <sz val="9"/>
      <color theme="1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3" borderId="0" xfId="1" applyFill="1"/>
    <xf numFmtId="0" fontId="0" fillId="0" borderId="1" xfId="0" applyBorder="1"/>
    <xf numFmtId="0" fontId="5" fillId="0" borderId="2" xfId="0" applyFon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165" fontId="0" fillId="2" borderId="0" xfId="2" applyNumberFormat="1" applyFont="1" applyFill="1"/>
    <xf numFmtId="0" fontId="6" fillId="2" borderId="0" xfId="0" applyFont="1" applyFill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&#1042;&#1099;&#1087;&#1086;&#1083;&#1085;&#1080;&#1090;&#1100;!BN1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042;&#1099;&#1087;&#1086;&#1083;&#1085;&#1080;&#1090;&#1100;!A1"/><Relationship Id="rId2" Type="http://schemas.openxmlformats.org/officeDocument/2006/relationships/image" Target="../media/image10.png"/><Relationship Id="rId1" Type="http://schemas.openxmlformats.org/officeDocument/2006/relationships/hyperlink" Target="#&#1042;&#1099;&#1087;&#1086;&#1083;&#1085;&#1080;&#1090;&#1100;!BN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Сводная по основным показателям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Привет! </a:t>
          </a: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Я помню, что напишу, когда ты пройдешь все уроки по сводным, но сейчас нужно (партнер попросил) сделать следующее.</a:t>
          </a:r>
          <a:r>
            <a:rPr lang="en-US" sz="700" baseline="0">
              <a:solidFill>
                <a:srgbClr val="000000"/>
              </a:solidFill>
              <a:effectLst/>
              <a:latin typeface="Liberation Sans"/>
            </a:rPr>
            <a:t> </a:t>
          </a: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Помнишь, мы делали прототип отчета с функциями? Сейчас его нужно немного доработать и на основе этих данных создать сводную таблицу. Вот основные моменты:</a:t>
          </a:r>
        </a:p>
        <a:p>
          <a:pPr>
            <a:spcAft>
              <a:spcPts val="1000"/>
            </a:spcAft>
          </a:pPr>
          <a:r>
            <a:rPr lang="en-US" sz="700">
              <a:solidFill>
                <a:srgbClr val="000000"/>
              </a:solidFill>
              <a:effectLst/>
              <a:latin typeface="Liberation Sans"/>
            </a:rPr>
            <a:t>- </a:t>
          </a:r>
          <a:r>
            <a:rPr lang="ru-RU" sz="700">
              <a:solidFill>
                <a:srgbClr val="000000"/>
              </a:solidFill>
              <a:effectLst/>
              <a:latin typeface="Liberation Sans"/>
            </a:rPr>
            <a:t>Структура таблицы:</a:t>
          </a:r>
          <a:endParaRPr lang="en-US" sz="7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По строкам: категории и возраст, сгруппированный с шагом в 10 лет.</a:t>
          </a:r>
        </a:p>
        <a:p>
          <a:pPr>
            <a:spcAft>
              <a:spcPts val="1000"/>
            </a:spcAft>
          </a:pPr>
          <a:r>
            <a:rPr lang="en-US" sz="700">
              <a:solidFill>
                <a:srgbClr val="000000"/>
              </a:solidFill>
              <a:effectLst/>
              <a:latin typeface="Liberation Sans"/>
            </a:rPr>
            <a:t>- </a:t>
          </a: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Показатели для отображения (можно адаптировать названия для большей ясности):</a:t>
          </a: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Количество транзакций.</a:t>
          </a: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Общая сумма по количеству продаж.</a:t>
          </a: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Средняя цена.</a:t>
          </a:r>
        </a:p>
        <a:p>
          <a:pPr>
            <a:spcAft>
              <a:spcPts val="1000"/>
            </a:spcAft>
          </a:pPr>
          <a:r>
            <a:rPr lang="en-US" sz="700">
              <a:solidFill>
                <a:srgbClr val="000000"/>
              </a:solidFill>
              <a:effectLst/>
              <a:latin typeface="Liberation Sans"/>
            </a:rPr>
            <a:t> - </a:t>
          </a: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Дополнительно:</a:t>
          </a: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Добавить срезы по годам</a:t>
          </a:r>
          <a:r>
            <a:rPr lang="en-US" sz="700" baseline="0">
              <a:solidFill>
                <a:srgbClr val="000000"/>
              </a:solidFill>
              <a:effectLst/>
              <a:latin typeface="Liberation Sans"/>
            </a:rPr>
            <a:t> </a:t>
          </a:r>
          <a:r>
            <a:rPr lang="ru-RU" sz="700" baseline="0">
              <a:solidFill>
                <a:srgbClr val="000000"/>
              </a:solidFill>
              <a:effectLst/>
              <a:latin typeface="Liberation Sans"/>
            </a:rPr>
            <a:t>и </a:t>
          </a: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по полу (</a:t>
          </a:r>
          <a:r>
            <a:rPr lang="en-US" sz="700">
              <a:solidFill>
                <a:srgbClr val="000000"/>
              </a:solidFill>
              <a:effectLst/>
              <a:latin typeface="Liberation Sans"/>
            </a:rPr>
            <a:t>male/female).</a:t>
          </a:r>
          <a:endParaRPr lang="ru-RU" sz="7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endParaRPr lang="en-US" sz="7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700">
              <a:solidFill>
                <a:srgbClr val="000000"/>
              </a:solidFill>
              <a:effectLst/>
              <a:latin typeface="Liberation Sans"/>
            </a:rPr>
            <a:t>Если будут вопросы или нужна помощь, обязательно пиши. Все обсудим! </a:t>
          </a:r>
          <a:r>
            <a:rPr lang="ru-RU" sz="700" baseline="0">
              <a:solidFill>
                <a:srgbClr val="000000"/>
              </a:solidFill>
              <a:effectLst/>
              <a:latin typeface="Liberation Sans"/>
            </a:rPr>
            <a:t> </a:t>
          </a:r>
          <a:endParaRPr lang="ru-RU" sz="7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endParaRPr lang="en-US" sz="700">
            <a:solidFill>
              <a:srgbClr val="000000"/>
            </a:solidFill>
            <a:effectLst/>
            <a:latin typeface="Liberation Sans"/>
          </a:endParaRPr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Пример</a:t>
          </a:r>
          <a:endParaRPr lang="ru-RU" sz="1050" b="0" i="1" u="none"/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Сводные таблицы /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Пратика </a:t>
          </a:r>
          <a:r>
            <a:rPr lang="en-US" sz="1800" baseline="0">
              <a:latin typeface="Fira Sans"/>
              <a:ea typeface="Fira Sans"/>
              <a:cs typeface="Fira Sans"/>
              <a:sym typeface="Fira Sans"/>
            </a:rPr>
            <a:t>1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406400</xdr:colOff>
      <xdr:row>8</xdr:row>
      <xdr:rowOff>25400</xdr:rowOff>
    </xdr:from>
    <xdr:to>
      <xdr:col>47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E3EBD803-524F-4966-A73B-7051C5483CA7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Пример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215900</xdr:colOff>
      <xdr:row>28</xdr:row>
      <xdr:rowOff>69850</xdr:rowOff>
    </xdr:from>
    <xdr:to>
      <xdr:col>2</xdr:col>
      <xdr:colOff>228600</xdr:colOff>
      <xdr:row>29</xdr:row>
      <xdr:rowOff>114300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215900" y="544195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Пример</a:t>
          </a:r>
        </a:p>
      </xdr:txBody>
    </xdr:sp>
    <xdr:clientData/>
  </xdr:twoCellAnchor>
  <xdr:twoCellAnchor editAs="absolute">
    <xdr:from>
      <xdr:col>53</xdr:col>
      <xdr:colOff>558800</xdr:colOff>
      <xdr:row>0</xdr:row>
      <xdr:rowOff>187325</xdr:rowOff>
    </xdr:from>
    <xdr:to>
      <xdr:col>61</xdr:col>
      <xdr:colOff>400353</xdr:colOff>
      <xdr:row>27</xdr:row>
      <xdr:rowOff>143129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5E76358-9303-CE63-EFC8-98BA089F7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0200" y="187325"/>
          <a:ext cx="5880403" cy="5099304"/>
        </a:xfrm>
        <a:prstGeom prst="rect">
          <a:avLst/>
        </a:prstGeom>
      </xdr:spPr>
    </xdr:pic>
    <xdr:clientData/>
  </xdr:twoCellAnchor>
  <xdr:twoCellAnchor editAs="absolute">
    <xdr:from>
      <xdr:col>46</xdr:col>
      <xdr:colOff>12700</xdr:colOff>
      <xdr:row>0</xdr:row>
      <xdr:rowOff>107950</xdr:rowOff>
    </xdr:from>
    <xdr:to>
      <xdr:col>47</xdr:col>
      <xdr:colOff>279400</xdr:colOff>
      <xdr:row>3</xdr:row>
      <xdr:rowOff>31750</xdr:rowOff>
    </xdr:to>
    <xdr:sp macro="" textlink="">
      <xdr:nvSpPr>
        <xdr:cNvPr id="10" name="Стрелка: вправо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AA810C-F107-768D-19F5-4F59C967D3CA}"/>
            </a:ext>
          </a:extLst>
        </xdr:cNvPr>
        <xdr:cNvSpPr/>
      </xdr:nvSpPr>
      <xdr:spPr>
        <a:xfrm rot="10800000">
          <a:off x="31407100" y="107950"/>
          <a:ext cx="552450" cy="47625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 kern="1200"/>
        </a:p>
      </xdr:txBody>
    </xdr:sp>
    <xdr:clientData/>
  </xdr:twoCellAnchor>
  <xdr:twoCellAnchor editAs="oneCell">
    <xdr:from>
      <xdr:col>50</xdr:col>
      <xdr:colOff>1047750</xdr:colOff>
      <xdr:row>2</xdr:row>
      <xdr:rowOff>123825</xdr:rowOff>
    </xdr:from>
    <xdr:to>
      <xdr:col>52</xdr:col>
      <xdr:colOff>962024</xdr:colOff>
      <xdr:row>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ACD653C1-783C-447E-B6B8-C3C863AEB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85400" y="504825"/>
              <a:ext cx="2228849" cy="447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49</xdr:col>
      <xdr:colOff>19049</xdr:colOff>
      <xdr:row>2</xdr:row>
      <xdr:rowOff>114301</xdr:rowOff>
    </xdr:from>
    <xdr:to>
      <xdr:col>50</xdr:col>
      <xdr:colOff>876300</xdr:colOff>
      <xdr:row>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Годы">
              <a:extLst>
                <a:ext uri="{FF2B5EF4-FFF2-40B4-BE49-F238E27FC236}">
                  <a16:creationId xmlns:a16="http://schemas.microsoft.com/office/drawing/2014/main" id="{5928EE14-88E6-4F9B-9184-CF3F80A02E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32724" y="495301"/>
              <a:ext cx="2181226" cy="466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2244C8E6-E38D-49A2-A25A-D2904FA34F0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3BD3995D-69A4-4A8C-9296-67E76061DD0B}"/>
            </a:ext>
          </a:extLst>
        </xdr:cNvPr>
        <xdr:cNvSpPr txBox="1"/>
      </xdr:nvSpPr>
      <xdr:spPr>
        <a:xfrm rot="-5400000">
          <a:off x="-1228725" y="308927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541443402777" createdVersion="6" refreshedVersion="6" minRefreshableVersion="3" recordCount="1996" xr:uid="{9C8E4F6C-46BB-4AB2-AEEA-92555A74B15C}">
  <cacheSource type="worksheet">
    <worksheetSource ref="E8:K2004" sheet="Продажи_отчет"/>
  </cacheSource>
  <cacheFields count="9">
    <cacheField name="Transaction ID" numFmtId="0">
      <sharedItems containsSemiMixedTypes="0" containsString="0" containsNumber="1" containsInteger="1" minValue="1" maxValue="1996"/>
    </cacheField>
    <cacheField name="Date" numFmtId="14">
      <sharedItems containsSemiMixedTypes="0" containsNonDate="0" containsDate="1" containsString="0" minDate="2023-01-01T00:00:00" maxDate="2025-01-01T00:00:00" count="688">
        <d v="2023-08-05T00:00:00"/>
        <d v="2023-09-24T00:00:00"/>
        <d v="2024-04-23T00:00:00"/>
        <d v="2024-11-03T00:00:00"/>
        <d v="2023-10-15T00:00:00"/>
        <d v="2023-06-03T00:00:00"/>
        <d v="2024-05-08T00:00:00"/>
        <d v="2023-12-03T00:00:00"/>
        <d v="2024-10-17T00:00:00"/>
        <d v="2024-01-06T00:00:00"/>
        <d v="2024-06-15T00:00:00"/>
        <d v="2024-08-05T00:00:00"/>
        <d v="2023-07-16T00:00:00"/>
        <d v="2023-04-23T00:00:00"/>
        <d v="2023-02-27T00:00:00"/>
        <d v="2023-08-27T00:00:00"/>
        <d v="2023-09-01T00:00:00"/>
        <d v="2023-06-02T00:00:00"/>
        <d v="2023-04-09T00:00:00"/>
        <d v="2024-04-09T00:00:00"/>
        <d v="2023-04-24T00:00:00"/>
        <d v="2023-03-11T00:00:00"/>
        <d v="2023-03-04T00:00:00"/>
        <d v="2023-03-26T00:00:00"/>
        <d v="2024-08-25T00:00:00"/>
        <d v="2024-04-30T00:00:00"/>
        <d v="2024-01-04T00:00:00"/>
        <d v="2024-02-26T00:00:00"/>
        <d v="2024-09-29T00:00:00"/>
        <d v="2024-08-27T00:00:00"/>
        <d v="2024-09-16T00:00:00"/>
        <d v="2023-08-25T00:00:00"/>
        <d v="2023-12-16T00:00:00"/>
        <d v="2024-08-09T00:00:00"/>
        <d v="2023-02-02T00:00:00"/>
        <d v="2023-02-28T00:00:00"/>
        <d v="2023-01-29T00:00:00"/>
        <d v="2024-01-14T00:00:00"/>
        <d v="2023-10-18T00:00:00"/>
        <d v="2024-11-14T00:00:00"/>
        <d v="2024-12-20T00:00:00"/>
        <d v="2023-09-13T00:00:00"/>
        <d v="2024-09-07T00:00:00"/>
        <d v="2023-12-25T00:00:00"/>
        <d v="2023-11-21T00:00:00"/>
        <d v="2023-04-08T00:00:00"/>
        <d v="2023-11-09T00:00:00"/>
        <d v="2023-02-17T00:00:00"/>
        <d v="2023-07-24T00:00:00"/>
        <d v="2023-06-23T00:00:00"/>
        <d v="2023-06-01T00:00:00"/>
        <d v="2023-03-22T00:00:00"/>
        <d v="2023-10-04T00:00:00"/>
        <d v="2024-02-08T00:00:00"/>
        <d v="2024-12-24T00:00:00"/>
        <d v="2024-05-09T00:00:00"/>
        <d v="2024-05-27T00:00:00"/>
        <d v="2024-01-20T00:00:00"/>
        <d v="2023-02-18T00:00:00"/>
        <d v="2024-06-29T00:00:00"/>
        <d v="2024-12-01T00:00:00"/>
        <d v="2023-06-13T00:00:00"/>
        <d v="2024-02-21T00:00:00"/>
        <d v="2024-07-16T00:00:00"/>
        <d v="2024-04-11T00:00:00"/>
        <d v="2023-11-23T00:00:00"/>
        <d v="2023-01-17T00:00:00"/>
        <d v="2024-07-24T00:00:00"/>
        <d v="2023-02-06T00:00:00"/>
        <d v="2023-05-09T00:00:00"/>
        <d v="2023-04-15T00:00:00"/>
        <d v="2023-08-08T00:00:00"/>
        <d v="2024-10-21T00:00:00"/>
        <d v="2024-07-01T00:00:00"/>
        <d v="2023-02-13T00:00:00"/>
        <d v="2024-05-15T00:00:00"/>
        <d v="2024-04-19T00:00:00"/>
        <d v="2023-05-20T00:00:00"/>
        <d v="2023-07-15T00:00:00"/>
        <d v="2023-05-15T00:00:00"/>
        <d v="2024-10-02T00:00:00"/>
        <d v="2024-01-02T00:00:00"/>
        <d v="2023-09-21T00:00:00"/>
        <d v="2023-11-10T00:00:00"/>
        <d v="2024-01-26T00:00:00"/>
        <d v="2024-09-01T00:00:00"/>
        <d v="2023-02-19T00:00:00"/>
        <d v="2024-02-27T00:00:00"/>
        <d v="2024-05-23T00:00:00"/>
        <d v="2024-12-05T00:00:00"/>
        <d v="2024-11-21T00:00:00"/>
        <d v="2023-11-30T00:00:00"/>
        <d v="2024-03-20T00:00:00"/>
        <d v="2024-06-03T00:00:00"/>
        <d v="2024-12-26T00:00:00"/>
        <d v="2023-09-08T00:00:00"/>
        <d v="2023-03-19T00:00:00"/>
        <d v="2024-07-11T00:00:00"/>
        <d v="2024-05-04T00:00:00"/>
        <d v="2023-06-26T00:00:00"/>
        <d v="2024-08-15T00:00:00"/>
        <d v="2023-08-21T00:00:00"/>
        <d v="2024-02-06T00:00:00"/>
        <d v="2023-06-22T00:00:00"/>
        <d v="2023-01-26T00:00:00"/>
        <d v="2024-11-17T00:00:00"/>
        <d v="2023-10-11T00:00:00"/>
        <d v="2024-12-17T00:00:00"/>
        <d v="2023-10-03T00:00:00"/>
        <d v="2023-04-10T00:00:00"/>
        <d v="2023-07-09T00:00:00"/>
        <d v="2024-10-16T00:00:00"/>
        <d v="2024-12-09T00:00:00"/>
        <d v="2023-10-29T00:00:00"/>
        <d v="2024-09-28T00:00:00"/>
        <d v="2024-08-28T00:00:00"/>
        <d v="2023-11-25T00:00:00"/>
        <d v="2024-04-26T00:00:00"/>
        <d v="2023-10-12T00:00:00"/>
        <d v="2024-05-07T00:00:00"/>
        <d v="2023-04-12T00:00:00"/>
        <d v="2023-07-14T00:00:00"/>
        <d v="2023-01-16T00:00:00"/>
        <d v="2024-12-06T00:00:00"/>
        <d v="2024-03-28T00:00:00"/>
        <d v="2024-12-31T00:00:00"/>
        <d v="2024-06-17T00:00:00"/>
        <d v="2023-03-20T00:00:00"/>
        <d v="2023-09-09T00:00:00"/>
        <d v="2023-12-20T00:00:00"/>
        <d v="2023-12-23T00:00:00"/>
        <d v="2024-01-07T00:00:00"/>
        <d v="2023-11-17T00:00:00"/>
        <d v="2023-06-09T00:00:00"/>
        <d v="2024-06-02T00:00:00"/>
        <d v="2024-07-26T00:00:00"/>
        <d v="2024-08-21T00:00:00"/>
        <d v="2023-05-06T00:00:00"/>
        <d v="2024-09-04T00:00:00"/>
        <d v="2023-09-16T00:00:00"/>
        <d v="2023-10-25T00:00:00"/>
        <d v="2023-05-23T00:00:00"/>
        <d v="2024-05-05T00:00:00"/>
        <d v="2023-12-24T00:00:00"/>
        <d v="2024-10-04T00:00:00"/>
        <d v="2023-10-19T00:00:00"/>
        <d v="2024-07-06T00:00:00"/>
        <d v="2024-01-09T00:00:00"/>
        <d v="2023-05-31T00:00:00"/>
        <d v="2023-03-01T00:00:00"/>
        <d v="2023-11-08T00:00:00"/>
        <d v="2024-05-31T00:00:00"/>
        <d v="2024-12-28T00:00:00"/>
        <d v="2024-06-04T00:00:00"/>
        <d v="2023-05-16T00:00:00"/>
        <d v="2024-10-13T00:00:00"/>
        <d v="2023-01-11T00:00:00"/>
        <d v="2023-09-17T00:00:00"/>
        <d v="2023-03-07T00:00:00"/>
        <d v="2024-06-06T00:00:00"/>
        <d v="2023-10-22T00:00:00"/>
        <d v="2023-02-05T00:00:00"/>
        <d v="2023-04-19T00:00:00"/>
        <d v="2023-09-29T00:00:00"/>
        <d v="2024-11-06T00:00:00"/>
        <d v="2024-08-12T00:00:00"/>
        <d v="2023-03-17T00:00:00"/>
        <d v="2023-06-21T00:00:00"/>
        <d v="2024-02-20T00:00:00"/>
        <d v="2024-04-27T00:00:00"/>
        <d v="2024-11-19T00:00:00"/>
        <d v="2024-10-29T00:00:00"/>
        <d v="2023-06-11T00:00:00"/>
        <d v="2024-07-28T00:00:00"/>
        <d v="2023-12-26T00:00:00"/>
        <d v="2024-12-27T00:00:00"/>
        <d v="2023-02-01T00:00:00"/>
        <d v="2023-09-25T00:00:00"/>
        <d v="2024-10-31T00:00:00"/>
        <d v="2023-09-28T00:00:00"/>
        <d v="2023-09-22T00:00:00"/>
        <d v="2024-11-01T00:00:00"/>
        <d v="2024-02-13T00:00:00"/>
        <d v="2023-07-01T00:00:00"/>
        <d v="2023-10-20T00:00:00"/>
        <d v="2023-08-17T00:00:00"/>
        <d v="2024-04-18T00:00:00"/>
        <d v="2024-01-31T00:00:00"/>
        <d v="2024-09-08T00:00:00"/>
        <d v="2024-05-16T00:00:00"/>
        <d v="2024-12-12T00:00:00"/>
        <d v="2023-10-21T00:00:00"/>
        <d v="2024-01-27T00:00:00"/>
        <d v="2023-05-04T00:00:00"/>
        <d v="2023-12-18T00:00:00"/>
        <d v="2024-11-09T00:00:00"/>
        <d v="2023-12-31T00:00:00"/>
        <d v="2024-08-18T00:00:00"/>
        <d v="2024-01-13T00:00:00"/>
        <d v="2023-10-16T00:00:00"/>
        <d v="2023-11-04T00:00:00"/>
        <d v="2024-07-29T00:00:00"/>
        <d v="2023-03-25T00:00:00"/>
        <d v="2023-05-05T00:00:00"/>
        <d v="2023-04-25T00:00:00"/>
        <d v="2023-02-21T00:00:00"/>
        <d v="2024-02-28T00:00:00"/>
        <d v="2024-05-25T00:00:00"/>
        <d v="2023-05-08T00:00:00"/>
        <d v="2024-03-18T00:00:00"/>
        <d v="2023-04-28T00:00:00"/>
        <d v="2023-04-13T00:00:00"/>
        <d v="2023-06-20T00:00:00"/>
        <d v="2024-11-07T00:00:00"/>
        <d v="2023-06-08T00:00:00"/>
        <d v="2024-06-11T00:00:00"/>
        <d v="2024-08-22T00:00:00"/>
        <d v="2023-12-05T00:00:00"/>
        <d v="2024-08-31T00:00:00"/>
        <d v="2024-06-22T00:00:00"/>
        <d v="2024-06-12T00:00:00"/>
        <d v="2024-04-12T00:00:00"/>
        <d v="2023-06-25T00:00:00"/>
        <d v="2023-10-10T00:00:00"/>
        <d v="2024-07-05T00:00:00"/>
        <d v="2023-02-14T00:00:00"/>
        <d v="2023-02-08T00:00:00"/>
        <d v="2024-11-27T00:00:00"/>
        <d v="2023-01-03T00:00:00"/>
        <d v="2024-06-10T00:00:00"/>
        <d v="2023-01-28T00:00:00"/>
        <d v="2024-04-24T00:00:00"/>
        <d v="2024-05-26T00:00:00"/>
        <d v="2024-05-01T00:00:00"/>
        <d v="2024-01-01T00:00:00"/>
        <d v="2023-05-22T00:00:00"/>
        <d v="2023-08-13T00:00:00"/>
        <d v="2023-11-24T00:00:00"/>
        <d v="2023-04-20T00:00:00"/>
        <d v="2024-02-09T00:00:00"/>
        <d v="2024-09-21T00:00:00"/>
        <d v="2024-10-15T00:00:00"/>
        <d v="2023-03-18T00:00:00"/>
        <d v="2023-11-22T00:00:00"/>
        <d v="2023-07-17T00:00:00"/>
        <d v="2023-07-29T00:00:00"/>
        <d v="2023-06-27T00:00:00"/>
        <d v="2024-06-24T00:00:00"/>
        <d v="2024-11-24T00:00:00"/>
        <d v="2023-09-06T00:00:00"/>
        <d v="2023-07-19T00:00:00"/>
        <d v="2023-10-24T00:00:00"/>
        <d v="2024-03-21T00:00:00"/>
        <d v="2024-05-03T00:00:00"/>
        <d v="2023-06-06T00:00:00"/>
        <d v="2023-01-27T00:00:00"/>
        <d v="2023-03-27T00:00:00"/>
        <d v="2023-10-30T00:00:00"/>
        <d v="2023-10-13T00:00:00"/>
        <d v="2024-01-22T00:00:00"/>
        <d v="2023-01-05T00:00:00"/>
        <d v="2023-11-29T00:00:00"/>
        <d v="2023-10-01T00:00:00"/>
        <d v="2024-07-14T00:00:00"/>
        <d v="2024-04-15T00:00:00"/>
        <d v="2024-01-03T00:00:00"/>
        <d v="2023-10-23T00:00:00"/>
        <d v="2024-10-23T00:00:00"/>
        <d v="2023-03-13T00:00:00"/>
        <d v="2024-10-11T00:00:00"/>
        <d v="2023-12-19T00:00:00"/>
        <d v="2024-01-15T00:00:00"/>
        <d v="2023-08-19T00:00:00"/>
        <d v="2023-08-15T00:00:00"/>
        <d v="2023-06-19T00:00:00"/>
        <d v="2024-12-15T00:00:00"/>
        <d v="2023-08-04T00:00:00"/>
        <d v="2023-10-07T00:00:00"/>
        <d v="2024-06-28T00:00:00"/>
        <d v="2024-02-11T00:00:00"/>
        <d v="2023-12-09T00:00:00"/>
        <d v="2023-04-21T00:00:00"/>
        <d v="2024-12-29T00:00:00"/>
        <d v="2024-05-02T00:00:00"/>
        <d v="2024-09-30T00:00:00"/>
        <d v="2023-03-10T00:00:00"/>
        <d v="2023-10-27T00:00:00"/>
        <d v="2023-11-07T00:00:00"/>
        <d v="2024-08-08T00:00:00"/>
        <d v="2024-08-17T00:00:00"/>
        <d v="2024-10-07T00:00:00"/>
        <d v="2023-02-03T00:00:00"/>
        <d v="2023-10-02T00:00:00"/>
        <d v="2023-11-18T00:00:00"/>
        <d v="2024-09-22T00:00:00"/>
        <d v="2024-06-25T00:00:00"/>
        <d v="2024-05-24T00:00:00"/>
        <d v="2023-03-12T00:00:00"/>
        <d v="2024-11-02T00:00:00"/>
        <d v="2024-08-24T00:00:00"/>
        <d v="2024-01-08T00:00:00"/>
        <d v="2024-03-22T00:00:00"/>
        <d v="2023-04-02T00:00:00"/>
        <d v="2023-06-30T00:00:00"/>
        <d v="2024-11-08T00:00:00"/>
        <d v="2024-06-30T00:00:00"/>
        <d v="2024-07-21T00:00:00"/>
        <d v="2024-11-30T00:00:00"/>
        <d v="2024-10-22T00:00:00"/>
        <d v="2023-03-24T00:00:00"/>
        <d v="2023-04-01T00:00:00"/>
        <d v="2024-10-03T00:00:00"/>
        <d v="2024-04-13T00:00:00"/>
        <d v="2024-11-23T00:00:00"/>
        <d v="2023-05-30T00:00:00"/>
        <d v="2024-12-02T00:00:00"/>
        <d v="2023-06-07T00:00:00"/>
        <d v="2023-08-28T00:00:00"/>
        <d v="2023-05-12T00:00:00"/>
        <d v="2023-01-30T00:00:00"/>
        <d v="2023-11-02T00:00:00"/>
        <d v="2024-09-06T00:00:00"/>
        <d v="2024-11-29T00:00:00"/>
        <d v="2024-03-09T00:00:00"/>
        <d v="2024-07-27T00:00:00"/>
        <d v="2024-06-07T00:00:00"/>
        <d v="2023-11-20T00:00:00"/>
        <d v="2024-06-26T00:00:00"/>
        <d v="2024-10-19T00:00:00"/>
        <d v="2023-03-29T00:00:00"/>
        <d v="2024-03-07T00:00:00"/>
        <d v="2023-08-29T00:00:00"/>
        <d v="2024-07-13T00:00:00"/>
        <d v="2024-03-13T00:00:00"/>
        <d v="2024-06-09T00:00:00"/>
        <d v="2024-12-18T00:00:00"/>
        <d v="2023-10-31T00:00:00"/>
        <d v="2024-09-13T00:00:00"/>
        <d v="2023-02-07T00:00:00"/>
        <d v="2024-03-17T00:00:00"/>
        <d v="2024-04-17T00:00:00"/>
        <d v="2023-03-21T00:00:00"/>
        <d v="2024-08-03T00:00:00"/>
        <d v="2024-07-19T00:00:00"/>
        <d v="2024-02-07T00:00:00"/>
        <d v="2024-06-23T00:00:00"/>
        <d v="2023-08-26T00:00:00"/>
        <d v="2024-12-19T00:00:00"/>
        <d v="2023-05-01T00:00:00"/>
        <d v="2024-09-09T00:00:00"/>
        <d v="2024-12-23T00:00:00"/>
        <d v="2023-01-01T00:00:00"/>
        <d v="2023-07-28T00:00:00"/>
        <d v="2024-06-19T00:00:00"/>
        <d v="2024-05-06T00:00:00"/>
        <d v="2024-10-14T00:00:00"/>
        <d v="2023-10-05T00:00:00"/>
        <d v="2023-02-20T00:00:00"/>
        <d v="2024-03-26T00:00:00"/>
        <d v="2023-09-19T00:00:00"/>
        <d v="2024-10-27T00:00:00"/>
        <d v="2024-01-21T00:00:00"/>
        <d v="2023-02-22T00:00:00"/>
        <d v="2024-09-17T00:00:00"/>
        <d v="2023-08-20T00:00:00"/>
        <d v="2024-01-19T00:00:00"/>
        <d v="2023-10-17T00:00:00"/>
        <d v="2024-08-19T00:00:00"/>
        <d v="2023-03-23T00:00:00"/>
        <d v="2023-05-19T00:00:00"/>
        <d v="2024-04-20T00:00:00"/>
        <d v="2023-11-01T00:00:00"/>
        <d v="2023-12-29T00:00:00"/>
        <d v="2024-01-30T00:00:00"/>
        <d v="2024-10-06T00:00:00"/>
        <d v="2023-08-09T00:00:00"/>
        <d v="2024-04-10T00:00:00"/>
        <d v="2023-07-27T00:00:00"/>
        <d v="2023-05-25T00:00:00"/>
        <d v="2024-08-04T00:00:00"/>
        <d v="2024-03-23T00:00:00"/>
        <d v="2023-01-04T00:00:00"/>
        <d v="2024-09-19T00:00:00"/>
        <d v="2024-09-05T00:00:00"/>
        <d v="2023-09-30T00:00:00"/>
        <d v="2023-08-31T00:00:00"/>
        <d v="2024-10-20T00:00:00"/>
        <d v="2024-05-17T00:00:00"/>
        <d v="2024-05-12T00:00:00"/>
        <d v="2023-12-15T00:00:00"/>
        <d v="2023-11-26T00:00:00"/>
        <d v="2023-09-05T00:00:00"/>
        <d v="2023-04-26T00:00:00"/>
        <d v="2024-04-01T00:00:00"/>
        <d v="2024-08-01T00:00:00"/>
        <d v="2024-01-29T00:00:00"/>
        <d v="2024-05-11T00:00:00"/>
        <d v="2024-11-18T00:00:00"/>
        <d v="2023-12-04T00:00:00"/>
        <d v="2023-09-18T00:00:00"/>
        <d v="2023-05-03T00:00:00"/>
        <d v="2023-07-26T00:00:00"/>
        <d v="2024-02-25T00:00:00"/>
        <d v="2023-01-22T00:00:00"/>
        <d v="2024-12-08T00:00:00"/>
        <d v="2023-12-06T00:00:00"/>
        <d v="2024-03-11T00:00:00"/>
        <d v="2024-02-05T00:00:00"/>
        <d v="2024-03-05T00:00:00"/>
        <d v="2023-12-21T00:00:00"/>
        <d v="2024-01-11T00:00:00"/>
        <d v="2023-08-23T00:00:00"/>
        <d v="2024-05-30T00:00:00"/>
        <d v="2024-09-25T00:00:00"/>
        <d v="2023-01-07T00:00:00"/>
        <d v="2023-05-26T00:00:00"/>
        <d v="2024-04-02T00:00:00"/>
        <d v="2024-03-27T00:00:00"/>
        <d v="2024-11-15T00:00:00"/>
        <d v="2023-10-26T00:00:00"/>
        <d v="2024-01-16T00:00:00"/>
        <d v="2024-01-17T00:00:00"/>
        <d v="2024-07-15T00:00:00"/>
        <d v="2023-08-22T00:00:00"/>
        <d v="2024-07-30T00:00:00"/>
        <d v="2023-07-03T00:00:00"/>
        <d v="2023-06-10T00:00:00"/>
        <d v="2024-03-03T00:00:00"/>
        <d v="2024-10-26T00:00:00"/>
        <d v="2023-12-14T00:00:00"/>
        <d v="2024-05-22T00:00:00"/>
        <d v="2024-11-25T00:00:00"/>
        <d v="2024-04-16T00:00:00"/>
        <d v="2023-04-18T00:00:00"/>
        <d v="2023-05-07T00:00:00"/>
        <d v="2024-03-31T00:00:00"/>
        <d v="2024-12-11T00:00:00"/>
        <d v="2024-03-15T00:00:00"/>
        <d v="2023-02-11T00:00:00"/>
        <d v="2023-03-03T00:00:00"/>
        <d v="2023-03-06T00:00:00"/>
        <d v="2023-09-23T00:00:00"/>
        <d v="2024-09-02T00:00:00"/>
        <d v="2023-12-01T00:00:00"/>
        <d v="2024-01-25T00:00:00"/>
        <d v="2024-06-21T00:00:00"/>
        <d v="2023-09-07T00:00:00"/>
        <d v="2023-06-15T00:00:00"/>
        <d v="2024-09-15T00:00:00"/>
        <d v="2024-05-20T00:00:00"/>
        <d v="2023-08-11T00:00:00"/>
        <d v="2023-12-13T00:00:00"/>
        <d v="2024-03-01T00:00:00"/>
        <d v="2024-03-06T00:00:00"/>
        <d v="2023-10-14T00:00:00"/>
        <d v="2024-12-04T00:00:00"/>
        <d v="2023-01-10T00:00:00"/>
        <d v="2023-05-29T00:00:00"/>
        <d v="2024-02-02T00:00:00"/>
        <d v="2023-05-17T00:00:00"/>
        <d v="2023-08-12T00:00:00"/>
        <d v="2023-11-15T00:00:00"/>
        <d v="2024-10-05T00:00:00"/>
        <d v="2023-07-04T00:00:00"/>
        <d v="2023-09-02T00:00:00"/>
        <d v="2024-02-17T00:00:00"/>
        <d v="2024-06-08T00:00:00"/>
        <d v="2023-09-11T00:00:00"/>
        <d v="2024-12-16T00:00:00"/>
        <d v="2024-02-14T00:00:00"/>
        <d v="2024-12-25T00:00:00"/>
        <d v="2024-09-03T00:00:00"/>
        <d v="2024-10-10T00:00:00"/>
        <d v="2023-12-10T00:00:00"/>
        <d v="2024-07-09T00:00:00"/>
        <d v="2024-10-18T00:00:00"/>
        <d v="2023-12-08T00:00:00"/>
        <d v="2024-02-18T00:00:00"/>
        <d v="2024-01-24T00:00:00"/>
        <d v="2024-08-02T00:00:00"/>
        <d v="2024-01-05T00:00:00"/>
        <d v="2023-10-08T00:00:00"/>
        <d v="2024-05-13T00:00:00"/>
        <d v="2023-04-16T00:00:00"/>
        <d v="2024-03-08T00:00:00"/>
        <d v="2023-01-02T00:00:00"/>
        <d v="2023-08-03T00:00:00"/>
        <d v="2024-08-13T00:00:00"/>
        <d v="2024-12-22T00:00:00"/>
        <d v="2023-08-18T00:00:00"/>
        <d v="2023-01-24T00:00:00"/>
        <d v="2023-05-24T00:00:00"/>
        <d v="2023-04-22T00:00:00"/>
        <d v="2024-06-05T00:00:00"/>
        <d v="2023-02-23T00:00:00"/>
        <d v="2023-11-12T00:00:00"/>
        <d v="2023-04-27T00:00:00"/>
        <d v="2024-03-24T00:00:00"/>
        <d v="2024-10-01T00:00:00"/>
        <d v="2023-08-14T00:00:00"/>
        <d v="2023-01-14T00:00:00"/>
        <d v="2023-01-20T00:00:00"/>
        <d v="2024-04-08T00:00:00"/>
        <d v="2024-07-31T00:00:00"/>
        <d v="2024-08-29T00:00:00"/>
        <d v="2024-10-09T00:00:00"/>
        <d v="2023-10-09T00:00:00"/>
        <d v="2024-02-23T00:00:00"/>
        <d v="2023-08-06T00:00:00"/>
        <d v="2023-05-21T00:00:00"/>
        <d v="2023-06-05T00:00:00"/>
        <d v="2024-09-24T00:00:00"/>
        <d v="2024-05-14T00:00:00"/>
        <d v="2024-02-22T00:00:00"/>
        <d v="2023-02-10T00:00:00"/>
        <d v="2024-12-13T00:00:00"/>
        <d v="2024-11-05T00:00:00"/>
        <d v="2023-03-31T00:00:00"/>
        <d v="2024-02-16T00:00:00"/>
        <d v="2024-07-03T00:00:00"/>
        <d v="2024-08-26T00:00:00"/>
        <d v="2024-01-10T00:00:00"/>
        <d v="2023-01-13T00:00:00"/>
        <d v="2024-12-07T00:00:00"/>
        <d v="2023-09-14T00:00:00"/>
        <d v="2023-12-27T00:00:00"/>
        <d v="2023-05-02T00:00:00"/>
        <d v="2024-06-01T00:00:00"/>
        <d v="2024-09-11T00:00:00"/>
        <d v="2023-05-27T00:00:00"/>
        <d v="2023-07-06T00:00:00"/>
        <d v="2023-12-28T00:00:00"/>
        <d v="2023-07-22T00:00:00"/>
        <d v="2024-11-26T00:00:00"/>
        <d v="2024-05-19T00:00:00"/>
        <d v="2023-12-22T00:00:00"/>
        <d v="2023-04-17T00:00:00"/>
        <d v="2024-05-21T00:00:00"/>
        <d v="2024-06-14T00:00:00"/>
        <d v="2023-12-11T00:00:00"/>
        <d v="2023-11-27T00:00:00"/>
        <d v="2024-02-12T00:00:00"/>
        <d v="2023-06-28T00:00:00"/>
        <d v="2023-04-11T00:00:00"/>
        <d v="2023-02-09T00:00:00"/>
        <d v="2024-12-03T00:00:00"/>
        <d v="2023-09-04T00:00:00"/>
        <d v="2024-04-29T00:00:00"/>
        <d v="2024-12-21T00:00:00"/>
        <d v="2024-06-18T00:00:00"/>
        <d v="2024-10-25T00:00:00"/>
        <d v="2024-11-28T00:00:00"/>
        <d v="2023-06-18T00:00:00"/>
        <d v="2024-06-13T00:00:00"/>
        <d v="2023-05-10T00:00:00"/>
        <d v="2024-08-23T00:00:00"/>
        <d v="2023-01-31T00:00:00"/>
        <d v="2023-10-06T00:00:00"/>
        <d v="2023-05-14T00:00:00"/>
        <d v="2023-01-23T00:00:00"/>
        <d v="2023-11-16T00:00:00"/>
        <d v="2023-11-03T00:00:00"/>
        <d v="2023-12-02T00:00:00"/>
        <d v="2023-11-28T00:00:00"/>
        <d v="2024-07-12T00:00:00"/>
        <d v="2024-02-04T00:00:00"/>
        <d v="2024-02-01T00:00:00"/>
        <d v="2024-04-06T00:00:00"/>
        <d v="2024-02-19T00:00:00"/>
        <d v="2023-06-24T00:00:00"/>
        <d v="2023-08-01T00:00:00"/>
        <d v="2024-05-18T00:00:00"/>
        <d v="2024-11-20T00:00:00"/>
        <d v="2023-04-06T00:00:00"/>
        <d v="2024-11-16T00:00:00"/>
        <d v="2023-07-31T00:00:00"/>
        <d v="2023-09-26T00:00:00"/>
        <d v="2023-06-14T00:00:00"/>
        <d v="2024-09-14T00:00:00"/>
        <d v="2024-03-04T00:00:00"/>
        <d v="2023-07-12T00:00:00"/>
        <d v="2024-12-14T00:00:00"/>
        <d v="2024-05-10T00:00:00"/>
        <d v="2024-08-07T00:00:00"/>
        <d v="2024-08-11T00:00:00"/>
        <d v="2024-10-24T00:00:00"/>
        <d v="2023-03-15T00:00:00"/>
        <d v="2024-03-12T00:00:00"/>
        <d v="2024-04-28T00:00:00"/>
        <d v="2023-07-23T00:00:00"/>
        <d v="2024-03-10T00:00:00"/>
        <d v="2024-02-24T00:00:00"/>
        <d v="2023-12-17T00:00:00"/>
        <d v="2023-03-05T00:00:00"/>
        <d v="2024-09-18T00:00:00"/>
        <d v="2023-05-18T00:00:00"/>
        <d v="2024-03-19T00:00:00"/>
        <d v="2023-03-30T00:00:00"/>
        <d v="2023-03-02T00:00:00"/>
        <d v="2023-08-02T00:00:00"/>
        <d v="2023-04-05T00:00:00"/>
        <d v="2023-04-29T00:00:00"/>
        <d v="2024-03-25T00:00:00"/>
        <d v="2024-04-25T00:00:00"/>
        <d v="2023-02-25T00:00:00"/>
        <d v="2023-03-09T00:00:00"/>
        <d v="2024-03-30T00:00:00"/>
        <d v="2024-10-12T00:00:00"/>
        <d v="2024-05-29T00:00:00"/>
        <d v="2023-04-30T00:00:00"/>
        <d v="2024-12-10T00:00:00"/>
        <d v="2023-05-11T00:00:00"/>
        <d v="2023-05-28T00:00:00"/>
        <d v="2024-11-12T00:00:00"/>
        <d v="2023-11-13T00:00:00"/>
        <d v="2023-07-30T00:00:00"/>
        <d v="2023-01-06T00:00:00"/>
        <d v="2023-01-21T00:00:00"/>
        <d v="2023-06-04T00:00:00"/>
        <d v="2023-02-24T00:00:00"/>
        <d v="2023-11-05T00:00:00"/>
        <d v="2024-02-10T00:00:00"/>
        <d v="2023-07-05T00:00:00"/>
        <d v="2024-07-25T00:00:00"/>
        <d v="2023-01-15T00:00:00"/>
        <d v="2024-08-20T00:00:00"/>
        <d v="2023-12-07T00:00:00"/>
        <d v="2023-08-07T00:00:00"/>
        <d v="2024-01-23T00:00:00"/>
        <d v="2024-07-22T00:00:00"/>
        <d v="2023-11-14T00:00:00"/>
        <d v="2024-11-22T00:00:00"/>
        <d v="2024-07-08T00:00:00"/>
        <d v="2024-07-17T00:00:00"/>
        <d v="2023-07-25T00:00:00"/>
        <d v="2024-07-04T00:00:00"/>
        <d v="2024-04-21T00:00:00"/>
        <d v="2023-01-09T00:00:00"/>
        <d v="2024-01-28T00:00:00"/>
        <d v="2024-08-06T00:00:00"/>
        <d v="2023-09-10T00:00:00"/>
        <d v="2023-05-13T00:00:00"/>
        <d v="2023-06-29T00:00:00"/>
        <d v="2023-01-08T00:00:00"/>
        <d v="2023-09-03T00:00:00"/>
        <d v="2023-04-04T00:00:00"/>
        <d v="2023-09-15T00:00:00"/>
        <d v="2023-06-17T00:00:00"/>
        <d v="2024-04-22T00:00:00"/>
        <d v="2024-08-14T00:00:00"/>
        <d v="2023-07-08T00:00:00"/>
        <d v="2023-11-06T00:00:00"/>
        <d v="2024-03-02T00:00:00"/>
        <d v="2024-10-08T00:00:00"/>
        <d v="2024-06-16T00:00:00"/>
        <d v="2023-02-04T00:00:00"/>
        <d v="2023-07-11T00:00:00"/>
        <d v="2024-03-29T00:00:00"/>
        <d v="2023-02-26T00:00:00"/>
        <d v="2023-11-19T00:00:00"/>
        <d v="2023-07-13T00:00:00"/>
        <d v="2024-06-20T00:00:00"/>
        <d v="2024-05-28T00:00:00"/>
        <d v="2023-08-10T00:00:00"/>
        <d v="2023-03-28T00:00:00"/>
        <d v="2024-04-04T00:00:00"/>
        <d v="2024-07-23T00:00:00"/>
        <d v="2024-09-26T00:00:00"/>
        <d v="2023-08-24T00:00:00"/>
        <d v="2023-01-19T00:00:00"/>
        <d v="2023-12-12T00:00:00"/>
        <d v="2023-06-16T00:00:00"/>
        <d v="2024-11-04T00:00:00"/>
        <d v="2024-09-23T00:00:00"/>
        <d v="2023-07-21T00:00:00"/>
        <d v="2024-04-05T00:00:00"/>
        <d v="2024-02-03T00:00:00"/>
        <d v="2024-11-10T00:00:00"/>
        <d v="2024-06-27T00:00:00"/>
        <d v="2024-08-10T00:00:00"/>
        <d v="2023-03-08T00:00:00"/>
        <d v="2024-09-10T00:00:00"/>
        <d v="2023-06-12T00:00:00"/>
        <d v="2023-01-25T00:00:00"/>
        <d v="2024-11-13T00:00:00"/>
        <d v="2023-02-16T00:00:00"/>
        <d v="2023-02-12T00:00:00"/>
        <d v="2024-10-30T00:00:00"/>
      </sharedItems>
      <fieldGroup par="8" base="1">
        <rangePr groupBy="months" startDate="2023-01-01T00:00:00" endDate="2025-01-01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5"/>
        </groupItems>
      </fieldGroup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5" count="48">
        <n v="58"/>
        <n v="62"/>
        <n v="54"/>
        <n v="47"/>
        <n v="18"/>
        <n v="21"/>
        <n v="53"/>
        <n v="35"/>
        <n v="59"/>
        <n v="24"/>
        <n v="37"/>
        <n v="19"/>
        <n v="44"/>
        <n v="41"/>
        <n v="29"/>
        <n v="57"/>
        <n v="51"/>
        <n v="30"/>
        <n v="40"/>
        <n v="34"/>
        <n v="49"/>
        <n v="60"/>
        <n v="52"/>
        <n v="63"/>
        <n v="43"/>
        <n v="32"/>
        <n v="25"/>
        <n v="55"/>
        <n v="46"/>
        <n v="26"/>
        <n v="61"/>
        <n v="33"/>
        <n v="39"/>
        <n v="42"/>
        <n v="31"/>
        <n v="23"/>
        <n v="38"/>
        <n v="64"/>
        <n v="48"/>
        <n v="22"/>
        <n v="50"/>
        <n v="56"/>
        <n v="27"/>
        <n v="20"/>
        <n v="36"/>
        <n v="65"/>
        <n v="45"/>
        <n v="28"/>
      </sharedItems>
      <fieldGroup base="3">
        <rangePr startNum="18" endNum="65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Product Category" numFmtId="0">
      <sharedItems count="3">
        <s v="Beauty"/>
        <s v="Electronics"/>
        <s v="Clothing"/>
      </sharedItems>
    </cacheField>
    <cacheField name="Quantity" numFmtId="0">
      <sharedItems containsSemiMixedTypes="0" containsString="0" containsNumber="1" containsInteger="1" minValue="1" maxValue="7"/>
    </cacheField>
    <cacheField name="Price per Unit" numFmtId="0">
      <sharedItems containsSemiMixedTypes="0" containsString="0" containsNumber="1" containsInteger="1" minValue="10" maxValue="500"/>
    </cacheField>
    <cacheField name="Кварталы" numFmtId="0" databaseField="0">
      <fieldGroup base="1">
        <rangePr groupBy="quarters" startDate="2023-01-01T00:00:00" endDate="2025-01-01T00:00:00"/>
        <groupItems count="6">
          <s v="&lt;01.01.2023"/>
          <s v="Кв-л1"/>
          <s v="Кв-л2"/>
          <s v="Кв-л3"/>
          <s v="Кв-л4"/>
          <s v="&gt;01.01.2025"/>
        </groupItems>
      </fieldGroup>
    </cacheField>
    <cacheField name="Годы" numFmtId="0" databaseField="0">
      <fieldGroup base="1">
        <rangePr groupBy="years" startDate="2023-01-01T00:00:00" endDate="2025-01-01T00:00:00"/>
        <groupItems count="5">
          <s v="&lt;01.01.2023"/>
          <s v="2023"/>
          <s v="2024"/>
          <s v="2025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 pivotCacheId="2349101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6">
  <r>
    <n v="35"/>
    <x v="0"/>
    <x v="0"/>
    <x v="0"/>
    <x v="0"/>
    <n v="3"/>
    <n v="300"/>
  </r>
  <r>
    <n v="522"/>
    <x v="1"/>
    <x v="0"/>
    <x v="1"/>
    <x v="1"/>
    <n v="1"/>
    <n v="300"/>
  </r>
  <r>
    <n v="1610"/>
    <x v="2"/>
    <x v="0"/>
    <x v="2"/>
    <x v="2"/>
    <n v="5"/>
    <n v="190"/>
  </r>
  <r>
    <n v="1179"/>
    <x v="3"/>
    <x v="1"/>
    <x v="3"/>
    <x v="1"/>
    <n v="5"/>
    <n v="286"/>
  </r>
  <r>
    <n v="22"/>
    <x v="4"/>
    <x v="1"/>
    <x v="4"/>
    <x v="2"/>
    <n v="2"/>
    <n v="50"/>
  </r>
  <r>
    <n v="536"/>
    <x v="5"/>
    <x v="0"/>
    <x v="5"/>
    <x v="0"/>
    <n v="1"/>
    <n v="500"/>
  </r>
  <r>
    <n v="1617"/>
    <x v="6"/>
    <x v="1"/>
    <x v="6"/>
    <x v="1"/>
    <n v="3"/>
    <n v="474"/>
  </r>
  <r>
    <n v="347"/>
    <x v="7"/>
    <x v="0"/>
    <x v="7"/>
    <x v="1"/>
    <n v="2"/>
    <n v="300"/>
  </r>
  <r>
    <n v="1782"/>
    <x v="8"/>
    <x v="1"/>
    <x v="8"/>
    <x v="2"/>
    <n v="5"/>
    <n v="97"/>
  </r>
  <r>
    <n v="1148"/>
    <x v="9"/>
    <x v="0"/>
    <x v="9"/>
    <x v="1"/>
    <n v="1"/>
    <n v="227"/>
  </r>
  <r>
    <n v="1180"/>
    <x v="10"/>
    <x v="1"/>
    <x v="10"/>
    <x v="0"/>
    <n v="2"/>
    <n v="128"/>
  </r>
  <r>
    <n v="1305"/>
    <x v="11"/>
    <x v="0"/>
    <x v="11"/>
    <x v="0"/>
    <n v="6"/>
    <n v="125"/>
  </r>
  <r>
    <n v="659"/>
    <x v="12"/>
    <x v="0"/>
    <x v="12"/>
    <x v="2"/>
    <n v="4"/>
    <n v="25"/>
  </r>
  <r>
    <n v="691"/>
    <x v="13"/>
    <x v="1"/>
    <x v="13"/>
    <x v="0"/>
    <n v="3"/>
    <n v="500"/>
  </r>
  <r>
    <n v="432"/>
    <x v="14"/>
    <x v="1"/>
    <x v="14"/>
    <x v="0"/>
    <n v="4"/>
    <n v="50"/>
  </r>
  <r>
    <n v="669"/>
    <x v="15"/>
    <x v="1"/>
    <x v="1"/>
    <x v="1"/>
    <n v="3"/>
    <n v="50"/>
  </r>
  <r>
    <n v="853"/>
    <x v="16"/>
    <x v="1"/>
    <x v="2"/>
    <x v="0"/>
    <n v="1"/>
    <n v="25"/>
  </r>
  <r>
    <n v="683"/>
    <x v="17"/>
    <x v="1"/>
    <x v="15"/>
    <x v="1"/>
    <n v="2"/>
    <n v="25"/>
  </r>
  <r>
    <n v="547"/>
    <x v="18"/>
    <x v="0"/>
    <x v="16"/>
    <x v="2"/>
    <n v="2"/>
    <n v="30"/>
  </r>
  <r>
    <n v="1545"/>
    <x v="19"/>
    <x v="0"/>
    <x v="10"/>
    <x v="2"/>
    <n v="3"/>
    <n v="465"/>
  </r>
  <r>
    <n v="861"/>
    <x v="20"/>
    <x v="0"/>
    <x v="17"/>
    <x v="1"/>
    <n v="2"/>
    <n v="25"/>
  </r>
  <r>
    <n v="715"/>
    <x v="21"/>
    <x v="1"/>
    <x v="15"/>
    <x v="2"/>
    <n v="1"/>
    <n v="500"/>
  </r>
  <r>
    <n v="620"/>
    <x v="22"/>
    <x v="0"/>
    <x v="18"/>
    <x v="0"/>
    <n v="2"/>
    <n v="500"/>
  </r>
  <r>
    <n v="701"/>
    <x v="23"/>
    <x v="1"/>
    <x v="19"/>
    <x v="1"/>
    <n v="2"/>
    <n v="50"/>
  </r>
  <r>
    <n v="1090"/>
    <x v="24"/>
    <x v="0"/>
    <x v="17"/>
    <x v="1"/>
    <n v="7"/>
    <n v="54"/>
  </r>
  <r>
    <n v="1016"/>
    <x v="25"/>
    <x v="0"/>
    <x v="20"/>
    <x v="1"/>
    <n v="2"/>
    <n v="177"/>
  </r>
  <r>
    <n v="1030"/>
    <x v="26"/>
    <x v="1"/>
    <x v="21"/>
    <x v="0"/>
    <n v="7"/>
    <n v="51"/>
  </r>
  <r>
    <n v="1133"/>
    <x v="27"/>
    <x v="1"/>
    <x v="19"/>
    <x v="2"/>
    <n v="7"/>
    <n v="51"/>
  </r>
  <r>
    <n v="1177"/>
    <x v="28"/>
    <x v="1"/>
    <x v="14"/>
    <x v="1"/>
    <n v="5"/>
    <n v="447"/>
  </r>
  <r>
    <n v="1667"/>
    <x v="29"/>
    <x v="1"/>
    <x v="22"/>
    <x v="1"/>
    <n v="5"/>
    <n v="479"/>
  </r>
  <r>
    <n v="1629"/>
    <x v="30"/>
    <x v="0"/>
    <x v="6"/>
    <x v="1"/>
    <n v="5"/>
    <n v="493"/>
  </r>
  <r>
    <n v="716"/>
    <x v="31"/>
    <x v="0"/>
    <x v="8"/>
    <x v="0"/>
    <n v="3"/>
    <n v="25"/>
  </r>
  <r>
    <n v="153"/>
    <x v="32"/>
    <x v="1"/>
    <x v="23"/>
    <x v="1"/>
    <n v="2"/>
    <n v="500"/>
  </r>
  <r>
    <n v="1440"/>
    <x v="33"/>
    <x v="1"/>
    <x v="5"/>
    <x v="2"/>
    <n v="6"/>
    <n v="215"/>
  </r>
  <r>
    <n v="142"/>
    <x v="34"/>
    <x v="1"/>
    <x v="7"/>
    <x v="1"/>
    <n v="4"/>
    <n v="300"/>
  </r>
  <r>
    <n v="152"/>
    <x v="35"/>
    <x v="1"/>
    <x v="24"/>
    <x v="1"/>
    <n v="4"/>
    <n v="500"/>
  </r>
  <r>
    <n v="101"/>
    <x v="36"/>
    <x v="1"/>
    <x v="25"/>
    <x v="2"/>
    <n v="2"/>
    <n v="300"/>
  </r>
  <r>
    <n v="1709"/>
    <x v="37"/>
    <x v="1"/>
    <x v="20"/>
    <x v="0"/>
    <n v="2"/>
    <n v="389"/>
  </r>
  <r>
    <n v="109"/>
    <x v="38"/>
    <x v="0"/>
    <x v="19"/>
    <x v="1"/>
    <n v="4"/>
    <n v="500"/>
  </r>
  <r>
    <n v="1959"/>
    <x v="39"/>
    <x v="0"/>
    <x v="26"/>
    <x v="0"/>
    <n v="3"/>
    <n v="452"/>
  </r>
  <r>
    <n v="1096"/>
    <x v="2"/>
    <x v="0"/>
    <x v="27"/>
    <x v="0"/>
    <n v="5"/>
    <n v="330"/>
  </r>
  <r>
    <n v="1850"/>
    <x v="40"/>
    <x v="1"/>
    <x v="28"/>
    <x v="2"/>
    <n v="5"/>
    <n v="184"/>
  </r>
  <r>
    <n v="113"/>
    <x v="41"/>
    <x v="0"/>
    <x v="13"/>
    <x v="1"/>
    <n v="2"/>
    <n v="25"/>
  </r>
  <r>
    <n v="1688"/>
    <x v="42"/>
    <x v="0"/>
    <x v="29"/>
    <x v="2"/>
    <n v="1"/>
    <n v="279"/>
  </r>
  <r>
    <n v="755"/>
    <x v="43"/>
    <x v="0"/>
    <x v="24"/>
    <x v="1"/>
    <n v="4"/>
    <n v="300"/>
  </r>
  <r>
    <n v="416"/>
    <x v="44"/>
    <x v="1"/>
    <x v="24"/>
    <x v="1"/>
    <n v="3"/>
    <n v="300"/>
  </r>
  <r>
    <n v="516"/>
    <x v="45"/>
    <x v="0"/>
    <x v="3"/>
    <x v="2"/>
    <n v="4"/>
    <n v="25"/>
  </r>
  <r>
    <n v="825"/>
    <x v="46"/>
    <x v="1"/>
    <x v="30"/>
    <x v="0"/>
    <n v="3"/>
    <n v="300"/>
  </r>
  <r>
    <n v="415"/>
    <x v="47"/>
    <x v="1"/>
    <x v="6"/>
    <x v="1"/>
    <n v="4"/>
    <n v="500"/>
  </r>
  <r>
    <n v="127"/>
    <x v="48"/>
    <x v="0"/>
    <x v="31"/>
    <x v="2"/>
    <n v="2"/>
    <n v="25"/>
  </r>
  <r>
    <n v="223"/>
    <x v="49"/>
    <x v="0"/>
    <x v="26"/>
    <x v="2"/>
    <n v="1"/>
    <n v="50"/>
  </r>
  <r>
    <n v="900"/>
    <x v="50"/>
    <x v="0"/>
    <x v="2"/>
    <x v="0"/>
    <n v="1"/>
    <n v="50"/>
  </r>
  <r>
    <n v="327"/>
    <x v="51"/>
    <x v="1"/>
    <x v="32"/>
    <x v="0"/>
    <n v="2"/>
    <n v="50"/>
  </r>
  <r>
    <n v="208"/>
    <x v="52"/>
    <x v="0"/>
    <x v="19"/>
    <x v="1"/>
    <n v="4"/>
    <n v="50"/>
  </r>
  <r>
    <n v="1431"/>
    <x v="53"/>
    <x v="0"/>
    <x v="33"/>
    <x v="1"/>
    <n v="2"/>
    <n v="488"/>
  </r>
  <r>
    <n v="1409"/>
    <x v="30"/>
    <x v="0"/>
    <x v="34"/>
    <x v="1"/>
    <n v="7"/>
    <n v="123"/>
  </r>
  <r>
    <n v="1032"/>
    <x v="54"/>
    <x v="0"/>
    <x v="25"/>
    <x v="2"/>
    <n v="1"/>
    <n v="445"/>
  </r>
  <r>
    <n v="1146"/>
    <x v="55"/>
    <x v="1"/>
    <x v="11"/>
    <x v="2"/>
    <n v="4"/>
    <n v="162"/>
  </r>
  <r>
    <n v="1558"/>
    <x v="56"/>
    <x v="0"/>
    <x v="30"/>
    <x v="2"/>
    <n v="3"/>
    <n v="135"/>
  </r>
  <r>
    <n v="1472"/>
    <x v="57"/>
    <x v="1"/>
    <x v="28"/>
    <x v="2"/>
    <n v="1"/>
    <n v="224"/>
  </r>
  <r>
    <n v="255"/>
    <x v="58"/>
    <x v="1"/>
    <x v="35"/>
    <x v="2"/>
    <n v="2"/>
    <n v="500"/>
  </r>
  <r>
    <n v="1489"/>
    <x v="59"/>
    <x v="1"/>
    <x v="36"/>
    <x v="0"/>
    <n v="3"/>
    <n v="47"/>
  </r>
  <r>
    <n v="1386"/>
    <x v="60"/>
    <x v="1"/>
    <x v="25"/>
    <x v="2"/>
    <n v="2"/>
    <n v="341"/>
  </r>
  <r>
    <n v="653"/>
    <x v="61"/>
    <x v="0"/>
    <x v="27"/>
    <x v="2"/>
    <n v="1"/>
    <n v="500"/>
  </r>
  <r>
    <n v="1368"/>
    <x v="62"/>
    <x v="0"/>
    <x v="17"/>
    <x v="0"/>
    <n v="1"/>
    <n v="319"/>
  </r>
  <r>
    <n v="1657"/>
    <x v="63"/>
    <x v="0"/>
    <x v="28"/>
    <x v="2"/>
    <n v="5"/>
    <n v="452"/>
  </r>
  <r>
    <n v="1524"/>
    <x v="64"/>
    <x v="1"/>
    <x v="23"/>
    <x v="2"/>
    <n v="1"/>
    <n v="84"/>
  </r>
  <r>
    <n v="640"/>
    <x v="65"/>
    <x v="0"/>
    <x v="18"/>
    <x v="1"/>
    <n v="1"/>
    <n v="300"/>
  </r>
  <r>
    <n v="222"/>
    <x v="34"/>
    <x v="0"/>
    <x v="37"/>
    <x v="2"/>
    <n v="1"/>
    <n v="25"/>
  </r>
  <r>
    <n v="14"/>
    <x v="66"/>
    <x v="1"/>
    <x v="37"/>
    <x v="2"/>
    <n v="4"/>
    <n v="30"/>
  </r>
  <r>
    <n v="1492"/>
    <x v="67"/>
    <x v="1"/>
    <x v="19"/>
    <x v="0"/>
    <n v="3"/>
    <n v="108"/>
  </r>
  <r>
    <n v="991"/>
    <x v="68"/>
    <x v="0"/>
    <x v="38"/>
    <x v="1"/>
    <n v="3"/>
    <n v="50"/>
  </r>
  <r>
    <n v="881"/>
    <x v="69"/>
    <x v="1"/>
    <x v="18"/>
    <x v="1"/>
    <n v="1"/>
    <n v="500"/>
  </r>
  <r>
    <n v="1526"/>
    <x v="33"/>
    <x v="0"/>
    <x v="11"/>
    <x v="2"/>
    <n v="6"/>
    <n v="72"/>
  </r>
  <r>
    <n v="407"/>
    <x v="70"/>
    <x v="0"/>
    <x v="37"/>
    <x v="0"/>
    <n v="1"/>
    <n v="500"/>
  </r>
  <r>
    <n v="958"/>
    <x v="71"/>
    <x v="1"/>
    <x v="8"/>
    <x v="2"/>
    <n v="2"/>
    <n v="30"/>
  </r>
  <r>
    <n v="1918"/>
    <x v="72"/>
    <x v="1"/>
    <x v="1"/>
    <x v="1"/>
    <n v="3"/>
    <n v="387"/>
  </r>
  <r>
    <n v="1257"/>
    <x v="73"/>
    <x v="1"/>
    <x v="5"/>
    <x v="0"/>
    <n v="1"/>
    <n v="188"/>
  </r>
  <r>
    <n v="943"/>
    <x v="74"/>
    <x v="1"/>
    <x v="17"/>
    <x v="0"/>
    <n v="1"/>
    <n v="25"/>
  </r>
  <r>
    <n v="1121"/>
    <x v="75"/>
    <x v="0"/>
    <x v="8"/>
    <x v="1"/>
    <n v="6"/>
    <n v="443"/>
  </r>
  <r>
    <n v="1106"/>
    <x v="76"/>
    <x v="0"/>
    <x v="26"/>
    <x v="0"/>
    <n v="6"/>
    <n v="197"/>
  </r>
  <r>
    <n v="692"/>
    <x v="77"/>
    <x v="0"/>
    <x v="32"/>
    <x v="1"/>
    <n v="2"/>
    <n v="25"/>
  </r>
  <r>
    <n v="144"/>
    <x v="78"/>
    <x v="0"/>
    <x v="8"/>
    <x v="0"/>
    <n v="3"/>
    <n v="500"/>
  </r>
  <r>
    <n v="636"/>
    <x v="16"/>
    <x v="1"/>
    <x v="24"/>
    <x v="2"/>
    <n v="2"/>
    <n v="300"/>
  </r>
  <r>
    <n v="42"/>
    <x v="47"/>
    <x v="1"/>
    <x v="39"/>
    <x v="2"/>
    <n v="3"/>
    <n v="300"/>
  </r>
  <r>
    <n v="424"/>
    <x v="79"/>
    <x v="0"/>
    <x v="27"/>
    <x v="1"/>
    <n v="4"/>
    <n v="30"/>
  </r>
  <r>
    <n v="1885"/>
    <x v="80"/>
    <x v="0"/>
    <x v="21"/>
    <x v="1"/>
    <n v="7"/>
    <n v="267"/>
  </r>
  <r>
    <n v="1300"/>
    <x v="81"/>
    <x v="1"/>
    <x v="33"/>
    <x v="1"/>
    <n v="2"/>
    <n v="171"/>
  </r>
  <r>
    <n v="240"/>
    <x v="82"/>
    <x v="0"/>
    <x v="35"/>
    <x v="1"/>
    <n v="3"/>
    <n v="25"/>
  </r>
  <r>
    <n v="387"/>
    <x v="83"/>
    <x v="1"/>
    <x v="40"/>
    <x v="1"/>
    <n v="1"/>
    <n v="25"/>
  </r>
  <r>
    <n v="1320"/>
    <x v="84"/>
    <x v="0"/>
    <x v="41"/>
    <x v="0"/>
    <n v="6"/>
    <n v="33"/>
  </r>
  <r>
    <n v="1634"/>
    <x v="85"/>
    <x v="1"/>
    <x v="34"/>
    <x v="2"/>
    <n v="7"/>
    <n v="490"/>
  </r>
  <r>
    <n v="44"/>
    <x v="86"/>
    <x v="0"/>
    <x v="39"/>
    <x v="2"/>
    <n v="1"/>
    <n v="25"/>
  </r>
  <r>
    <n v="1183"/>
    <x v="87"/>
    <x v="1"/>
    <x v="40"/>
    <x v="2"/>
    <n v="6"/>
    <n v="18"/>
  </r>
  <r>
    <n v="1488"/>
    <x v="88"/>
    <x v="0"/>
    <x v="11"/>
    <x v="1"/>
    <n v="6"/>
    <n v="93"/>
  </r>
  <r>
    <n v="1787"/>
    <x v="89"/>
    <x v="0"/>
    <x v="37"/>
    <x v="0"/>
    <n v="3"/>
    <n v="404"/>
  </r>
  <r>
    <n v="1407"/>
    <x v="90"/>
    <x v="0"/>
    <x v="8"/>
    <x v="2"/>
    <n v="2"/>
    <n v="45"/>
  </r>
  <r>
    <n v="1210"/>
    <x v="67"/>
    <x v="1"/>
    <x v="14"/>
    <x v="0"/>
    <n v="5"/>
    <n v="308"/>
  </r>
  <r>
    <n v="808"/>
    <x v="91"/>
    <x v="1"/>
    <x v="8"/>
    <x v="1"/>
    <n v="4"/>
    <n v="25"/>
  </r>
  <r>
    <n v="1659"/>
    <x v="92"/>
    <x v="1"/>
    <x v="5"/>
    <x v="2"/>
    <n v="3"/>
    <n v="347"/>
  </r>
  <r>
    <n v="1391"/>
    <x v="93"/>
    <x v="0"/>
    <x v="22"/>
    <x v="2"/>
    <n v="5"/>
    <n v="44"/>
  </r>
  <r>
    <n v="1080"/>
    <x v="94"/>
    <x v="0"/>
    <x v="28"/>
    <x v="0"/>
    <n v="6"/>
    <n v="143"/>
  </r>
  <r>
    <n v="412"/>
    <x v="95"/>
    <x v="0"/>
    <x v="12"/>
    <x v="0"/>
    <n v="3"/>
    <n v="25"/>
  </r>
  <r>
    <n v="971"/>
    <x v="51"/>
    <x v="1"/>
    <x v="21"/>
    <x v="2"/>
    <n v="1"/>
    <n v="50"/>
  </r>
  <r>
    <n v="657"/>
    <x v="96"/>
    <x v="0"/>
    <x v="32"/>
    <x v="1"/>
    <n v="1"/>
    <n v="30"/>
  </r>
  <r>
    <n v="1174"/>
    <x v="97"/>
    <x v="0"/>
    <x v="7"/>
    <x v="0"/>
    <n v="1"/>
    <n v="431"/>
  </r>
  <r>
    <n v="1845"/>
    <x v="98"/>
    <x v="1"/>
    <x v="6"/>
    <x v="2"/>
    <n v="1"/>
    <n v="359"/>
  </r>
  <r>
    <n v="508"/>
    <x v="99"/>
    <x v="0"/>
    <x v="10"/>
    <x v="1"/>
    <n v="3"/>
    <n v="300"/>
  </r>
  <r>
    <n v="1953"/>
    <x v="100"/>
    <x v="0"/>
    <x v="33"/>
    <x v="1"/>
    <n v="5"/>
    <n v="187"/>
  </r>
  <r>
    <n v="878"/>
    <x v="101"/>
    <x v="1"/>
    <x v="39"/>
    <x v="0"/>
    <n v="2"/>
    <n v="500"/>
  </r>
  <r>
    <n v="1229"/>
    <x v="102"/>
    <x v="0"/>
    <x v="35"/>
    <x v="0"/>
    <n v="3"/>
    <n v="135"/>
  </r>
  <r>
    <n v="1679"/>
    <x v="26"/>
    <x v="1"/>
    <x v="8"/>
    <x v="0"/>
    <n v="4"/>
    <n v="435"/>
  </r>
  <r>
    <n v="697"/>
    <x v="103"/>
    <x v="0"/>
    <x v="10"/>
    <x v="2"/>
    <n v="4"/>
    <n v="30"/>
  </r>
  <r>
    <n v="1752"/>
    <x v="29"/>
    <x v="0"/>
    <x v="34"/>
    <x v="1"/>
    <n v="1"/>
    <n v="121"/>
  </r>
  <r>
    <n v="617"/>
    <x v="104"/>
    <x v="0"/>
    <x v="42"/>
    <x v="0"/>
    <n v="1"/>
    <n v="50"/>
  </r>
  <r>
    <n v="1642"/>
    <x v="105"/>
    <x v="0"/>
    <x v="43"/>
    <x v="1"/>
    <n v="7"/>
    <n v="375"/>
  </r>
  <r>
    <n v="545"/>
    <x v="106"/>
    <x v="0"/>
    <x v="44"/>
    <x v="1"/>
    <n v="4"/>
    <n v="50"/>
  </r>
  <r>
    <n v="1779"/>
    <x v="107"/>
    <x v="0"/>
    <x v="23"/>
    <x v="2"/>
    <n v="7"/>
    <n v="54"/>
  </r>
  <r>
    <n v="523"/>
    <x v="108"/>
    <x v="1"/>
    <x v="28"/>
    <x v="0"/>
    <n v="4"/>
    <n v="300"/>
  </r>
  <r>
    <n v="600"/>
    <x v="109"/>
    <x v="1"/>
    <x v="11"/>
    <x v="2"/>
    <n v="1"/>
    <n v="30"/>
  </r>
  <r>
    <n v="790"/>
    <x v="110"/>
    <x v="0"/>
    <x v="43"/>
    <x v="0"/>
    <n v="1"/>
    <n v="50"/>
  </r>
  <r>
    <n v="1939"/>
    <x v="111"/>
    <x v="0"/>
    <x v="22"/>
    <x v="2"/>
    <n v="5"/>
    <n v="303"/>
  </r>
  <r>
    <n v="1352"/>
    <x v="112"/>
    <x v="0"/>
    <x v="45"/>
    <x v="1"/>
    <n v="7"/>
    <n v="230"/>
  </r>
  <r>
    <n v="225"/>
    <x v="113"/>
    <x v="0"/>
    <x v="30"/>
    <x v="2"/>
    <n v="1"/>
    <n v="50"/>
  </r>
  <r>
    <n v="1145"/>
    <x v="114"/>
    <x v="1"/>
    <x v="24"/>
    <x v="1"/>
    <n v="3"/>
    <n v="221"/>
  </r>
  <r>
    <n v="1144"/>
    <x v="115"/>
    <x v="1"/>
    <x v="28"/>
    <x v="2"/>
    <n v="2"/>
    <n v="186"/>
  </r>
  <r>
    <n v="492"/>
    <x v="116"/>
    <x v="1"/>
    <x v="13"/>
    <x v="0"/>
    <n v="2"/>
    <n v="25"/>
  </r>
  <r>
    <n v="1219"/>
    <x v="117"/>
    <x v="1"/>
    <x v="46"/>
    <x v="2"/>
    <n v="4"/>
    <n v="216"/>
  </r>
  <r>
    <n v="842"/>
    <x v="118"/>
    <x v="1"/>
    <x v="7"/>
    <x v="2"/>
    <n v="3"/>
    <n v="50"/>
  </r>
  <r>
    <n v="1338"/>
    <x v="119"/>
    <x v="1"/>
    <x v="43"/>
    <x v="2"/>
    <n v="5"/>
    <n v="235"/>
  </r>
  <r>
    <n v="588"/>
    <x v="120"/>
    <x v="0"/>
    <x v="44"/>
    <x v="0"/>
    <n v="2"/>
    <n v="500"/>
  </r>
  <r>
    <n v="594"/>
    <x v="46"/>
    <x v="0"/>
    <x v="4"/>
    <x v="2"/>
    <n v="4"/>
    <n v="500"/>
  </r>
  <r>
    <n v="726"/>
    <x v="121"/>
    <x v="1"/>
    <x v="16"/>
    <x v="1"/>
    <n v="3"/>
    <n v="50"/>
  </r>
  <r>
    <n v="741"/>
    <x v="122"/>
    <x v="0"/>
    <x v="19"/>
    <x v="0"/>
    <n v="4"/>
    <n v="500"/>
  </r>
  <r>
    <n v="1708"/>
    <x v="123"/>
    <x v="0"/>
    <x v="33"/>
    <x v="0"/>
    <n v="3"/>
    <n v="100"/>
  </r>
  <r>
    <n v="1572"/>
    <x v="124"/>
    <x v="1"/>
    <x v="35"/>
    <x v="2"/>
    <n v="6"/>
    <n v="130"/>
  </r>
  <r>
    <n v="1156"/>
    <x v="87"/>
    <x v="0"/>
    <x v="47"/>
    <x v="1"/>
    <n v="3"/>
    <n v="272"/>
  </r>
  <r>
    <n v="1853"/>
    <x v="125"/>
    <x v="1"/>
    <x v="22"/>
    <x v="1"/>
    <n v="4"/>
    <n v="111"/>
  </r>
  <r>
    <n v="1864"/>
    <x v="123"/>
    <x v="0"/>
    <x v="10"/>
    <x v="1"/>
    <n v="3"/>
    <n v="466"/>
  </r>
  <r>
    <n v="1722"/>
    <x v="126"/>
    <x v="1"/>
    <x v="38"/>
    <x v="2"/>
    <n v="6"/>
    <n v="139"/>
  </r>
  <r>
    <n v="746"/>
    <x v="127"/>
    <x v="1"/>
    <x v="26"/>
    <x v="2"/>
    <n v="3"/>
    <n v="50"/>
  </r>
  <r>
    <n v="856"/>
    <x v="128"/>
    <x v="1"/>
    <x v="35"/>
    <x v="1"/>
    <n v="2"/>
    <n v="50"/>
  </r>
  <r>
    <n v="434"/>
    <x v="129"/>
    <x v="0"/>
    <x v="17"/>
    <x v="0"/>
    <n v="3"/>
    <n v="300"/>
  </r>
  <r>
    <n v="676"/>
    <x v="130"/>
    <x v="0"/>
    <x v="21"/>
    <x v="1"/>
    <n v="3"/>
    <n v="300"/>
  </r>
  <r>
    <n v="1720"/>
    <x v="76"/>
    <x v="1"/>
    <x v="46"/>
    <x v="2"/>
    <n v="6"/>
    <n v="357"/>
  </r>
  <r>
    <n v="1793"/>
    <x v="131"/>
    <x v="1"/>
    <x v="43"/>
    <x v="2"/>
    <n v="1"/>
    <n v="491"/>
  </r>
  <r>
    <n v="183"/>
    <x v="95"/>
    <x v="0"/>
    <x v="24"/>
    <x v="0"/>
    <n v="3"/>
    <n v="300"/>
  </r>
  <r>
    <n v="169"/>
    <x v="132"/>
    <x v="1"/>
    <x v="4"/>
    <x v="0"/>
    <n v="3"/>
    <n v="500"/>
  </r>
  <r>
    <n v="211"/>
    <x v="133"/>
    <x v="1"/>
    <x v="5"/>
    <x v="2"/>
    <n v="3"/>
    <n v="500"/>
  </r>
  <r>
    <n v="1263"/>
    <x v="60"/>
    <x v="0"/>
    <x v="27"/>
    <x v="1"/>
    <n v="3"/>
    <n v="233"/>
  </r>
  <r>
    <n v="1681"/>
    <x v="134"/>
    <x v="1"/>
    <x v="40"/>
    <x v="1"/>
    <n v="3"/>
    <n v="26"/>
  </r>
  <r>
    <n v="1267"/>
    <x v="135"/>
    <x v="1"/>
    <x v="26"/>
    <x v="1"/>
    <n v="1"/>
    <n v="493"/>
  </r>
  <r>
    <n v="1876"/>
    <x v="136"/>
    <x v="1"/>
    <x v="23"/>
    <x v="0"/>
    <n v="4"/>
    <n v="499"/>
  </r>
  <r>
    <n v="379"/>
    <x v="137"/>
    <x v="1"/>
    <x v="41"/>
    <x v="1"/>
    <n v="2"/>
    <n v="300"/>
  </r>
  <r>
    <n v="1294"/>
    <x v="138"/>
    <x v="0"/>
    <x v="21"/>
    <x v="1"/>
    <n v="1"/>
    <n v="137"/>
  </r>
  <r>
    <n v="19"/>
    <x v="139"/>
    <x v="0"/>
    <x v="1"/>
    <x v="2"/>
    <n v="2"/>
    <n v="25"/>
  </r>
  <r>
    <n v="867"/>
    <x v="140"/>
    <x v="1"/>
    <x v="10"/>
    <x v="0"/>
    <n v="3"/>
    <n v="500"/>
  </r>
  <r>
    <n v="129"/>
    <x v="13"/>
    <x v="0"/>
    <x v="5"/>
    <x v="0"/>
    <n v="2"/>
    <n v="300"/>
  </r>
  <r>
    <n v="72"/>
    <x v="141"/>
    <x v="0"/>
    <x v="43"/>
    <x v="1"/>
    <n v="4"/>
    <n v="500"/>
  </r>
  <r>
    <n v="1249"/>
    <x v="142"/>
    <x v="1"/>
    <x v="33"/>
    <x v="1"/>
    <n v="7"/>
    <n v="389"/>
  </r>
  <r>
    <n v="380"/>
    <x v="110"/>
    <x v="0"/>
    <x v="12"/>
    <x v="2"/>
    <n v="4"/>
    <n v="25"/>
  </r>
  <r>
    <n v="914"/>
    <x v="143"/>
    <x v="0"/>
    <x v="25"/>
    <x v="1"/>
    <n v="1"/>
    <n v="50"/>
  </r>
  <r>
    <n v="1731"/>
    <x v="144"/>
    <x v="0"/>
    <x v="25"/>
    <x v="2"/>
    <n v="5"/>
    <n v="124"/>
  </r>
  <r>
    <n v="725"/>
    <x v="103"/>
    <x v="1"/>
    <x v="27"/>
    <x v="0"/>
    <n v="3"/>
    <n v="300"/>
  </r>
  <r>
    <n v="1540"/>
    <x v="135"/>
    <x v="1"/>
    <x v="7"/>
    <x v="0"/>
    <n v="4"/>
    <n v="343"/>
  </r>
  <r>
    <n v="554"/>
    <x v="145"/>
    <x v="1"/>
    <x v="26"/>
    <x v="0"/>
    <n v="1"/>
    <n v="300"/>
  </r>
  <r>
    <n v="1444"/>
    <x v="146"/>
    <x v="1"/>
    <x v="31"/>
    <x v="0"/>
    <n v="4"/>
    <n v="235"/>
  </r>
  <r>
    <n v="1856"/>
    <x v="147"/>
    <x v="1"/>
    <x v="12"/>
    <x v="2"/>
    <n v="2"/>
    <n v="464"/>
  </r>
  <r>
    <n v="860"/>
    <x v="148"/>
    <x v="1"/>
    <x v="47"/>
    <x v="1"/>
    <n v="4"/>
    <n v="300"/>
  </r>
  <r>
    <n v="1832"/>
    <x v="76"/>
    <x v="0"/>
    <x v="28"/>
    <x v="2"/>
    <n v="1"/>
    <n v="496"/>
  </r>
  <r>
    <n v="398"/>
    <x v="149"/>
    <x v="0"/>
    <x v="37"/>
    <x v="0"/>
    <n v="2"/>
    <n v="30"/>
  </r>
  <r>
    <n v="173"/>
    <x v="150"/>
    <x v="1"/>
    <x v="37"/>
    <x v="1"/>
    <n v="4"/>
    <n v="30"/>
  </r>
  <r>
    <n v="1054"/>
    <x v="151"/>
    <x v="0"/>
    <x v="33"/>
    <x v="2"/>
    <n v="2"/>
    <n v="164"/>
  </r>
  <r>
    <n v="1426"/>
    <x v="152"/>
    <x v="1"/>
    <x v="27"/>
    <x v="1"/>
    <n v="7"/>
    <n v="399"/>
  </r>
  <r>
    <n v="1778"/>
    <x v="153"/>
    <x v="1"/>
    <x v="21"/>
    <x v="2"/>
    <n v="5"/>
    <n v="146"/>
  </r>
  <r>
    <n v="203"/>
    <x v="154"/>
    <x v="1"/>
    <x v="41"/>
    <x v="2"/>
    <n v="2"/>
    <n v="500"/>
  </r>
  <r>
    <n v="1616"/>
    <x v="155"/>
    <x v="1"/>
    <x v="41"/>
    <x v="1"/>
    <n v="7"/>
    <n v="249"/>
  </r>
  <r>
    <n v="677"/>
    <x v="156"/>
    <x v="0"/>
    <x v="4"/>
    <x v="0"/>
    <n v="3"/>
    <n v="30"/>
  </r>
  <r>
    <n v="172"/>
    <x v="157"/>
    <x v="1"/>
    <x v="25"/>
    <x v="0"/>
    <n v="2"/>
    <n v="25"/>
  </r>
  <r>
    <n v="198"/>
    <x v="158"/>
    <x v="0"/>
    <x v="2"/>
    <x v="0"/>
    <n v="3"/>
    <n v="300"/>
  </r>
  <r>
    <n v="1957"/>
    <x v="159"/>
    <x v="1"/>
    <x v="41"/>
    <x v="0"/>
    <n v="5"/>
    <n v="263"/>
  </r>
  <r>
    <n v="599"/>
    <x v="160"/>
    <x v="0"/>
    <x v="8"/>
    <x v="0"/>
    <n v="2"/>
    <n v="500"/>
  </r>
  <r>
    <n v="378"/>
    <x v="161"/>
    <x v="0"/>
    <x v="3"/>
    <x v="2"/>
    <n v="1"/>
    <n v="25"/>
  </r>
  <r>
    <n v="281"/>
    <x v="31"/>
    <x v="0"/>
    <x v="37"/>
    <x v="1"/>
    <n v="4"/>
    <n v="50"/>
  </r>
  <r>
    <n v="83"/>
    <x v="32"/>
    <x v="1"/>
    <x v="2"/>
    <x v="1"/>
    <n v="2"/>
    <n v="50"/>
  </r>
  <r>
    <n v="499"/>
    <x v="149"/>
    <x v="0"/>
    <x v="21"/>
    <x v="0"/>
    <n v="4"/>
    <n v="25"/>
  </r>
  <r>
    <n v="722"/>
    <x v="162"/>
    <x v="1"/>
    <x v="30"/>
    <x v="2"/>
    <n v="3"/>
    <n v="50"/>
  </r>
  <r>
    <n v="625"/>
    <x v="163"/>
    <x v="0"/>
    <x v="29"/>
    <x v="2"/>
    <n v="4"/>
    <n v="500"/>
  </r>
  <r>
    <n v="1647"/>
    <x v="56"/>
    <x v="1"/>
    <x v="4"/>
    <x v="2"/>
    <n v="1"/>
    <n v="99"/>
  </r>
  <r>
    <n v="1402"/>
    <x v="164"/>
    <x v="0"/>
    <x v="30"/>
    <x v="2"/>
    <n v="3"/>
    <n v="193"/>
  </r>
  <r>
    <n v="1691"/>
    <x v="165"/>
    <x v="0"/>
    <x v="43"/>
    <x v="1"/>
    <n v="7"/>
    <n v="259"/>
  </r>
  <r>
    <n v="804"/>
    <x v="127"/>
    <x v="0"/>
    <x v="7"/>
    <x v="0"/>
    <n v="3"/>
    <n v="300"/>
  </r>
  <r>
    <n v="606"/>
    <x v="166"/>
    <x v="1"/>
    <x v="2"/>
    <x v="2"/>
    <n v="3"/>
    <n v="25"/>
  </r>
  <r>
    <n v="582"/>
    <x v="167"/>
    <x v="0"/>
    <x v="9"/>
    <x v="1"/>
    <n v="4"/>
    <n v="25"/>
  </r>
  <r>
    <n v="1962"/>
    <x v="168"/>
    <x v="1"/>
    <x v="47"/>
    <x v="1"/>
    <n v="1"/>
    <n v="483"/>
  </r>
  <r>
    <n v="1479"/>
    <x v="169"/>
    <x v="0"/>
    <x v="0"/>
    <x v="2"/>
    <n v="2"/>
    <n v="374"/>
  </r>
  <r>
    <n v="417"/>
    <x v="0"/>
    <x v="0"/>
    <x v="21"/>
    <x v="1"/>
    <n v="2"/>
    <n v="500"/>
  </r>
  <r>
    <n v="85"/>
    <x v="68"/>
    <x v="1"/>
    <x v="34"/>
    <x v="2"/>
    <n v="3"/>
    <n v="50"/>
  </r>
  <r>
    <n v="1160"/>
    <x v="136"/>
    <x v="1"/>
    <x v="38"/>
    <x v="2"/>
    <n v="3"/>
    <n v="118"/>
  </r>
  <r>
    <n v="1596"/>
    <x v="170"/>
    <x v="0"/>
    <x v="25"/>
    <x v="0"/>
    <n v="5"/>
    <n v="101"/>
  </r>
  <r>
    <n v="1955"/>
    <x v="171"/>
    <x v="0"/>
    <x v="21"/>
    <x v="1"/>
    <n v="2"/>
    <n v="64"/>
  </r>
  <r>
    <n v="110"/>
    <x v="172"/>
    <x v="1"/>
    <x v="42"/>
    <x v="2"/>
    <n v="3"/>
    <n v="300"/>
  </r>
  <r>
    <n v="1846"/>
    <x v="173"/>
    <x v="0"/>
    <x v="35"/>
    <x v="0"/>
    <n v="6"/>
    <n v="138"/>
  </r>
  <r>
    <n v="989"/>
    <x v="174"/>
    <x v="0"/>
    <x v="19"/>
    <x v="2"/>
    <n v="2"/>
    <n v="50"/>
  </r>
  <r>
    <n v="1060"/>
    <x v="175"/>
    <x v="1"/>
    <x v="20"/>
    <x v="0"/>
    <n v="1"/>
    <n v="183"/>
  </r>
  <r>
    <n v="319"/>
    <x v="176"/>
    <x v="0"/>
    <x v="47"/>
    <x v="1"/>
    <n v="4"/>
    <n v="300"/>
  </r>
  <r>
    <n v="952"/>
    <x v="177"/>
    <x v="0"/>
    <x v="40"/>
    <x v="1"/>
    <n v="3"/>
    <n v="300"/>
  </r>
  <r>
    <n v="1706"/>
    <x v="178"/>
    <x v="0"/>
    <x v="23"/>
    <x v="1"/>
    <n v="6"/>
    <n v="499"/>
  </r>
  <r>
    <n v="147"/>
    <x v="179"/>
    <x v="1"/>
    <x v="35"/>
    <x v="1"/>
    <n v="1"/>
    <n v="300"/>
  </r>
  <r>
    <n v="818"/>
    <x v="137"/>
    <x v="1"/>
    <x v="20"/>
    <x v="1"/>
    <n v="4"/>
    <n v="50"/>
  </r>
  <r>
    <n v="844"/>
    <x v="180"/>
    <x v="1"/>
    <x v="33"/>
    <x v="0"/>
    <n v="1"/>
    <n v="50"/>
  </r>
  <r>
    <n v="256"/>
    <x v="86"/>
    <x v="1"/>
    <x v="11"/>
    <x v="0"/>
    <n v="4"/>
    <n v="500"/>
  </r>
  <r>
    <n v="1625"/>
    <x v="181"/>
    <x v="0"/>
    <x v="1"/>
    <x v="0"/>
    <n v="6"/>
    <n v="249"/>
  </r>
  <r>
    <n v="1844"/>
    <x v="182"/>
    <x v="0"/>
    <x v="7"/>
    <x v="2"/>
    <n v="6"/>
    <n v="321"/>
  </r>
  <r>
    <n v="78"/>
    <x v="183"/>
    <x v="0"/>
    <x v="3"/>
    <x v="2"/>
    <n v="3"/>
    <n v="500"/>
  </r>
  <r>
    <n v="248"/>
    <x v="184"/>
    <x v="1"/>
    <x v="43"/>
    <x v="2"/>
    <n v="1"/>
    <n v="50"/>
  </r>
  <r>
    <n v="634"/>
    <x v="185"/>
    <x v="0"/>
    <x v="23"/>
    <x v="1"/>
    <n v="3"/>
    <n v="300"/>
  </r>
  <r>
    <n v="1403"/>
    <x v="186"/>
    <x v="0"/>
    <x v="7"/>
    <x v="0"/>
    <n v="1"/>
    <n v="186"/>
  </r>
  <r>
    <n v="1297"/>
    <x v="187"/>
    <x v="0"/>
    <x v="12"/>
    <x v="1"/>
    <n v="1"/>
    <n v="176"/>
  </r>
  <r>
    <n v="960"/>
    <x v="145"/>
    <x v="1"/>
    <x v="12"/>
    <x v="2"/>
    <n v="2"/>
    <n v="30"/>
  </r>
  <r>
    <n v="1847"/>
    <x v="188"/>
    <x v="1"/>
    <x v="28"/>
    <x v="1"/>
    <n v="2"/>
    <n v="419"/>
  </r>
  <r>
    <n v="1201"/>
    <x v="189"/>
    <x v="1"/>
    <x v="5"/>
    <x v="2"/>
    <n v="7"/>
    <n v="335"/>
  </r>
  <r>
    <n v="1333"/>
    <x v="190"/>
    <x v="0"/>
    <x v="13"/>
    <x v="0"/>
    <n v="2"/>
    <n v="80"/>
  </r>
  <r>
    <n v="920"/>
    <x v="191"/>
    <x v="1"/>
    <x v="13"/>
    <x v="1"/>
    <n v="1"/>
    <n v="50"/>
  </r>
  <r>
    <n v="1732"/>
    <x v="192"/>
    <x v="1"/>
    <x v="28"/>
    <x v="2"/>
    <n v="2"/>
    <n v="466"/>
  </r>
  <r>
    <n v="190"/>
    <x v="193"/>
    <x v="0"/>
    <x v="21"/>
    <x v="0"/>
    <n v="3"/>
    <n v="30"/>
  </r>
  <r>
    <n v="992"/>
    <x v="194"/>
    <x v="0"/>
    <x v="16"/>
    <x v="0"/>
    <n v="2"/>
    <n v="500"/>
  </r>
  <r>
    <n v="1592"/>
    <x v="195"/>
    <x v="0"/>
    <x v="20"/>
    <x v="2"/>
    <n v="6"/>
    <n v="155"/>
  </r>
  <r>
    <n v="23"/>
    <x v="120"/>
    <x v="0"/>
    <x v="7"/>
    <x v="2"/>
    <n v="4"/>
    <n v="30"/>
  </r>
  <r>
    <n v="855"/>
    <x v="196"/>
    <x v="1"/>
    <x v="21"/>
    <x v="1"/>
    <n v="2"/>
    <n v="25"/>
  </r>
  <r>
    <n v="1274"/>
    <x v="197"/>
    <x v="1"/>
    <x v="3"/>
    <x v="2"/>
    <n v="5"/>
    <n v="154"/>
  </r>
  <r>
    <n v="1481"/>
    <x v="198"/>
    <x v="0"/>
    <x v="23"/>
    <x v="2"/>
    <n v="2"/>
    <n v="447"/>
  </r>
  <r>
    <n v="1204"/>
    <x v="11"/>
    <x v="1"/>
    <x v="47"/>
    <x v="2"/>
    <n v="7"/>
    <n v="97"/>
  </r>
  <r>
    <n v="369"/>
    <x v="199"/>
    <x v="1"/>
    <x v="35"/>
    <x v="1"/>
    <n v="2"/>
    <n v="30"/>
  </r>
  <r>
    <n v="782"/>
    <x v="200"/>
    <x v="0"/>
    <x v="19"/>
    <x v="1"/>
    <n v="1"/>
    <n v="500"/>
  </r>
  <r>
    <n v="1538"/>
    <x v="201"/>
    <x v="1"/>
    <x v="3"/>
    <x v="0"/>
    <n v="4"/>
    <n v="115"/>
  </r>
  <r>
    <n v="91"/>
    <x v="202"/>
    <x v="0"/>
    <x v="27"/>
    <x v="1"/>
    <n v="1"/>
    <n v="500"/>
  </r>
  <r>
    <n v="605"/>
    <x v="203"/>
    <x v="1"/>
    <x v="39"/>
    <x v="1"/>
    <n v="1"/>
    <n v="50"/>
  </r>
  <r>
    <n v="93"/>
    <x v="121"/>
    <x v="0"/>
    <x v="7"/>
    <x v="0"/>
    <n v="4"/>
    <n v="500"/>
  </r>
  <r>
    <n v="6"/>
    <x v="204"/>
    <x v="0"/>
    <x v="46"/>
    <x v="0"/>
    <n v="1"/>
    <n v="30"/>
  </r>
  <r>
    <n v="1412"/>
    <x v="192"/>
    <x v="1"/>
    <x v="47"/>
    <x v="2"/>
    <n v="2"/>
    <n v="351"/>
  </r>
  <r>
    <n v="70"/>
    <x v="205"/>
    <x v="0"/>
    <x v="24"/>
    <x v="2"/>
    <n v="1"/>
    <n v="300"/>
  </r>
  <r>
    <n v="314"/>
    <x v="50"/>
    <x v="1"/>
    <x v="3"/>
    <x v="2"/>
    <n v="2"/>
    <n v="30"/>
  </r>
  <r>
    <n v="1928"/>
    <x v="206"/>
    <x v="0"/>
    <x v="37"/>
    <x v="0"/>
    <n v="7"/>
    <n v="112"/>
  </r>
  <r>
    <n v="1700"/>
    <x v="115"/>
    <x v="0"/>
    <x v="19"/>
    <x v="2"/>
    <n v="3"/>
    <n v="254"/>
  </r>
  <r>
    <n v="260"/>
    <x v="0"/>
    <x v="1"/>
    <x v="5"/>
    <x v="2"/>
    <n v="2"/>
    <n v="25"/>
  </r>
  <r>
    <n v="930"/>
    <x v="35"/>
    <x v="0"/>
    <x v="46"/>
    <x v="0"/>
    <n v="4"/>
    <n v="25"/>
  </r>
  <r>
    <n v="1986"/>
    <x v="207"/>
    <x v="0"/>
    <x v="40"/>
    <x v="0"/>
    <n v="3"/>
    <n v="109"/>
  </r>
  <r>
    <n v="619"/>
    <x v="208"/>
    <x v="1"/>
    <x v="23"/>
    <x v="1"/>
    <n v="3"/>
    <n v="25"/>
  </r>
  <r>
    <n v="1433"/>
    <x v="209"/>
    <x v="0"/>
    <x v="20"/>
    <x v="2"/>
    <n v="7"/>
    <n v="216"/>
  </r>
  <r>
    <n v="227"/>
    <x v="210"/>
    <x v="0"/>
    <x v="8"/>
    <x v="1"/>
    <n v="2"/>
    <n v="30"/>
  </r>
  <r>
    <n v="326"/>
    <x v="163"/>
    <x v="1"/>
    <x v="15"/>
    <x v="1"/>
    <n v="3"/>
    <n v="50"/>
  </r>
  <r>
    <n v="477"/>
    <x v="211"/>
    <x v="0"/>
    <x v="0"/>
    <x v="2"/>
    <n v="2"/>
    <n v="30"/>
  </r>
  <r>
    <n v="421"/>
    <x v="212"/>
    <x v="0"/>
    <x v="47"/>
    <x v="2"/>
    <n v="3"/>
    <n v="30"/>
  </r>
  <r>
    <n v="1946"/>
    <x v="213"/>
    <x v="1"/>
    <x v="9"/>
    <x v="2"/>
    <n v="3"/>
    <n v="272"/>
  </r>
  <r>
    <n v="538"/>
    <x v="214"/>
    <x v="1"/>
    <x v="26"/>
    <x v="0"/>
    <n v="1"/>
    <n v="500"/>
  </r>
  <r>
    <n v="1883"/>
    <x v="215"/>
    <x v="1"/>
    <x v="14"/>
    <x v="2"/>
    <n v="2"/>
    <n v="125"/>
  </r>
  <r>
    <n v="1725"/>
    <x v="88"/>
    <x v="1"/>
    <x v="35"/>
    <x v="2"/>
    <n v="5"/>
    <n v="387"/>
  </r>
  <r>
    <n v="1594"/>
    <x v="216"/>
    <x v="1"/>
    <x v="40"/>
    <x v="0"/>
    <n v="3"/>
    <n v="454"/>
  </r>
  <r>
    <n v="65"/>
    <x v="217"/>
    <x v="1"/>
    <x v="16"/>
    <x v="1"/>
    <n v="4"/>
    <n v="500"/>
  </r>
  <r>
    <n v="1867"/>
    <x v="218"/>
    <x v="1"/>
    <x v="35"/>
    <x v="0"/>
    <n v="2"/>
    <n v="29"/>
  </r>
  <r>
    <n v="1723"/>
    <x v="219"/>
    <x v="1"/>
    <x v="21"/>
    <x v="0"/>
    <n v="4"/>
    <n v="413"/>
  </r>
  <r>
    <n v="1411"/>
    <x v="55"/>
    <x v="1"/>
    <x v="43"/>
    <x v="0"/>
    <n v="4"/>
    <n v="20"/>
  </r>
  <r>
    <n v="1626"/>
    <x v="220"/>
    <x v="1"/>
    <x v="33"/>
    <x v="1"/>
    <n v="6"/>
    <n v="261"/>
  </r>
  <r>
    <n v="375"/>
    <x v="154"/>
    <x v="0"/>
    <x v="37"/>
    <x v="0"/>
    <n v="1"/>
    <n v="30"/>
  </r>
  <r>
    <n v="1775"/>
    <x v="142"/>
    <x v="0"/>
    <x v="45"/>
    <x v="1"/>
    <n v="6"/>
    <n v="466"/>
  </r>
  <r>
    <n v="1996"/>
    <x v="221"/>
    <x v="1"/>
    <x v="19"/>
    <x v="1"/>
    <n v="3"/>
    <n v="120"/>
  </r>
  <r>
    <n v="406"/>
    <x v="222"/>
    <x v="0"/>
    <x v="28"/>
    <x v="1"/>
    <n v="3"/>
    <n v="300"/>
  </r>
  <r>
    <n v="55"/>
    <x v="223"/>
    <x v="1"/>
    <x v="34"/>
    <x v="0"/>
    <n v="4"/>
    <n v="30"/>
  </r>
  <r>
    <n v="1057"/>
    <x v="224"/>
    <x v="1"/>
    <x v="31"/>
    <x v="2"/>
    <n v="5"/>
    <n v="304"/>
  </r>
  <r>
    <n v="1059"/>
    <x v="19"/>
    <x v="1"/>
    <x v="29"/>
    <x v="0"/>
    <n v="2"/>
    <n v="198"/>
  </r>
  <r>
    <n v="11"/>
    <x v="225"/>
    <x v="1"/>
    <x v="35"/>
    <x v="2"/>
    <n v="2"/>
    <n v="50"/>
  </r>
  <r>
    <n v="283"/>
    <x v="226"/>
    <x v="1"/>
    <x v="24"/>
    <x v="2"/>
    <n v="4"/>
    <n v="50"/>
  </r>
  <r>
    <n v="1264"/>
    <x v="227"/>
    <x v="0"/>
    <x v="23"/>
    <x v="0"/>
    <n v="3"/>
    <n v="43"/>
  </r>
  <r>
    <n v="609"/>
    <x v="228"/>
    <x v="0"/>
    <x v="29"/>
    <x v="0"/>
    <n v="2"/>
    <n v="300"/>
  </r>
  <r>
    <n v="1507"/>
    <x v="229"/>
    <x v="0"/>
    <x v="12"/>
    <x v="0"/>
    <n v="6"/>
    <n v="303"/>
  </r>
  <r>
    <n v="938"/>
    <x v="230"/>
    <x v="0"/>
    <x v="43"/>
    <x v="1"/>
    <n v="1"/>
    <n v="30"/>
  </r>
  <r>
    <n v="1474"/>
    <x v="231"/>
    <x v="1"/>
    <x v="27"/>
    <x v="2"/>
    <n v="1"/>
    <n v="323"/>
  </r>
  <r>
    <n v="872"/>
    <x v="99"/>
    <x v="1"/>
    <x v="21"/>
    <x v="0"/>
    <n v="1"/>
    <n v="30"/>
  </r>
  <r>
    <n v="1575"/>
    <x v="232"/>
    <x v="0"/>
    <x v="33"/>
    <x v="2"/>
    <n v="6"/>
    <n v="190"/>
  </r>
  <r>
    <n v="1648"/>
    <x v="233"/>
    <x v="0"/>
    <x v="39"/>
    <x v="0"/>
    <n v="6"/>
    <n v="393"/>
  </r>
  <r>
    <n v="1178"/>
    <x v="234"/>
    <x v="1"/>
    <x v="20"/>
    <x v="2"/>
    <n v="1"/>
    <n v="378"/>
  </r>
  <r>
    <n v="841"/>
    <x v="235"/>
    <x v="1"/>
    <x v="5"/>
    <x v="0"/>
    <n v="3"/>
    <n v="500"/>
  </r>
  <r>
    <n v="216"/>
    <x v="236"/>
    <x v="0"/>
    <x v="7"/>
    <x v="1"/>
    <n v="4"/>
    <n v="50"/>
  </r>
  <r>
    <n v="171"/>
    <x v="237"/>
    <x v="0"/>
    <x v="22"/>
    <x v="2"/>
    <n v="3"/>
    <n v="300"/>
  </r>
  <r>
    <n v="1226"/>
    <x v="171"/>
    <x v="1"/>
    <x v="26"/>
    <x v="0"/>
    <n v="3"/>
    <n v="491"/>
  </r>
  <r>
    <n v="571"/>
    <x v="238"/>
    <x v="1"/>
    <x v="34"/>
    <x v="2"/>
    <n v="4"/>
    <n v="500"/>
  </r>
  <r>
    <n v="1646"/>
    <x v="239"/>
    <x v="0"/>
    <x v="17"/>
    <x v="2"/>
    <n v="2"/>
    <n v="425"/>
  </r>
  <r>
    <n v="1576"/>
    <x v="240"/>
    <x v="0"/>
    <x v="0"/>
    <x v="1"/>
    <n v="5"/>
    <n v="13"/>
  </r>
  <r>
    <n v="1020"/>
    <x v="241"/>
    <x v="1"/>
    <x v="14"/>
    <x v="2"/>
    <n v="3"/>
    <n v="262"/>
  </r>
  <r>
    <n v="1869"/>
    <x v="28"/>
    <x v="0"/>
    <x v="5"/>
    <x v="1"/>
    <n v="7"/>
    <n v="315"/>
  </r>
  <r>
    <n v="245"/>
    <x v="238"/>
    <x v="0"/>
    <x v="38"/>
    <x v="1"/>
    <n v="2"/>
    <n v="25"/>
  </r>
  <r>
    <n v="940"/>
    <x v="242"/>
    <x v="1"/>
    <x v="16"/>
    <x v="2"/>
    <n v="3"/>
    <n v="500"/>
  </r>
  <r>
    <n v="74"/>
    <x v="243"/>
    <x v="0"/>
    <x v="4"/>
    <x v="0"/>
    <n v="4"/>
    <n v="500"/>
  </r>
  <r>
    <n v="143"/>
    <x v="244"/>
    <x v="0"/>
    <x v="46"/>
    <x v="2"/>
    <n v="1"/>
    <n v="50"/>
  </r>
  <r>
    <n v="978"/>
    <x v="245"/>
    <x v="0"/>
    <x v="34"/>
    <x v="1"/>
    <n v="3"/>
    <n v="25"/>
  </r>
  <r>
    <n v="786"/>
    <x v="246"/>
    <x v="0"/>
    <x v="22"/>
    <x v="0"/>
    <n v="3"/>
    <n v="300"/>
  </r>
  <r>
    <n v="1835"/>
    <x v="247"/>
    <x v="0"/>
    <x v="20"/>
    <x v="1"/>
    <n v="4"/>
    <n v="429"/>
  </r>
  <r>
    <n v="1714"/>
    <x v="24"/>
    <x v="0"/>
    <x v="41"/>
    <x v="0"/>
    <n v="5"/>
    <n v="95"/>
  </r>
  <r>
    <n v="1093"/>
    <x v="248"/>
    <x v="0"/>
    <x v="31"/>
    <x v="2"/>
    <n v="7"/>
    <n v="201"/>
  </r>
  <r>
    <n v="694"/>
    <x v="249"/>
    <x v="0"/>
    <x v="40"/>
    <x v="2"/>
    <n v="4"/>
    <n v="50"/>
  </r>
  <r>
    <n v="303"/>
    <x v="250"/>
    <x v="0"/>
    <x v="10"/>
    <x v="1"/>
    <n v="2"/>
    <n v="30"/>
  </r>
  <r>
    <n v="563"/>
    <x v="251"/>
    <x v="1"/>
    <x v="40"/>
    <x v="1"/>
    <n v="2"/>
    <n v="50"/>
  </r>
  <r>
    <n v="34"/>
    <x v="143"/>
    <x v="0"/>
    <x v="16"/>
    <x v="2"/>
    <n v="3"/>
    <n v="50"/>
  </r>
  <r>
    <n v="1627"/>
    <x v="100"/>
    <x v="1"/>
    <x v="10"/>
    <x v="2"/>
    <n v="2"/>
    <n v="452"/>
  </r>
  <r>
    <n v="1456"/>
    <x v="252"/>
    <x v="1"/>
    <x v="26"/>
    <x v="2"/>
    <n v="1"/>
    <n v="195"/>
  </r>
  <r>
    <n v="762"/>
    <x v="202"/>
    <x v="0"/>
    <x v="18"/>
    <x v="2"/>
    <n v="1"/>
    <n v="25"/>
  </r>
  <r>
    <n v="1970"/>
    <x v="253"/>
    <x v="1"/>
    <x v="28"/>
    <x v="0"/>
    <n v="1"/>
    <n v="223"/>
  </r>
  <r>
    <n v="880"/>
    <x v="254"/>
    <x v="0"/>
    <x v="37"/>
    <x v="1"/>
    <n v="2"/>
    <n v="25"/>
  </r>
  <r>
    <n v="486"/>
    <x v="48"/>
    <x v="1"/>
    <x v="12"/>
    <x v="2"/>
    <n v="4"/>
    <n v="500"/>
  </r>
  <r>
    <n v="1721"/>
    <x v="136"/>
    <x v="1"/>
    <x v="34"/>
    <x v="1"/>
    <n v="5"/>
    <n v="477"/>
  </r>
  <r>
    <n v="1695"/>
    <x v="219"/>
    <x v="0"/>
    <x v="4"/>
    <x v="2"/>
    <n v="5"/>
    <n v="457"/>
  </r>
  <r>
    <n v="927"/>
    <x v="255"/>
    <x v="0"/>
    <x v="35"/>
    <x v="0"/>
    <n v="3"/>
    <n v="25"/>
  </r>
  <r>
    <n v="654"/>
    <x v="52"/>
    <x v="1"/>
    <x v="14"/>
    <x v="0"/>
    <n v="3"/>
    <n v="30"/>
  </r>
  <r>
    <n v="293"/>
    <x v="256"/>
    <x v="0"/>
    <x v="35"/>
    <x v="2"/>
    <n v="3"/>
    <n v="30"/>
  </r>
  <r>
    <n v="12"/>
    <x v="257"/>
    <x v="1"/>
    <x v="7"/>
    <x v="0"/>
    <n v="3"/>
    <n v="25"/>
  </r>
  <r>
    <n v="97"/>
    <x v="258"/>
    <x v="0"/>
    <x v="16"/>
    <x v="0"/>
    <n v="2"/>
    <n v="500"/>
  </r>
  <r>
    <n v="1442"/>
    <x v="259"/>
    <x v="0"/>
    <x v="22"/>
    <x v="1"/>
    <n v="7"/>
    <n v="370"/>
  </r>
  <r>
    <n v="1888"/>
    <x v="19"/>
    <x v="1"/>
    <x v="31"/>
    <x v="1"/>
    <n v="5"/>
    <n v="271"/>
  </r>
  <r>
    <n v="366"/>
    <x v="260"/>
    <x v="0"/>
    <x v="15"/>
    <x v="1"/>
    <n v="1"/>
    <n v="50"/>
  </r>
  <r>
    <n v="214"/>
    <x v="261"/>
    <x v="1"/>
    <x v="0"/>
    <x v="2"/>
    <n v="3"/>
    <n v="500"/>
  </r>
  <r>
    <n v="907"/>
    <x v="262"/>
    <x v="1"/>
    <x v="29"/>
    <x v="1"/>
    <n v="1"/>
    <n v="300"/>
  </r>
  <r>
    <n v="1677"/>
    <x v="263"/>
    <x v="0"/>
    <x v="19"/>
    <x v="1"/>
    <n v="3"/>
    <n v="217"/>
  </r>
  <r>
    <n v="1405"/>
    <x v="264"/>
    <x v="0"/>
    <x v="45"/>
    <x v="0"/>
    <n v="1"/>
    <n v="169"/>
  </r>
  <r>
    <n v="1108"/>
    <x v="215"/>
    <x v="1"/>
    <x v="26"/>
    <x v="2"/>
    <n v="5"/>
    <n v="438"/>
  </r>
  <r>
    <n v="1607"/>
    <x v="265"/>
    <x v="0"/>
    <x v="4"/>
    <x v="0"/>
    <n v="4"/>
    <n v="401"/>
  </r>
  <r>
    <n v="935"/>
    <x v="266"/>
    <x v="0"/>
    <x v="1"/>
    <x v="0"/>
    <n v="1"/>
    <n v="500"/>
  </r>
  <r>
    <n v="1058"/>
    <x v="267"/>
    <x v="1"/>
    <x v="17"/>
    <x v="0"/>
    <n v="3"/>
    <n v="422"/>
  </r>
  <r>
    <n v="7"/>
    <x v="268"/>
    <x v="1"/>
    <x v="28"/>
    <x v="2"/>
    <n v="2"/>
    <n v="25"/>
  </r>
  <r>
    <n v="1224"/>
    <x v="269"/>
    <x v="1"/>
    <x v="17"/>
    <x v="1"/>
    <n v="1"/>
    <n v="428"/>
  </r>
  <r>
    <n v="96"/>
    <x v="270"/>
    <x v="0"/>
    <x v="12"/>
    <x v="2"/>
    <n v="2"/>
    <n v="300"/>
  </r>
  <r>
    <n v="1496"/>
    <x v="271"/>
    <x v="1"/>
    <x v="5"/>
    <x v="0"/>
    <n v="6"/>
    <n v="44"/>
  </r>
  <r>
    <n v="979"/>
    <x v="272"/>
    <x v="0"/>
    <x v="17"/>
    <x v="1"/>
    <n v="2"/>
    <n v="30"/>
  </r>
  <r>
    <n v="568"/>
    <x v="273"/>
    <x v="1"/>
    <x v="22"/>
    <x v="1"/>
    <n v="4"/>
    <n v="50"/>
  </r>
  <r>
    <n v="531"/>
    <x v="274"/>
    <x v="0"/>
    <x v="37"/>
    <x v="2"/>
    <n v="4"/>
    <n v="30"/>
  </r>
  <r>
    <n v="1137"/>
    <x v="275"/>
    <x v="1"/>
    <x v="20"/>
    <x v="0"/>
    <n v="7"/>
    <n v="244"/>
  </r>
  <r>
    <n v="402"/>
    <x v="77"/>
    <x v="1"/>
    <x v="25"/>
    <x v="2"/>
    <n v="2"/>
    <n v="300"/>
  </r>
  <r>
    <n v="548"/>
    <x v="276"/>
    <x v="0"/>
    <x v="40"/>
    <x v="0"/>
    <n v="2"/>
    <n v="50"/>
  </r>
  <r>
    <n v="26"/>
    <x v="277"/>
    <x v="0"/>
    <x v="47"/>
    <x v="1"/>
    <n v="2"/>
    <n v="500"/>
  </r>
  <r>
    <n v="1375"/>
    <x v="278"/>
    <x v="1"/>
    <x v="3"/>
    <x v="0"/>
    <n v="5"/>
    <n v="143"/>
  </r>
  <r>
    <n v="438"/>
    <x v="110"/>
    <x v="1"/>
    <x v="40"/>
    <x v="2"/>
    <n v="3"/>
    <n v="25"/>
  </r>
  <r>
    <n v="1664"/>
    <x v="173"/>
    <x v="0"/>
    <x v="9"/>
    <x v="1"/>
    <n v="4"/>
    <n v="309"/>
  </r>
  <r>
    <n v="1328"/>
    <x v="279"/>
    <x v="1"/>
    <x v="8"/>
    <x v="1"/>
    <n v="3"/>
    <n v="319"/>
  </r>
  <r>
    <n v="243"/>
    <x v="280"/>
    <x v="1"/>
    <x v="47"/>
    <x v="0"/>
    <n v="2"/>
    <n v="50"/>
  </r>
  <r>
    <n v="891"/>
    <x v="281"/>
    <x v="1"/>
    <x v="20"/>
    <x v="1"/>
    <n v="1"/>
    <n v="50"/>
  </r>
  <r>
    <n v="1230"/>
    <x v="282"/>
    <x v="0"/>
    <x v="0"/>
    <x v="0"/>
    <n v="6"/>
    <n v="133"/>
  </r>
  <r>
    <n v="1239"/>
    <x v="283"/>
    <x v="1"/>
    <x v="18"/>
    <x v="2"/>
    <n v="6"/>
    <n v="359"/>
  </r>
  <r>
    <n v="1194"/>
    <x v="284"/>
    <x v="0"/>
    <x v="41"/>
    <x v="2"/>
    <n v="2"/>
    <n v="11"/>
  </r>
  <r>
    <n v="622"/>
    <x v="285"/>
    <x v="1"/>
    <x v="19"/>
    <x v="2"/>
    <n v="3"/>
    <n v="50"/>
  </r>
  <r>
    <n v="1360"/>
    <x v="93"/>
    <x v="1"/>
    <x v="33"/>
    <x v="0"/>
    <n v="1"/>
    <n v="435"/>
  </r>
  <r>
    <n v="758"/>
    <x v="256"/>
    <x v="1"/>
    <x v="42"/>
    <x v="0"/>
    <n v="1"/>
    <n v="500"/>
  </r>
  <r>
    <n v="675"/>
    <x v="286"/>
    <x v="0"/>
    <x v="11"/>
    <x v="0"/>
    <n v="3"/>
    <n v="500"/>
  </r>
  <r>
    <n v="564"/>
    <x v="287"/>
    <x v="0"/>
    <x v="46"/>
    <x v="0"/>
    <n v="2"/>
    <n v="30"/>
  </r>
  <r>
    <n v="515"/>
    <x v="266"/>
    <x v="1"/>
    <x v="17"/>
    <x v="0"/>
    <n v="4"/>
    <n v="25"/>
  </r>
  <r>
    <n v="1334"/>
    <x v="233"/>
    <x v="1"/>
    <x v="47"/>
    <x v="2"/>
    <n v="1"/>
    <n v="364"/>
  </r>
  <r>
    <n v="1123"/>
    <x v="288"/>
    <x v="1"/>
    <x v="20"/>
    <x v="2"/>
    <n v="3"/>
    <n v="71"/>
  </r>
  <r>
    <n v="1812"/>
    <x v="165"/>
    <x v="1"/>
    <x v="39"/>
    <x v="0"/>
    <n v="4"/>
    <n v="292"/>
  </r>
  <r>
    <n v="1632"/>
    <x v="289"/>
    <x v="0"/>
    <x v="42"/>
    <x v="1"/>
    <n v="1"/>
    <n v="168"/>
  </r>
  <r>
    <n v="1637"/>
    <x v="119"/>
    <x v="0"/>
    <x v="34"/>
    <x v="1"/>
    <n v="1"/>
    <n v="198"/>
  </r>
  <r>
    <n v="1434"/>
    <x v="290"/>
    <x v="0"/>
    <x v="33"/>
    <x v="1"/>
    <n v="6"/>
    <n v="244"/>
  </r>
  <r>
    <n v="414"/>
    <x v="255"/>
    <x v="1"/>
    <x v="6"/>
    <x v="2"/>
    <n v="2"/>
    <n v="30"/>
  </r>
  <r>
    <n v="931"/>
    <x v="291"/>
    <x v="1"/>
    <x v="39"/>
    <x v="0"/>
    <n v="1"/>
    <n v="30"/>
  </r>
  <r>
    <n v="1023"/>
    <x v="94"/>
    <x v="0"/>
    <x v="33"/>
    <x v="0"/>
    <n v="4"/>
    <n v="73"/>
  </r>
  <r>
    <n v="496"/>
    <x v="292"/>
    <x v="1"/>
    <x v="13"/>
    <x v="2"/>
    <n v="4"/>
    <n v="30"/>
  </r>
  <r>
    <n v="57"/>
    <x v="293"/>
    <x v="0"/>
    <x v="23"/>
    <x v="0"/>
    <n v="1"/>
    <n v="30"/>
  </r>
  <r>
    <n v="642"/>
    <x v="1"/>
    <x v="0"/>
    <x v="47"/>
    <x v="1"/>
    <n v="3"/>
    <n v="30"/>
  </r>
  <r>
    <n v="1826"/>
    <x v="219"/>
    <x v="0"/>
    <x v="12"/>
    <x v="2"/>
    <n v="1"/>
    <n v="408"/>
  </r>
  <r>
    <n v="1842"/>
    <x v="294"/>
    <x v="1"/>
    <x v="30"/>
    <x v="0"/>
    <n v="2"/>
    <n v="369"/>
  </r>
  <r>
    <n v="1404"/>
    <x v="295"/>
    <x v="0"/>
    <x v="23"/>
    <x v="1"/>
    <n v="7"/>
    <n v="190"/>
  </r>
  <r>
    <n v="1452"/>
    <x v="73"/>
    <x v="1"/>
    <x v="29"/>
    <x v="1"/>
    <n v="3"/>
    <n v="339"/>
  </r>
  <r>
    <n v="1836"/>
    <x v="296"/>
    <x v="1"/>
    <x v="0"/>
    <x v="2"/>
    <n v="6"/>
    <n v="457"/>
  </r>
  <r>
    <n v="656"/>
    <x v="297"/>
    <x v="1"/>
    <x v="8"/>
    <x v="2"/>
    <n v="1"/>
    <n v="25"/>
  </r>
  <r>
    <n v="1947"/>
    <x v="298"/>
    <x v="1"/>
    <x v="12"/>
    <x v="0"/>
    <n v="7"/>
    <n v="249"/>
  </r>
  <r>
    <n v="1024"/>
    <x v="290"/>
    <x v="0"/>
    <x v="23"/>
    <x v="1"/>
    <n v="5"/>
    <n v="98"/>
  </r>
  <r>
    <n v="1800"/>
    <x v="299"/>
    <x v="1"/>
    <x v="39"/>
    <x v="1"/>
    <n v="7"/>
    <n v="242"/>
  </r>
  <r>
    <n v="82"/>
    <x v="174"/>
    <x v="0"/>
    <x v="25"/>
    <x v="0"/>
    <n v="4"/>
    <n v="50"/>
  </r>
  <r>
    <n v="1288"/>
    <x v="300"/>
    <x v="1"/>
    <x v="27"/>
    <x v="2"/>
    <n v="4"/>
    <n v="446"/>
  </r>
  <r>
    <n v="763"/>
    <x v="133"/>
    <x v="1"/>
    <x v="24"/>
    <x v="2"/>
    <n v="4"/>
    <n v="50"/>
  </r>
  <r>
    <n v="46"/>
    <x v="99"/>
    <x v="0"/>
    <x v="43"/>
    <x v="1"/>
    <n v="4"/>
    <n v="300"/>
  </r>
  <r>
    <n v="957"/>
    <x v="113"/>
    <x v="0"/>
    <x v="33"/>
    <x v="1"/>
    <n v="2"/>
    <n v="30"/>
  </r>
  <r>
    <n v="1969"/>
    <x v="301"/>
    <x v="1"/>
    <x v="0"/>
    <x v="2"/>
    <n v="7"/>
    <n v="281"/>
  </r>
  <r>
    <n v="464"/>
    <x v="302"/>
    <x v="0"/>
    <x v="24"/>
    <x v="1"/>
    <n v="3"/>
    <n v="50"/>
  </r>
  <r>
    <n v="1046"/>
    <x v="189"/>
    <x v="1"/>
    <x v="5"/>
    <x v="1"/>
    <n v="2"/>
    <n v="110"/>
  </r>
  <r>
    <n v="1987"/>
    <x v="94"/>
    <x v="0"/>
    <x v="8"/>
    <x v="2"/>
    <n v="7"/>
    <n v="418"/>
  </r>
  <r>
    <n v="876"/>
    <x v="303"/>
    <x v="0"/>
    <x v="43"/>
    <x v="2"/>
    <n v="1"/>
    <n v="30"/>
  </r>
  <r>
    <n v="1171"/>
    <x v="304"/>
    <x v="1"/>
    <x v="4"/>
    <x v="1"/>
    <n v="4"/>
    <n v="339"/>
  </r>
  <r>
    <n v="1874"/>
    <x v="305"/>
    <x v="0"/>
    <x v="1"/>
    <x v="2"/>
    <n v="3"/>
    <n v="339"/>
  </r>
  <r>
    <n v="997"/>
    <x v="217"/>
    <x v="0"/>
    <x v="44"/>
    <x v="1"/>
    <n v="3"/>
    <n v="50"/>
  </r>
  <r>
    <n v="1705"/>
    <x v="306"/>
    <x v="0"/>
    <x v="13"/>
    <x v="1"/>
    <n v="4"/>
    <n v="78"/>
  </r>
  <r>
    <n v="1286"/>
    <x v="307"/>
    <x v="1"/>
    <x v="16"/>
    <x v="1"/>
    <n v="1"/>
    <n v="432"/>
  </r>
  <r>
    <n v="550"/>
    <x v="121"/>
    <x v="1"/>
    <x v="46"/>
    <x v="1"/>
    <n v="3"/>
    <n v="300"/>
  </r>
  <r>
    <n v="1766"/>
    <x v="308"/>
    <x v="1"/>
    <x v="45"/>
    <x v="2"/>
    <n v="1"/>
    <n v="469"/>
  </r>
  <r>
    <n v="1304"/>
    <x v="56"/>
    <x v="0"/>
    <x v="33"/>
    <x v="1"/>
    <n v="2"/>
    <n v="407"/>
  </r>
  <r>
    <n v="1934"/>
    <x v="170"/>
    <x v="1"/>
    <x v="33"/>
    <x v="2"/>
    <n v="6"/>
    <n v="310"/>
  </r>
  <r>
    <n v="1823"/>
    <x v="195"/>
    <x v="1"/>
    <x v="4"/>
    <x v="0"/>
    <n v="7"/>
    <n v="271"/>
  </r>
  <r>
    <n v="1035"/>
    <x v="88"/>
    <x v="0"/>
    <x v="27"/>
    <x v="0"/>
    <n v="7"/>
    <n v="477"/>
  </r>
  <r>
    <n v="1034"/>
    <x v="247"/>
    <x v="1"/>
    <x v="0"/>
    <x v="0"/>
    <n v="4"/>
    <n v="395"/>
  </r>
  <r>
    <n v="425"/>
    <x v="309"/>
    <x v="1"/>
    <x v="35"/>
    <x v="1"/>
    <n v="3"/>
    <n v="50"/>
  </r>
  <r>
    <n v="1134"/>
    <x v="92"/>
    <x v="1"/>
    <x v="10"/>
    <x v="1"/>
    <n v="1"/>
    <n v="197"/>
  </r>
  <r>
    <n v="613"/>
    <x v="310"/>
    <x v="0"/>
    <x v="32"/>
    <x v="0"/>
    <n v="4"/>
    <n v="300"/>
  </r>
  <r>
    <n v="1521"/>
    <x v="311"/>
    <x v="1"/>
    <x v="8"/>
    <x v="0"/>
    <n v="1"/>
    <n v="98"/>
  </r>
  <r>
    <n v="1208"/>
    <x v="312"/>
    <x v="1"/>
    <x v="39"/>
    <x v="1"/>
    <n v="1"/>
    <n v="88"/>
  </r>
  <r>
    <n v="1914"/>
    <x v="313"/>
    <x v="0"/>
    <x v="8"/>
    <x v="1"/>
    <n v="3"/>
    <n v="81"/>
  </r>
  <r>
    <n v="913"/>
    <x v="314"/>
    <x v="0"/>
    <x v="29"/>
    <x v="0"/>
    <n v="3"/>
    <n v="30"/>
  </r>
  <r>
    <n v="1563"/>
    <x v="315"/>
    <x v="0"/>
    <x v="17"/>
    <x v="2"/>
    <n v="6"/>
    <n v="203"/>
  </r>
  <r>
    <n v="187"/>
    <x v="316"/>
    <x v="0"/>
    <x v="37"/>
    <x v="2"/>
    <n v="2"/>
    <n v="50"/>
  </r>
  <r>
    <n v="702"/>
    <x v="317"/>
    <x v="0"/>
    <x v="1"/>
    <x v="2"/>
    <n v="3"/>
    <n v="30"/>
  </r>
  <r>
    <n v="756"/>
    <x v="318"/>
    <x v="1"/>
    <x v="37"/>
    <x v="2"/>
    <n v="4"/>
    <n v="25"/>
  </r>
  <r>
    <n v="316"/>
    <x v="319"/>
    <x v="1"/>
    <x v="39"/>
    <x v="1"/>
    <n v="3"/>
    <n v="30"/>
  </r>
  <r>
    <n v="949"/>
    <x v="320"/>
    <x v="1"/>
    <x v="31"/>
    <x v="0"/>
    <n v="2"/>
    <n v="50"/>
  </r>
  <r>
    <n v="1155"/>
    <x v="247"/>
    <x v="1"/>
    <x v="6"/>
    <x v="1"/>
    <n v="6"/>
    <n v="59"/>
  </r>
  <r>
    <n v="362"/>
    <x v="5"/>
    <x v="1"/>
    <x v="37"/>
    <x v="0"/>
    <n v="1"/>
    <n v="25"/>
  </r>
  <r>
    <n v="1242"/>
    <x v="321"/>
    <x v="1"/>
    <x v="32"/>
    <x v="2"/>
    <n v="1"/>
    <n v="41"/>
  </r>
  <r>
    <n v="1340"/>
    <x v="181"/>
    <x v="1"/>
    <x v="3"/>
    <x v="1"/>
    <n v="6"/>
    <n v="16"/>
  </r>
  <r>
    <n v="1022"/>
    <x v="322"/>
    <x v="0"/>
    <x v="30"/>
    <x v="2"/>
    <n v="7"/>
    <n v="465"/>
  </r>
  <r>
    <n v="996"/>
    <x v="113"/>
    <x v="0"/>
    <x v="35"/>
    <x v="0"/>
    <n v="4"/>
    <n v="25"/>
  </r>
  <r>
    <n v="1357"/>
    <x v="323"/>
    <x v="1"/>
    <x v="30"/>
    <x v="2"/>
    <n v="5"/>
    <n v="167"/>
  </r>
  <r>
    <n v="1860"/>
    <x v="324"/>
    <x v="0"/>
    <x v="39"/>
    <x v="1"/>
    <n v="4"/>
    <n v="159"/>
  </r>
  <r>
    <n v="1185"/>
    <x v="325"/>
    <x v="0"/>
    <x v="8"/>
    <x v="2"/>
    <n v="5"/>
    <n v="51"/>
  </r>
  <r>
    <n v="233"/>
    <x v="326"/>
    <x v="0"/>
    <x v="1"/>
    <x v="1"/>
    <n v="2"/>
    <n v="25"/>
  </r>
  <r>
    <n v="1506"/>
    <x v="327"/>
    <x v="0"/>
    <x v="21"/>
    <x v="1"/>
    <n v="1"/>
    <n v="153"/>
  </r>
  <r>
    <n v="1958"/>
    <x v="328"/>
    <x v="1"/>
    <x v="44"/>
    <x v="2"/>
    <n v="5"/>
    <n v="339"/>
  </r>
  <r>
    <n v="389"/>
    <x v="179"/>
    <x v="1"/>
    <x v="32"/>
    <x v="1"/>
    <n v="2"/>
    <n v="50"/>
  </r>
  <r>
    <n v="88"/>
    <x v="329"/>
    <x v="1"/>
    <x v="41"/>
    <x v="2"/>
    <n v="1"/>
    <n v="500"/>
  </r>
  <r>
    <n v="1441"/>
    <x v="330"/>
    <x v="0"/>
    <x v="32"/>
    <x v="2"/>
    <n v="1"/>
    <n v="290"/>
  </r>
  <r>
    <n v="475"/>
    <x v="331"/>
    <x v="0"/>
    <x v="42"/>
    <x v="2"/>
    <n v="4"/>
    <n v="500"/>
  </r>
  <r>
    <n v="933"/>
    <x v="128"/>
    <x v="0"/>
    <x v="19"/>
    <x v="0"/>
    <n v="1"/>
    <n v="50"/>
  </r>
  <r>
    <n v="1051"/>
    <x v="332"/>
    <x v="1"/>
    <x v="16"/>
    <x v="1"/>
    <n v="2"/>
    <n v="160"/>
  </r>
  <r>
    <n v="397"/>
    <x v="154"/>
    <x v="0"/>
    <x v="38"/>
    <x v="2"/>
    <n v="2"/>
    <n v="300"/>
  </r>
  <r>
    <n v="1676"/>
    <x v="308"/>
    <x v="0"/>
    <x v="4"/>
    <x v="2"/>
    <n v="4"/>
    <n v="297"/>
  </r>
  <r>
    <n v="1275"/>
    <x v="333"/>
    <x v="0"/>
    <x v="45"/>
    <x v="2"/>
    <n v="3"/>
    <n v="166"/>
  </r>
  <r>
    <n v="1765"/>
    <x v="334"/>
    <x v="0"/>
    <x v="43"/>
    <x v="1"/>
    <n v="1"/>
    <n v="118"/>
  </r>
  <r>
    <n v="1582"/>
    <x v="233"/>
    <x v="0"/>
    <x v="35"/>
    <x v="2"/>
    <n v="3"/>
    <n v="217"/>
  </r>
  <r>
    <n v="578"/>
    <x v="82"/>
    <x v="0"/>
    <x v="36"/>
    <x v="1"/>
    <n v="1"/>
    <n v="30"/>
  </r>
  <r>
    <n v="1406"/>
    <x v="335"/>
    <x v="0"/>
    <x v="22"/>
    <x v="1"/>
    <n v="5"/>
    <n v="155"/>
  </r>
  <r>
    <n v="774"/>
    <x v="336"/>
    <x v="1"/>
    <x v="7"/>
    <x v="2"/>
    <n v="3"/>
    <n v="30"/>
  </r>
  <r>
    <n v="1534"/>
    <x v="93"/>
    <x v="0"/>
    <x v="39"/>
    <x v="0"/>
    <n v="5"/>
    <n v="442"/>
  </r>
  <r>
    <n v="322"/>
    <x v="104"/>
    <x v="0"/>
    <x v="14"/>
    <x v="0"/>
    <n v="3"/>
    <n v="300"/>
  </r>
  <r>
    <n v="1111"/>
    <x v="337"/>
    <x v="0"/>
    <x v="28"/>
    <x v="1"/>
    <n v="4"/>
    <n v="485"/>
  </r>
  <r>
    <n v="864"/>
    <x v="203"/>
    <x v="1"/>
    <x v="9"/>
    <x v="1"/>
    <n v="1"/>
    <n v="50"/>
  </r>
  <r>
    <n v="934"/>
    <x v="338"/>
    <x v="1"/>
    <x v="15"/>
    <x v="0"/>
    <n v="4"/>
    <n v="50"/>
  </r>
  <r>
    <n v="1509"/>
    <x v="213"/>
    <x v="0"/>
    <x v="40"/>
    <x v="0"/>
    <n v="7"/>
    <n v="129"/>
  </r>
  <r>
    <n v="1604"/>
    <x v="339"/>
    <x v="1"/>
    <x v="36"/>
    <x v="2"/>
    <n v="1"/>
    <n v="422"/>
  </r>
  <r>
    <n v="671"/>
    <x v="176"/>
    <x v="0"/>
    <x v="24"/>
    <x v="2"/>
    <n v="3"/>
    <n v="500"/>
  </r>
  <r>
    <n v="1745"/>
    <x v="253"/>
    <x v="1"/>
    <x v="36"/>
    <x v="0"/>
    <n v="7"/>
    <n v="69"/>
  </r>
  <r>
    <n v="1963"/>
    <x v="340"/>
    <x v="1"/>
    <x v="40"/>
    <x v="0"/>
    <n v="3"/>
    <n v="139"/>
  </r>
  <r>
    <n v="39"/>
    <x v="281"/>
    <x v="1"/>
    <x v="35"/>
    <x v="2"/>
    <n v="4"/>
    <n v="30"/>
  </r>
  <r>
    <n v="401"/>
    <x v="341"/>
    <x v="0"/>
    <x v="13"/>
    <x v="2"/>
    <n v="2"/>
    <n v="300"/>
  </r>
  <r>
    <n v="1683"/>
    <x v="342"/>
    <x v="0"/>
    <x v="17"/>
    <x v="1"/>
    <n v="5"/>
    <n v="328"/>
  </r>
  <r>
    <n v="1301"/>
    <x v="343"/>
    <x v="0"/>
    <x v="29"/>
    <x v="1"/>
    <n v="6"/>
    <n v="297"/>
  </r>
  <r>
    <n v="1593"/>
    <x v="344"/>
    <x v="0"/>
    <x v="1"/>
    <x v="1"/>
    <n v="5"/>
    <n v="458"/>
  </r>
  <r>
    <n v="1221"/>
    <x v="345"/>
    <x v="0"/>
    <x v="4"/>
    <x v="2"/>
    <n v="3"/>
    <n v="184"/>
  </r>
  <r>
    <n v="1475"/>
    <x v="312"/>
    <x v="0"/>
    <x v="41"/>
    <x v="2"/>
    <n v="7"/>
    <n v="146"/>
  </r>
  <r>
    <n v="823"/>
    <x v="346"/>
    <x v="0"/>
    <x v="28"/>
    <x v="0"/>
    <n v="1"/>
    <n v="25"/>
  </r>
  <r>
    <n v="1978"/>
    <x v="347"/>
    <x v="0"/>
    <x v="11"/>
    <x v="0"/>
    <n v="7"/>
    <n v="29"/>
  </r>
  <r>
    <n v="1418"/>
    <x v="81"/>
    <x v="0"/>
    <x v="13"/>
    <x v="2"/>
    <n v="6"/>
    <n v="127"/>
  </r>
  <r>
    <n v="641"/>
    <x v="235"/>
    <x v="0"/>
    <x v="2"/>
    <x v="2"/>
    <n v="4"/>
    <n v="25"/>
  </r>
  <r>
    <n v="336"/>
    <x v="348"/>
    <x v="1"/>
    <x v="36"/>
    <x v="2"/>
    <n v="1"/>
    <n v="500"/>
  </r>
  <r>
    <n v="576"/>
    <x v="74"/>
    <x v="1"/>
    <x v="5"/>
    <x v="0"/>
    <n v="4"/>
    <n v="500"/>
  </r>
  <r>
    <n v="1854"/>
    <x v="349"/>
    <x v="1"/>
    <x v="37"/>
    <x v="1"/>
    <n v="5"/>
    <n v="329"/>
  </r>
  <r>
    <n v="767"/>
    <x v="133"/>
    <x v="0"/>
    <x v="34"/>
    <x v="1"/>
    <n v="4"/>
    <n v="30"/>
  </r>
  <r>
    <n v="174"/>
    <x v="120"/>
    <x v="0"/>
    <x v="32"/>
    <x v="0"/>
    <n v="1"/>
    <n v="300"/>
  </r>
  <r>
    <n v="1606"/>
    <x v="347"/>
    <x v="0"/>
    <x v="7"/>
    <x v="2"/>
    <n v="5"/>
    <n v="236"/>
  </r>
  <r>
    <n v="1599"/>
    <x v="350"/>
    <x v="0"/>
    <x v="33"/>
    <x v="1"/>
    <n v="1"/>
    <n v="53"/>
  </r>
  <r>
    <n v="521"/>
    <x v="351"/>
    <x v="1"/>
    <x v="28"/>
    <x v="0"/>
    <n v="3"/>
    <n v="500"/>
  </r>
  <r>
    <n v="666"/>
    <x v="352"/>
    <x v="0"/>
    <x v="1"/>
    <x v="1"/>
    <n v="3"/>
    <n v="50"/>
  </r>
  <r>
    <n v="1073"/>
    <x v="146"/>
    <x v="1"/>
    <x v="35"/>
    <x v="0"/>
    <n v="3"/>
    <n v="247"/>
  </r>
  <r>
    <n v="1873"/>
    <x v="353"/>
    <x v="0"/>
    <x v="43"/>
    <x v="2"/>
    <n v="5"/>
    <n v="75"/>
  </r>
  <r>
    <n v="948"/>
    <x v="287"/>
    <x v="1"/>
    <x v="44"/>
    <x v="2"/>
    <n v="3"/>
    <n v="300"/>
  </r>
  <r>
    <n v="121"/>
    <x v="4"/>
    <x v="0"/>
    <x v="47"/>
    <x v="1"/>
    <n v="4"/>
    <n v="50"/>
  </r>
  <r>
    <n v="1003"/>
    <x v="354"/>
    <x v="1"/>
    <x v="28"/>
    <x v="0"/>
    <n v="2"/>
    <n v="385"/>
  </r>
  <r>
    <n v="1188"/>
    <x v="98"/>
    <x v="0"/>
    <x v="47"/>
    <x v="0"/>
    <n v="5"/>
    <n v="430"/>
  </r>
  <r>
    <n v="583"/>
    <x v="47"/>
    <x v="0"/>
    <x v="42"/>
    <x v="0"/>
    <n v="4"/>
    <n v="50"/>
  </r>
  <r>
    <n v="1737"/>
    <x v="307"/>
    <x v="1"/>
    <x v="17"/>
    <x v="2"/>
    <n v="7"/>
    <n v="374"/>
  </r>
  <r>
    <n v="1517"/>
    <x v="282"/>
    <x v="0"/>
    <x v="47"/>
    <x v="1"/>
    <n v="7"/>
    <n v="324"/>
  </r>
  <r>
    <n v="1624"/>
    <x v="355"/>
    <x v="1"/>
    <x v="26"/>
    <x v="2"/>
    <n v="4"/>
    <n v="352"/>
  </r>
  <r>
    <n v="668"/>
    <x v="356"/>
    <x v="1"/>
    <x v="42"/>
    <x v="0"/>
    <n v="1"/>
    <n v="30"/>
  </r>
  <r>
    <n v="272"/>
    <x v="208"/>
    <x v="0"/>
    <x v="39"/>
    <x v="0"/>
    <n v="1"/>
    <n v="50"/>
  </r>
  <r>
    <n v="1925"/>
    <x v="192"/>
    <x v="0"/>
    <x v="16"/>
    <x v="0"/>
    <n v="5"/>
    <n v="350"/>
  </r>
  <r>
    <n v="267"/>
    <x v="357"/>
    <x v="0"/>
    <x v="47"/>
    <x v="1"/>
    <n v="1"/>
    <n v="30"/>
  </r>
  <r>
    <n v="1298"/>
    <x v="358"/>
    <x v="1"/>
    <x v="33"/>
    <x v="2"/>
    <n v="4"/>
    <n v="187"/>
  </r>
  <r>
    <n v="1240"/>
    <x v="88"/>
    <x v="0"/>
    <x v="35"/>
    <x v="1"/>
    <n v="7"/>
    <n v="268"/>
  </r>
  <r>
    <n v="242"/>
    <x v="141"/>
    <x v="0"/>
    <x v="3"/>
    <x v="1"/>
    <n v="3"/>
    <n v="300"/>
  </r>
  <r>
    <n v="572"/>
    <x v="359"/>
    <x v="1"/>
    <x v="20"/>
    <x v="0"/>
    <n v="2"/>
    <n v="30"/>
  </r>
  <r>
    <n v="1309"/>
    <x v="42"/>
    <x v="1"/>
    <x v="30"/>
    <x v="2"/>
    <n v="3"/>
    <n v="253"/>
  </r>
  <r>
    <n v="1673"/>
    <x v="360"/>
    <x v="0"/>
    <x v="32"/>
    <x v="0"/>
    <n v="7"/>
    <n v="255"/>
  </r>
  <r>
    <n v="1341"/>
    <x v="361"/>
    <x v="0"/>
    <x v="10"/>
    <x v="0"/>
    <n v="6"/>
    <n v="370"/>
  </r>
  <r>
    <n v="41"/>
    <x v="362"/>
    <x v="1"/>
    <x v="19"/>
    <x v="2"/>
    <n v="2"/>
    <n v="25"/>
  </r>
  <r>
    <n v="1343"/>
    <x v="279"/>
    <x v="1"/>
    <x v="25"/>
    <x v="2"/>
    <n v="1"/>
    <n v="311"/>
  </r>
  <r>
    <n v="1372"/>
    <x v="363"/>
    <x v="1"/>
    <x v="3"/>
    <x v="2"/>
    <n v="6"/>
    <n v="121"/>
  </r>
  <r>
    <n v="218"/>
    <x v="364"/>
    <x v="0"/>
    <x v="6"/>
    <x v="1"/>
    <n v="3"/>
    <n v="30"/>
  </r>
  <r>
    <n v="1435"/>
    <x v="365"/>
    <x v="0"/>
    <x v="47"/>
    <x v="2"/>
    <n v="7"/>
    <n v="231"/>
  </r>
  <r>
    <n v="784"/>
    <x v="366"/>
    <x v="1"/>
    <x v="38"/>
    <x v="2"/>
    <n v="4"/>
    <n v="25"/>
  </r>
  <r>
    <n v="1377"/>
    <x v="354"/>
    <x v="1"/>
    <x v="24"/>
    <x v="1"/>
    <n v="3"/>
    <n v="222"/>
  </r>
  <r>
    <n v="1977"/>
    <x v="367"/>
    <x v="0"/>
    <x v="29"/>
    <x v="1"/>
    <n v="5"/>
    <n v="11"/>
  </r>
  <r>
    <n v="470"/>
    <x v="368"/>
    <x v="1"/>
    <x v="25"/>
    <x v="2"/>
    <n v="3"/>
    <n v="50"/>
  </r>
  <r>
    <n v="1067"/>
    <x v="25"/>
    <x v="0"/>
    <x v="20"/>
    <x v="0"/>
    <n v="2"/>
    <n v="448"/>
  </r>
  <r>
    <n v="94"/>
    <x v="369"/>
    <x v="0"/>
    <x v="3"/>
    <x v="0"/>
    <n v="2"/>
    <n v="500"/>
  </r>
  <r>
    <n v="1371"/>
    <x v="370"/>
    <x v="0"/>
    <x v="38"/>
    <x v="0"/>
    <n v="3"/>
    <n v="469"/>
  </r>
  <r>
    <n v="1938"/>
    <x v="209"/>
    <x v="1"/>
    <x v="34"/>
    <x v="2"/>
    <n v="2"/>
    <n v="485"/>
  </r>
  <r>
    <n v="1696"/>
    <x v="112"/>
    <x v="1"/>
    <x v="43"/>
    <x v="1"/>
    <n v="6"/>
    <n v="435"/>
  </r>
  <r>
    <n v="981"/>
    <x v="371"/>
    <x v="0"/>
    <x v="14"/>
    <x v="2"/>
    <n v="1"/>
    <n v="300"/>
  </r>
  <r>
    <n v="244"/>
    <x v="249"/>
    <x v="1"/>
    <x v="3"/>
    <x v="2"/>
    <n v="3"/>
    <n v="30"/>
  </r>
  <r>
    <n v="1852"/>
    <x v="227"/>
    <x v="1"/>
    <x v="29"/>
    <x v="1"/>
    <n v="1"/>
    <n v="378"/>
  </r>
  <r>
    <n v="678"/>
    <x v="160"/>
    <x v="0"/>
    <x v="6"/>
    <x v="2"/>
    <n v="3"/>
    <n v="300"/>
  </r>
  <r>
    <n v="60"/>
    <x v="266"/>
    <x v="1"/>
    <x v="17"/>
    <x v="0"/>
    <n v="3"/>
    <n v="50"/>
  </r>
  <r>
    <n v="1820"/>
    <x v="142"/>
    <x v="1"/>
    <x v="39"/>
    <x v="2"/>
    <n v="4"/>
    <n v="101"/>
  </r>
  <r>
    <n v="519"/>
    <x v="372"/>
    <x v="0"/>
    <x v="20"/>
    <x v="1"/>
    <n v="4"/>
    <n v="25"/>
  </r>
  <r>
    <n v="1795"/>
    <x v="188"/>
    <x v="1"/>
    <x v="26"/>
    <x v="1"/>
    <n v="1"/>
    <n v="273"/>
  </r>
  <r>
    <n v="809"/>
    <x v="369"/>
    <x v="1"/>
    <x v="30"/>
    <x v="0"/>
    <n v="2"/>
    <n v="25"/>
  </r>
  <r>
    <n v="941"/>
    <x v="199"/>
    <x v="0"/>
    <x v="15"/>
    <x v="2"/>
    <n v="4"/>
    <n v="300"/>
  </r>
  <r>
    <n v="1483"/>
    <x v="19"/>
    <x v="0"/>
    <x v="27"/>
    <x v="1"/>
    <n v="7"/>
    <n v="243"/>
  </r>
  <r>
    <n v="1319"/>
    <x v="373"/>
    <x v="1"/>
    <x v="28"/>
    <x v="1"/>
    <n v="3"/>
    <n v="88"/>
  </r>
  <r>
    <n v="1792"/>
    <x v="247"/>
    <x v="1"/>
    <x v="3"/>
    <x v="0"/>
    <n v="2"/>
    <n v="340"/>
  </r>
  <r>
    <n v="1125"/>
    <x v="67"/>
    <x v="0"/>
    <x v="19"/>
    <x v="2"/>
    <n v="7"/>
    <n v="466"/>
  </r>
  <r>
    <n v="1382"/>
    <x v="374"/>
    <x v="1"/>
    <x v="11"/>
    <x v="1"/>
    <n v="1"/>
    <n v="366"/>
  </r>
  <r>
    <n v="1203"/>
    <x v="213"/>
    <x v="0"/>
    <x v="27"/>
    <x v="2"/>
    <n v="1"/>
    <n v="238"/>
  </r>
  <r>
    <n v="562"/>
    <x v="375"/>
    <x v="1"/>
    <x v="43"/>
    <x v="2"/>
    <n v="2"/>
    <n v="30"/>
  </r>
  <r>
    <n v="852"/>
    <x v="129"/>
    <x v="1"/>
    <x v="14"/>
    <x v="2"/>
    <n v="1"/>
    <n v="50"/>
  </r>
  <r>
    <n v="1897"/>
    <x v="376"/>
    <x v="1"/>
    <x v="27"/>
    <x v="1"/>
    <n v="4"/>
    <n v="286"/>
  </r>
  <r>
    <n v="1362"/>
    <x v="215"/>
    <x v="1"/>
    <x v="16"/>
    <x v="2"/>
    <n v="5"/>
    <n v="406"/>
  </r>
  <r>
    <n v="556"/>
    <x v="377"/>
    <x v="0"/>
    <x v="43"/>
    <x v="0"/>
    <n v="3"/>
    <n v="30"/>
  </r>
  <r>
    <n v="1961"/>
    <x v="195"/>
    <x v="1"/>
    <x v="19"/>
    <x v="2"/>
    <n v="7"/>
    <n v="496"/>
  </r>
  <r>
    <n v="258"/>
    <x v="375"/>
    <x v="0"/>
    <x v="46"/>
    <x v="2"/>
    <n v="4"/>
    <n v="50"/>
  </r>
  <r>
    <n v="988"/>
    <x v="378"/>
    <x v="0"/>
    <x v="0"/>
    <x v="0"/>
    <n v="2"/>
    <n v="500"/>
  </r>
  <r>
    <n v="1671"/>
    <x v="379"/>
    <x v="0"/>
    <x v="43"/>
    <x v="2"/>
    <n v="6"/>
    <n v="93"/>
  </r>
  <r>
    <n v="1633"/>
    <x v="380"/>
    <x v="0"/>
    <x v="41"/>
    <x v="0"/>
    <n v="2"/>
    <n v="384"/>
  </r>
  <r>
    <n v="308"/>
    <x v="130"/>
    <x v="0"/>
    <x v="29"/>
    <x v="0"/>
    <n v="1"/>
    <n v="25"/>
  </r>
  <r>
    <n v="681"/>
    <x v="381"/>
    <x v="1"/>
    <x v="36"/>
    <x v="0"/>
    <n v="2"/>
    <n v="500"/>
  </r>
  <r>
    <n v="1570"/>
    <x v="382"/>
    <x v="1"/>
    <x v="35"/>
    <x v="0"/>
    <n v="4"/>
    <n v="403"/>
  </r>
  <r>
    <n v="1810"/>
    <x v="383"/>
    <x v="0"/>
    <x v="27"/>
    <x v="2"/>
    <n v="2"/>
    <n v="113"/>
  </r>
  <r>
    <n v="897"/>
    <x v="378"/>
    <x v="1"/>
    <x v="29"/>
    <x v="2"/>
    <n v="2"/>
    <n v="300"/>
  </r>
  <r>
    <n v="1044"/>
    <x v="327"/>
    <x v="0"/>
    <x v="19"/>
    <x v="1"/>
    <n v="7"/>
    <n v="370"/>
  </r>
  <r>
    <n v="953"/>
    <x v="121"/>
    <x v="1"/>
    <x v="0"/>
    <x v="2"/>
    <n v="1"/>
    <n v="25"/>
  </r>
  <r>
    <n v="787"/>
    <x v="384"/>
    <x v="0"/>
    <x v="30"/>
    <x v="2"/>
    <n v="4"/>
    <n v="500"/>
  </r>
  <r>
    <n v="1895"/>
    <x v="207"/>
    <x v="1"/>
    <x v="26"/>
    <x v="2"/>
    <n v="4"/>
    <n v="473"/>
  </r>
  <r>
    <n v="573"/>
    <x v="385"/>
    <x v="0"/>
    <x v="23"/>
    <x v="1"/>
    <n v="2"/>
    <n v="25"/>
  </r>
  <r>
    <n v="887"/>
    <x v="292"/>
    <x v="0"/>
    <x v="7"/>
    <x v="1"/>
    <n v="1"/>
    <n v="50"/>
  </r>
  <r>
    <n v="1246"/>
    <x v="386"/>
    <x v="1"/>
    <x v="23"/>
    <x v="2"/>
    <n v="5"/>
    <n v="38"/>
  </r>
  <r>
    <n v="1422"/>
    <x v="75"/>
    <x v="0"/>
    <x v="33"/>
    <x v="1"/>
    <n v="2"/>
    <n v="446"/>
  </r>
  <r>
    <n v="1153"/>
    <x v="387"/>
    <x v="1"/>
    <x v="11"/>
    <x v="1"/>
    <n v="1"/>
    <n v="28"/>
  </r>
  <r>
    <n v="268"/>
    <x v="176"/>
    <x v="1"/>
    <x v="26"/>
    <x v="2"/>
    <n v="4"/>
    <n v="500"/>
  </r>
  <r>
    <n v="939"/>
    <x v="96"/>
    <x v="0"/>
    <x v="15"/>
    <x v="2"/>
    <n v="2"/>
    <n v="25"/>
  </r>
  <r>
    <n v="1754"/>
    <x v="388"/>
    <x v="1"/>
    <x v="1"/>
    <x v="2"/>
    <n v="5"/>
    <n v="373"/>
  </r>
  <r>
    <n v="1321"/>
    <x v="360"/>
    <x v="0"/>
    <x v="42"/>
    <x v="1"/>
    <n v="5"/>
    <n v="395"/>
  </r>
  <r>
    <n v="151"/>
    <x v="389"/>
    <x v="1"/>
    <x v="14"/>
    <x v="2"/>
    <n v="1"/>
    <n v="50"/>
  </r>
  <r>
    <n v="713"/>
    <x v="390"/>
    <x v="0"/>
    <x v="33"/>
    <x v="0"/>
    <n v="4"/>
    <n v="25"/>
  </r>
  <r>
    <n v="812"/>
    <x v="391"/>
    <x v="0"/>
    <x v="8"/>
    <x v="2"/>
    <n v="1"/>
    <n v="500"/>
  </r>
  <r>
    <n v="221"/>
    <x v="392"/>
    <x v="1"/>
    <x v="16"/>
    <x v="2"/>
    <n v="4"/>
    <n v="30"/>
  </r>
  <r>
    <n v="1459"/>
    <x v="393"/>
    <x v="1"/>
    <x v="26"/>
    <x v="1"/>
    <n v="6"/>
    <n v="162"/>
  </r>
  <r>
    <n v="664"/>
    <x v="34"/>
    <x v="1"/>
    <x v="16"/>
    <x v="1"/>
    <n v="3"/>
    <n v="50"/>
  </r>
  <r>
    <n v="442"/>
    <x v="375"/>
    <x v="1"/>
    <x v="14"/>
    <x v="2"/>
    <n v="2"/>
    <n v="300"/>
  </r>
  <r>
    <n v="430"/>
    <x v="4"/>
    <x v="1"/>
    <x v="23"/>
    <x v="1"/>
    <n v="4"/>
    <n v="300"/>
  </r>
  <r>
    <n v="1595"/>
    <x v="394"/>
    <x v="1"/>
    <x v="27"/>
    <x v="0"/>
    <n v="6"/>
    <n v="128"/>
  </r>
  <r>
    <n v="1099"/>
    <x v="395"/>
    <x v="1"/>
    <x v="46"/>
    <x v="2"/>
    <n v="7"/>
    <n v="395"/>
  </r>
  <r>
    <n v="1515"/>
    <x v="396"/>
    <x v="0"/>
    <x v="38"/>
    <x v="2"/>
    <n v="2"/>
    <n v="185"/>
  </r>
  <r>
    <n v="1135"/>
    <x v="397"/>
    <x v="1"/>
    <x v="31"/>
    <x v="0"/>
    <n v="2"/>
    <n v="293"/>
  </r>
  <r>
    <n v="593"/>
    <x v="16"/>
    <x v="0"/>
    <x v="11"/>
    <x v="1"/>
    <n v="2"/>
    <n v="300"/>
  </r>
  <r>
    <n v="484"/>
    <x v="398"/>
    <x v="1"/>
    <x v="9"/>
    <x v="1"/>
    <n v="1"/>
    <n v="30"/>
  </r>
  <r>
    <n v="493"/>
    <x v="399"/>
    <x v="0"/>
    <x v="33"/>
    <x v="0"/>
    <n v="4"/>
    <n v="50"/>
  </r>
  <r>
    <n v="356"/>
    <x v="400"/>
    <x v="0"/>
    <x v="18"/>
    <x v="1"/>
    <n v="3"/>
    <n v="25"/>
  </r>
  <r>
    <n v="1663"/>
    <x v="394"/>
    <x v="0"/>
    <x v="42"/>
    <x v="1"/>
    <n v="3"/>
    <n v="349"/>
  </r>
  <r>
    <n v="1138"/>
    <x v="11"/>
    <x v="1"/>
    <x v="9"/>
    <x v="1"/>
    <n v="3"/>
    <n v="191"/>
  </r>
  <r>
    <n v="542"/>
    <x v="401"/>
    <x v="1"/>
    <x v="20"/>
    <x v="0"/>
    <n v="2"/>
    <n v="300"/>
  </r>
  <r>
    <n v="1445"/>
    <x v="361"/>
    <x v="0"/>
    <x v="19"/>
    <x v="0"/>
    <n v="6"/>
    <n v="260"/>
  </r>
  <r>
    <n v="1470"/>
    <x v="402"/>
    <x v="1"/>
    <x v="27"/>
    <x v="0"/>
    <n v="1"/>
    <n v="121"/>
  </r>
  <r>
    <n v="1167"/>
    <x v="105"/>
    <x v="1"/>
    <x v="37"/>
    <x v="0"/>
    <n v="6"/>
    <n v="140"/>
  </r>
  <r>
    <n v="1118"/>
    <x v="119"/>
    <x v="1"/>
    <x v="4"/>
    <x v="0"/>
    <n v="6"/>
    <n v="318"/>
  </r>
  <r>
    <n v="785"/>
    <x v="403"/>
    <x v="1"/>
    <x v="13"/>
    <x v="1"/>
    <n v="1"/>
    <n v="25"/>
  </r>
  <r>
    <n v="1450"/>
    <x v="404"/>
    <x v="0"/>
    <x v="4"/>
    <x v="2"/>
    <n v="3"/>
    <n v="27"/>
  </r>
  <r>
    <n v="579"/>
    <x v="405"/>
    <x v="0"/>
    <x v="34"/>
    <x v="2"/>
    <n v="3"/>
    <n v="500"/>
  </r>
  <r>
    <n v="1713"/>
    <x v="406"/>
    <x v="1"/>
    <x v="34"/>
    <x v="2"/>
    <n v="2"/>
    <n v="346"/>
  </r>
  <r>
    <n v="1260"/>
    <x v="115"/>
    <x v="1"/>
    <x v="37"/>
    <x v="0"/>
    <n v="2"/>
    <n v="308"/>
  </r>
  <r>
    <n v="454"/>
    <x v="183"/>
    <x v="1"/>
    <x v="34"/>
    <x v="1"/>
    <n v="4"/>
    <n v="25"/>
  </r>
  <r>
    <n v="1376"/>
    <x v="407"/>
    <x v="0"/>
    <x v="40"/>
    <x v="2"/>
    <n v="6"/>
    <n v="33"/>
  </r>
  <r>
    <n v="1050"/>
    <x v="408"/>
    <x v="0"/>
    <x v="15"/>
    <x v="0"/>
    <n v="1"/>
    <n v="423"/>
  </r>
  <r>
    <n v="1568"/>
    <x v="190"/>
    <x v="0"/>
    <x v="24"/>
    <x v="1"/>
    <n v="5"/>
    <n v="288"/>
  </r>
  <r>
    <n v="148"/>
    <x v="69"/>
    <x v="1"/>
    <x v="4"/>
    <x v="2"/>
    <n v="2"/>
    <n v="30"/>
  </r>
  <r>
    <n v="863"/>
    <x v="409"/>
    <x v="0"/>
    <x v="33"/>
    <x v="2"/>
    <n v="1"/>
    <n v="300"/>
  </r>
  <r>
    <n v="1202"/>
    <x v="114"/>
    <x v="1"/>
    <x v="16"/>
    <x v="0"/>
    <n v="2"/>
    <n v="486"/>
  </r>
  <r>
    <n v="1522"/>
    <x v="335"/>
    <x v="0"/>
    <x v="43"/>
    <x v="0"/>
    <n v="6"/>
    <n v="482"/>
  </r>
  <r>
    <n v="604"/>
    <x v="48"/>
    <x v="1"/>
    <x v="10"/>
    <x v="1"/>
    <n v="2"/>
    <n v="500"/>
  </r>
  <r>
    <n v="1675"/>
    <x v="410"/>
    <x v="0"/>
    <x v="31"/>
    <x v="0"/>
    <n v="3"/>
    <n v="290"/>
  </r>
  <r>
    <n v="363"/>
    <x v="411"/>
    <x v="0"/>
    <x v="11"/>
    <x v="0"/>
    <n v="1"/>
    <n v="500"/>
  </r>
  <r>
    <n v="1692"/>
    <x v="321"/>
    <x v="0"/>
    <x v="30"/>
    <x v="2"/>
    <n v="2"/>
    <n v="230"/>
  </r>
  <r>
    <n v="1911"/>
    <x v="412"/>
    <x v="0"/>
    <x v="37"/>
    <x v="0"/>
    <n v="6"/>
    <n v="101"/>
  </r>
  <r>
    <n v="700"/>
    <x v="377"/>
    <x v="0"/>
    <x v="21"/>
    <x v="2"/>
    <n v="2"/>
    <n v="300"/>
  </r>
  <r>
    <n v="1367"/>
    <x v="111"/>
    <x v="1"/>
    <x v="3"/>
    <x v="1"/>
    <n v="7"/>
    <n v="340"/>
  </r>
  <r>
    <n v="643"/>
    <x v="249"/>
    <x v="1"/>
    <x v="35"/>
    <x v="0"/>
    <n v="3"/>
    <n v="25"/>
  </r>
  <r>
    <n v="1348"/>
    <x v="413"/>
    <x v="0"/>
    <x v="36"/>
    <x v="2"/>
    <n v="1"/>
    <n v="239"/>
  </r>
  <r>
    <n v="795"/>
    <x v="414"/>
    <x v="1"/>
    <x v="18"/>
    <x v="2"/>
    <n v="3"/>
    <n v="25"/>
  </r>
  <r>
    <n v="577"/>
    <x v="415"/>
    <x v="0"/>
    <x v="2"/>
    <x v="2"/>
    <n v="4"/>
    <n v="30"/>
  </r>
  <r>
    <n v="1499"/>
    <x v="416"/>
    <x v="1"/>
    <x v="6"/>
    <x v="1"/>
    <n v="1"/>
    <n v="309"/>
  </r>
  <r>
    <n v="1291"/>
    <x v="417"/>
    <x v="0"/>
    <x v="18"/>
    <x v="2"/>
    <n v="1"/>
    <n v="173"/>
  </r>
  <r>
    <n v="1702"/>
    <x v="418"/>
    <x v="1"/>
    <x v="2"/>
    <x v="1"/>
    <n v="7"/>
    <n v="295"/>
  </r>
  <r>
    <n v="439"/>
    <x v="419"/>
    <x v="1"/>
    <x v="37"/>
    <x v="2"/>
    <n v="2"/>
    <n v="300"/>
  </r>
  <r>
    <n v="1013"/>
    <x v="420"/>
    <x v="0"/>
    <x v="26"/>
    <x v="1"/>
    <n v="7"/>
    <n v="311"/>
  </r>
  <r>
    <n v="616"/>
    <x v="346"/>
    <x v="1"/>
    <x v="19"/>
    <x v="1"/>
    <n v="1"/>
    <n v="30"/>
  </r>
  <r>
    <n v="1465"/>
    <x v="112"/>
    <x v="1"/>
    <x v="19"/>
    <x v="1"/>
    <n v="6"/>
    <n v="363"/>
  </r>
  <r>
    <n v="1982"/>
    <x v="421"/>
    <x v="0"/>
    <x v="42"/>
    <x v="2"/>
    <n v="6"/>
    <n v="406"/>
  </r>
  <r>
    <n v="1142"/>
    <x v="422"/>
    <x v="0"/>
    <x v="13"/>
    <x v="0"/>
    <n v="2"/>
    <n v="436"/>
  </r>
  <r>
    <n v="621"/>
    <x v="423"/>
    <x v="0"/>
    <x v="20"/>
    <x v="0"/>
    <n v="3"/>
    <n v="25"/>
  </r>
  <r>
    <n v="1271"/>
    <x v="19"/>
    <x v="0"/>
    <x v="27"/>
    <x v="2"/>
    <n v="4"/>
    <n v="415"/>
  </r>
  <r>
    <n v="1868"/>
    <x v="269"/>
    <x v="0"/>
    <x v="33"/>
    <x v="0"/>
    <n v="3"/>
    <n v="352"/>
  </r>
  <r>
    <n v="1259"/>
    <x v="424"/>
    <x v="0"/>
    <x v="33"/>
    <x v="0"/>
    <n v="5"/>
    <n v="55"/>
  </r>
  <r>
    <n v="448"/>
    <x v="425"/>
    <x v="1"/>
    <x v="26"/>
    <x v="1"/>
    <n v="4"/>
    <n v="50"/>
  </r>
  <r>
    <n v="1743"/>
    <x v="418"/>
    <x v="1"/>
    <x v="40"/>
    <x v="0"/>
    <n v="3"/>
    <n v="224"/>
  </r>
  <r>
    <n v="612"/>
    <x v="13"/>
    <x v="0"/>
    <x v="22"/>
    <x v="2"/>
    <n v="3"/>
    <n v="30"/>
  </r>
  <r>
    <n v="333"/>
    <x v="371"/>
    <x v="1"/>
    <x v="34"/>
    <x v="1"/>
    <n v="3"/>
    <n v="300"/>
  </r>
  <r>
    <n v="1335"/>
    <x v="135"/>
    <x v="1"/>
    <x v="24"/>
    <x v="0"/>
    <n v="6"/>
    <n v="20"/>
  </r>
  <r>
    <n v="460"/>
    <x v="202"/>
    <x v="0"/>
    <x v="4"/>
    <x v="0"/>
    <n v="2"/>
    <n v="500"/>
  </r>
  <r>
    <n v="1326"/>
    <x v="373"/>
    <x v="0"/>
    <x v="29"/>
    <x v="1"/>
    <n v="3"/>
    <n v="460"/>
  </r>
  <r>
    <n v="998"/>
    <x v="120"/>
    <x v="1"/>
    <x v="3"/>
    <x v="1"/>
    <n v="4"/>
    <n v="30"/>
  </r>
  <r>
    <n v="332"/>
    <x v="161"/>
    <x v="0"/>
    <x v="2"/>
    <x v="1"/>
    <n v="4"/>
    <n v="300"/>
  </r>
  <r>
    <n v="87"/>
    <x v="243"/>
    <x v="0"/>
    <x v="47"/>
    <x v="0"/>
    <n v="2"/>
    <n v="50"/>
  </r>
  <r>
    <n v="533"/>
    <x v="426"/>
    <x v="1"/>
    <x v="46"/>
    <x v="2"/>
    <n v="2"/>
    <n v="500"/>
  </r>
  <r>
    <n v="645"/>
    <x v="400"/>
    <x v="1"/>
    <x v="36"/>
    <x v="2"/>
    <n v="3"/>
    <n v="30"/>
  </r>
  <r>
    <n v="90"/>
    <x v="137"/>
    <x v="0"/>
    <x v="16"/>
    <x v="1"/>
    <n v="1"/>
    <n v="30"/>
  </r>
  <r>
    <n v="1217"/>
    <x v="427"/>
    <x v="1"/>
    <x v="9"/>
    <x v="0"/>
    <n v="2"/>
    <n v="131"/>
  </r>
  <r>
    <n v="193"/>
    <x v="74"/>
    <x v="1"/>
    <x v="7"/>
    <x v="0"/>
    <n v="3"/>
    <n v="500"/>
  </r>
  <r>
    <n v="1124"/>
    <x v="428"/>
    <x v="0"/>
    <x v="29"/>
    <x v="2"/>
    <n v="7"/>
    <n v="238"/>
  </r>
  <r>
    <n v="104"/>
    <x v="172"/>
    <x v="0"/>
    <x v="19"/>
    <x v="0"/>
    <n v="2"/>
    <n v="500"/>
  </r>
  <r>
    <n v="495"/>
    <x v="429"/>
    <x v="1"/>
    <x v="35"/>
    <x v="2"/>
    <n v="2"/>
    <n v="300"/>
  </r>
  <r>
    <n v="1975"/>
    <x v="81"/>
    <x v="0"/>
    <x v="16"/>
    <x v="0"/>
    <n v="7"/>
    <n v="143"/>
  </r>
  <r>
    <n v="1247"/>
    <x v="267"/>
    <x v="1"/>
    <x v="20"/>
    <x v="1"/>
    <n v="7"/>
    <n v="382"/>
  </r>
  <r>
    <n v="1839"/>
    <x v="430"/>
    <x v="1"/>
    <x v="24"/>
    <x v="0"/>
    <n v="4"/>
    <n v="308"/>
  </r>
  <r>
    <n v="1243"/>
    <x v="370"/>
    <x v="0"/>
    <x v="3"/>
    <x v="1"/>
    <n v="3"/>
    <n v="469"/>
  </r>
  <r>
    <n v="45"/>
    <x v="425"/>
    <x v="0"/>
    <x v="27"/>
    <x v="1"/>
    <n v="1"/>
    <n v="30"/>
  </r>
  <r>
    <n v="1742"/>
    <x v="410"/>
    <x v="0"/>
    <x v="0"/>
    <x v="2"/>
    <n v="3"/>
    <n v="337"/>
  </r>
  <r>
    <n v="1011"/>
    <x v="11"/>
    <x v="1"/>
    <x v="19"/>
    <x v="1"/>
    <n v="5"/>
    <n v="299"/>
  </r>
  <r>
    <n v="1154"/>
    <x v="431"/>
    <x v="0"/>
    <x v="10"/>
    <x v="2"/>
    <n v="5"/>
    <n v="498"/>
  </r>
  <r>
    <n v="1670"/>
    <x v="432"/>
    <x v="0"/>
    <x v="31"/>
    <x v="2"/>
    <n v="4"/>
    <n v="198"/>
  </r>
  <r>
    <n v="776"/>
    <x v="293"/>
    <x v="0"/>
    <x v="3"/>
    <x v="0"/>
    <n v="4"/>
    <n v="25"/>
  </r>
  <r>
    <n v="1490"/>
    <x v="431"/>
    <x v="1"/>
    <x v="20"/>
    <x v="0"/>
    <n v="7"/>
    <n v="314"/>
  </r>
  <r>
    <n v="339"/>
    <x v="145"/>
    <x v="0"/>
    <x v="44"/>
    <x v="2"/>
    <n v="4"/>
    <n v="300"/>
  </r>
  <r>
    <n v="449"/>
    <x v="433"/>
    <x v="0"/>
    <x v="8"/>
    <x v="0"/>
    <n v="2"/>
    <n v="25"/>
  </r>
  <r>
    <n v="1733"/>
    <x v="59"/>
    <x v="0"/>
    <x v="4"/>
    <x v="2"/>
    <n v="4"/>
    <n v="292"/>
  </r>
  <r>
    <n v="340"/>
    <x v="434"/>
    <x v="1"/>
    <x v="34"/>
    <x v="2"/>
    <n v="4"/>
    <n v="50"/>
  </r>
  <r>
    <n v="5"/>
    <x v="137"/>
    <x v="1"/>
    <x v="17"/>
    <x v="0"/>
    <n v="2"/>
    <n v="50"/>
  </r>
  <r>
    <n v="1038"/>
    <x v="219"/>
    <x v="1"/>
    <x v="39"/>
    <x v="0"/>
    <n v="7"/>
    <n v="55"/>
  </r>
  <r>
    <n v="86"/>
    <x v="150"/>
    <x v="1"/>
    <x v="11"/>
    <x v="0"/>
    <n v="3"/>
    <n v="30"/>
  </r>
  <r>
    <n v="1813"/>
    <x v="178"/>
    <x v="1"/>
    <x v="45"/>
    <x v="0"/>
    <n v="6"/>
    <n v="398"/>
  </r>
  <r>
    <n v="1917"/>
    <x v="131"/>
    <x v="1"/>
    <x v="17"/>
    <x v="1"/>
    <n v="6"/>
    <n v="489"/>
  </r>
  <r>
    <n v="1550"/>
    <x v="435"/>
    <x v="1"/>
    <x v="6"/>
    <x v="2"/>
    <n v="4"/>
    <n v="268"/>
  </r>
  <r>
    <n v="262"/>
    <x v="317"/>
    <x v="1"/>
    <x v="35"/>
    <x v="0"/>
    <n v="2"/>
    <n v="30"/>
  </r>
  <r>
    <n v="1583"/>
    <x v="436"/>
    <x v="1"/>
    <x v="26"/>
    <x v="1"/>
    <n v="3"/>
    <n v="115"/>
  </r>
  <r>
    <n v="815"/>
    <x v="336"/>
    <x v="1"/>
    <x v="17"/>
    <x v="0"/>
    <n v="4"/>
    <n v="50"/>
  </r>
  <r>
    <n v="1115"/>
    <x v="437"/>
    <x v="1"/>
    <x v="36"/>
    <x v="1"/>
    <n v="4"/>
    <n v="43"/>
  </r>
  <r>
    <n v="995"/>
    <x v="132"/>
    <x v="1"/>
    <x v="22"/>
    <x v="0"/>
    <n v="3"/>
    <n v="30"/>
  </r>
  <r>
    <n v="899"/>
    <x v="109"/>
    <x v="1"/>
    <x v="34"/>
    <x v="1"/>
    <n v="1"/>
    <n v="30"/>
  </r>
  <r>
    <n v="1591"/>
    <x v="85"/>
    <x v="0"/>
    <x v="29"/>
    <x v="1"/>
    <n v="5"/>
    <n v="211"/>
  </r>
  <r>
    <n v="345"/>
    <x v="438"/>
    <x v="1"/>
    <x v="8"/>
    <x v="2"/>
    <n v="2"/>
    <n v="500"/>
  </r>
  <r>
    <n v="1652"/>
    <x v="144"/>
    <x v="1"/>
    <x v="44"/>
    <x v="0"/>
    <n v="4"/>
    <n v="495"/>
  </r>
  <r>
    <n v="883"/>
    <x v="439"/>
    <x v="0"/>
    <x v="22"/>
    <x v="2"/>
    <n v="4"/>
    <n v="30"/>
  </r>
  <r>
    <n v="1287"/>
    <x v="144"/>
    <x v="0"/>
    <x v="46"/>
    <x v="0"/>
    <n v="1"/>
    <n v="260"/>
  </r>
  <r>
    <n v="1228"/>
    <x v="26"/>
    <x v="0"/>
    <x v="42"/>
    <x v="2"/>
    <n v="1"/>
    <n v="247"/>
  </r>
  <r>
    <n v="915"/>
    <x v="440"/>
    <x v="0"/>
    <x v="15"/>
    <x v="1"/>
    <n v="4"/>
    <n v="50"/>
  </r>
  <r>
    <n v="185"/>
    <x v="14"/>
    <x v="1"/>
    <x v="9"/>
    <x v="2"/>
    <n v="1"/>
    <n v="25"/>
  </r>
  <r>
    <n v="615"/>
    <x v="441"/>
    <x v="1"/>
    <x v="13"/>
    <x v="2"/>
    <n v="2"/>
    <n v="50"/>
  </r>
  <r>
    <n v="1019"/>
    <x v="37"/>
    <x v="0"/>
    <x v="20"/>
    <x v="0"/>
    <n v="2"/>
    <n v="150"/>
  </r>
  <r>
    <n v="969"/>
    <x v="217"/>
    <x v="0"/>
    <x v="42"/>
    <x v="1"/>
    <n v="4"/>
    <n v="50"/>
  </r>
  <r>
    <n v="238"/>
    <x v="274"/>
    <x v="1"/>
    <x v="36"/>
    <x v="1"/>
    <n v="3"/>
    <n v="500"/>
  </r>
  <r>
    <n v="252"/>
    <x v="385"/>
    <x v="0"/>
    <x v="6"/>
    <x v="2"/>
    <n v="4"/>
    <n v="500"/>
  </r>
  <r>
    <n v="534"/>
    <x v="405"/>
    <x v="1"/>
    <x v="3"/>
    <x v="0"/>
    <n v="3"/>
    <n v="30"/>
  </r>
  <r>
    <n v="1510"/>
    <x v="382"/>
    <x v="1"/>
    <x v="46"/>
    <x v="1"/>
    <n v="2"/>
    <n v="330"/>
  </r>
  <r>
    <n v="1322"/>
    <x v="442"/>
    <x v="0"/>
    <x v="23"/>
    <x v="1"/>
    <n v="6"/>
    <n v="77"/>
  </r>
  <r>
    <n v="1941"/>
    <x v="182"/>
    <x v="1"/>
    <x v="30"/>
    <x v="0"/>
    <n v="6"/>
    <n v="448"/>
  </r>
  <r>
    <n v="1192"/>
    <x v="321"/>
    <x v="1"/>
    <x v="29"/>
    <x v="2"/>
    <n v="5"/>
    <n v="328"/>
  </r>
  <r>
    <n v="126"/>
    <x v="419"/>
    <x v="0"/>
    <x v="47"/>
    <x v="2"/>
    <n v="3"/>
    <n v="30"/>
  </r>
  <r>
    <n v="1031"/>
    <x v="380"/>
    <x v="0"/>
    <x v="34"/>
    <x v="1"/>
    <n v="1"/>
    <n v="296"/>
  </r>
  <r>
    <n v="388"/>
    <x v="443"/>
    <x v="1"/>
    <x v="5"/>
    <x v="2"/>
    <n v="2"/>
    <n v="25"/>
  </r>
  <r>
    <n v="1359"/>
    <x v="227"/>
    <x v="1"/>
    <x v="16"/>
    <x v="2"/>
    <n v="4"/>
    <n v="53"/>
  </r>
  <r>
    <n v="1132"/>
    <x v="444"/>
    <x v="1"/>
    <x v="17"/>
    <x v="1"/>
    <n v="5"/>
    <n v="450"/>
  </r>
  <r>
    <n v="1580"/>
    <x v="445"/>
    <x v="0"/>
    <x v="41"/>
    <x v="1"/>
    <n v="5"/>
    <n v="431"/>
  </r>
  <r>
    <n v="833"/>
    <x v="446"/>
    <x v="1"/>
    <x v="10"/>
    <x v="2"/>
    <n v="4"/>
    <n v="50"/>
  </r>
  <r>
    <n v="182"/>
    <x v="447"/>
    <x v="1"/>
    <x v="1"/>
    <x v="0"/>
    <n v="4"/>
    <n v="30"/>
  </r>
  <r>
    <n v="1323"/>
    <x v="448"/>
    <x v="0"/>
    <x v="6"/>
    <x v="2"/>
    <n v="6"/>
    <n v="205"/>
  </r>
  <r>
    <n v="158"/>
    <x v="14"/>
    <x v="0"/>
    <x v="12"/>
    <x v="1"/>
    <n v="2"/>
    <n v="300"/>
  </r>
  <r>
    <n v="1157"/>
    <x v="151"/>
    <x v="1"/>
    <x v="35"/>
    <x v="2"/>
    <n v="3"/>
    <n v="239"/>
  </r>
  <r>
    <n v="1764"/>
    <x v="37"/>
    <x v="0"/>
    <x v="12"/>
    <x v="0"/>
    <n v="1"/>
    <n v="499"/>
  </r>
  <r>
    <n v="1690"/>
    <x v="449"/>
    <x v="0"/>
    <x v="42"/>
    <x v="1"/>
    <n v="7"/>
    <n v="144"/>
  </r>
  <r>
    <n v="805"/>
    <x v="450"/>
    <x v="0"/>
    <x v="40"/>
    <x v="1"/>
    <n v="4"/>
    <n v="50"/>
  </r>
  <r>
    <n v="1597"/>
    <x v="308"/>
    <x v="0"/>
    <x v="8"/>
    <x v="0"/>
    <n v="6"/>
    <n v="500"/>
  </r>
  <r>
    <n v="769"/>
    <x v="451"/>
    <x v="1"/>
    <x v="9"/>
    <x v="1"/>
    <n v="2"/>
    <n v="25"/>
  </r>
  <r>
    <n v="1497"/>
    <x v="452"/>
    <x v="0"/>
    <x v="4"/>
    <x v="0"/>
    <n v="2"/>
    <n v="449"/>
  </r>
  <r>
    <n v="1097"/>
    <x v="107"/>
    <x v="0"/>
    <x v="42"/>
    <x v="1"/>
    <n v="6"/>
    <n v="319"/>
  </r>
  <r>
    <n v="916"/>
    <x v="65"/>
    <x v="0"/>
    <x v="33"/>
    <x v="1"/>
    <n v="3"/>
    <n v="30"/>
  </r>
  <r>
    <n v="742"/>
    <x v="434"/>
    <x v="1"/>
    <x v="18"/>
    <x v="1"/>
    <n v="1"/>
    <n v="25"/>
  </r>
  <r>
    <n v="1281"/>
    <x v="53"/>
    <x v="1"/>
    <x v="9"/>
    <x v="2"/>
    <n v="5"/>
    <n v="261"/>
  </r>
  <r>
    <n v="827"/>
    <x v="121"/>
    <x v="1"/>
    <x v="30"/>
    <x v="0"/>
    <n v="3"/>
    <n v="30"/>
  </r>
  <r>
    <n v="1746"/>
    <x v="453"/>
    <x v="0"/>
    <x v="36"/>
    <x v="2"/>
    <n v="5"/>
    <n v="340"/>
  </r>
  <r>
    <n v="1285"/>
    <x v="84"/>
    <x v="1"/>
    <x v="30"/>
    <x v="2"/>
    <n v="6"/>
    <n v="289"/>
  </r>
  <r>
    <n v="455"/>
    <x v="454"/>
    <x v="1"/>
    <x v="15"/>
    <x v="1"/>
    <n v="2"/>
    <n v="30"/>
  </r>
  <r>
    <n v="1573"/>
    <x v="455"/>
    <x v="0"/>
    <x v="34"/>
    <x v="0"/>
    <n v="6"/>
    <n v="250"/>
  </r>
  <r>
    <n v="1169"/>
    <x v="248"/>
    <x v="0"/>
    <x v="15"/>
    <x v="2"/>
    <n v="7"/>
    <n v="217"/>
  </r>
  <r>
    <n v="184"/>
    <x v="456"/>
    <x v="1"/>
    <x v="34"/>
    <x v="1"/>
    <n v="4"/>
    <n v="50"/>
  </r>
  <r>
    <n v="67"/>
    <x v="457"/>
    <x v="0"/>
    <x v="38"/>
    <x v="0"/>
    <n v="4"/>
    <n v="300"/>
  </r>
  <r>
    <n v="618"/>
    <x v="258"/>
    <x v="1"/>
    <x v="3"/>
    <x v="1"/>
    <n v="4"/>
    <n v="25"/>
  </r>
  <r>
    <n v="1220"/>
    <x v="458"/>
    <x v="0"/>
    <x v="34"/>
    <x v="2"/>
    <n v="4"/>
    <n v="281"/>
  </r>
  <r>
    <n v="1579"/>
    <x v="39"/>
    <x v="1"/>
    <x v="13"/>
    <x v="2"/>
    <n v="4"/>
    <n v="248"/>
  </r>
  <r>
    <n v="1993"/>
    <x v="105"/>
    <x v="1"/>
    <x v="41"/>
    <x v="0"/>
    <n v="3"/>
    <n v="417"/>
  </r>
  <r>
    <n v="687"/>
    <x v="277"/>
    <x v="1"/>
    <x v="15"/>
    <x v="1"/>
    <n v="2"/>
    <n v="50"/>
  </r>
  <r>
    <n v="396"/>
    <x v="285"/>
    <x v="0"/>
    <x v="17"/>
    <x v="0"/>
    <n v="1"/>
    <n v="25"/>
  </r>
  <r>
    <n v="911"/>
    <x v="230"/>
    <x v="1"/>
    <x v="14"/>
    <x v="1"/>
    <n v="3"/>
    <n v="30"/>
  </r>
  <r>
    <n v="461"/>
    <x v="310"/>
    <x v="1"/>
    <x v="23"/>
    <x v="1"/>
    <n v="4"/>
    <n v="300"/>
  </r>
  <r>
    <n v="155"/>
    <x v="459"/>
    <x v="1"/>
    <x v="34"/>
    <x v="1"/>
    <n v="4"/>
    <n v="500"/>
  </r>
  <r>
    <n v="693"/>
    <x v="460"/>
    <x v="0"/>
    <x v="39"/>
    <x v="1"/>
    <n v="3"/>
    <n v="50"/>
  </r>
  <r>
    <n v="1744"/>
    <x v="92"/>
    <x v="1"/>
    <x v="22"/>
    <x v="2"/>
    <n v="4"/>
    <n v="96"/>
  </r>
  <r>
    <n v="307"/>
    <x v="0"/>
    <x v="0"/>
    <x v="19"/>
    <x v="0"/>
    <n v="4"/>
    <n v="300"/>
  </r>
  <r>
    <n v="813"/>
    <x v="15"/>
    <x v="0"/>
    <x v="16"/>
    <x v="2"/>
    <n v="3"/>
    <n v="25"/>
  </r>
  <r>
    <n v="1036"/>
    <x v="252"/>
    <x v="1"/>
    <x v="28"/>
    <x v="0"/>
    <n v="7"/>
    <n v="419"/>
  </r>
  <r>
    <n v="1942"/>
    <x v="6"/>
    <x v="1"/>
    <x v="38"/>
    <x v="1"/>
    <n v="5"/>
    <n v="374"/>
  </r>
  <r>
    <n v="777"/>
    <x v="203"/>
    <x v="0"/>
    <x v="41"/>
    <x v="1"/>
    <n v="2"/>
    <n v="500"/>
  </r>
  <r>
    <n v="639"/>
    <x v="434"/>
    <x v="0"/>
    <x v="16"/>
    <x v="1"/>
    <n v="4"/>
    <n v="30"/>
  </r>
  <r>
    <n v="704"/>
    <x v="461"/>
    <x v="1"/>
    <x v="16"/>
    <x v="1"/>
    <n v="4"/>
    <n v="25"/>
  </r>
  <r>
    <n v="1355"/>
    <x v="189"/>
    <x v="0"/>
    <x v="21"/>
    <x v="0"/>
    <n v="4"/>
    <n v="322"/>
  </r>
  <r>
    <n v="1611"/>
    <x v="393"/>
    <x v="0"/>
    <x v="43"/>
    <x v="0"/>
    <n v="3"/>
    <n v="426"/>
  </r>
  <r>
    <n v="1316"/>
    <x v="462"/>
    <x v="1"/>
    <x v="12"/>
    <x v="2"/>
    <n v="7"/>
    <n v="380"/>
  </r>
  <r>
    <n v="1437"/>
    <x v="428"/>
    <x v="1"/>
    <x v="24"/>
    <x v="2"/>
    <n v="7"/>
    <n v="13"/>
  </r>
  <r>
    <n v="902"/>
    <x v="463"/>
    <x v="1"/>
    <x v="47"/>
    <x v="2"/>
    <n v="1"/>
    <n v="500"/>
  </r>
  <r>
    <n v="929"/>
    <x v="464"/>
    <x v="1"/>
    <x v="17"/>
    <x v="0"/>
    <n v="4"/>
    <n v="30"/>
  </r>
  <r>
    <n v="1857"/>
    <x v="465"/>
    <x v="0"/>
    <x v="2"/>
    <x v="2"/>
    <n v="1"/>
    <n v="453"/>
  </r>
  <r>
    <n v="61"/>
    <x v="18"/>
    <x v="1"/>
    <x v="5"/>
    <x v="0"/>
    <n v="4"/>
    <n v="50"/>
  </r>
  <r>
    <n v="1584"/>
    <x v="466"/>
    <x v="0"/>
    <x v="42"/>
    <x v="0"/>
    <n v="4"/>
    <n v="101"/>
  </r>
  <r>
    <n v="830"/>
    <x v="467"/>
    <x v="1"/>
    <x v="3"/>
    <x v="0"/>
    <n v="4"/>
    <n v="500"/>
  </r>
  <r>
    <n v="1448"/>
    <x v="468"/>
    <x v="0"/>
    <x v="36"/>
    <x v="1"/>
    <n v="2"/>
    <n v="29"/>
  </r>
  <r>
    <n v="1244"/>
    <x v="144"/>
    <x v="1"/>
    <x v="9"/>
    <x v="1"/>
    <n v="3"/>
    <n v="284"/>
  </r>
  <r>
    <n v="1009"/>
    <x v="469"/>
    <x v="1"/>
    <x v="22"/>
    <x v="2"/>
    <n v="4"/>
    <n v="321"/>
  </r>
  <r>
    <n v="918"/>
    <x v="362"/>
    <x v="0"/>
    <x v="47"/>
    <x v="0"/>
    <n v="3"/>
    <n v="25"/>
  </r>
  <r>
    <n v="1896"/>
    <x v="62"/>
    <x v="1"/>
    <x v="7"/>
    <x v="2"/>
    <n v="1"/>
    <n v="333"/>
  </r>
  <r>
    <n v="1529"/>
    <x v="353"/>
    <x v="0"/>
    <x v="28"/>
    <x v="2"/>
    <n v="5"/>
    <n v="429"/>
  </r>
  <r>
    <n v="1753"/>
    <x v="470"/>
    <x v="0"/>
    <x v="37"/>
    <x v="1"/>
    <n v="1"/>
    <n v="377"/>
  </r>
  <r>
    <n v="1040"/>
    <x v="465"/>
    <x v="1"/>
    <x v="20"/>
    <x v="2"/>
    <n v="1"/>
    <n v="496"/>
  </r>
  <r>
    <n v="890"/>
    <x v="18"/>
    <x v="1"/>
    <x v="43"/>
    <x v="1"/>
    <n v="1"/>
    <n v="50"/>
  </r>
  <r>
    <n v="435"/>
    <x v="242"/>
    <x v="0"/>
    <x v="15"/>
    <x v="2"/>
    <n v="4"/>
    <n v="30"/>
  </r>
  <r>
    <n v="1181"/>
    <x v="188"/>
    <x v="0"/>
    <x v="5"/>
    <x v="0"/>
    <n v="4"/>
    <n v="188"/>
  </r>
  <r>
    <n v="1921"/>
    <x v="471"/>
    <x v="1"/>
    <x v="43"/>
    <x v="1"/>
    <n v="7"/>
    <n v="249"/>
  </r>
  <r>
    <n v="1094"/>
    <x v="347"/>
    <x v="0"/>
    <x v="18"/>
    <x v="2"/>
    <n v="2"/>
    <n v="243"/>
  </r>
  <r>
    <n v="1053"/>
    <x v="472"/>
    <x v="1"/>
    <x v="24"/>
    <x v="0"/>
    <n v="6"/>
    <n v="55"/>
  </r>
  <r>
    <n v="1168"/>
    <x v="134"/>
    <x v="0"/>
    <x v="39"/>
    <x v="2"/>
    <n v="4"/>
    <n v="206"/>
  </r>
  <r>
    <n v="213"/>
    <x v="473"/>
    <x v="1"/>
    <x v="43"/>
    <x v="0"/>
    <n v="2"/>
    <n v="30"/>
  </r>
  <r>
    <n v="1447"/>
    <x v="186"/>
    <x v="0"/>
    <x v="27"/>
    <x v="0"/>
    <n v="2"/>
    <n v="85"/>
  </r>
  <r>
    <n v="1270"/>
    <x v="6"/>
    <x v="0"/>
    <x v="12"/>
    <x v="0"/>
    <n v="3"/>
    <n v="433"/>
  </r>
  <r>
    <n v="1788"/>
    <x v="474"/>
    <x v="0"/>
    <x v="26"/>
    <x v="0"/>
    <n v="1"/>
    <n v="145"/>
  </r>
  <r>
    <n v="1107"/>
    <x v="475"/>
    <x v="0"/>
    <x v="32"/>
    <x v="1"/>
    <n v="4"/>
    <n v="281"/>
  </r>
  <r>
    <n v="1136"/>
    <x v="380"/>
    <x v="1"/>
    <x v="43"/>
    <x v="2"/>
    <n v="4"/>
    <n v="166"/>
  </r>
  <r>
    <n v="1476"/>
    <x v="299"/>
    <x v="1"/>
    <x v="29"/>
    <x v="1"/>
    <n v="1"/>
    <n v="23"/>
  </r>
  <r>
    <n v="391"/>
    <x v="476"/>
    <x v="1"/>
    <x v="42"/>
    <x v="2"/>
    <n v="2"/>
    <n v="300"/>
  </r>
  <r>
    <n v="164"/>
    <x v="79"/>
    <x v="0"/>
    <x v="3"/>
    <x v="0"/>
    <n v="3"/>
    <n v="500"/>
  </r>
  <r>
    <n v="1253"/>
    <x v="477"/>
    <x v="1"/>
    <x v="42"/>
    <x v="2"/>
    <n v="1"/>
    <n v="153"/>
  </r>
  <r>
    <n v="1859"/>
    <x v="231"/>
    <x v="0"/>
    <x v="46"/>
    <x v="1"/>
    <n v="5"/>
    <n v="116"/>
  </r>
  <r>
    <n v="1785"/>
    <x v="284"/>
    <x v="0"/>
    <x v="25"/>
    <x v="2"/>
    <n v="3"/>
    <n v="10"/>
  </r>
  <r>
    <n v="1325"/>
    <x v="301"/>
    <x v="1"/>
    <x v="39"/>
    <x v="0"/>
    <n v="6"/>
    <n v="26"/>
  </r>
  <r>
    <n v="1062"/>
    <x v="478"/>
    <x v="1"/>
    <x v="25"/>
    <x v="2"/>
    <n v="2"/>
    <n v="209"/>
  </r>
  <r>
    <n v="596"/>
    <x v="423"/>
    <x v="1"/>
    <x v="39"/>
    <x v="0"/>
    <n v="4"/>
    <n v="300"/>
  </r>
  <r>
    <n v="1954"/>
    <x v="134"/>
    <x v="1"/>
    <x v="28"/>
    <x v="1"/>
    <n v="5"/>
    <n v="261"/>
  </r>
  <r>
    <n v="1945"/>
    <x v="479"/>
    <x v="0"/>
    <x v="2"/>
    <x v="1"/>
    <n v="7"/>
    <n v="397"/>
  </r>
  <r>
    <n v="994"/>
    <x v="154"/>
    <x v="1"/>
    <x v="1"/>
    <x v="2"/>
    <n v="1"/>
    <n v="50"/>
  </r>
  <r>
    <n v="1429"/>
    <x v="480"/>
    <x v="0"/>
    <x v="15"/>
    <x v="1"/>
    <n v="4"/>
    <n v="216"/>
  </r>
  <r>
    <n v="350"/>
    <x v="177"/>
    <x v="0"/>
    <x v="41"/>
    <x v="2"/>
    <n v="3"/>
    <n v="30"/>
  </r>
  <r>
    <n v="557"/>
    <x v="481"/>
    <x v="0"/>
    <x v="13"/>
    <x v="2"/>
    <n v="1"/>
    <n v="25"/>
  </r>
  <r>
    <n v="131"/>
    <x v="399"/>
    <x v="0"/>
    <x v="5"/>
    <x v="0"/>
    <n v="2"/>
    <n v="300"/>
  </r>
  <r>
    <n v="1834"/>
    <x v="482"/>
    <x v="1"/>
    <x v="44"/>
    <x v="1"/>
    <n v="2"/>
    <n v="268"/>
  </r>
  <r>
    <n v="1995"/>
    <x v="89"/>
    <x v="0"/>
    <x v="41"/>
    <x v="1"/>
    <n v="7"/>
    <n v="379"/>
  </r>
  <r>
    <n v="1424"/>
    <x v="100"/>
    <x v="1"/>
    <x v="21"/>
    <x v="1"/>
    <n v="1"/>
    <n v="163"/>
  </r>
  <r>
    <n v="1363"/>
    <x v="344"/>
    <x v="1"/>
    <x v="23"/>
    <x v="2"/>
    <n v="7"/>
    <n v="335"/>
  </r>
  <r>
    <n v="1041"/>
    <x v="263"/>
    <x v="0"/>
    <x v="2"/>
    <x v="2"/>
    <n v="5"/>
    <n v="340"/>
  </r>
  <r>
    <n v="1724"/>
    <x v="263"/>
    <x v="1"/>
    <x v="13"/>
    <x v="1"/>
    <n v="6"/>
    <n v="184"/>
  </r>
  <r>
    <n v="125"/>
    <x v="71"/>
    <x v="1"/>
    <x v="38"/>
    <x v="2"/>
    <n v="2"/>
    <n v="50"/>
  </r>
  <r>
    <n v="672"/>
    <x v="483"/>
    <x v="0"/>
    <x v="36"/>
    <x v="2"/>
    <n v="1"/>
    <n v="300"/>
  </r>
  <r>
    <n v="390"/>
    <x v="260"/>
    <x v="1"/>
    <x v="11"/>
    <x v="0"/>
    <n v="2"/>
    <n v="25"/>
  </r>
  <r>
    <n v="1420"/>
    <x v="484"/>
    <x v="0"/>
    <x v="35"/>
    <x v="2"/>
    <n v="7"/>
    <n v="127"/>
  </r>
  <r>
    <n v="1255"/>
    <x v="455"/>
    <x v="0"/>
    <x v="38"/>
    <x v="2"/>
    <n v="1"/>
    <n v="29"/>
  </r>
  <r>
    <n v="848"/>
    <x v="352"/>
    <x v="0"/>
    <x v="29"/>
    <x v="0"/>
    <n v="2"/>
    <n v="500"/>
  </r>
  <r>
    <n v="1193"/>
    <x v="407"/>
    <x v="1"/>
    <x v="15"/>
    <x v="2"/>
    <n v="1"/>
    <n v="259"/>
  </r>
  <r>
    <n v="633"/>
    <x v="481"/>
    <x v="1"/>
    <x v="21"/>
    <x v="1"/>
    <n v="4"/>
    <n v="500"/>
  </r>
  <r>
    <n v="511"/>
    <x v="287"/>
    <x v="0"/>
    <x v="15"/>
    <x v="0"/>
    <n v="1"/>
    <n v="25"/>
  </r>
  <r>
    <n v="839"/>
    <x v="320"/>
    <x v="1"/>
    <x v="34"/>
    <x v="1"/>
    <n v="4"/>
    <n v="25"/>
  </r>
  <r>
    <n v="1674"/>
    <x v="350"/>
    <x v="0"/>
    <x v="0"/>
    <x v="1"/>
    <n v="6"/>
    <n v="83"/>
  </r>
  <r>
    <n v="420"/>
    <x v="485"/>
    <x v="0"/>
    <x v="10"/>
    <x v="2"/>
    <n v="3"/>
    <n v="500"/>
  </r>
  <r>
    <n v="27"/>
    <x v="486"/>
    <x v="0"/>
    <x v="36"/>
    <x v="0"/>
    <n v="2"/>
    <n v="25"/>
  </r>
  <r>
    <n v="1567"/>
    <x v="100"/>
    <x v="1"/>
    <x v="3"/>
    <x v="2"/>
    <n v="7"/>
    <n v="373"/>
  </r>
  <r>
    <n v="1466"/>
    <x v="6"/>
    <x v="1"/>
    <x v="45"/>
    <x v="0"/>
    <n v="6"/>
    <n v="19"/>
  </r>
  <r>
    <n v="1214"/>
    <x v="487"/>
    <x v="0"/>
    <x v="34"/>
    <x v="1"/>
    <n v="1"/>
    <n v="495"/>
  </r>
  <r>
    <n v="1658"/>
    <x v="488"/>
    <x v="1"/>
    <x v="44"/>
    <x v="0"/>
    <n v="3"/>
    <n v="234"/>
  </r>
  <r>
    <n v="765"/>
    <x v="251"/>
    <x v="1"/>
    <x v="32"/>
    <x v="0"/>
    <n v="3"/>
    <n v="25"/>
  </r>
  <r>
    <n v="1738"/>
    <x v="361"/>
    <x v="0"/>
    <x v="33"/>
    <x v="1"/>
    <n v="5"/>
    <n v="242"/>
  </r>
  <r>
    <n v="276"/>
    <x v="489"/>
    <x v="1"/>
    <x v="44"/>
    <x v="2"/>
    <n v="4"/>
    <n v="25"/>
  </r>
  <r>
    <n v="79"/>
    <x v="433"/>
    <x v="1"/>
    <x v="19"/>
    <x v="0"/>
    <n v="1"/>
    <n v="300"/>
  </r>
  <r>
    <n v="910"/>
    <x v="490"/>
    <x v="1"/>
    <x v="16"/>
    <x v="0"/>
    <n v="3"/>
    <n v="50"/>
  </r>
  <r>
    <n v="273"/>
    <x v="18"/>
    <x v="0"/>
    <x v="35"/>
    <x v="2"/>
    <n v="2"/>
    <n v="500"/>
  </r>
  <r>
    <n v="1923"/>
    <x v="247"/>
    <x v="1"/>
    <x v="7"/>
    <x v="1"/>
    <n v="7"/>
    <n v="460"/>
  </r>
  <r>
    <n v="510"/>
    <x v="460"/>
    <x v="1"/>
    <x v="46"/>
    <x v="0"/>
    <n v="2"/>
    <n v="50"/>
  </r>
  <r>
    <n v="191"/>
    <x v="38"/>
    <x v="1"/>
    <x v="37"/>
    <x v="0"/>
    <n v="1"/>
    <n v="25"/>
  </r>
  <r>
    <n v="1302"/>
    <x v="189"/>
    <x v="0"/>
    <x v="11"/>
    <x v="0"/>
    <n v="1"/>
    <n v="99"/>
  </r>
  <r>
    <n v="1908"/>
    <x v="478"/>
    <x v="1"/>
    <x v="0"/>
    <x v="0"/>
    <n v="5"/>
    <n v="95"/>
  </r>
  <r>
    <n v="838"/>
    <x v="491"/>
    <x v="1"/>
    <x v="1"/>
    <x v="2"/>
    <n v="2"/>
    <n v="25"/>
  </r>
  <r>
    <n v="1400"/>
    <x v="449"/>
    <x v="1"/>
    <x v="22"/>
    <x v="2"/>
    <n v="6"/>
    <n v="299"/>
  </r>
  <r>
    <n v="1469"/>
    <x v="94"/>
    <x v="0"/>
    <x v="44"/>
    <x v="0"/>
    <n v="2"/>
    <n v="330"/>
  </r>
  <r>
    <n v="1662"/>
    <x v="458"/>
    <x v="1"/>
    <x v="30"/>
    <x v="1"/>
    <n v="4"/>
    <n v="354"/>
  </r>
  <r>
    <n v="759"/>
    <x v="287"/>
    <x v="0"/>
    <x v="31"/>
    <x v="2"/>
    <n v="1"/>
    <n v="500"/>
  </r>
  <r>
    <n v="357"/>
    <x v="154"/>
    <x v="0"/>
    <x v="25"/>
    <x v="0"/>
    <n v="1"/>
    <n v="300"/>
  </r>
  <r>
    <n v="1088"/>
    <x v="354"/>
    <x v="0"/>
    <x v="39"/>
    <x v="1"/>
    <n v="4"/>
    <n v="391"/>
  </r>
  <r>
    <n v="178"/>
    <x v="52"/>
    <x v="1"/>
    <x v="18"/>
    <x v="2"/>
    <n v="2"/>
    <n v="30"/>
  </r>
  <r>
    <n v="1781"/>
    <x v="427"/>
    <x v="0"/>
    <x v="46"/>
    <x v="0"/>
    <n v="6"/>
    <n v="88"/>
  </r>
  <r>
    <n v="1487"/>
    <x v="407"/>
    <x v="1"/>
    <x v="15"/>
    <x v="2"/>
    <n v="1"/>
    <n v="175"/>
  </r>
  <r>
    <n v="315"/>
    <x v="492"/>
    <x v="0"/>
    <x v="38"/>
    <x v="2"/>
    <n v="2"/>
    <n v="25"/>
  </r>
  <r>
    <n v="1635"/>
    <x v="367"/>
    <x v="1"/>
    <x v="21"/>
    <x v="1"/>
    <n v="2"/>
    <n v="463"/>
  </r>
  <r>
    <n v="1940"/>
    <x v="493"/>
    <x v="1"/>
    <x v="16"/>
    <x v="2"/>
    <n v="6"/>
    <n v="84"/>
  </r>
  <r>
    <n v="1892"/>
    <x v="171"/>
    <x v="0"/>
    <x v="0"/>
    <x v="1"/>
    <n v="2"/>
    <n v="112"/>
  </r>
  <r>
    <n v="1151"/>
    <x v="468"/>
    <x v="1"/>
    <x v="41"/>
    <x v="1"/>
    <n v="6"/>
    <n v="176"/>
  </r>
  <r>
    <n v="1541"/>
    <x v="350"/>
    <x v="0"/>
    <x v="22"/>
    <x v="1"/>
    <n v="7"/>
    <n v="42"/>
  </r>
  <r>
    <n v="395"/>
    <x v="494"/>
    <x v="0"/>
    <x v="27"/>
    <x v="0"/>
    <n v="1"/>
    <n v="30"/>
  </r>
  <r>
    <n v="1095"/>
    <x v="155"/>
    <x v="0"/>
    <x v="3"/>
    <x v="0"/>
    <n v="4"/>
    <n v="404"/>
  </r>
  <r>
    <n v="553"/>
    <x v="495"/>
    <x v="0"/>
    <x v="28"/>
    <x v="0"/>
    <n v="3"/>
    <n v="50"/>
  </r>
  <r>
    <n v="481"/>
    <x v="496"/>
    <x v="0"/>
    <x v="47"/>
    <x v="2"/>
    <n v="4"/>
    <n v="300"/>
  </r>
  <r>
    <n v="680"/>
    <x v="464"/>
    <x v="1"/>
    <x v="28"/>
    <x v="0"/>
    <n v="4"/>
    <n v="300"/>
  </r>
  <r>
    <n v="1423"/>
    <x v="497"/>
    <x v="1"/>
    <x v="10"/>
    <x v="1"/>
    <n v="2"/>
    <n v="476"/>
  </r>
  <r>
    <n v="1703"/>
    <x v="498"/>
    <x v="0"/>
    <x v="25"/>
    <x v="2"/>
    <n v="6"/>
    <n v="211"/>
  </r>
  <r>
    <n v="924"/>
    <x v="499"/>
    <x v="1"/>
    <x v="39"/>
    <x v="1"/>
    <n v="1"/>
    <n v="30"/>
  </r>
  <r>
    <n v="1653"/>
    <x v="279"/>
    <x v="1"/>
    <x v="25"/>
    <x v="2"/>
    <n v="6"/>
    <n v="258"/>
  </r>
  <r>
    <n v="706"/>
    <x v="500"/>
    <x v="0"/>
    <x v="24"/>
    <x v="0"/>
    <n v="3"/>
    <n v="300"/>
  </r>
  <r>
    <n v="504"/>
    <x v="501"/>
    <x v="1"/>
    <x v="9"/>
    <x v="0"/>
    <n v="1"/>
    <n v="50"/>
  </r>
  <r>
    <n v="1707"/>
    <x v="111"/>
    <x v="1"/>
    <x v="20"/>
    <x v="1"/>
    <n v="5"/>
    <n v="193"/>
  </r>
  <r>
    <n v="507"/>
    <x v="450"/>
    <x v="1"/>
    <x v="0"/>
    <x v="0"/>
    <n v="2"/>
    <n v="300"/>
  </r>
  <r>
    <n v="1311"/>
    <x v="502"/>
    <x v="1"/>
    <x v="45"/>
    <x v="2"/>
    <n v="6"/>
    <n v="135"/>
  </r>
  <r>
    <n v="1851"/>
    <x v="85"/>
    <x v="1"/>
    <x v="43"/>
    <x v="0"/>
    <n v="3"/>
    <n v="492"/>
  </r>
  <r>
    <n v="751"/>
    <x v="35"/>
    <x v="0"/>
    <x v="25"/>
    <x v="2"/>
    <n v="1"/>
    <n v="30"/>
  </r>
  <r>
    <n v="1176"/>
    <x v="144"/>
    <x v="1"/>
    <x v="3"/>
    <x v="2"/>
    <n v="2"/>
    <n v="54"/>
  </r>
  <r>
    <n v="1749"/>
    <x v="206"/>
    <x v="0"/>
    <x v="27"/>
    <x v="2"/>
    <n v="6"/>
    <n v="158"/>
  </r>
  <r>
    <n v="1416"/>
    <x v="430"/>
    <x v="0"/>
    <x v="28"/>
    <x v="2"/>
    <n v="7"/>
    <n v="72"/>
  </r>
  <r>
    <n v="146"/>
    <x v="317"/>
    <x v="1"/>
    <x v="36"/>
    <x v="2"/>
    <n v="4"/>
    <n v="50"/>
  </r>
  <r>
    <n v="908"/>
    <x v="440"/>
    <x v="0"/>
    <x v="43"/>
    <x v="0"/>
    <n v="3"/>
    <n v="50"/>
  </r>
  <r>
    <n v="1719"/>
    <x v="126"/>
    <x v="0"/>
    <x v="24"/>
    <x v="0"/>
    <n v="5"/>
    <n v="110"/>
  </r>
  <r>
    <n v="1460"/>
    <x v="503"/>
    <x v="0"/>
    <x v="2"/>
    <x v="0"/>
    <n v="4"/>
    <n v="415"/>
  </r>
  <r>
    <n v="1920"/>
    <x v="504"/>
    <x v="1"/>
    <x v="11"/>
    <x v="0"/>
    <n v="4"/>
    <n v="35"/>
  </r>
  <r>
    <n v="1615"/>
    <x v="84"/>
    <x v="0"/>
    <x v="9"/>
    <x v="0"/>
    <n v="6"/>
    <n v="293"/>
  </r>
  <r>
    <n v="1283"/>
    <x v="505"/>
    <x v="1"/>
    <x v="32"/>
    <x v="1"/>
    <n v="2"/>
    <n v="211"/>
  </r>
  <r>
    <n v="1200"/>
    <x v="358"/>
    <x v="0"/>
    <x v="20"/>
    <x v="2"/>
    <n v="3"/>
    <n v="467"/>
  </r>
  <r>
    <n v="1872"/>
    <x v="505"/>
    <x v="1"/>
    <x v="36"/>
    <x v="2"/>
    <n v="5"/>
    <n v="408"/>
  </r>
  <r>
    <n v="1187"/>
    <x v="373"/>
    <x v="1"/>
    <x v="24"/>
    <x v="0"/>
    <n v="5"/>
    <n v="440"/>
  </r>
  <r>
    <n v="1639"/>
    <x v="430"/>
    <x v="0"/>
    <x v="45"/>
    <x v="2"/>
    <n v="7"/>
    <n v="206"/>
  </r>
  <r>
    <n v="874"/>
    <x v="506"/>
    <x v="1"/>
    <x v="24"/>
    <x v="2"/>
    <n v="4"/>
    <n v="30"/>
  </r>
  <r>
    <n v="629"/>
    <x v="273"/>
    <x v="1"/>
    <x v="33"/>
    <x v="2"/>
    <n v="2"/>
    <n v="50"/>
  </r>
  <r>
    <n v="1393"/>
    <x v="507"/>
    <x v="0"/>
    <x v="1"/>
    <x v="0"/>
    <n v="4"/>
    <n v="13"/>
  </r>
  <r>
    <n v="650"/>
    <x v="348"/>
    <x v="0"/>
    <x v="19"/>
    <x v="0"/>
    <n v="2"/>
    <n v="50"/>
  </r>
  <r>
    <n v="1841"/>
    <x v="9"/>
    <x v="1"/>
    <x v="2"/>
    <x v="2"/>
    <n v="6"/>
    <n v="465"/>
  </r>
  <r>
    <n v="265"/>
    <x v="443"/>
    <x v="0"/>
    <x v="11"/>
    <x v="1"/>
    <n v="2"/>
    <n v="30"/>
  </r>
  <r>
    <n v="229"/>
    <x v="13"/>
    <x v="1"/>
    <x v="2"/>
    <x v="0"/>
    <n v="1"/>
    <n v="25"/>
  </r>
  <r>
    <n v="219"/>
    <x v="439"/>
    <x v="1"/>
    <x v="37"/>
    <x v="0"/>
    <n v="1"/>
    <n v="500"/>
  </r>
  <r>
    <n v="611"/>
    <x v="508"/>
    <x v="0"/>
    <x v="30"/>
    <x v="1"/>
    <n v="1"/>
    <n v="500"/>
  </r>
  <r>
    <n v="778"/>
    <x v="362"/>
    <x v="1"/>
    <x v="22"/>
    <x v="1"/>
    <n v="2"/>
    <n v="25"/>
  </r>
  <r>
    <n v="16"/>
    <x v="47"/>
    <x v="1"/>
    <x v="11"/>
    <x v="2"/>
    <n v="3"/>
    <n v="500"/>
  </r>
  <r>
    <n v="1728"/>
    <x v="279"/>
    <x v="1"/>
    <x v="20"/>
    <x v="1"/>
    <n v="2"/>
    <n v="322"/>
  </r>
  <r>
    <n v="4"/>
    <x v="509"/>
    <x v="1"/>
    <x v="10"/>
    <x v="2"/>
    <n v="1"/>
    <n v="500"/>
  </r>
  <r>
    <n v="559"/>
    <x v="510"/>
    <x v="0"/>
    <x v="26"/>
    <x v="1"/>
    <n v="1"/>
    <n v="50"/>
  </r>
  <r>
    <n v="1577"/>
    <x v="123"/>
    <x v="0"/>
    <x v="6"/>
    <x v="2"/>
    <n v="7"/>
    <n v="307"/>
  </r>
  <r>
    <n v="1640"/>
    <x v="511"/>
    <x v="0"/>
    <x v="10"/>
    <x v="1"/>
    <n v="7"/>
    <n v="339"/>
  </r>
  <r>
    <n v="1717"/>
    <x v="512"/>
    <x v="0"/>
    <x v="25"/>
    <x v="2"/>
    <n v="1"/>
    <n v="29"/>
  </r>
  <r>
    <n v="1965"/>
    <x v="76"/>
    <x v="0"/>
    <x v="5"/>
    <x v="2"/>
    <n v="2"/>
    <n v="333"/>
  </r>
  <r>
    <n v="263"/>
    <x v="230"/>
    <x v="1"/>
    <x v="3"/>
    <x v="2"/>
    <n v="3"/>
    <n v="300"/>
  </r>
  <r>
    <n v="1916"/>
    <x v="513"/>
    <x v="0"/>
    <x v="18"/>
    <x v="0"/>
    <n v="3"/>
    <n v="228"/>
  </r>
  <r>
    <n v="288"/>
    <x v="91"/>
    <x v="1"/>
    <x v="6"/>
    <x v="1"/>
    <n v="2"/>
    <n v="30"/>
  </r>
  <r>
    <n v="311"/>
    <x v="446"/>
    <x v="1"/>
    <x v="13"/>
    <x v="2"/>
    <n v="4"/>
    <n v="30"/>
  </r>
  <r>
    <n v="1756"/>
    <x v="417"/>
    <x v="1"/>
    <x v="20"/>
    <x v="0"/>
    <n v="5"/>
    <n v="107"/>
  </r>
  <r>
    <n v="192"/>
    <x v="514"/>
    <x v="1"/>
    <x v="1"/>
    <x v="0"/>
    <n v="2"/>
    <n v="50"/>
  </r>
  <r>
    <n v="1502"/>
    <x v="57"/>
    <x v="1"/>
    <x v="35"/>
    <x v="0"/>
    <n v="6"/>
    <n v="367"/>
  </r>
  <r>
    <n v="1039"/>
    <x v="513"/>
    <x v="1"/>
    <x v="10"/>
    <x v="2"/>
    <n v="6"/>
    <n v="278"/>
  </r>
  <r>
    <n v="372"/>
    <x v="108"/>
    <x v="0"/>
    <x v="26"/>
    <x v="0"/>
    <n v="2"/>
    <n v="300"/>
  </r>
  <r>
    <n v="1007"/>
    <x v="515"/>
    <x v="1"/>
    <x v="45"/>
    <x v="1"/>
    <n v="2"/>
    <n v="444"/>
  </r>
  <r>
    <n v="1245"/>
    <x v="323"/>
    <x v="1"/>
    <x v="30"/>
    <x v="2"/>
    <n v="4"/>
    <n v="392"/>
  </r>
  <r>
    <n v="349"/>
    <x v="366"/>
    <x v="1"/>
    <x v="26"/>
    <x v="0"/>
    <n v="3"/>
    <n v="25"/>
  </r>
  <r>
    <n v="1641"/>
    <x v="321"/>
    <x v="1"/>
    <x v="32"/>
    <x v="0"/>
    <n v="2"/>
    <n v="436"/>
  </r>
  <r>
    <n v="1686"/>
    <x v="516"/>
    <x v="0"/>
    <x v="24"/>
    <x v="2"/>
    <n v="2"/>
    <n v="234"/>
  </r>
  <r>
    <n v="1449"/>
    <x v="6"/>
    <x v="0"/>
    <x v="39"/>
    <x v="2"/>
    <n v="2"/>
    <n v="182"/>
  </r>
  <r>
    <n v="552"/>
    <x v="517"/>
    <x v="1"/>
    <x v="9"/>
    <x v="2"/>
    <n v="4"/>
    <n v="300"/>
  </r>
  <r>
    <n v="1131"/>
    <x v="518"/>
    <x v="1"/>
    <x v="0"/>
    <x v="1"/>
    <n v="7"/>
    <n v="93"/>
  </r>
  <r>
    <n v="750"/>
    <x v="280"/>
    <x v="1"/>
    <x v="14"/>
    <x v="2"/>
    <n v="2"/>
    <n v="50"/>
  </r>
  <r>
    <n v="270"/>
    <x v="49"/>
    <x v="0"/>
    <x v="1"/>
    <x v="0"/>
    <n v="4"/>
    <n v="30"/>
  </r>
  <r>
    <n v="1159"/>
    <x v="301"/>
    <x v="1"/>
    <x v="33"/>
    <x v="0"/>
    <n v="6"/>
    <n v="151"/>
  </r>
  <r>
    <n v="1043"/>
    <x v="519"/>
    <x v="0"/>
    <x v="44"/>
    <x v="1"/>
    <n v="6"/>
    <n v="39"/>
  </r>
  <r>
    <n v="1821"/>
    <x v="520"/>
    <x v="0"/>
    <x v="32"/>
    <x v="0"/>
    <n v="2"/>
    <n v="257"/>
  </r>
  <r>
    <n v="1730"/>
    <x v="521"/>
    <x v="0"/>
    <x v="40"/>
    <x v="2"/>
    <n v="3"/>
    <n v="127"/>
  </r>
  <r>
    <n v="370"/>
    <x v="205"/>
    <x v="0"/>
    <x v="43"/>
    <x v="0"/>
    <n v="1"/>
    <n v="25"/>
  </r>
  <r>
    <n v="862"/>
    <x v="377"/>
    <x v="0"/>
    <x v="16"/>
    <x v="1"/>
    <n v="1"/>
    <n v="500"/>
  </r>
  <r>
    <n v="824"/>
    <x v="145"/>
    <x v="0"/>
    <x v="28"/>
    <x v="2"/>
    <n v="1"/>
    <n v="300"/>
  </r>
  <r>
    <n v="40"/>
    <x v="103"/>
    <x v="1"/>
    <x v="46"/>
    <x v="0"/>
    <n v="1"/>
    <n v="50"/>
  </r>
  <r>
    <n v="483"/>
    <x v="522"/>
    <x v="0"/>
    <x v="11"/>
    <x v="2"/>
    <n v="4"/>
    <n v="300"/>
  </r>
  <r>
    <n v="122"/>
    <x v="108"/>
    <x v="1"/>
    <x v="37"/>
    <x v="1"/>
    <n v="4"/>
    <n v="30"/>
  </r>
  <r>
    <n v="490"/>
    <x v="141"/>
    <x v="0"/>
    <x v="21"/>
    <x v="1"/>
    <n v="3"/>
    <n v="300"/>
  </r>
  <r>
    <n v="1528"/>
    <x v="523"/>
    <x v="1"/>
    <x v="0"/>
    <x v="1"/>
    <n v="2"/>
    <n v="266"/>
  </r>
  <r>
    <n v="1250"/>
    <x v="218"/>
    <x v="0"/>
    <x v="5"/>
    <x v="2"/>
    <n v="6"/>
    <n v="108"/>
  </r>
  <r>
    <n v="1693"/>
    <x v="271"/>
    <x v="1"/>
    <x v="31"/>
    <x v="2"/>
    <n v="3"/>
    <n v="320"/>
  </r>
  <r>
    <n v="1774"/>
    <x v="397"/>
    <x v="0"/>
    <x v="40"/>
    <x v="0"/>
    <n v="2"/>
    <n v="91"/>
  </r>
  <r>
    <n v="1967"/>
    <x v="89"/>
    <x v="0"/>
    <x v="21"/>
    <x v="1"/>
    <n v="6"/>
    <n v="461"/>
  </r>
  <r>
    <n v="300"/>
    <x v="23"/>
    <x v="1"/>
    <x v="17"/>
    <x v="2"/>
    <n v="4"/>
    <n v="30"/>
  </r>
  <r>
    <n v="1689"/>
    <x v="2"/>
    <x v="1"/>
    <x v="40"/>
    <x v="0"/>
    <n v="3"/>
    <n v="425"/>
  </r>
  <r>
    <n v="165"/>
    <x v="524"/>
    <x v="0"/>
    <x v="21"/>
    <x v="2"/>
    <n v="4"/>
    <n v="300"/>
  </r>
  <r>
    <n v="385"/>
    <x v="525"/>
    <x v="0"/>
    <x v="2"/>
    <x v="1"/>
    <n v="2"/>
    <n v="300"/>
  </r>
  <r>
    <n v="206"/>
    <x v="0"/>
    <x v="1"/>
    <x v="30"/>
    <x v="2"/>
    <n v="1"/>
    <n v="25"/>
  </r>
  <r>
    <n v="1759"/>
    <x v="206"/>
    <x v="1"/>
    <x v="24"/>
    <x v="2"/>
    <n v="5"/>
    <n v="322"/>
  </r>
  <r>
    <n v="241"/>
    <x v="526"/>
    <x v="1"/>
    <x v="5"/>
    <x v="2"/>
    <n v="1"/>
    <n v="25"/>
  </r>
  <r>
    <n v="230"/>
    <x v="381"/>
    <x v="0"/>
    <x v="35"/>
    <x v="2"/>
    <n v="3"/>
    <n v="50"/>
  </r>
  <r>
    <n v="433"/>
    <x v="226"/>
    <x v="0"/>
    <x v="24"/>
    <x v="1"/>
    <n v="2"/>
    <n v="25"/>
  </r>
  <r>
    <n v="1116"/>
    <x v="189"/>
    <x v="0"/>
    <x v="20"/>
    <x v="1"/>
    <n v="1"/>
    <n v="44"/>
  </r>
  <r>
    <n v="1354"/>
    <x v="253"/>
    <x v="0"/>
    <x v="14"/>
    <x v="1"/>
    <n v="1"/>
    <n v="72"/>
  </r>
  <r>
    <n v="1552"/>
    <x v="328"/>
    <x v="1"/>
    <x v="6"/>
    <x v="0"/>
    <n v="1"/>
    <n v="20"/>
  </r>
  <r>
    <n v="1284"/>
    <x v="168"/>
    <x v="1"/>
    <x v="6"/>
    <x v="2"/>
    <n v="1"/>
    <n v="446"/>
  </r>
  <r>
    <n v="257"/>
    <x v="398"/>
    <x v="0"/>
    <x v="10"/>
    <x v="2"/>
    <n v="1"/>
    <n v="50"/>
  </r>
  <r>
    <n v="1542"/>
    <x v="527"/>
    <x v="1"/>
    <x v="43"/>
    <x v="2"/>
    <n v="3"/>
    <n v="332"/>
  </r>
  <r>
    <n v="1906"/>
    <x v="453"/>
    <x v="0"/>
    <x v="11"/>
    <x v="0"/>
    <n v="7"/>
    <n v="396"/>
  </r>
  <r>
    <n v="29"/>
    <x v="489"/>
    <x v="0"/>
    <x v="33"/>
    <x v="1"/>
    <n v="1"/>
    <n v="30"/>
  </r>
  <r>
    <n v="17"/>
    <x v="492"/>
    <x v="0"/>
    <x v="42"/>
    <x v="2"/>
    <n v="4"/>
    <n v="25"/>
  </r>
  <r>
    <n v="1102"/>
    <x v="215"/>
    <x v="0"/>
    <x v="40"/>
    <x v="0"/>
    <n v="1"/>
    <n v="150"/>
  </r>
  <r>
    <n v="1206"/>
    <x v="144"/>
    <x v="0"/>
    <x v="6"/>
    <x v="1"/>
    <n v="7"/>
    <n v="155"/>
  </r>
  <r>
    <n v="297"/>
    <x v="238"/>
    <x v="1"/>
    <x v="42"/>
    <x v="0"/>
    <n v="4"/>
    <n v="300"/>
  </r>
  <r>
    <n v="1428"/>
    <x v="241"/>
    <x v="1"/>
    <x v="34"/>
    <x v="1"/>
    <n v="5"/>
    <n v="83"/>
  </r>
  <r>
    <n v="489"/>
    <x v="161"/>
    <x v="1"/>
    <x v="19"/>
    <x v="2"/>
    <n v="3"/>
    <n v="50"/>
  </r>
  <r>
    <n v="411"/>
    <x v="139"/>
    <x v="0"/>
    <x v="11"/>
    <x v="1"/>
    <n v="4"/>
    <n v="500"/>
  </r>
  <r>
    <n v="137"/>
    <x v="293"/>
    <x v="1"/>
    <x v="28"/>
    <x v="0"/>
    <n v="2"/>
    <n v="500"/>
  </r>
  <r>
    <n v="1881"/>
    <x v="427"/>
    <x v="0"/>
    <x v="25"/>
    <x v="2"/>
    <n v="1"/>
    <n v="115"/>
  </r>
  <r>
    <n v="1818"/>
    <x v="88"/>
    <x v="0"/>
    <x v="17"/>
    <x v="0"/>
    <n v="2"/>
    <n v="468"/>
  </r>
  <r>
    <n v="1601"/>
    <x v="528"/>
    <x v="0"/>
    <x v="24"/>
    <x v="1"/>
    <n v="7"/>
    <n v="304"/>
  </r>
  <r>
    <n v="1989"/>
    <x v="102"/>
    <x v="0"/>
    <x v="17"/>
    <x v="1"/>
    <n v="7"/>
    <n v="484"/>
  </r>
  <r>
    <n v="560"/>
    <x v="529"/>
    <x v="0"/>
    <x v="37"/>
    <x v="2"/>
    <n v="4"/>
    <n v="500"/>
  </r>
  <r>
    <n v="1661"/>
    <x v="370"/>
    <x v="1"/>
    <x v="17"/>
    <x v="2"/>
    <n v="6"/>
    <n v="331"/>
  </r>
  <r>
    <n v="1186"/>
    <x v="253"/>
    <x v="1"/>
    <x v="42"/>
    <x v="2"/>
    <n v="7"/>
    <n v="87"/>
  </r>
  <r>
    <n v="446"/>
    <x v="530"/>
    <x v="1"/>
    <x v="39"/>
    <x v="0"/>
    <n v="4"/>
    <n v="500"/>
  </r>
  <r>
    <n v="1477"/>
    <x v="59"/>
    <x v="0"/>
    <x v="15"/>
    <x v="0"/>
    <n v="7"/>
    <n v="223"/>
  </r>
  <r>
    <n v="428"/>
    <x v="531"/>
    <x v="1"/>
    <x v="37"/>
    <x v="1"/>
    <n v="2"/>
    <n v="25"/>
  </r>
  <r>
    <n v="358"/>
    <x v="532"/>
    <x v="1"/>
    <x v="40"/>
    <x v="2"/>
    <n v="1"/>
    <n v="50"/>
  </r>
  <r>
    <n v="452"/>
    <x v="476"/>
    <x v="0"/>
    <x v="29"/>
    <x v="2"/>
    <n v="2"/>
    <n v="500"/>
  </r>
  <r>
    <n v="1113"/>
    <x v="533"/>
    <x v="1"/>
    <x v="44"/>
    <x v="2"/>
    <n v="4"/>
    <n v="164"/>
  </r>
  <r>
    <n v="207"/>
    <x v="162"/>
    <x v="0"/>
    <x v="33"/>
    <x v="0"/>
    <n v="2"/>
    <n v="25"/>
  </r>
  <r>
    <n v="1994"/>
    <x v="171"/>
    <x v="0"/>
    <x v="0"/>
    <x v="0"/>
    <n v="1"/>
    <n v="497"/>
  </r>
  <r>
    <n v="202"/>
    <x v="23"/>
    <x v="0"/>
    <x v="19"/>
    <x v="2"/>
    <n v="4"/>
    <n v="300"/>
  </r>
  <r>
    <n v="1919"/>
    <x v="232"/>
    <x v="1"/>
    <x v="42"/>
    <x v="0"/>
    <n v="5"/>
    <n v="295"/>
  </r>
  <r>
    <n v="686"/>
    <x v="108"/>
    <x v="1"/>
    <x v="41"/>
    <x v="2"/>
    <n v="4"/>
    <n v="25"/>
  </r>
  <r>
    <n v="901"/>
    <x v="496"/>
    <x v="0"/>
    <x v="16"/>
    <x v="0"/>
    <n v="4"/>
    <n v="50"/>
  </r>
  <r>
    <n v="56"/>
    <x v="148"/>
    <x v="0"/>
    <x v="29"/>
    <x v="2"/>
    <n v="3"/>
    <n v="300"/>
  </r>
  <r>
    <n v="1807"/>
    <x v="534"/>
    <x v="1"/>
    <x v="33"/>
    <x v="0"/>
    <n v="7"/>
    <n v="389"/>
  </r>
  <r>
    <n v="660"/>
    <x v="535"/>
    <x v="1"/>
    <x v="38"/>
    <x v="0"/>
    <n v="2"/>
    <n v="500"/>
  </r>
  <r>
    <n v="1806"/>
    <x v="307"/>
    <x v="1"/>
    <x v="33"/>
    <x v="1"/>
    <n v="3"/>
    <n v="270"/>
  </r>
  <r>
    <n v="286"/>
    <x v="357"/>
    <x v="1"/>
    <x v="2"/>
    <x v="2"/>
    <n v="4"/>
    <n v="25"/>
  </r>
  <r>
    <n v="679"/>
    <x v="121"/>
    <x v="0"/>
    <x v="24"/>
    <x v="1"/>
    <n v="2"/>
    <n v="30"/>
  </r>
  <r>
    <n v="544"/>
    <x v="50"/>
    <x v="1"/>
    <x v="42"/>
    <x v="2"/>
    <n v="2"/>
    <n v="25"/>
  </r>
  <r>
    <n v="626"/>
    <x v="454"/>
    <x v="1"/>
    <x v="15"/>
    <x v="2"/>
    <n v="1"/>
    <n v="50"/>
  </r>
  <r>
    <n v="1290"/>
    <x v="283"/>
    <x v="1"/>
    <x v="13"/>
    <x v="1"/>
    <n v="2"/>
    <n v="92"/>
  </r>
  <r>
    <n v="1824"/>
    <x v="112"/>
    <x v="0"/>
    <x v="1"/>
    <x v="1"/>
    <n v="2"/>
    <n v="58"/>
  </r>
  <r>
    <n v="1453"/>
    <x v="355"/>
    <x v="1"/>
    <x v="8"/>
    <x v="1"/>
    <n v="3"/>
    <n v="322"/>
  </r>
  <r>
    <n v="965"/>
    <x v="536"/>
    <x v="1"/>
    <x v="1"/>
    <x v="0"/>
    <n v="1"/>
    <n v="25"/>
  </r>
  <r>
    <n v="720"/>
    <x v="121"/>
    <x v="1"/>
    <x v="43"/>
    <x v="0"/>
    <n v="3"/>
    <n v="300"/>
  </r>
  <r>
    <n v="33"/>
    <x v="368"/>
    <x v="0"/>
    <x v="40"/>
    <x v="1"/>
    <n v="2"/>
    <n v="50"/>
  </r>
  <r>
    <n v="1002"/>
    <x v="537"/>
    <x v="1"/>
    <x v="17"/>
    <x v="2"/>
    <n v="7"/>
    <n v="159"/>
  </r>
  <r>
    <n v="1980"/>
    <x v="504"/>
    <x v="1"/>
    <x v="45"/>
    <x v="2"/>
    <n v="7"/>
    <n v="93"/>
  </r>
  <r>
    <n v="1564"/>
    <x v="538"/>
    <x v="0"/>
    <x v="18"/>
    <x v="2"/>
    <n v="4"/>
    <n v="318"/>
  </r>
  <r>
    <n v="458"/>
    <x v="341"/>
    <x v="1"/>
    <x v="47"/>
    <x v="2"/>
    <n v="4"/>
    <n v="300"/>
  </r>
  <r>
    <n v="1087"/>
    <x v="498"/>
    <x v="0"/>
    <x v="40"/>
    <x v="1"/>
    <n v="5"/>
    <n v="287"/>
  </r>
  <r>
    <n v="180"/>
    <x v="351"/>
    <x v="1"/>
    <x v="13"/>
    <x v="2"/>
    <n v="3"/>
    <n v="300"/>
  </r>
  <r>
    <n v="661"/>
    <x v="127"/>
    <x v="1"/>
    <x v="35"/>
    <x v="2"/>
    <n v="4"/>
    <n v="300"/>
  </r>
  <r>
    <n v="77"/>
    <x v="110"/>
    <x v="0"/>
    <x v="3"/>
    <x v="2"/>
    <n v="2"/>
    <n v="50"/>
  </r>
  <r>
    <n v="1718"/>
    <x v="263"/>
    <x v="1"/>
    <x v="8"/>
    <x v="0"/>
    <n v="2"/>
    <n v="104"/>
  </r>
  <r>
    <n v="1172"/>
    <x v="221"/>
    <x v="0"/>
    <x v="18"/>
    <x v="0"/>
    <n v="3"/>
    <n v="183"/>
  </r>
  <r>
    <n v="1289"/>
    <x v="465"/>
    <x v="1"/>
    <x v="28"/>
    <x v="0"/>
    <n v="5"/>
    <n v="491"/>
  </r>
  <r>
    <n v="368"/>
    <x v="461"/>
    <x v="1"/>
    <x v="35"/>
    <x v="1"/>
    <n v="3"/>
    <n v="500"/>
  </r>
  <r>
    <n v="1017"/>
    <x v="30"/>
    <x v="0"/>
    <x v="44"/>
    <x v="2"/>
    <n v="7"/>
    <n v="385"/>
  </r>
  <r>
    <n v="1741"/>
    <x v="312"/>
    <x v="1"/>
    <x v="42"/>
    <x v="0"/>
    <n v="1"/>
    <n v="445"/>
  </r>
  <r>
    <n v="1590"/>
    <x v="354"/>
    <x v="1"/>
    <x v="23"/>
    <x v="1"/>
    <n v="3"/>
    <n v="456"/>
  </r>
  <r>
    <n v="595"/>
    <x v="338"/>
    <x v="0"/>
    <x v="37"/>
    <x v="1"/>
    <n v="1"/>
    <n v="300"/>
  </r>
  <r>
    <n v="264"/>
    <x v="539"/>
    <x v="1"/>
    <x v="27"/>
    <x v="2"/>
    <n v="3"/>
    <n v="300"/>
  </r>
  <r>
    <n v="591"/>
    <x v="490"/>
    <x v="0"/>
    <x v="28"/>
    <x v="0"/>
    <n v="4"/>
    <n v="500"/>
  </r>
  <r>
    <n v="1968"/>
    <x v="279"/>
    <x v="1"/>
    <x v="18"/>
    <x v="0"/>
    <n v="6"/>
    <n v="378"/>
  </r>
  <r>
    <n v="392"/>
    <x v="106"/>
    <x v="0"/>
    <x v="39"/>
    <x v="0"/>
    <n v="2"/>
    <n v="500"/>
  </r>
  <r>
    <n v="1711"/>
    <x v="533"/>
    <x v="0"/>
    <x v="30"/>
    <x v="0"/>
    <n v="1"/>
    <n v="101"/>
  </r>
  <r>
    <n v="160"/>
    <x v="450"/>
    <x v="0"/>
    <x v="24"/>
    <x v="2"/>
    <n v="2"/>
    <n v="50"/>
  </r>
  <r>
    <n v="854"/>
    <x v="540"/>
    <x v="1"/>
    <x v="2"/>
    <x v="1"/>
    <n v="4"/>
    <n v="30"/>
  </r>
  <r>
    <n v="708"/>
    <x v="336"/>
    <x v="0"/>
    <x v="29"/>
    <x v="1"/>
    <n v="3"/>
    <n v="500"/>
  </r>
  <r>
    <n v="1198"/>
    <x v="85"/>
    <x v="1"/>
    <x v="44"/>
    <x v="0"/>
    <n v="2"/>
    <n v="77"/>
  </r>
  <r>
    <n v="2"/>
    <x v="14"/>
    <x v="0"/>
    <x v="29"/>
    <x v="2"/>
    <n v="2"/>
    <n v="500"/>
  </r>
  <r>
    <n v="1189"/>
    <x v="475"/>
    <x v="1"/>
    <x v="43"/>
    <x v="0"/>
    <n v="1"/>
    <n v="96"/>
  </r>
  <r>
    <n v="944"/>
    <x v="208"/>
    <x v="1"/>
    <x v="1"/>
    <x v="1"/>
    <n v="4"/>
    <n v="500"/>
  </r>
  <r>
    <n v="733"/>
    <x v="52"/>
    <x v="0"/>
    <x v="37"/>
    <x v="2"/>
    <n v="4"/>
    <n v="500"/>
  </r>
  <r>
    <n v="1331"/>
    <x v="181"/>
    <x v="1"/>
    <x v="10"/>
    <x v="1"/>
    <n v="4"/>
    <n v="66"/>
  </r>
  <r>
    <n v="714"/>
    <x v="71"/>
    <x v="0"/>
    <x v="21"/>
    <x v="2"/>
    <n v="4"/>
    <n v="300"/>
  </r>
  <r>
    <n v="373"/>
    <x v="238"/>
    <x v="0"/>
    <x v="8"/>
    <x v="0"/>
    <n v="3"/>
    <n v="25"/>
  </r>
  <r>
    <n v="301"/>
    <x v="121"/>
    <x v="1"/>
    <x v="15"/>
    <x v="0"/>
    <n v="2"/>
    <n v="300"/>
  </r>
  <r>
    <n v="1710"/>
    <x v="541"/>
    <x v="0"/>
    <x v="33"/>
    <x v="2"/>
    <n v="6"/>
    <n v="31"/>
  </r>
  <r>
    <n v="488"/>
    <x v="141"/>
    <x v="1"/>
    <x v="12"/>
    <x v="1"/>
    <n v="1"/>
    <n v="30"/>
  </r>
  <r>
    <n v="1972"/>
    <x v="472"/>
    <x v="0"/>
    <x v="8"/>
    <x v="0"/>
    <n v="6"/>
    <n v="424"/>
  </r>
  <r>
    <n v="423"/>
    <x v="65"/>
    <x v="1"/>
    <x v="15"/>
    <x v="0"/>
    <n v="4"/>
    <n v="300"/>
  </r>
  <r>
    <n v="1398"/>
    <x v="269"/>
    <x v="0"/>
    <x v="15"/>
    <x v="2"/>
    <n v="6"/>
    <n v="27"/>
  </r>
  <r>
    <n v="906"/>
    <x v="372"/>
    <x v="1"/>
    <x v="28"/>
    <x v="0"/>
    <n v="4"/>
    <n v="300"/>
  </r>
  <r>
    <n v="749"/>
    <x v="385"/>
    <x v="0"/>
    <x v="33"/>
    <x v="2"/>
    <n v="2"/>
    <n v="25"/>
  </r>
  <r>
    <n v="377"/>
    <x v="542"/>
    <x v="1"/>
    <x v="40"/>
    <x v="0"/>
    <n v="1"/>
    <n v="300"/>
  </r>
  <r>
    <n v="381"/>
    <x v="415"/>
    <x v="0"/>
    <x v="6"/>
    <x v="2"/>
    <n v="2"/>
    <n v="500"/>
  </r>
  <r>
    <n v="1979"/>
    <x v="181"/>
    <x v="0"/>
    <x v="8"/>
    <x v="2"/>
    <n v="4"/>
    <n v="132"/>
  </r>
  <r>
    <n v="526"/>
    <x v="543"/>
    <x v="1"/>
    <x v="15"/>
    <x v="2"/>
    <n v="2"/>
    <n v="25"/>
  </r>
  <r>
    <n v="648"/>
    <x v="544"/>
    <x v="0"/>
    <x v="0"/>
    <x v="2"/>
    <n v="2"/>
    <n v="300"/>
  </r>
  <r>
    <n v="1554"/>
    <x v="324"/>
    <x v="0"/>
    <x v="44"/>
    <x v="0"/>
    <n v="5"/>
    <n v="86"/>
  </r>
  <r>
    <n v="1712"/>
    <x v="288"/>
    <x v="0"/>
    <x v="20"/>
    <x v="2"/>
    <n v="3"/>
    <n v="161"/>
  </r>
  <r>
    <n v="1345"/>
    <x v="545"/>
    <x v="0"/>
    <x v="42"/>
    <x v="1"/>
    <n v="5"/>
    <n v="96"/>
  </r>
  <r>
    <n v="296"/>
    <x v="546"/>
    <x v="0"/>
    <x v="18"/>
    <x v="1"/>
    <n v="2"/>
    <n v="500"/>
  </r>
  <r>
    <n v="1438"/>
    <x v="472"/>
    <x v="1"/>
    <x v="34"/>
    <x v="0"/>
    <n v="4"/>
    <n v="86"/>
  </r>
  <r>
    <n v="1880"/>
    <x v="547"/>
    <x v="0"/>
    <x v="6"/>
    <x v="2"/>
    <n v="5"/>
    <n v="407"/>
  </r>
  <r>
    <n v="1602"/>
    <x v="67"/>
    <x v="1"/>
    <x v="39"/>
    <x v="1"/>
    <n v="1"/>
    <n v="97"/>
  </r>
  <r>
    <n v="304"/>
    <x v="154"/>
    <x v="0"/>
    <x v="4"/>
    <x v="0"/>
    <n v="1"/>
    <n v="30"/>
  </r>
  <r>
    <n v="1861"/>
    <x v="548"/>
    <x v="0"/>
    <x v="7"/>
    <x v="2"/>
    <n v="3"/>
    <n v="228"/>
  </r>
  <r>
    <n v="512"/>
    <x v="359"/>
    <x v="1"/>
    <x v="9"/>
    <x v="1"/>
    <n v="4"/>
    <n v="25"/>
  </r>
  <r>
    <n v="1485"/>
    <x v="549"/>
    <x v="0"/>
    <x v="34"/>
    <x v="1"/>
    <n v="7"/>
    <n v="343"/>
  </r>
  <r>
    <n v="1252"/>
    <x v="502"/>
    <x v="1"/>
    <x v="40"/>
    <x v="2"/>
    <n v="1"/>
    <n v="178"/>
  </r>
  <r>
    <n v="30"/>
    <x v="113"/>
    <x v="0"/>
    <x v="32"/>
    <x v="0"/>
    <n v="3"/>
    <n v="300"/>
  </r>
  <r>
    <n v="1556"/>
    <x v="234"/>
    <x v="0"/>
    <x v="22"/>
    <x v="2"/>
    <n v="7"/>
    <n v="363"/>
  </r>
  <r>
    <n v="463"/>
    <x v="522"/>
    <x v="1"/>
    <x v="36"/>
    <x v="1"/>
    <n v="2"/>
    <n v="300"/>
  </r>
  <r>
    <n v="1241"/>
    <x v="112"/>
    <x v="1"/>
    <x v="17"/>
    <x v="0"/>
    <n v="1"/>
    <n v="208"/>
  </r>
  <r>
    <n v="1865"/>
    <x v="550"/>
    <x v="1"/>
    <x v="33"/>
    <x v="0"/>
    <n v="6"/>
    <n v="221"/>
  </r>
  <r>
    <n v="1875"/>
    <x v="94"/>
    <x v="1"/>
    <x v="32"/>
    <x v="2"/>
    <n v="4"/>
    <n v="318"/>
  </r>
  <r>
    <n v="1082"/>
    <x v="551"/>
    <x v="0"/>
    <x v="39"/>
    <x v="1"/>
    <n v="3"/>
    <n v="462"/>
  </r>
  <r>
    <n v="25"/>
    <x v="174"/>
    <x v="0"/>
    <x v="37"/>
    <x v="0"/>
    <n v="1"/>
    <n v="50"/>
  </r>
  <r>
    <n v="115"/>
    <x v="390"/>
    <x v="1"/>
    <x v="16"/>
    <x v="2"/>
    <n v="3"/>
    <n v="500"/>
  </r>
  <r>
    <n v="1068"/>
    <x v="62"/>
    <x v="0"/>
    <x v="11"/>
    <x v="2"/>
    <n v="3"/>
    <n v="277"/>
  </r>
  <r>
    <n v="1956"/>
    <x v="288"/>
    <x v="1"/>
    <x v="29"/>
    <x v="2"/>
    <n v="7"/>
    <n v="151"/>
  </r>
  <r>
    <n v="295"/>
    <x v="249"/>
    <x v="0"/>
    <x v="39"/>
    <x v="2"/>
    <n v="4"/>
    <n v="300"/>
  </r>
  <r>
    <n v="237"/>
    <x v="66"/>
    <x v="0"/>
    <x v="32"/>
    <x v="0"/>
    <n v="1"/>
    <n v="500"/>
  </r>
  <r>
    <n v="487"/>
    <x v="552"/>
    <x v="0"/>
    <x v="16"/>
    <x v="1"/>
    <n v="3"/>
    <n v="300"/>
  </r>
  <r>
    <n v="1223"/>
    <x v="171"/>
    <x v="0"/>
    <x v="10"/>
    <x v="2"/>
    <n v="5"/>
    <n v="325"/>
  </r>
  <r>
    <n v="201"/>
    <x v="506"/>
    <x v="1"/>
    <x v="41"/>
    <x v="1"/>
    <n v="1"/>
    <n v="25"/>
  </r>
  <r>
    <n v="1387"/>
    <x v="114"/>
    <x v="1"/>
    <x v="42"/>
    <x v="1"/>
    <n v="1"/>
    <n v="440"/>
  </r>
  <r>
    <n v="710"/>
    <x v="405"/>
    <x v="0"/>
    <x v="15"/>
    <x v="0"/>
    <n v="2"/>
    <n v="25"/>
  </r>
  <r>
    <n v="1837"/>
    <x v="298"/>
    <x v="1"/>
    <x v="16"/>
    <x v="1"/>
    <n v="6"/>
    <n v="485"/>
  </r>
  <r>
    <n v="705"/>
    <x v="262"/>
    <x v="0"/>
    <x v="29"/>
    <x v="2"/>
    <n v="1"/>
    <n v="500"/>
  </r>
  <r>
    <n v="1293"/>
    <x v="321"/>
    <x v="0"/>
    <x v="18"/>
    <x v="2"/>
    <n v="3"/>
    <n v="468"/>
  </r>
  <r>
    <n v="1265"/>
    <x v="168"/>
    <x v="0"/>
    <x v="13"/>
    <x v="1"/>
    <n v="2"/>
    <n v="254"/>
  </r>
  <r>
    <n v="912"/>
    <x v="106"/>
    <x v="0"/>
    <x v="8"/>
    <x v="1"/>
    <n v="1"/>
    <n v="500"/>
  </r>
  <r>
    <n v="224"/>
    <x v="156"/>
    <x v="0"/>
    <x v="15"/>
    <x v="0"/>
    <n v="4"/>
    <n v="25"/>
  </r>
  <r>
    <n v="667"/>
    <x v="274"/>
    <x v="1"/>
    <x v="9"/>
    <x v="0"/>
    <n v="4"/>
    <n v="300"/>
  </r>
  <r>
    <n v="1651"/>
    <x v="553"/>
    <x v="0"/>
    <x v="18"/>
    <x v="2"/>
    <n v="3"/>
    <n v="29"/>
  </r>
  <r>
    <n v="729"/>
    <x v="554"/>
    <x v="1"/>
    <x v="2"/>
    <x v="2"/>
    <n v="4"/>
    <n v="500"/>
  </r>
  <r>
    <n v="1025"/>
    <x v="342"/>
    <x v="0"/>
    <x v="6"/>
    <x v="0"/>
    <n v="5"/>
    <n v="209"/>
  </r>
  <r>
    <n v="1361"/>
    <x v="555"/>
    <x v="0"/>
    <x v="9"/>
    <x v="0"/>
    <n v="3"/>
    <n v="203"/>
  </r>
  <r>
    <n v="118"/>
    <x v="154"/>
    <x v="0"/>
    <x v="17"/>
    <x v="1"/>
    <n v="4"/>
    <n v="500"/>
  </r>
  <r>
    <n v="277"/>
    <x v="268"/>
    <x v="0"/>
    <x v="10"/>
    <x v="2"/>
    <n v="4"/>
    <n v="25"/>
  </r>
  <r>
    <n v="963"/>
    <x v="46"/>
    <x v="1"/>
    <x v="39"/>
    <x v="2"/>
    <n v="4"/>
    <n v="50"/>
  </r>
  <r>
    <n v="299"/>
    <x v="556"/>
    <x v="0"/>
    <x v="11"/>
    <x v="1"/>
    <n v="4"/>
    <n v="50"/>
  </r>
  <r>
    <n v="440"/>
    <x v="223"/>
    <x v="1"/>
    <x v="15"/>
    <x v="0"/>
    <n v="4"/>
    <n v="300"/>
  </r>
  <r>
    <n v="384"/>
    <x v="557"/>
    <x v="1"/>
    <x v="40"/>
    <x v="1"/>
    <n v="3"/>
    <n v="500"/>
  </r>
  <r>
    <n v="500"/>
    <x v="558"/>
    <x v="1"/>
    <x v="32"/>
    <x v="1"/>
    <n v="2"/>
    <n v="30"/>
  </r>
  <r>
    <n v="419"/>
    <x v="559"/>
    <x v="0"/>
    <x v="39"/>
    <x v="2"/>
    <n v="4"/>
    <n v="500"/>
  </r>
  <r>
    <n v="49"/>
    <x v="559"/>
    <x v="0"/>
    <x v="2"/>
    <x v="1"/>
    <n v="2"/>
    <n v="500"/>
  </r>
  <r>
    <n v="1081"/>
    <x v="468"/>
    <x v="1"/>
    <x v="37"/>
    <x v="1"/>
    <n v="4"/>
    <n v="43"/>
  </r>
  <r>
    <n v="975"/>
    <x v="226"/>
    <x v="0"/>
    <x v="7"/>
    <x v="1"/>
    <n v="3"/>
    <n v="25"/>
  </r>
  <r>
    <n v="532"/>
    <x v="560"/>
    <x v="1"/>
    <x v="11"/>
    <x v="1"/>
    <n v="3"/>
    <n v="500"/>
  </r>
  <r>
    <n v="539"/>
    <x v="476"/>
    <x v="0"/>
    <x v="28"/>
    <x v="1"/>
    <n v="3"/>
    <n v="300"/>
  </r>
  <r>
    <n v="342"/>
    <x v="371"/>
    <x v="1"/>
    <x v="5"/>
    <x v="1"/>
    <n v="2"/>
    <n v="25"/>
  </r>
  <r>
    <n v="846"/>
    <x v="74"/>
    <x v="0"/>
    <x v="23"/>
    <x v="2"/>
    <n v="3"/>
    <n v="25"/>
  </r>
  <r>
    <n v="181"/>
    <x v="561"/>
    <x v="1"/>
    <x v="11"/>
    <x v="1"/>
    <n v="4"/>
    <n v="300"/>
  </r>
  <r>
    <n v="210"/>
    <x v="211"/>
    <x v="1"/>
    <x v="10"/>
    <x v="1"/>
    <n v="4"/>
    <n v="50"/>
  </r>
  <r>
    <n v="565"/>
    <x v="562"/>
    <x v="0"/>
    <x v="37"/>
    <x v="2"/>
    <n v="1"/>
    <n v="30"/>
  </r>
  <r>
    <n v="124"/>
    <x v="286"/>
    <x v="1"/>
    <x v="31"/>
    <x v="2"/>
    <n v="4"/>
    <n v="500"/>
  </r>
  <r>
    <n v="76"/>
    <x v="202"/>
    <x v="0"/>
    <x v="39"/>
    <x v="1"/>
    <n v="2"/>
    <n v="50"/>
  </r>
  <r>
    <n v="84"/>
    <x v="563"/>
    <x v="0"/>
    <x v="36"/>
    <x v="1"/>
    <n v="3"/>
    <n v="30"/>
  </r>
  <r>
    <n v="1768"/>
    <x v="564"/>
    <x v="1"/>
    <x v="14"/>
    <x v="1"/>
    <n v="5"/>
    <n v="425"/>
  </r>
  <r>
    <n v="1332"/>
    <x v="565"/>
    <x v="0"/>
    <x v="15"/>
    <x v="0"/>
    <n v="2"/>
    <n v="479"/>
  </r>
  <r>
    <n v="1396"/>
    <x v="452"/>
    <x v="0"/>
    <x v="11"/>
    <x v="0"/>
    <n v="1"/>
    <n v="387"/>
  </r>
  <r>
    <n v="955"/>
    <x v="273"/>
    <x v="0"/>
    <x v="21"/>
    <x v="1"/>
    <n v="4"/>
    <n v="30"/>
  </r>
  <r>
    <n v="1266"/>
    <x v="566"/>
    <x v="1"/>
    <x v="8"/>
    <x v="2"/>
    <n v="3"/>
    <n v="423"/>
  </r>
  <r>
    <n v="1329"/>
    <x v="567"/>
    <x v="1"/>
    <x v="45"/>
    <x v="1"/>
    <n v="6"/>
    <n v="425"/>
  </r>
  <r>
    <n v="788"/>
    <x v="71"/>
    <x v="1"/>
    <x v="1"/>
    <x v="2"/>
    <n v="1"/>
    <n v="25"/>
  </r>
  <r>
    <n v="1042"/>
    <x v="568"/>
    <x v="0"/>
    <x v="25"/>
    <x v="2"/>
    <n v="1"/>
    <n v="178"/>
  </r>
  <r>
    <n v="1212"/>
    <x v="322"/>
    <x v="1"/>
    <x v="10"/>
    <x v="2"/>
    <n v="6"/>
    <n v="305"/>
  </r>
  <r>
    <n v="36"/>
    <x v="569"/>
    <x v="1"/>
    <x v="22"/>
    <x v="0"/>
    <n v="3"/>
    <n v="300"/>
  </r>
  <r>
    <n v="670"/>
    <x v="570"/>
    <x v="0"/>
    <x v="19"/>
    <x v="0"/>
    <n v="2"/>
    <n v="50"/>
  </r>
  <r>
    <n v="1614"/>
    <x v="520"/>
    <x v="1"/>
    <x v="37"/>
    <x v="1"/>
    <n v="5"/>
    <n v="368"/>
  </r>
  <r>
    <n v="330"/>
    <x v="438"/>
    <x v="1"/>
    <x v="47"/>
    <x v="1"/>
    <n v="3"/>
    <n v="30"/>
  </r>
  <r>
    <n v="1814"/>
    <x v="571"/>
    <x v="1"/>
    <x v="3"/>
    <x v="1"/>
    <n v="6"/>
    <n v="417"/>
  </r>
  <r>
    <n v="840"/>
    <x v="174"/>
    <x v="0"/>
    <x v="3"/>
    <x v="2"/>
    <n v="2"/>
    <n v="300"/>
  </r>
  <r>
    <n v="1838"/>
    <x v="94"/>
    <x v="0"/>
    <x v="1"/>
    <x v="2"/>
    <n v="5"/>
    <n v="283"/>
  </r>
  <r>
    <n v="1069"/>
    <x v="263"/>
    <x v="0"/>
    <x v="28"/>
    <x v="0"/>
    <n v="5"/>
    <n v="47"/>
  </r>
  <r>
    <n v="1665"/>
    <x v="353"/>
    <x v="1"/>
    <x v="28"/>
    <x v="0"/>
    <n v="7"/>
    <n v="230"/>
  </r>
  <r>
    <n v="1231"/>
    <x v="572"/>
    <x v="0"/>
    <x v="9"/>
    <x v="1"/>
    <n v="6"/>
    <n v="207"/>
  </r>
  <r>
    <n v="266"/>
    <x v="540"/>
    <x v="0"/>
    <x v="25"/>
    <x v="0"/>
    <n v="3"/>
    <n v="30"/>
  </r>
  <r>
    <n v="68"/>
    <x v="514"/>
    <x v="1"/>
    <x v="26"/>
    <x v="1"/>
    <n v="1"/>
    <n v="300"/>
  </r>
  <r>
    <n v="205"/>
    <x v="287"/>
    <x v="0"/>
    <x v="24"/>
    <x v="2"/>
    <n v="1"/>
    <n v="25"/>
  </r>
  <r>
    <n v="1656"/>
    <x v="547"/>
    <x v="0"/>
    <x v="27"/>
    <x v="0"/>
    <n v="7"/>
    <n v="355"/>
  </r>
  <r>
    <n v="1079"/>
    <x v="387"/>
    <x v="1"/>
    <x v="45"/>
    <x v="1"/>
    <n v="3"/>
    <n v="224"/>
  </r>
  <r>
    <n v="1698"/>
    <x v="324"/>
    <x v="0"/>
    <x v="28"/>
    <x v="2"/>
    <n v="3"/>
    <n v="160"/>
  </r>
  <r>
    <n v="54"/>
    <x v="514"/>
    <x v="0"/>
    <x v="36"/>
    <x v="1"/>
    <n v="3"/>
    <n v="500"/>
  </r>
  <r>
    <n v="485"/>
    <x v="18"/>
    <x v="0"/>
    <x v="7"/>
    <x v="1"/>
    <n v="1"/>
    <n v="25"/>
  </r>
  <r>
    <n v="102"/>
    <x v="210"/>
    <x v="0"/>
    <x v="3"/>
    <x v="0"/>
    <n v="2"/>
    <n v="25"/>
  </r>
  <r>
    <n v="1413"/>
    <x v="465"/>
    <x v="1"/>
    <x v="18"/>
    <x v="1"/>
    <n v="2"/>
    <n v="131"/>
  </r>
  <r>
    <n v="968"/>
    <x v="154"/>
    <x v="1"/>
    <x v="8"/>
    <x v="1"/>
    <n v="4"/>
    <n v="500"/>
  </r>
  <r>
    <n v="1494"/>
    <x v="80"/>
    <x v="1"/>
    <x v="44"/>
    <x v="2"/>
    <n v="5"/>
    <n v="37"/>
  </r>
  <r>
    <n v="354"/>
    <x v="280"/>
    <x v="0"/>
    <x v="27"/>
    <x v="1"/>
    <n v="1"/>
    <n v="500"/>
  </r>
  <r>
    <n v="331"/>
    <x v="573"/>
    <x v="1"/>
    <x v="0"/>
    <x v="1"/>
    <n v="4"/>
    <n v="300"/>
  </r>
  <r>
    <n v="1544"/>
    <x v="330"/>
    <x v="1"/>
    <x v="29"/>
    <x v="2"/>
    <n v="7"/>
    <n v="372"/>
  </r>
  <r>
    <n v="1530"/>
    <x v="574"/>
    <x v="1"/>
    <x v="9"/>
    <x v="1"/>
    <n v="4"/>
    <n v="457"/>
  </r>
  <r>
    <n v="1678"/>
    <x v="442"/>
    <x v="1"/>
    <x v="47"/>
    <x v="0"/>
    <n v="7"/>
    <n v="204"/>
  </r>
  <r>
    <n v="1767"/>
    <x v="515"/>
    <x v="1"/>
    <x v="38"/>
    <x v="1"/>
    <n v="5"/>
    <n v="410"/>
  </r>
  <r>
    <n v="462"/>
    <x v="575"/>
    <x v="0"/>
    <x v="2"/>
    <x v="0"/>
    <n v="3"/>
    <n v="500"/>
  </r>
  <r>
    <n v="154"/>
    <x v="292"/>
    <x v="1"/>
    <x v="16"/>
    <x v="1"/>
    <n v="3"/>
    <n v="300"/>
  </r>
  <r>
    <n v="317"/>
    <x v="251"/>
    <x v="1"/>
    <x v="30"/>
    <x v="2"/>
    <n v="1"/>
    <n v="25"/>
  </r>
  <r>
    <n v="834"/>
    <x v="162"/>
    <x v="0"/>
    <x v="39"/>
    <x v="2"/>
    <n v="1"/>
    <n v="50"/>
  </r>
  <r>
    <n v="1461"/>
    <x v="198"/>
    <x v="1"/>
    <x v="46"/>
    <x v="1"/>
    <n v="2"/>
    <n v="333"/>
  </r>
  <r>
    <n v="895"/>
    <x v="576"/>
    <x v="0"/>
    <x v="37"/>
    <x v="1"/>
    <n v="2"/>
    <n v="50"/>
  </r>
  <r>
    <n v="1619"/>
    <x v="216"/>
    <x v="0"/>
    <x v="26"/>
    <x v="0"/>
    <n v="6"/>
    <n v="412"/>
  </r>
  <r>
    <n v="1886"/>
    <x v="40"/>
    <x v="1"/>
    <x v="40"/>
    <x v="1"/>
    <n v="1"/>
    <n v="355"/>
  </r>
  <r>
    <n v="590"/>
    <x v="522"/>
    <x v="1"/>
    <x v="6"/>
    <x v="1"/>
    <n v="4"/>
    <n v="25"/>
  </r>
  <r>
    <n v="1379"/>
    <x v="232"/>
    <x v="0"/>
    <x v="8"/>
    <x v="2"/>
    <n v="6"/>
    <n v="121"/>
  </r>
  <r>
    <n v="566"/>
    <x v="577"/>
    <x v="0"/>
    <x v="26"/>
    <x v="2"/>
    <n v="3"/>
    <n v="300"/>
  </r>
  <r>
    <n v="246"/>
    <x v="52"/>
    <x v="1"/>
    <x v="13"/>
    <x v="1"/>
    <n v="2"/>
    <n v="30"/>
  </r>
  <r>
    <n v="1668"/>
    <x v="394"/>
    <x v="0"/>
    <x v="47"/>
    <x v="0"/>
    <n v="3"/>
    <n v="435"/>
  </r>
  <r>
    <n v="1905"/>
    <x v="498"/>
    <x v="1"/>
    <x v="7"/>
    <x v="1"/>
    <n v="2"/>
    <n v="434"/>
  </r>
  <r>
    <n v="1991"/>
    <x v="25"/>
    <x v="0"/>
    <x v="29"/>
    <x v="2"/>
    <n v="6"/>
    <n v="294"/>
  </r>
  <r>
    <n v="674"/>
    <x v="250"/>
    <x v="1"/>
    <x v="23"/>
    <x v="1"/>
    <n v="3"/>
    <n v="500"/>
  </r>
  <r>
    <n v="1163"/>
    <x v="578"/>
    <x v="0"/>
    <x v="4"/>
    <x v="2"/>
    <n v="1"/>
    <n v="239"/>
  </r>
  <r>
    <n v="811"/>
    <x v="108"/>
    <x v="1"/>
    <x v="22"/>
    <x v="1"/>
    <n v="3"/>
    <n v="50"/>
  </r>
  <r>
    <n v="1618"/>
    <x v="579"/>
    <x v="0"/>
    <x v="46"/>
    <x v="0"/>
    <n v="2"/>
    <n v="208"/>
  </r>
  <r>
    <n v="1669"/>
    <x v="566"/>
    <x v="0"/>
    <x v="19"/>
    <x v="2"/>
    <n v="1"/>
    <n v="43"/>
  </r>
  <r>
    <n v="888"/>
    <x v="129"/>
    <x v="1"/>
    <x v="19"/>
    <x v="1"/>
    <n v="2"/>
    <n v="25"/>
  </r>
  <r>
    <n v="1256"/>
    <x v="33"/>
    <x v="0"/>
    <x v="4"/>
    <x v="2"/>
    <n v="6"/>
    <n v="73"/>
  </r>
  <r>
    <n v="546"/>
    <x v="158"/>
    <x v="1"/>
    <x v="23"/>
    <x v="2"/>
    <n v="4"/>
    <n v="500"/>
  </r>
  <r>
    <n v="770"/>
    <x v="580"/>
    <x v="1"/>
    <x v="29"/>
    <x v="1"/>
    <n v="1"/>
    <n v="30"/>
  </r>
  <r>
    <n v="1747"/>
    <x v="218"/>
    <x v="0"/>
    <x v="14"/>
    <x v="2"/>
    <n v="5"/>
    <n v="243"/>
  </r>
  <r>
    <n v="1373"/>
    <x v="189"/>
    <x v="0"/>
    <x v="6"/>
    <x v="0"/>
    <n v="6"/>
    <n v="124"/>
  </r>
  <r>
    <n v="450"/>
    <x v="32"/>
    <x v="0"/>
    <x v="46"/>
    <x v="1"/>
    <n v="1"/>
    <n v="30"/>
  </r>
  <r>
    <n v="1392"/>
    <x v="123"/>
    <x v="1"/>
    <x v="12"/>
    <x v="1"/>
    <n v="2"/>
    <n v="25"/>
  </r>
  <r>
    <n v="567"/>
    <x v="15"/>
    <x v="0"/>
    <x v="16"/>
    <x v="1"/>
    <n v="1"/>
    <n v="300"/>
  </r>
  <r>
    <n v="1697"/>
    <x v="581"/>
    <x v="0"/>
    <x v="34"/>
    <x v="0"/>
    <n v="5"/>
    <n v="90"/>
  </r>
  <r>
    <n v="649"/>
    <x v="529"/>
    <x v="1"/>
    <x v="16"/>
    <x v="2"/>
    <n v="3"/>
    <n v="50"/>
  </r>
  <r>
    <n v="806"/>
    <x v="310"/>
    <x v="1"/>
    <x v="31"/>
    <x v="0"/>
    <n v="4"/>
    <n v="500"/>
  </r>
  <r>
    <n v="1299"/>
    <x v="263"/>
    <x v="1"/>
    <x v="7"/>
    <x v="0"/>
    <n v="7"/>
    <n v="232"/>
  </r>
  <r>
    <n v="394"/>
    <x v="405"/>
    <x v="1"/>
    <x v="40"/>
    <x v="1"/>
    <n v="2"/>
    <n v="500"/>
  </r>
  <r>
    <n v="1048"/>
    <x v="299"/>
    <x v="0"/>
    <x v="27"/>
    <x v="0"/>
    <n v="5"/>
    <n v="420"/>
  </r>
  <r>
    <n v="459"/>
    <x v="526"/>
    <x v="1"/>
    <x v="18"/>
    <x v="0"/>
    <n v="1"/>
    <n v="50"/>
  </r>
  <r>
    <n v="1926"/>
    <x v="582"/>
    <x v="1"/>
    <x v="43"/>
    <x v="2"/>
    <n v="7"/>
    <n v="271"/>
  </r>
  <r>
    <n v="348"/>
    <x v="419"/>
    <x v="0"/>
    <x v="15"/>
    <x v="0"/>
    <n v="1"/>
    <n v="50"/>
  </r>
  <r>
    <n v="1427"/>
    <x v="583"/>
    <x v="0"/>
    <x v="45"/>
    <x v="1"/>
    <n v="7"/>
    <n v="300"/>
  </r>
  <r>
    <n v="754"/>
    <x v="15"/>
    <x v="0"/>
    <x v="1"/>
    <x v="1"/>
    <n v="4"/>
    <n v="300"/>
  </r>
  <r>
    <n v="284"/>
    <x v="273"/>
    <x v="0"/>
    <x v="34"/>
    <x v="1"/>
    <n v="1"/>
    <n v="25"/>
  </r>
  <r>
    <n v="220"/>
    <x v="434"/>
    <x v="1"/>
    <x v="32"/>
    <x v="0"/>
    <n v="2"/>
    <n v="300"/>
  </r>
  <r>
    <n v="282"/>
    <x v="208"/>
    <x v="0"/>
    <x v="4"/>
    <x v="1"/>
    <n v="1"/>
    <n v="500"/>
  </r>
  <r>
    <n v="524"/>
    <x v="194"/>
    <x v="0"/>
    <x v="3"/>
    <x v="0"/>
    <n v="2"/>
    <n v="25"/>
  </r>
  <r>
    <n v="1374"/>
    <x v="323"/>
    <x v="0"/>
    <x v="45"/>
    <x v="2"/>
    <n v="2"/>
    <n v="386"/>
  </r>
  <r>
    <n v="1158"/>
    <x v="584"/>
    <x v="0"/>
    <x v="10"/>
    <x v="2"/>
    <n v="1"/>
    <n v="192"/>
  </r>
  <r>
    <n v="1339"/>
    <x v="585"/>
    <x v="0"/>
    <x v="6"/>
    <x v="2"/>
    <n v="1"/>
    <n v="414"/>
  </r>
  <r>
    <n v="117"/>
    <x v="586"/>
    <x v="1"/>
    <x v="11"/>
    <x v="1"/>
    <n v="2"/>
    <n v="500"/>
  </r>
  <r>
    <n v="441"/>
    <x v="166"/>
    <x v="0"/>
    <x v="21"/>
    <x v="2"/>
    <n v="4"/>
    <n v="25"/>
  </r>
  <r>
    <n v="1012"/>
    <x v="421"/>
    <x v="1"/>
    <x v="2"/>
    <x v="2"/>
    <n v="6"/>
    <n v="149"/>
  </r>
  <r>
    <n v="976"/>
    <x v="51"/>
    <x v="0"/>
    <x v="6"/>
    <x v="2"/>
    <n v="3"/>
    <n v="50"/>
  </r>
  <r>
    <n v="1511"/>
    <x v="452"/>
    <x v="0"/>
    <x v="44"/>
    <x v="1"/>
    <n v="6"/>
    <n v="479"/>
  </r>
  <r>
    <n v="1128"/>
    <x v="587"/>
    <x v="0"/>
    <x v="18"/>
    <x v="2"/>
    <n v="3"/>
    <n v="20"/>
  </r>
  <r>
    <n v="849"/>
    <x v="95"/>
    <x v="1"/>
    <x v="25"/>
    <x v="1"/>
    <n v="2"/>
    <n v="25"/>
  </r>
  <r>
    <n v="1027"/>
    <x v="197"/>
    <x v="0"/>
    <x v="11"/>
    <x v="1"/>
    <n v="5"/>
    <n v="90"/>
  </r>
  <r>
    <n v="239"/>
    <x v="68"/>
    <x v="0"/>
    <x v="35"/>
    <x v="0"/>
    <n v="1"/>
    <n v="300"/>
  </r>
  <r>
    <n v="1891"/>
    <x v="430"/>
    <x v="0"/>
    <x v="41"/>
    <x v="2"/>
    <n v="2"/>
    <n v="286"/>
  </r>
  <r>
    <n v="1100"/>
    <x v="588"/>
    <x v="0"/>
    <x v="45"/>
    <x v="0"/>
    <n v="5"/>
    <n v="46"/>
  </r>
  <r>
    <n v="1548"/>
    <x v="263"/>
    <x v="1"/>
    <x v="17"/>
    <x v="1"/>
    <n v="3"/>
    <n v="283"/>
  </r>
  <r>
    <n v="771"/>
    <x v="589"/>
    <x v="1"/>
    <x v="26"/>
    <x v="1"/>
    <n v="4"/>
    <n v="500"/>
  </r>
  <r>
    <n v="828"/>
    <x v="103"/>
    <x v="0"/>
    <x v="37"/>
    <x v="2"/>
    <n v="3"/>
    <n v="50"/>
  </r>
  <r>
    <n v="451"/>
    <x v="208"/>
    <x v="0"/>
    <x v="38"/>
    <x v="2"/>
    <n v="3"/>
    <n v="500"/>
  </r>
  <r>
    <n v="745"/>
    <x v="461"/>
    <x v="1"/>
    <x v="35"/>
    <x v="0"/>
    <n v="1"/>
    <n v="30"/>
  </r>
  <r>
    <n v="1114"/>
    <x v="555"/>
    <x v="0"/>
    <x v="4"/>
    <x v="2"/>
    <n v="4"/>
    <n v="267"/>
  </r>
  <r>
    <n v="15"/>
    <x v="122"/>
    <x v="0"/>
    <x v="33"/>
    <x v="1"/>
    <n v="4"/>
    <n v="500"/>
  </r>
  <r>
    <n v="1935"/>
    <x v="335"/>
    <x v="0"/>
    <x v="36"/>
    <x v="1"/>
    <n v="1"/>
    <n v="189"/>
  </r>
  <r>
    <n v="1620"/>
    <x v="590"/>
    <x v="1"/>
    <x v="16"/>
    <x v="2"/>
    <n v="2"/>
    <n v="116"/>
  </r>
  <r>
    <n v="1608"/>
    <x v="591"/>
    <x v="1"/>
    <x v="37"/>
    <x v="0"/>
    <n v="4"/>
    <n v="134"/>
  </r>
  <r>
    <n v="730"/>
    <x v="438"/>
    <x v="1"/>
    <x v="30"/>
    <x v="1"/>
    <n v="2"/>
    <n v="500"/>
  </r>
  <r>
    <n v="781"/>
    <x v="592"/>
    <x v="0"/>
    <x v="41"/>
    <x v="2"/>
    <n v="1"/>
    <n v="300"/>
  </r>
  <r>
    <n v="52"/>
    <x v="593"/>
    <x v="0"/>
    <x v="44"/>
    <x v="0"/>
    <n v="1"/>
    <n v="300"/>
  </r>
  <r>
    <n v="1000"/>
    <x v="87"/>
    <x v="0"/>
    <x v="30"/>
    <x v="2"/>
    <n v="1"/>
    <n v="328"/>
  </r>
  <r>
    <n v="886"/>
    <x v="439"/>
    <x v="0"/>
    <x v="22"/>
    <x v="1"/>
    <n v="4"/>
    <n v="25"/>
  </r>
  <r>
    <n v="1129"/>
    <x v="594"/>
    <x v="0"/>
    <x v="2"/>
    <x v="0"/>
    <n v="6"/>
    <n v="468"/>
  </r>
  <r>
    <n v="1863"/>
    <x v="159"/>
    <x v="1"/>
    <x v="1"/>
    <x v="1"/>
    <n v="2"/>
    <n v="306"/>
  </r>
  <r>
    <n v="410"/>
    <x v="154"/>
    <x v="1"/>
    <x v="1"/>
    <x v="1"/>
    <n v="4"/>
    <n v="50"/>
  </r>
  <r>
    <n v="1008"/>
    <x v="290"/>
    <x v="0"/>
    <x v="38"/>
    <x v="2"/>
    <n v="6"/>
    <n v="417"/>
  </r>
  <r>
    <n v="312"/>
    <x v="341"/>
    <x v="0"/>
    <x v="27"/>
    <x v="0"/>
    <n v="3"/>
    <n v="500"/>
  </r>
  <r>
    <n v="816"/>
    <x v="595"/>
    <x v="1"/>
    <x v="17"/>
    <x v="1"/>
    <n v="1"/>
    <n v="500"/>
  </r>
  <r>
    <n v="647"/>
    <x v="499"/>
    <x v="1"/>
    <x v="6"/>
    <x v="0"/>
    <n v="4"/>
    <n v="300"/>
  </r>
  <r>
    <n v="1655"/>
    <x v="596"/>
    <x v="0"/>
    <x v="18"/>
    <x v="1"/>
    <n v="6"/>
    <n v="278"/>
  </r>
  <r>
    <n v="528"/>
    <x v="375"/>
    <x v="0"/>
    <x v="7"/>
    <x v="2"/>
    <n v="3"/>
    <n v="50"/>
  </r>
  <r>
    <n v="973"/>
    <x v="597"/>
    <x v="0"/>
    <x v="41"/>
    <x v="2"/>
    <n v="4"/>
    <n v="50"/>
  </r>
  <r>
    <n v="875"/>
    <x v="274"/>
    <x v="0"/>
    <x v="0"/>
    <x v="2"/>
    <n v="1"/>
    <n v="25"/>
  </r>
  <r>
    <n v="945"/>
    <x v="598"/>
    <x v="1"/>
    <x v="40"/>
    <x v="0"/>
    <n v="1"/>
    <n v="300"/>
  </r>
  <r>
    <n v="405"/>
    <x v="433"/>
    <x v="0"/>
    <x v="39"/>
    <x v="0"/>
    <n v="4"/>
    <n v="25"/>
  </r>
  <r>
    <n v="116"/>
    <x v="411"/>
    <x v="0"/>
    <x v="35"/>
    <x v="2"/>
    <n v="1"/>
    <n v="30"/>
  </r>
  <r>
    <n v="1699"/>
    <x v="358"/>
    <x v="1"/>
    <x v="39"/>
    <x v="1"/>
    <n v="6"/>
    <n v="70"/>
  </r>
  <r>
    <n v="1503"/>
    <x v="402"/>
    <x v="1"/>
    <x v="31"/>
    <x v="0"/>
    <n v="4"/>
    <n v="312"/>
  </r>
  <r>
    <n v="1306"/>
    <x v="350"/>
    <x v="0"/>
    <x v="31"/>
    <x v="0"/>
    <n v="2"/>
    <n v="331"/>
  </r>
  <r>
    <n v="1912"/>
    <x v="54"/>
    <x v="0"/>
    <x v="6"/>
    <x v="1"/>
    <n v="4"/>
    <n v="341"/>
  </r>
  <r>
    <n v="502"/>
    <x v="140"/>
    <x v="1"/>
    <x v="46"/>
    <x v="0"/>
    <n v="4"/>
    <n v="500"/>
  </r>
  <r>
    <n v="1029"/>
    <x v="88"/>
    <x v="1"/>
    <x v="23"/>
    <x v="1"/>
    <n v="4"/>
    <n v="159"/>
  </r>
  <r>
    <n v="1739"/>
    <x v="420"/>
    <x v="0"/>
    <x v="15"/>
    <x v="0"/>
    <n v="2"/>
    <n v="489"/>
  </r>
  <r>
    <n v="107"/>
    <x v="291"/>
    <x v="0"/>
    <x v="5"/>
    <x v="2"/>
    <n v="4"/>
    <n v="300"/>
  </r>
  <r>
    <n v="28"/>
    <x v="13"/>
    <x v="0"/>
    <x v="24"/>
    <x v="0"/>
    <n v="1"/>
    <n v="500"/>
  </r>
  <r>
    <n v="1571"/>
    <x v="218"/>
    <x v="0"/>
    <x v="5"/>
    <x v="1"/>
    <n v="5"/>
    <n v="148"/>
  </r>
  <r>
    <n v="1638"/>
    <x v="313"/>
    <x v="0"/>
    <x v="14"/>
    <x v="1"/>
    <n v="3"/>
    <n v="177"/>
  </r>
  <r>
    <n v="1574"/>
    <x v="182"/>
    <x v="1"/>
    <x v="45"/>
    <x v="0"/>
    <n v="3"/>
    <n v="348"/>
  </r>
  <r>
    <n v="947"/>
    <x v="599"/>
    <x v="0"/>
    <x v="13"/>
    <x v="1"/>
    <n v="2"/>
    <n v="25"/>
  </r>
  <r>
    <n v="1182"/>
    <x v="521"/>
    <x v="1"/>
    <x v="8"/>
    <x v="1"/>
    <n v="2"/>
    <n v="328"/>
  </r>
  <r>
    <n v="926"/>
    <x v="600"/>
    <x v="0"/>
    <x v="7"/>
    <x v="2"/>
    <n v="4"/>
    <n v="300"/>
  </r>
  <r>
    <n v="987"/>
    <x v="531"/>
    <x v="0"/>
    <x v="12"/>
    <x v="1"/>
    <n v="1"/>
    <n v="25"/>
  </r>
  <r>
    <n v="80"/>
    <x v="473"/>
    <x v="0"/>
    <x v="37"/>
    <x v="2"/>
    <n v="2"/>
    <n v="30"/>
  </r>
  <r>
    <n v="497"/>
    <x v="274"/>
    <x v="0"/>
    <x v="40"/>
    <x v="2"/>
    <n v="4"/>
    <n v="25"/>
  </r>
  <r>
    <n v="919"/>
    <x v="414"/>
    <x v="1"/>
    <x v="16"/>
    <x v="1"/>
    <n v="3"/>
    <n v="25"/>
  </r>
  <r>
    <n v="1505"/>
    <x v="584"/>
    <x v="1"/>
    <x v="9"/>
    <x v="0"/>
    <n v="4"/>
    <n v="371"/>
  </r>
  <r>
    <n v="985"/>
    <x v="601"/>
    <x v="0"/>
    <x v="17"/>
    <x v="2"/>
    <n v="3"/>
    <n v="300"/>
  </r>
  <r>
    <n v="1074"/>
    <x v="602"/>
    <x v="0"/>
    <x v="19"/>
    <x v="1"/>
    <n v="4"/>
    <n v="392"/>
  </r>
  <r>
    <n v="1324"/>
    <x v="28"/>
    <x v="1"/>
    <x v="22"/>
    <x v="1"/>
    <n v="3"/>
    <n v="247"/>
  </r>
  <r>
    <n v="13"/>
    <x v="0"/>
    <x v="1"/>
    <x v="39"/>
    <x v="1"/>
    <n v="3"/>
    <n v="500"/>
  </r>
  <r>
    <n v="1232"/>
    <x v="187"/>
    <x v="0"/>
    <x v="5"/>
    <x v="1"/>
    <n v="3"/>
    <n v="497"/>
  </r>
  <r>
    <n v="644"/>
    <x v="132"/>
    <x v="0"/>
    <x v="7"/>
    <x v="1"/>
    <n v="4"/>
    <n v="30"/>
  </r>
  <r>
    <n v="1184"/>
    <x v="224"/>
    <x v="1"/>
    <x v="20"/>
    <x v="2"/>
    <n v="2"/>
    <n v="493"/>
  </r>
  <r>
    <n v="1055"/>
    <x v="397"/>
    <x v="0"/>
    <x v="16"/>
    <x v="0"/>
    <n v="1"/>
    <n v="100"/>
  </r>
  <r>
    <n v="699"/>
    <x v="429"/>
    <x v="0"/>
    <x v="22"/>
    <x v="0"/>
    <n v="2"/>
    <n v="30"/>
  </r>
  <r>
    <n v="857"/>
    <x v="489"/>
    <x v="0"/>
    <x v="41"/>
    <x v="1"/>
    <n v="3"/>
    <n v="500"/>
  </r>
  <r>
    <n v="114"/>
    <x v="532"/>
    <x v="0"/>
    <x v="39"/>
    <x v="0"/>
    <n v="4"/>
    <n v="25"/>
  </r>
  <r>
    <n v="820"/>
    <x v="141"/>
    <x v="0"/>
    <x v="22"/>
    <x v="0"/>
    <n v="3"/>
    <n v="50"/>
  </r>
  <r>
    <n v="1904"/>
    <x v="282"/>
    <x v="1"/>
    <x v="20"/>
    <x v="0"/>
    <n v="3"/>
    <n v="415"/>
  </r>
  <r>
    <n v="1233"/>
    <x v="588"/>
    <x v="0"/>
    <x v="7"/>
    <x v="2"/>
    <n v="7"/>
    <n v="193"/>
  </r>
  <r>
    <n v="1976"/>
    <x v="201"/>
    <x v="0"/>
    <x v="20"/>
    <x v="1"/>
    <n v="2"/>
    <n v="214"/>
  </r>
  <r>
    <n v="1004"/>
    <x v="603"/>
    <x v="0"/>
    <x v="38"/>
    <x v="0"/>
    <n v="1"/>
    <n v="72"/>
  </r>
  <r>
    <n v="1704"/>
    <x v="37"/>
    <x v="0"/>
    <x v="28"/>
    <x v="0"/>
    <n v="6"/>
    <n v="63"/>
  </r>
  <r>
    <n v="271"/>
    <x v="604"/>
    <x v="0"/>
    <x v="30"/>
    <x v="1"/>
    <n v="2"/>
    <n v="50"/>
  </r>
  <r>
    <n v="584"/>
    <x v="348"/>
    <x v="0"/>
    <x v="9"/>
    <x v="2"/>
    <n v="1"/>
    <n v="25"/>
  </r>
  <r>
    <n v="427"/>
    <x v="223"/>
    <x v="0"/>
    <x v="18"/>
    <x v="1"/>
    <n v="4"/>
    <n v="50"/>
  </r>
  <r>
    <n v="1070"/>
    <x v="88"/>
    <x v="0"/>
    <x v="42"/>
    <x v="1"/>
    <n v="1"/>
    <n v="124"/>
  </r>
  <r>
    <n v="294"/>
    <x v="352"/>
    <x v="0"/>
    <x v="42"/>
    <x v="0"/>
    <n v="3"/>
    <n v="300"/>
  </r>
  <r>
    <n v="866"/>
    <x v="405"/>
    <x v="0"/>
    <x v="26"/>
    <x v="1"/>
    <n v="1"/>
    <n v="300"/>
  </r>
  <r>
    <n v="367"/>
    <x v="411"/>
    <x v="0"/>
    <x v="41"/>
    <x v="2"/>
    <n v="4"/>
    <n v="300"/>
  </r>
  <r>
    <n v="1089"/>
    <x v="602"/>
    <x v="0"/>
    <x v="16"/>
    <x v="1"/>
    <n v="3"/>
    <n v="162"/>
  </r>
  <r>
    <n v="374"/>
    <x v="157"/>
    <x v="1"/>
    <x v="25"/>
    <x v="2"/>
    <n v="1"/>
    <n v="50"/>
  </r>
  <r>
    <n v="453"/>
    <x v="362"/>
    <x v="0"/>
    <x v="28"/>
    <x v="0"/>
    <n v="1"/>
    <n v="25"/>
  </r>
  <r>
    <n v="873"/>
    <x v="508"/>
    <x v="0"/>
    <x v="16"/>
    <x v="1"/>
    <n v="4"/>
    <n v="500"/>
  </r>
  <r>
    <n v="1018"/>
    <x v="516"/>
    <x v="1"/>
    <x v="11"/>
    <x v="2"/>
    <n v="7"/>
    <n v="114"/>
  </r>
  <r>
    <n v="359"/>
    <x v="605"/>
    <x v="1"/>
    <x v="33"/>
    <x v="2"/>
    <n v="4"/>
    <n v="25"/>
  </r>
  <r>
    <n v="1395"/>
    <x v="189"/>
    <x v="0"/>
    <x v="8"/>
    <x v="2"/>
    <n v="5"/>
    <n v="371"/>
  </r>
  <r>
    <n v="1971"/>
    <x v="606"/>
    <x v="0"/>
    <x v="1"/>
    <x v="2"/>
    <n v="7"/>
    <n v="353"/>
  </r>
  <r>
    <n v="1307"/>
    <x v="607"/>
    <x v="0"/>
    <x v="28"/>
    <x v="0"/>
    <n v="3"/>
    <n v="334"/>
  </r>
  <r>
    <n v="212"/>
    <x v="48"/>
    <x v="1"/>
    <x v="42"/>
    <x v="0"/>
    <n v="3"/>
    <n v="500"/>
  </r>
  <r>
    <n v="1065"/>
    <x v="608"/>
    <x v="0"/>
    <x v="38"/>
    <x v="0"/>
    <n v="5"/>
    <n v="119"/>
  </r>
  <r>
    <n v="130"/>
    <x v="297"/>
    <x v="0"/>
    <x v="15"/>
    <x v="2"/>
    <n v="1"/>
    <n v="500"/>
  </r>
  <r>
    <n v="1933"/>
    <x v="267"/>
    <x v="0"/>
    <x v="7"/>
    <x v="0"/>
    <n v="6"/>
    <n v="242"/>
  </r>
  <r>
    <n v="903"/>
    <x v="302"/>
    <x v="1"/>
    <x v="0"/>
    <x v="0"/>
    <n v="1"/>
    <n v="300"/>
  </r>
  <r>
    <n v="768"/>
    <x v="160"/>
    <x v="1"/>
    <x v="25"/>
    <x v="2"/>
    <n v="1"/>
    <n v="50"/>
  </r>
  <r>
    <n v="1254"/>
    <x v="568"/>
    <x v="1"/>
    <x v="1"/>
    <x v="0"/>
    <n v="2"/>
    <n v="161"/>
  </r>
  <r>
    <n v="231"/>
    <x v="68"/>
    <x v="0"/>
    <x v="24"/>
    <x v="0"/>
    <n v="1"/>
    <n v="25"/>
  </r>
  <r>
    <n v="228"/>
    <x v="113"/>
    <x v="1"/>
    <x v="0"/>
    <x v="0"/>
    <n v="3"/>
    <n v="30"/>
  </r>
  <r>
    <n v="69"/>
    <x v="609"/>
    <x v="0"/>
    <x v="41"/>
    <x v="0"/>
    <n v="3"/>
    <n v="25"/>
  </r>
  <r>
    <n v="747"/>
    <x v="400"/>
    <x v="1"/>
    <x v="33"/>
    <x v="0"/>
    <n v="1"/>
    <n v="30"/>
  </r>
  <r>
    <n v="990"/>
    <x v="101"/>
    <x v="0"/>
    <x v="15"/>
    <x v="1"/>
    <n v="2"/>
    <n v="30"/>
  </r>
  <r>
    <n v="1211"/>
    <x v="610"/>
    <x v="1"/>
    <x v="42"/>
    <x v="0"/>
    <n v="5"/>
    <n v="203"/>
  </r>
  <r>
    <n v="517"/>
    <x v="611"/>
    <x v="0"/>
    <x v="18"/>
    <x v="2"/>
    <n v="1"/>
    <n v="30"/>
  </r>
  <r>
    <n v="63"/>
    <x v="161"/>
    <x v="1"/>
    <x v="15"/>
    <x v="1"/>
    <n v="2"/>
    <n v="25"/>
  </r>
  <r>
    <n v="1587"/>
    <x v="339"/>
    <x v="1"/>
    <x v="8"/>
    <x v="2"/>
    <n v="2"/>
    <n v="89"/>
  </r>
  <r>
    <n v="1166"/>
    <x v="591"/>
    <x v="1"/>
    <x v="45"/>
    <x v="2"/>
    <n v="3"/>
    <n v="75"/>
  </r>
  <r>
    <n v="752"/>
    <x v="199"/>
    <x v="0"/>
    <x v="24"/>
    <x v="1"/>
    <n v="4"/>
    <n v="25"/>
  </r>
  <r>
    <n v="1531"/>
    <x v="229"/>
    <x v="1"/>
    <x v="39"/>
    <x v="2"/>
    <n v="7"/>
    <n v="314"/>
  </r>
  <r>
    <n v="1561"/>
    <x v="585"/>
    <x v="1"/>
    <x v="11"/>
    <x v="1"/>
    <n v="3"/>
    <n v="269"/>
  </r>
  <r>
    <n v="1840"/>
    <x v="607"/>
    <x v="1"/>
    <x v="46"/>
    <x v="2"/>
    <n v="7"/>
    <n v="29"/>
  </r>
  <r>
    <n v="1370"/>
    <x v="311"/>
    <x v="0"/>
    <x v="33"/>
    <x v="0"/>
    <n v="4"/>
    <n v="250"/>
  </r>
  <r>
    <n v="719"/>
    <x v="558"/>
    <x v="0"/>
    <x v="22"/>
    <x v="2"/>
    <n v="1"/>
    <n v="500"/>
  </r>
  <r>
    <n v="986"/>
    <x v="612"/>
    <x v="0"/>
    <x v="23"/>
    <x v="2"/>
    <n v="3"/>
    <n v="25"/>
  </r>
  <r>
    <n v="1365"/>
    <x v="555"/>
    <x v="0"/>
    <x v="0"/>
    <x v="2"/>
    <n v="1"/>
    <n v="499"/>
  </r>
  <r>
    <n v="138"/>
    <x v="368"/>
    <x v="1"/>
    <x v="20"/>
    <x v="2"/>
    <n v="4"/>
    <n v="50"/>
  </r>
  <r>
    <n v="1364"/>
    <x v="480"/>
    <x v="0"/>
    <x v="9"/>
    <x v="1"/>
    <n v="3"/>
    <n v="96"/>
  </r>
  <r>
    <n v="98"/>
    <x v="13"/>
    <x v="0"/>
    <x v="27"/>
    <x v="0"/>
    <n v="2"/>
    <n v="50"/>
  </r>
  <r>
    <n v="235"/>
    <x v="210"/>
    <x v="0"/>
    <x v="2"/>
    <x v="2"/>
    <n v="1"/>
    <n v="25"/>
  </r>
  <r>
    <n v="1913"/>
    <x v="453"/>
    <x v="0"/>
    <x v="4"/>
    <x v="1"/>
    <n v="2"/>
    <n v="415"/>
  </r>
  <r>
    <n v="655"/>
    <x v="438"/>
    <x v="1"/>
    <x v="18"/>
    <x v="2"/>
    <n v="1"/>
    <n v="25"/>
  </r>
  <r>
    <n v="1084"/>
    <x v="304"/>
    <x v="1"/>
    <x v="25"/>
    <x v="0"/>
    <n v="6"/>
    <n v="400"/>
  </r>
  <r>
    <n v="1649"/>
    <x v="449"/>
    <x v="1"/>
    <x v="6"/>
    <x v="2"/>
    <n v="1"/>
    <n v="47"/>
  </r>
  <r>
    <n v="1808"/>
    <x v="613"/>
    <x v="1"/>
    <x v="9"/>
    <x v="1"/>
    <n v="4"/>
    <n v="447"/>
  </r>
  <r>
    <n v="950"/>
    <x v="614"/>
    <x v="0"/>
    <x v="15"/>
    <x v="2"/>
    <n v="1"/>
    <n v="25"/>
  </r>
  <r>
    <n v="1101"/>
    <x v="421"/>
    <x v="0"/>
    <x v="27"/>
    <x v="2"/>
    <n v="2"/>
    <n v="261"/>
  </r>
  <r>
    <n v="589"/>
    <x v="166"/>
    <x v="1"/>
    <x v="44"/>
    <x v="2"/>
    <n v="3"/>
    <n v="300"/>
  </r>
  <r>
    <n v="1282"/>
    <x v="100"/>
    <x v="0"/>
    <x v="21"/>
    <x v="1"/>
    <n v="6"/>
    <n v="252"/>
  </r>
  <r>
    <n v="466"/>
    <x v="615"/>
    <x v="0"/>
    <x v="6"/>
    <x v="1"/>
    <n v="3"/>
    <n v="50"/>
  </r>
  <r>
    <n v="1269"/>
    <x v="402"/>
    <x v="0"/>
    <x v="13"/>
    <x v="1"/>
    <n v="5"/>
    <n v="128"/>
  </r>
  <r>
    <n v="1569"/>
    <x v="370"/>
    <x v="1"/>
    <x v="13"/>
    <x v="2"/>
    <n v="3"/>
    <n v="323"/>
  </r>
  <r>
    <n v="139"/>
    <x v="389"/>
    <x v="1"/>
    <x v="44"/>
    <x v="0"/>
    <n v="4"/>
    <n v="500"/>
  </r>
  <r>
    <n v="843"/>
    <x v="616"/>
    <x v="1"/>
    <x v="2"/>
    <x v="2"/>
    <n v="1"/>
    <n v="500"/>
  </r>
  <r>
    <n v="1950"/>
    <x v="413"/>
    <x v="0"/>
    <x v="15"/>
    <x v="1"/>
    <n v="7"/>
    <n v="210"/>
  </r>
  <r>
    <n v="764"/>
    <x v="604"/>
    <x v="1"/>
    <x v="36"/>
    <x v="1"/>
    <n v="3"/>
    <n v="300"/>
  </r>
  <r>
    <n v="871"/>
    <x v="163"/>
    <x v="0"/>
    <x v="42"/>
    <x v="1"/>
    <n v="4"/>
    <n v="25"/>
  </r>
  <r>
    <n v="740"/>
    <x v="617"/>
    <x v="0"/>
    <x v="36"/>
    <x v="1"/>
    <n v="4"/>
    <n v="500"/>
  </r>
  <r>
    <n v="1021"/>
    <x v="221"/>
    <x v="0"/>
    <x v="4"/>
    <x v="2"/>
    <n v="1"/>
    <n v="195"/>
  </r>
  <r>
    <n v="1803"/>
    <x v="584"/>
    <x v="0"/>
    <x v="8"/>
    <x v="1"/>
    <n v="1"/>
    <n v="483"/>
  </r>
  <r>
    <n v="1369"/>
    <x v="344"/>
    <x v="0"/>
    <x v="23"/>
    <x v="0"/>
    <n v="4"/>
    <n v="335"/>
  </r>
  <r>
    <n v="780"/>
    <x v="618"/>
    <x v="1"/>
    <x v="8"/>
    <x v="2"/>
    <n v="3"/>
    <n v="300"/>
  </r>
  <r>
    <n v="665"/>
    <x v="570"/>
    <x v="0"/>
    <x v="14"/>
    <x v="1"/>
    <n v="1"/>
    <n v="500"/>
  </r>
  <r>
    <n v="399"/>
    <x v="619"/>
    <x v="1"/>
    <x v="6"/>
    <x v="2"/>
    <n v="4"/>
    <n v="50"/>
  </r>
  <r>
    <n v="1650"/>
    <x v="445"/>
    <x v="1"/>
    <x v="47"/>
    <x v="2"/>
    <n v="2"/>
    <n v="203"/>
  </r>
  <r>
    <n v="688"/>
    <x v="620"/>
    <x v="0"/>
    <x v="22"/>
    <x v="2"/>
    <n v="3"/>
    <n v="300"/>
  </r>
  <r>
    <n v="646"/>
    <x v="509"/>
    <x v="1"/>
    <x v="8"/>
    <x v="2"/>
    <n v="3"/>
    <n v="500"/>
  </r>
  <r>
    <n v="1884"/>
    <x v="427"/>
    <x v="0"/>
    <x v="41"/>
    <x v="1"/>
    <n v="2"/>
    <n v="371"/>
  </r>
  <r>
    <n v="610"/>
    <x v="619"/>
    <x v="1"/>
    <x v="16"/>
    <x v="0"/>
    <n v="3"/>
    <n v="500"/>
  </r>
  <r>
    <n v="1190"/>
    <x v="621"/>
    <x v="1"/>
    <x v="14"/>
    <x v="0"/>
    <n v="3"/>
    <n v="91"/>
  </r>
  <r>
    <n v="469"/>
    <x v="459"/>
    <x v="0"/>
    <x v="15"/>
    <x v="2"/>
    <n v="2"/>
    <n v="500"/>
  </r>
  <r>
    <n v="983"/>
    <x v="314"/>
    <x v="0"/>
    <x v="11"/>
    <x v="1"/>
    <n v="2"/>
    <n v="25"/>
  </r>
  <r>
    <n v="826"/>
    <x v="280"/>
    <x v="0"/>
    <x v="31"/>
    <x v="1"/>
    <n v="4"/>
    <n v="300"/>
  </r>
  <r>
    <n v="977"/>
    <x v="485"/>
    <x v="0"/>
    <x v="11"/>
    <x v="0"/>
    <n v="1"/>
    <n v="25"/>
  </r>
  <r>
    <n v="1816"/>
    <x v="354"/>
    <x v="1"/>
    <x v="20"/>
    <x v="1"/>
    <n v="1"/>
    <n v="492"/>
  </r>
  <r>
    <n v="807"/>
    <x v="177"/>
    <x v="0"/>
    <x v="1"/>
    <x v="0"/>
    <n v="2"/>
    <n v="50"/>
  </r>
  <r>
    <n v="1147"/>
    <x v="269"/>
    <x v="1"/>
    <x v="33"/>
    <x v="2"/>
    <n v="1"/>
    <n v="354"/>
  </r>
  <r>
    <n v="772"/>
    <x v="120"/>
    <x v="0"/>
    <x v="18"/>
    <x v="2"/>
    <n v="2"/>
    <n v="25"/>
  </r>
  <r>
    <n v="309"/>
    <x v="118"/>
    <x v="0"/>
    <x v="47"/>
    <x v="0"/>
    <n v="1"/>
    <n v="25"/>
  </r>
  <r>
    <n v="1381"/>
    <x v="487"/>
    <x v="1"/>
    <x v="21"/>
    <x v="2"/>
    <n v="7"/>
    <n v="92"/>
  </r>
  <r>
    <n v="946"/>
    <x v="258"/>
    <x v="0"/>
    <x v="35"/>
    <x v="1"/>
    <n v="3"/>
    <n v="25"/>
  </r>
  <r>
    <n v="1390"/>
    <x v="269"/>
    <x v="0"/>
    <x v="28"/>
    <x v="0"/>
    <n v="7"/>
    <n v="232"/>
  </r>
  <r>
    <n v="1143"/>
    <x v="298"/>
    <x v="0"/>
    <x v="41"/>
    <x v="2"/>
    <n v="6"/>
    <n v="130"/>
  </r>
  <r>
    <n v="186"/>
    <x v="622"/>
    <x v="1"/>
    <x v="43"/>
    <x v="2"/>
    <n v="4"/>
    <n v="50"/>
  </r>
  <r>
    <n v="1296"/>
    <x v="623"/>
    <x v="1"/>
    <x v="33"/>
    <x v="1"/>
    <n v="2"/>
    <n v="37"/>
  </r>
  <r>
    <n v="695"/>
    <x v="624"/>
    <x v="1"/>
    <x v="6"/>
    <x v="2"/>
    <n v="1"/>
    <n v="500"/>
  </r>
  <r>
    <n v="614"/>
    <x v="130"/>
    <x v="0"/>
    <x v="30"/>
    <x v="2"/>
    <n v="4"/>
    <n v="25"/>
  </r>
  <r>
    <n v="341"/>
    <x v="251"/>
    <x v="0"/>
    <x v="24"/>
    <x v="2"/>
    <n v="4"/>
    <n v="500"/>
  </r>
  <r>
    <n v="685"/>
    <x v="486"/>
    <x v="0"/>
    <x v="6"/>
    <x v="1"/>
    <n v="1"/>
    <n v="300"/>
  </r>
  <r>
    <n v="471"/>
    <x v="174"/>
    <x v="0"/>
    <x v="36"/>
    <x v="0"/>
    <n v="3"/>
    <n v="300"/>
  </r>
  <r>
    <n v="1045"/>
    <x v="164"/>
    <x v="0"/>
    <x v="24"/>
    <x v="0"/>
    <n v="5"/>
    <n v="449"/>
  </r>
  <r>
    <n v="1216"/>
    <x v="625"/>
    <x v="0"/>
    <x v="0"/>
    <x v="1"/>
    <n v="1"/>
    <n v="142"/>
  </r>
  <r>
    <n v="810"/>
    <x v="495"/>
    <x v="1"/>
    <x v="11"/>
    <x v="1"/>
    <n v="3"/>
    <n v="25"/>
  </r>
  <r>
    <n v="1817"/>
    <x v="469"/>
    <x v="1"/>
    <x v="17"/>
    <x v="1"/>
    <n v="4"/>
    <n v="259"/>
  </r>
  <r>
    <n v="727"/>
    <x v="141"/>
    <x v="1"/>
    <x v="14"/>
    <x v="2"/>
    <n v="4"/>
    <n v="300"/>
  </r>
  <r>
    <n v="1308"/>
    <x v="89"/>
    <x v="0"/>
    <x v="47"/>
    <x v="0"/>
    <n v="5"/>
    <n v="53"/>
  </r>
  <r>
    <n v="530"/>
    <x v="626"/>
    <x v="1"/>
    <x v="34"/>
    <x v="1"/>
    <n v="1"/>
    <n v="500"/>
  </r>
  <r>
    <n v="429"/>
    <x v="627"/>
    <x v="0"/>
    <x v="24"/>
    <x v="1"/>
    <n v="3"/>
    <n v="300"/>
  </r>
  <r>
    <n v="597"/>
    <x v="570"/>
    <x v="1"/>
    <x v="10"/>
    <x v="0"/>
    <n v="4"/>
    <n v="30"/>
  </r>
  <r>
    <n v="698"/>
    <x v="280"/>
    <x v="1"/>
    <x v="44"/>
    <x v="1"/>
    <n v="4"/>
    <n v="500"/>
  </r>
  <r>
    <n v="1162"/>
    <x v="75"/>
    <x v="0"/>
    <x v="21"/>
    <x v="0"/>
    <n v="5"/>
    <n v="377"/>
  </r>
  <r>
    <n v="141"/>
    <x v="320"/>
    <x v="0"/>
    <x v="39"/>
    <x v="1"/>
    <n v="1"/>
    <n v="50"/>
  </r>
  <r>
    <n v="320"/>
    <x v="426"/>
    <x v="0"/>
    <x v="29"/>
    <x v="1"/>
    <n v="2"/>
    <n v="25"/>
  </r>
  <r>
    <n v="1119"/>
    <x v="241"/>
    <x v="0"/>
    <x v="2"/>
    <x v="1"/>
    <n v="4"/>
    <n v="185"/>
  </r>
  <r>
    <n v="254"/>
    <x v="45"/>
    <x v="1"/>
    <x v="38"/>
    <x v="2"/>
    <n v="1"/>
    <n v="30"/>
  </r>
  <r>
    <n v="1516"/>
    <x v="628"/>
    <x v="0"/>
    <x v="19"/>
    <x v="1"/>
    <n v="5"/>
    <n v="45"/>
  </r>
  <r>
    <n v="64"/>
    <x v="490"/>
    <x v="1"/>
    <x v="20"/>
    <x v="2"/>
    <n v="4"/>
    <n v="25"/>
  </r>
  <r>
    <n v="10"/>
    <x v="277"/>
    <x v="0"/>
    <x v="22"/>
    <x v="2"/>
    <n v="4"/>
    <n v="50"/>
  </r>
  <r>
    <n v="967"/>
    <x v="162"/>
    <x v="0"/>
    <x v="18"/>
    <x v="2"/>
    <n v="3"/>
    <n v="300"/>
  </r>
  <r>
    <n v="196"/>
    <x v="384"/>
    <x v="0"/>
    <x v="25"/>
    <x v="2"/>
    <n v="3"/>
    <n v="300"/>
  </r>
  <r>
    <n v="1537"/>
    <x v="404"/>
    <x v="0"/>
    <x v="39"/>
    <x v="1"/>
    <n v="2"/>
    <n v="379"/>
  </r>
  <r>
    <n v="1482"/>
    <x v="455"/>
    <x v="1"/>
    <x v="8"/>
    <x v="1"/>
    <n v="4"/>
    <n v="246"/>
  </r>
  <r>
    <n v="9"/>
    <x v="451"/>
    <x v="1"/>
    <x v="23"/>
    <x v="1"/>
    <n v="2"/>
    <n v="300"/>
  </r>
  <r>
    <n v="1508"/>
    <x v="165"/>
    <x v="1"/>
    <x v="1"/>
    <x v="0"/>
    <n v="1"/>
    <n v="157"/>
  </r>
  <r>
    <n v="287"/>
    <x v="104"/>
    <x v="1"/>
    <x v="47"/>
    <x v="2"/>
    <n v="4"/>
    <n v="30"/>
  </r>
  <r>
    <n v="111"/>
    <x v="162"/>
    <x v="0"/>
    <x v="19"/>
    <x v="1"/>
    <n v="3"/>
    <n v="500"/>
  </r>
  <r>
    <n v="1346"/>
    <x v="428"/>
    <x v="0"/>
    <x v="6"/>
    <x v="0"/>
    <n v="3"/>
    <n v="218"/>
  </r>
  <r>
    <n v="1112"/>
    <x v="629"/>
    <x v="0"/>
    <x v="7"/>
    <x v="0"/>
    <n v="3"/>
    <n v="215"/>
  </r>
  <r>
    <n v="457"/>
    <x v="630"/>
    <x v="0"/>
    <x v="32"/>
    <x v="1"/>
    <n v="4"/>
    <n v="25"/>
  </r>
  <r>
    <n v="850"/>
    <x v="118"/>
    <x v="0"/>
    <x v="13"/>
    <x v="2"/>
    <n v="1"/>
    <n v="300"/>
  </r>
  <r>
    <n v="1493"/>
    <x v="581"/>
    <x v="1"/>
    <x v="38"/>
    <x v="2"/>
    <n v="4"/>
    <n v="438"/>
  </r>
  <r>
    <n v="409"/>
    <x v="44"/>
    <x v="0"/>
    <x v="14"/>
    <x v="2"/>
    <n v="2"/>
    <n v="50"/>
  </r>
  <r>
    <n v="1091"/>
    <x v="263"/>
    <x v="0"/>
    <x v="39"/>
    <x v="0"/>
    <n v="3"/>
    <n v="54"/>
  </r>
  <r>
    <n v="845"/>
    <x v="45"/>
    <x v="0"/>
    <x v="4"/>
    <x v="1"/>
    <n v="4"/>
    <n v="300"/>
  </r>
  <r>
    <n v="119"/>
    <x v="268"/>
    <x v="0"/>
    <x v="21"/>
    <x v="2"/>
    <n v="3"/>
    <n v="50"/>
  </r>
  <r>
    <n v="796"/>
    <x v="276"/>
    <x v="1"/>
    <x v="30"/>
    <x v="2"/>
    <n v="1"/>
    <n v="50"/>
  </r>
  <r>
    <n v="1066"/>
    <x v="621"/>
    <x v="1"/>
    <x v="29"/>
    <x v="1"/>
    <n v="4"/>
    <n v="240"/>
  </r>
  <r>
    <n v="120"/>
    <x v="434"/>
    <x v="1"/>
    <x v="21"/>
    <x v="0"/>
    <n v="1"/>
    <n v="50"/>
  </r>
  <r>
    <n v="738"/>
    <x v="161"/>
    <x v="0"/>
    <x v="26"/>
    <x v="0"/>
    <n v="4"/>
    <n v="50"/>
  </r>
  <r>
    <n v="1251"/>
    <x v="173"/>
    <x v="1"/>
    <x v="15"/>
    <x v="1"/>
    <n v="3"/>
    <n v="292"/>
  </r>
  <r>
    <n v="904"/>
    <x v="618"/>
    <x v="0"/>
    <x v="43"/>
    <x v="2"/>
    <n v="1"/>
    <n v="50"/>
  </r>
  <r>
    <n v="608"/>
    <x v="270"/>
    <x v="0"/>
    <x v="3"/>
    <x v="2"/>
    <n v="2"/>
    <n v="50"/>
  </r>
  <r>
    <n v="1600"/>
    <x v="63"/>
    <x v="0"/>
    <x v="17"/>
    <x v="2"/>
    <n v="1"/>
    <n v="387"/>
  </r>
  <r>
    <n v="1736"/>
    <x v="407"/>
    <x v="0"/>
    <x v="36"/>
    <x v="0"/>
    <n v="6"/>
    <n v="298"/>
  </r>
  <r>
    <n v="1553"/>
    <x v="153"/>
    <x v="0"/>
    <x v="11"/>
    <x v="1"/>
    <n v="6"/>
    <n v="426"/>
  </r>
  <r>
    <n v="1643"/>
    <x v="253"/>
    <x v="1"/>
    <x v="5"/>
    <x v="2"/>
    <n v="1"/>
    <n v="403"/>
  </r>
  <r>
    <n v="1500"/>
    <x v="550"/>
    <x v="1"/>
    <x v="3"/>
    <x v="0"/>
    <n v="2"/>
    <n v="166"/>
  </r>
  <r>
    <n v="1804"/>
    <x v="393"/>
    <x v="1"/>
    <x v="39"/>
    <x v="0"/>
    <n v="1"/>
    <n v="300"/>
  </r>
  <r>
    <n v="1478"/>
    <x v="159"/>
    <x v="0"/>
    <x v="37"/>
    <x v="1"/>
    <n v="3"/>
    <n v="333"/>
  </r>
  <r>
    <n v="1383"/>
    <x v="175"/>
    <x v="0"/>
    <x v="27"/>
    <x v="1"/>
    <n v="6"/>
    <n v="491"/>
  </r>
  <r>
    <n v="476"/>
    <x v="20"/>
    <x v="1"/>
    <x v="24"/>
    <x v="2"/>
    <n v="4"/>
    <n v="30"/>
  </r>
  <r>
    <n v="1799"/>
    <x v="631"/>
    <x v="1"/>
    <x v="21"/>
    <x v="2"/>
    <n v="3"/>
    <n v="187"/>
  </r>
  <r>
    <n v="1992"/>
    <x v="189"/>
    <x v="1"/>
    <x v="26"/>
    <x v="2"/>
    <n v="5"/>
    <n v="90"/>
  </r>
  <r>
    <n v="1777"/>
    <x v="350"/>
    <x v="1"/>
    <x v="34"/>
    <x v="0"/>
    <n v="7"/>
    <n v="206"/>
  </r>
  <r>
    <n v="1866"/>
    <x v="632"/>
    <x v="0"/>
    <x v="37"/>
    <x v="1"/>
    <n v="4"/>
    <n v="448"/>
  </r>
  <r>
    <n v="718"/>
    <x v="104"/>
    <x v="0"/>
    <x v="41"/>
    <x v="0"/>
    <n v="3"/>
    <n v="500"/>
  </r>
  <r>
    <n v="1484"/>
    <x v="67"/>
    <x v="1"/>
    <x v="12"/>
    <x v="2"/>
    <n v="2"/>
    <n v="397"/>
  </r>
  <r>
    <n v="535"/>
    <x v="593"/>
    <x v="0"/>
    <x v="27"/>
    <x v="0"/>
    <n v="4"/>
    <n v="30"/>
  </r>
  <r>
    <n v="761"/>
    <x v="35"/>
    <x v="1"/>
    <x v="19"/>
    <x v="2"/>
    <n v="2"/>
    <n v="25"/>
  </r>
  <r>
    <n v="291"/>
    <x v="47"/>
    <x v="1"/>
    <x v="43"/>
    <x v="0"/>
    <n v="4"/>
    <n v="300"/>
  </r>
  <r>
    <n v="870"/>
    <x v="106"/>
    <x v="0"/>
    <x v="23"/>
    <x v="0"/>
    <n v="3"/>
    <n v="25"/>
  </r>
  <r>
    <n v="1141"/>
    <x v="633"/>
    <x v="0"/>
    <x v="25"/>
    <x v="2"/>
    <n v="1"/>
    <n v="395"/>
  </r>
  <r>
    <n v="1734"/>
    <x v="603"/>
    <x v="1"/>
    <x v="14"/>
    <x v="2"/>
    <n v="6"/>
    <n v="258"/>
  </r>
  <r>
    <n v="1983"/>
    <x v="547"/>
    <x v="0"/>
    <x v="3"/>
    <x v="2"/>
    <n v="2"/>
    <n v="426"/>
  </r>
  <r>
    <n v="1612"/>
    <x v="350"/>
    <x v="0"/>
    <x v="42"/>
    <x v="2"/>
    <n v="5"/>
    <n v="438"/>
  </r>
  <r>
    <n v="954"/>
    <x v="272"/>
    <x v="1"/>
    <x v="17"/>
    <x v="2"/>
    <n v="3"/>
    <n v="500"/>
  </r>
  <r>
    <n v="1827"/>
    <x v="271"/>
    <x v="1"/>
    <x v="46"/>
    <x v="1"/>
    <n v="3"/>
    <n v="480"/>
  </r>
  <r>
    <n v="1454"/>
    <x v="173"/>
    <x v="0"/>
    <x v="37"/>
    <x v="0"/>
    <n v="5"/>
    <n v="41"/>
  </r>
  <r>
    <n v="105"/>
    <x v="634"/>
    <x v="0"/>
    <x v="39"/>
    <x v="1"/>
    <n v="1"/>
    <n v="500"/>
  </r>
  <r>
    <n v="472"/>
    <x v="604"/>
    <x v="1"/>
    <x v="37"/>
    <x v="0"/>
    <n v="1"/>
    <n v="50"/>
  </r>
  <r>
    <n v="1378"/>
    <x v="474"/>
    <x v="0"/>
    <x v="4"/>
    <x v="2"/>
    <n v="4"/>
    <n v="449"/>
  </r>
  <r>
    <n v="200"/>
    <x v="16"/>
    <x v="1"/>
    <x v="42"/>
    <x v="0"/>
    <n v="3"/>
    <n v="50"/>
  </r>
  <r>
    <n v="1974"/>
    <x v="301"/>
    <x v="0"/>
    <x v="8"/>
    <x v="2"/>
    <n v="7"/>
    <n v="360"/>
  </r>
  <r>
    <n v="175"/>
    <x v="127"/>
    <x v="0"/>
    <x v="34"/>
    <x v="1"/>
    <n v="4"/>
    <n v="25"/>
  </r>
  <r>
    <n v="1900"/>
    <x v="635"/>
    <x v="1"/>
    <x v="38"/>
    <x v="2"/>
    <n v="4"/>
    <n v="222"/>
  </r>
  <r>
    <n v="1037"/>
    <x v="636"/>
    <x v="1"/>
    <x v="44"/>
    <x v="2"/>
    <n v="3"/>
    <n v="88"/>
  </r>
  <r>
    <n v="1063"/>
    <x v="89"/>
    <x v="1"/>
    <x v="10"/>
    <x v="1"/>
    <n v="2"/>
    <n v="415"/>
  </r>
  <r>
    <n v="1740"/>
    <x v="119"/>
    <x v="1"/>
    <x v="19"/>
    <x v="1"/>
    <n v="3"/>
    <n v="54"/>
  </r>
  <r>
    <n v="168"/>
    <x v="619"/>
    <x v="1"/>
    <x v="6"/>
    <x v="2"/>
    <n v="1"/>
    <n v="300"/>
  </r>
  <r>
    <n v="259"/>
    <x v="183"/>
    <x v="1"/>
    <x v="47"/>
    <x v="0"/>
    <n v="2"/>
    <n v="30"/>
  </r>
  <r>
    <n v="194"/>
    <x v="249"/>
    <x v="1"/>
    <x v="27"/>
    <x v="2"/>
    <n v="4"/>
    <n v="50"/>
  </r>
  <r>
    <n v="760"/>
    <x v="287"/>
    <x v="0"/>
    <x v="9"/>
    <x v="1"/>
    <n v="2"/>
    <n v="25"/>
  </r>
  <r>
    <n v="858"/>
    <x v="637"/>
    <x v="1"/>
    <x v="23"/>
    <x v="2"/>
    <n v="4"/>
    <n v="50"/>
  </r>
  <r>
    <n v="1401"/>
    <x v="207"/>
    <x v="1"/>
    <x v="13"/>
    <x v="1"/>
    <n v="3"/>
    <n v="99"/>
  </r>
  <r>
    <n v="1758"/>
    <x v="213"/>
    <x v="0"/>
    <x v="34"/>
    <x v="1"/>
    <n v="3"/>
    <n v="191"/>
  </r>
  <r>
    <n v="1149"/>
    <x v="275"/>
    <x v="1"/>
    <x v="7"/>
    <x v="2"/>
    <n v="5"/>
    <n v="295"/>
  </r>
  <r>
    <n v="1173"/>
    <x v="92"/>
    <x v="0"/>
    <x v="41"/>
    <x v="1"/>
    <n v="4"/>
    <n v="12"/>
  </r>
  <r>
    <n v="731"/>
    <x v="331"/>
    <x v="1"/>
    <x v="19"/>
    <x v="0"/>
    <n v="1"/>
    <n v="30"/>
  </r>
  <r>
    <n v="1358"/>
    <x v="610"/>
    <x v="0"/>
    <x v="31"/>
    <x v="1"/>
    <n v="1"/>
    <n v="249"/>
  </r>
  <r>
    <n v="1127"/>
    <x v="2"/>
    <x v="0"/>
    <x v="32"/>
    <x v="0"/>
    <n v="4"/>
    <n v="485"/>
  </r>
  <r>
    <n v="1261"/>
    <x v="638"/>
    <x v="1"/>
    <x v="15"/>
    <x v="2"/>
    <n v="2"/>
    <n v="384"/>
  </r>
  <r>
    <n v="865"/>
    <x v="254"/>
    <x v="1"/>
    <x v="5"/>
    <x v="1"/>
    <n v="1"/>
    <n v="500"/>
  </r>
  <r>
    <n v="732"/>
    <x v="456"/>
    <x v="0"/>
    <x v="42"/>
    <x v="2"/>
    <n v="1"/>
    <n v="30"/>
  </r>
  <r>
    <n v="884"/>
    <x v="18"/>
    <x v="1"/>
    <x v="10"/>
    <x v="1"/>
    <n v="3"/>
    <n v="300"/>
  </r>
  <r>
    <n v="1871"/>
    <x v="639"/>
    <x v="0"/>
    <x v="23"/>
    <x v="1"/>
    <n v="5"/>
    <n v="388"/>
  </r>
  <r>
    <n v="1654"/>
    <x v="587"/>
    <x v="1"/>
    <x v="35"/>
    <x v="2"/>
    <n v="1"/>
    <n v="496"/>
  </r>
  <r>
    <n v="217"/>
    <x v="180"/>
    <x v="1"/>
    <x v="37"/>
    <x v="0"/>
    <n v="3"/>
    <n v="30"/>
  </r>
  <r>
    <n v="1227"/>
    <x v="2"/>
    <x v="1"/>
    <x v="3"/>
    <x v="0"/>
    <n v="7"/>
    <n v="242"/>
  </r>
  <r>
    <n v="20"/>
    <x v="620"/>
    <x v="1"/>
    <x v="39"/>
    <x v="2"/>
    <n v="3"/>
    <n v="300"/>
  </r>
  <r>
    <n v="529"/>
    <x v="161"/>
    <x v="0"/>
    <x v="4"/>
    <x v="1"/>
    <n v="4"/>
    <n v="30"/>
  </r>
  <r>
    <n v="970"/>
    <x v="438"/>
    <x v="1"/>
    <x v="20"/>
    <x v="0"/>
    <n v="4"/>
    <n v="25"/>
  </r>
  <r>
    <n v="1772"/>
    <x v="178"/>
    <x v="1"/>
    <x v="7"/>
    <x v="2"/>
    <n v="6"/>
    <n v="336"/>
  </r>
  <r>
    <n v="1072"/>
    <x v="631"/>
    <x v="0"/>
    <x v="24"/>
    <x v="0"/>
    <n v="3"/>
    <n v="210"/>
  </r>
  <r>
    <n v="601"/>
    <x v="130"/>
    <x v="0"/>
    <x v="43"/>
    <x v="1"/>
    <n v="1"/>
    <n v="300"/>
  </r>
  <r>
    <n v="932"/>
    <x v="634"/>
    <x v="1"/>
    <x v="17"/>
    <x v="0"/>
    <n v="1"/>
    <n v="500"/>
  </r>
  <r>
    <n v="261"/>
    <x v="615"/>
    <x v="0"/>
    <x v="25"/>
    <x v="0"/>
    <n v="4"/>
    <n v="30"/>
  </r>
  <r>
    <n v="197"/>
    <x v="440"/>
    <x v="0"/>
    <x v="33"/>
    <x v="2"/>
    <n v="4"/>
    <n v="50"/>
  </r>
  <r>
    <n v="1770"/>
    <x v="221"/>
    <x v="0"/>
    <x v="18"/>
    <x v="2"/>
    <n v="7"/>
    <n v="392"/>
  </r>
  <r>
    <n v="156"/>
    <x v="116"/>
    <x v="0"/>
    <x v="24"/>
    <x v="2"/>
    <n v="4"/>
    <n v="25"/>
  </r>
  <r>
    <n v="1170"/>
    <x v="363"/>
    <x v="1"/>
    <x v="16"/>
    <x v="0"/>
    <n v="5"/>
    <n v="112"/>
  </r>
  <r>
    <n v="132"/>
    <x v="640"/>
    <x v="1"/>
    <x v="33"/>
    <x v="1"/>
    <n v="4"/>
    <n v="50"/>
  </r>
  <r>
    <n v="638"/>
    <x v="641"/>
    <x v="0"/>
    <x v="1"/>
    <x v="0"/>
    <n v="4"/>
    <n v="50"/>
  </r>
  <r>
    <n v="1581"/>
    <x v="465"/>
    <x v="0"/>
    <x v="22"/>
    <x v="0"/>
    <n v="4"/>
    <n v="499"/>
  </r>
  <r>
    <n v="1330"/>
    <x v="407"/>
    <x v="0"/>
    <x v="4"/>
    <x v="1"/>
    <n v="5"/>
    <n v="442"/>
  </r>
  <r>
    <n v="603"/>
    <x v="467"/>
    <x v="0"/>
    <x v="14"/>
    <x v="1"/>
    <n v="4"/>
    <n v="50"/>
  </r>
  <r>
    <n v="1605"/>
    <x v="315"/>
    <x v="0"/>
    <x v="10"/>
    <x v="1"/>
    <n v="3"/>
    <n v="281"/>
  </r>
  <r>
    <n v="73"/>
    <x v="101"/>
    <x v="1"/>
    <x v="14"/>
    <x v="1"/>
    <n v="3"/>
    <n v="30"/>
  </r>
  <r>
    <n v="737"/>
    <x v="261"/>
    <x v="1"/>
    <x v="44"/>
    <x v="0"/>
    <n v="1"/>
    <n v="25"/>
  </r>
  <r>
    <n v="1191"/>
    <x v="182"/>
    <x v="1"/>
    <x v="20"/>
    <x v="0"/>
    <n v="3"/>
    <n v="461"/>
  </r>
  <r>
    <n v="793"/>
    <x v="563"/>
    <x v="1"/>
    <x v="15"/>
    <x v="1"/>
    <n v="1"/>
    <n v="300"/>
  </r>
  <r>
    <n v="253"/>
    <x v="352"/>
    <x v="1"/>
    <x v="13"/>
    <x v="1"/>
    <n v="1"/>
    <n v="500"/>
  </r>
  <r>
    <n v="1910"/>
    <x v="269"/>
    <x v="0"/>
    <x v="0"/>
    <x v="1"/>
    <n v="6"/>
    <n v="80"/>
  </r>
  <r>
    <n v="232"/>
    <x v="372"/>
    <x v="0"/>
    <x v="16"/>
    <x v="0"/>
    <n v="2"/>
    <n v="300"/>
  </r>
  <r>
    <n v="491"/>
    <x v="642"/>
    <x v="1"/>
    <x v="30"/>
    <x v="0"/>
    <n v="4"/>
    <n v="25"/>
  </r>
  <r>
    <n v="290"/>
    <x v="643"/>
    <x v="1"/>
    <x v="21"/>
    <x v="2"/>
    <n v="2"/>
    <n v="300"/>
  </r>
  <r>
    <n v="956"/>
    <x v="17"/>
    <x v="1"/>
    <x v="1"/>
    <x v="1"/>
    <n v="2"/>
    <n v="25"/>
  </r>
  <r>
    <n v="690"/>
    <x v="446"/>
    <x v="0"/>
    <x v="37"/>
    <x v="2"/>
    <n v="2"/>
    <n v="50"/>
  </r>
  <r>
    <n v="189"/>
    <x v="319"/>
    <x v="1"/>
    <x v="23"/>
    <x v="0"/>
    <n v="1"/>
    <n v="50"/>
  </r>
  <r>
    <n v="682"/>
    <x v="303"/>
    <x v="0"/>
    <x v="47"/>
    <x v="2"/>
    <n v="2"/>
    <n v="500"/>
  </r>
  <r>
    <n v="313"/>
    <x v="45"/>
    <x v="1"/>
    <x v="22"/>
    <x v="2"/>
    <n v="4"/>
    <n v="30"/>
  </r>
  <r>
    <n v="1109"/>
    <x v="76"/>
    <x v="0"/>
    <x v="36"/>
    <x v="1"/>
    <n v="1"/>
    <n v="114"/>
  </r>
  <r>
    <n v="723"/>
    <x v="101"/>
    <x v="1"/>
    <x v="30"/>
    <x v="1"/>
    <n v="1"/>
    <n v="300"/>
  </r>
  <r>
    <n v="482"/>
    <x v="204"/>
    <x v="1"/>
    <x v="27"/>
    <x v="2"/>
    <n v="1"/>
    <n v="30"/>
  </r>
  <r>
    <n v="1630"/>
    <x v="583"/>
    <x v="1"/>
    <x v="13"/>
    <x v="0"/>
    <n v="1"/>
    <n v="384"/>
  </r>
  <r>
    <n v="1761"/>
    <x v="334"/>
    <x v="1"/>
    <x v="11"/>
    <x v="2"/>
    <n v="6"/>
    <n v="406"/>
  </r>
  <r>
    <n v="136"/>
    <x v="127"/>
    <x v="1"/>
    <x v="12"/>
    <x v="1"/>
    <n v="2"/>
    <n v="300"/>
  </r>
  <r>
    <n v="1049"/>
    <x v="80"/>
    <x v="1"/>
    <x v="43"/>
    <x v="0"/>
    <n v="5"/>
    <n v="270"/>
  </r>
  <r>
    <n v="1902"/>
    <x v="153"/>
    <x v="0"/>
    <x v="26"/>
    <x v="2"/>
    <n v="5"/>
    <n v="209"/>
  </r>
  <r>
    <n v="1519"/>
    <x v="234"/>
    <x v="1"/>
    <x v="19"/>
    <x v="0"/>
    <n v="2"/>
    <n v="149"/>
  </r>
  <r>
    <n v="711"/>
    <x v="500"/>
    <x v="1"/>
    <x v="19"/>
    <x v="0"/>
    <n v="3"/>
    <n v="25"/>
  </r>
  <r>
    <n v="1122"/>
    <x v="360"/>
    <x v="1"/>
    <x v="37"/>
    <x v="2"/>
    <n v="1"/>
    <n v="197"/>
  </r>
  <r>
    <n v="1786"/>
    <x v="288"/>
    <x v="1"/>
    <x v="21"/>
    <x v="2"/>
    <n v="6"/>
    <n v="410"/>
  </r>
  <r>
    <n v="835"/>
    <x v="183"/>
    <x v="1"/>
    <x v="4"/>
    <x v="0"/>
    <n v="3"/>
    <n v="30"/>
  </r>
  <r>
    <n v="923"/>
    <x v="644"/>
    <x v="1"/>
    <x v="26"/>
    <x v="1"/>
    <n v="1"/>
    <n v="300"/>
  </r>
  <r>
    <n v="1394"/>
    <x v="590"/>
    <x v="0"/>
    <x v="26"/>
    <x v="0"/>
    <n v="4"/>
    <n v="36"/>
  </r>
  <r>
    <n v="637"/>
    <x v="272"/>
    <x v="1"/>
    <x v="28"/>
    <x v="1"/>
    <n v="1"/>
    <n v="500"/>
  </r>
  <r>
    <n v="1685"/>
    <x v="290"/>
    <x v="1"/>
    <x v="7"/>
    <x v="1"/>
    <n v="3"/>
    <n v="178"/>
  </r>
  <r>
    <n v="1006"/>
    <x v="513"/>
    <x v="1"/>
    <x v="26"/>
    <x v="1"/>
    <n v="3"/>
    <n v="485"/>
  </r>
  <r>
    <n v="474"/>
    <x v="501"/>
    <x v="1"/>
    <x v="29"/>
    <x v="2"/>
    <n v="3"/>
    <n v="25"/>
  </r>
  <r>
    <n v="1907"/>
    <x v="537"/>
    <x v="1"/>
    <x v="22"/>
    <x v="1"/>
    <n v="1"/>
    <n v="249"/>
  </r>
  <r>
    <n v="1207"/>
    <x v="40"/>
    <x v="0"/>
    <x v="44"/>
    <x v="1"/>
    <n v="5"/>
    <n v="368"/>
  </r>
  <r>
    <n v="355"/>
    <x v="426"/>
    <x v="1"/>
    <x v="40"/>
    <x v="1"/>
    <n v="3"/>
    <n v="500"/>
  </r>
  <r>
    <n v="21"/>
    <x v="500"/>
    <x v="0"/>
    <x v="40"/>
    <x v="0"/>
    <n v="1"/>
    <n v="500"/>
  </r>
  <r>
    <n v="1310"/>
    <x v="252"/>
    <x v="0"/>
    <x v="46"/>
    <x v="0"/>
    <n v="3"/>
    <n v="428"/>
  </r>
  <r>
    <n v="1848"/>
    <x v="607"/>
    <x v="0"/>
    <x v="43"/>
    <x v="2"/>
    <n v="1"/>
    <n v="135"/>
  </r>
  <r>
    <n v="1771"/>
    <x v="53"/>
    <x v="0"/>
    <x v="7"/>
    <x v="1"/>
    <n v="6"/>
    <n v="23"/>
  </r>
  <r>
    <n v="467"/>
    <x v="280"/>
    <x v="1"/>
    <x v="18"/>
    <x v="1"/>
    <n v="1"/>
    <n v="25"/>
  </r>
  <r>
    <n v="279"/>
    <x v="645"/>
    <x v="0"/>
    <x v="10"/>
    <x v="2"/>
    <n v="3"/>
    <n v="500"/>
  </r>
  <r>
    <n v="974"/>
    <x v="223"/>
    <x v="0"/>
    <x v="38"/>
    <x v="0"/>
    <n v="2"/>
    <n v="300"/>
  </r>
  <r>
    <n v="1276"/>
    <x v="11"/>
    <x v="1"/>
    <x v="0"/>
    <x v="2"/>
    <n v="4"/>
    <n v="165"/>
  </r>
  <r>
    <n v="479"/>
    <x v="642"/>
    <x v="0"/>
    <x v="33"/>
    <x v="0"/>
    <n v="4"/>
    <n v="500"/>
  </r>
  <r>
    <n v="81"/>
    <x v="459"/>
    <x v="1"/>
    <x v="18"/>
    <x v="1"/>
    <n v="1"/>
    <n v="50"/>
  </r>
  <r>
    <n v="95"/>
    <x v="237"/>
    <x v="0"/>
    <x v="25"/>
    <x v="2"/>
    <n v="2"/>
    <n v="30"/>
  </r>
  <r>
    <n v="1514"/>
    <x v="502"/>
    <x v="0"/>
    <x v="20"/>
    <x v="2"/>
    <n v="2"/>
    <n v="351"/>
  </r>
  <r>
    <n v="1199"/>
    <x v="505"/>
    <x v="1"/>
    <x v="17"/>
    <x v="1"/>
    <n v="3"/>
    <n v="189"/>
  </r>
  <r>
    <n v="351"/>
    <x v="172"/>
    <x v="1"/>
    <x v="15"/>
    <x v="1"/>
    <n v="2"/>
    <n v="500"/>
  </r>
  <r>
    <n v="1546"/>
    <x v="379"/>
    <x v="0"/>
    <x v="3"/>
    <x v="0"/>
    <n v="5"/>
    <n v="415"/>
  </r>
  <r>
    <n v="905"/>
    <x v="643"/>
    <x v="0"/>
    <x v="46"/>
    <x v="1"/>
    <n v="1"/>
    <n v="25"/>
  </r>
  <r>
    <n v="365"/>
    <x v="338"/>
    <x v="1"/>
    <x v="15"/>
    <x v="2"/>
    <n v="2"/>
    <n v="50"/>
  </r>
  <r>
    <n v="1140"/>
    <x v="458"/>
    <x v="1"/>
    <x v="24"/>
    <x v="1"/>
    <n v="1"/>
    <n v="310"/>
  </r>
  <r>
    <n v="1126"/>
    <x v="224"/>
    <x v="1"/>
    <x v="9"/>
    <x v="0"/>
    <n v="2"/>
    <n v="231"/>
  </r>
  <r>
    <n v="585"/>
    <x v="539"/>
    <x v="1"/>
    <x v="40"/>
    <x v="1"/>
    <n v="1"/>
    <n v="50"/>
  </r>
  <r>
    <n v="877"/>
    <x v="174"/>
    <x v="1"/>
    <x v="35"/>
    <x v="2"/>
    <n v="1"/>
    <n v="30"/>
  </r>
  <r>
    <n v="1318"/>
    <x v="229"/>
    <x v="0"/>
    <x v="19"/>
    <x v="1"/>
    <n v="6"/>
    <n v="396"/>
  </r>
  <r>
    <n v="325"/>
    <x v="646"/>
    <x v="0"/>
    <x v="4"/>
    <x v="2"/>
    <n v="3"/>
    <n v="25"/>
  </r>
  <r>
    <n v="721"/>
    <x v="647"/>
    <x v="0"/>
    <x v="2"/>
    <x v="0"/>
    <n v="4"/>
    <n v="50"/>
  </r>
  <r>
    <n v="1272"/>
    <x v="502"/>
    <x v="1"/>
    <x v="3"/>
    <x v="2"/>
    <n v="4"/>
    <n v="405"/>
  </r>
  <r>
    <n v="285"/>
    <x v="506"/>
    <x v="1"/>
    <x v="27"/>
    <x v="1"/>
    <n v="2"/>
    <n v="25"/>
  </r>
  <r>
    <n v="1988"/>
    <x v="136"/>
    <x v="0"/>
    <x v="4"/>
    <x v="1"/>
    <n v="7"/>
    <n v="344"/>
  </r>
  <r>
    <n v="1825"/>
    <x v="263"/>
    <x v="1"/>
    <x v="47"/>
    <x v="0"/>
    <n v="1"/>
    <n v="399"/>
  </r>
  <r>
    <n v="1165"/>
    <x v="363"/>
    <x v="0"/>
    <x v="7"/>
    <x v="2"/>
    <n v="6"/>
    <n v="430"/>
  </r>
  <r>
    <n v="984"/>
    <x v="66"/>
    <x v="0"/>
    <x v="20"/>
    <x v="2"/>
    <n v="2"/>
    <n v="500"/>
  </r>
  <r>
    <n v="393"/>
    <x v="5"/>
    <x v="0"/>
    <x v="42"/>
    <x v="2"/>
    <n v="1"/>
    <n v="500"/>
  </r>
  <r>
    <n v="1314"/>
    <x v="373"/>
    <x v="1"/>
    <x v="32"/>
    <x v="1"/>
    <n v="2"/>
    <n v="132"/>
  </r>
  <r>
    <n v="498"/>
    <x v="624"/>
    <x v="1"/>
    <x v="28"/>
    <x v="0"/>
    <n v="2"/>
    <n v="30"/>
  </r>
  <r>
    <n v="48"/>
    <x v="154"/>
    <x v="1"/>
    <x v="2"/>
    <x v="1"/>
    <n v="3"/>
    <n v="300"/>
  </r>
  <r>
    <n v="966"/>
    <x v="132"/>
    <x v="0"/>
    <x v="38"/>
    <x v="2"/>
    <n v="3"/>
    <n v="300"/>
  </r>
  <r>
    <n v="800"/>
    <x v="622"/>
    <x v="0"/>
    <x v="28"/>
    <x v="0"/>
    <n v="1"/>
    <n v="30"/>
  </r>
  <r>
    <n v="1033"/>
    <x v="11"/>
    <x v="0"/>
    <x v="38"/>
    <x v="0"/>
    <n v="3"/>
    <n v="436"/>
  </r>
  <r>
    <n v="1751"/>
    <x v="648"/>
    <x v="0"/>
    <x v="1"/>
    <x v="2"/>
    <n v="3"/>
    <n v="227"/>
  </r>
  <r>
    <n v="1077"/>
    <x v="186"/>
    <x v="1"/>
    <x v="21"/>
    <x v="0"/>
    <n v="4"/>
    <n v="121"/>
  </r>
  <r>
    <n v="1"/>
    <x v="237"/>
    <x v="1"/>
    <x v="19"/>
    <x v="0"/>
    <n v="3"/>
    <n v="50"/>
  </r>
  <r>
    <n v="1455"/>
    <x v="39"/>
    <x v="0"/>
    <x v="47"/>
    <x v="1"/>
    <n v="4"/>
    <n v="163"/>
  </r>
  <r>
    <n v="925"/>
    <x v="569"/>
    <x v="1"/>
    <x v="24"/>
    <x v="1"/>
    <n v="4"/>
    <n v="500"/>
  </r>
  <r>
    <n v="24"/>
    <x v="261"/>
    <x v="0"/>
    <x v="20"/>
    <x v="2"/>
    <n v="1"/>
    <n v="300"/>
  </r>
  <r>
    <n v="1366"/>
    <x v="418"/>
    <x v="1"/>
    <x v="4"/>
    <x v="1"/>
    <n v="7"/>
    <n v="31"/>
  </r>
  <r>
    <n v="1922"/>
    <x v="649"/>
    <x v="1"/>
    <x v="37"/>
    <x v="1"/>
    <n v="1"/>
    <n v="270"/>
  </r>
  <r>
    <n v="1750"/>
    <x v="111"/>
    <x v="0"/>
    <x v="26"/>
    <x v="1"/>
    <n v="4"/>
    <n v="161"/>
  </r>
  <r>
    <n v="1870"/>
    <x v="327"/>
    <x v="1"/>
    <x v="10"/>
    <x v="0"/>
    <n v="4"/>
    <n v="18"/>
  </r>
  <r>
    <n v="1551"/>
    <x v="613"/>
    <x v="0"/>
    <x v="6"/>
    <x v="0"/>
    <n v="6"/>
    <n v="240"/>
  </r>
  <r>
    <n v="1410"/>
    <x v="188"/>
    <x v="0"/>
    <x v="46"/>
    <x v="0"/>
    <n v="4"/>
    <n v="50"/>
  </r>
  <r>
    <n v="112"/>
    <x v="562"/>
    <x v="1"/>
    <x v="10"/>
    <x v="2"/>
    <n v="3"/>
    <n v="500"/>
  </r>
  <r>
    <n v="814"/>
    <x v="460"/>
    <x v="1"/>
    <x v="3"/>
    <x v="0"/>
    <n v="2"/>
    <n v="500"/>
  </r>
  <r>
    <n v="757"/>
    <x v="650"/>
    <x v="1"/>
    <x v="20"/>
    <x v="1"/>
    <n v="2"/>
    <n v="50"/>
  </r>
  <r>
    <n v="195"/>
    <x v="161"/>
    <x v="1"/>
    <x v="22"/>
    <x v="2"/>
    <n v="1"/>
    <n v="30"/>
  </r>
  <r>
    <n v="400"/>
    <x v="106"/>
    <x v="0"/>
    <x v="1"/>
    <x v="2"/>
    <n v="1"/>
    <n v="300"/>
  </r>
  <r>
    <n v="371"/>
    <x v="338"/>
    <x v="0"/>
    <x v="9"/>
    <x v="0"/>
    <n v="3"/>
    <n v="500"/>
  </r>
  <r>
    <n v="1726"/>
    <x v="379"/>
    <x v="0"/>
    <x v="30"/>
    <x v="2"/>
    <n v="2"/>
    <n v="13"/>
  </r>
  <r>
    <n v="1139"/>
    <x v="298"/>
    <x v="0"/>
    <x v="40"/>
    <x v="1"/>
    <n v="6"/>
    <n v="112"/>
  </r>
  <r>
    <n v="1944"/>
    <x v="155"/>
    <x v="0"/>
    <x v="10"/>
    <x v="1"/>
    <n v="2"/>
    <n v="304"/>
  </r>
  <r>
    <n v="1336"/>
    <x v="427"/>
    <x v="0"/>
    <x v="1"/>
    <x v="1"/>
    <n v="2"/>
    <n v="432"/>
  </r>
  <r>
    <n v="376"/>
    <x v="605"/>
    <x v="0"/>
    <x v="28"/>
    <x v="2"/>
    <n v="4"/>
    <n v="50"/>
  </r>
  <r>
    <n v="1985"/>
    <x v="152"/>
    <x v="0"/>
    <x v="35"/>
    <x v="1"/>
    <n v="7"/>
    <n v="104"/>
  </r>
  <r>
    <n v="1636"/>
    <x v="482"/>
    <x v="0"/>
    <x v="13"/>
    <x v="0"/>
    <n v="3"/>
    <n v="331"/>
  </r>
  <r>
    <n v="382"/>
    <x v="51"/>
    <x v="0"/>
    <x v="28"/>
    <x v="0"/>
    <n v="3"/>
    <n v="30"/>
  </r>
  <r>
    <n v="209"/>
    <x v="129"/>
    <x v="0"/>
    <x v="17"/>
    <x v="1"/>
    <n v="4"/>
    <n v="50"/>
  </r>
  <r>
    <n v="851"/>
    <x v="193"/>
    <x v="1"/>
    <x v="5"/>
    <x v="0"/>
    <n v="2"/>
    <n v="500"/>
  </r>
  <r>
    <n v="404"/>
    <x v="651"/>
    <x v="0"/>
    <x v="26"/>
    <x v="2"/>
    <n v="4"/>
    <n v="300"/>
  </r>
  <r>
    <n v="1943"/>
    <x v="652"/>
    <x v="1"/>
    <x v="1"/>
    <x v="0"/>
    <n v="7"/>
    <n v="186"/>
  </r>
  <r>
    <n v="632"/>
    <x v="627"/>
    <x v="1"/>
    <x v="32"/>
    <x v="0"/>
    <n v="4"/>
    <n v="30"/>
  </r>
  <r>
    <n v="1555"/>
    <x v="653"/>
    <x v="0"/>
    <x v="3"/>
    <x v="2"/>
    <n v="1"/>
    <n v="207"/>
  </r>
  <r>
    <n v="651"/>
    <x v="77"/>
    <x v="1"/>
    <x v="2"/>
    <x v="2"/>
    <n v="3"/>
    <n v="25"/>
  </r>
  <r>
    <n v="1205"/>
    <x v="76"/>
    <x v="0"/>
    <x v="29"/>
    <x v="0"/>
    <n v="7"/>
    <n v="366"/>
  </r>
  <r>
    <n v="1104"/>
    <x v="571"/>
    <x v="0"/>
    <x v="40"/>
    <x v="2"/>
    <n v="7"/>
    <n v="90"/>
  </r>
  <r>
    <n v="1898"/>
    <x v="527"/>
    <x v="0"/>
    <x v="34"/>
    <x v="0"/>
    <n v="2"/>
    <n v="298"/>
  </r>
  <r>
    <n v="709"/>
    <x v="199"/>
    <x v="1"/>
    <x v="29"/>
    <x v="1"/>
    <n v="3"/>
    <n v="500"/>
  </r>
  <r>
    <n v="734"/>
    <x v="255"/>
    <x v="1"/>
    <x v="14"/>
    <x v="2"/>
    <n v="4"/>
    <n v="25"/>
  </r>
  <r>
    <n v="1796"/>
    <x v="591"/>
    <x v="1"/>
    <x v="7"/>
    <x v="2"/>
    <n v="2"/>
    <n v="231"/>
  </r>
  <r>
    <n v="426"/>
    <x v="273"/>
    <x v="1"/>
    <x v="26"/>
    <x v="1"/>
    <n v="1"/>
    <n v="25"/>
  </r>
  <r>
    <n v="982"/>
    <x v="331"/>
    <x v="1"/>
    <x v="41"/>
    <x v="2"/>
    <n v="1"/>
    <n v="500"/>
  </r>
  <r>
    <n v="728"/>
    <x v="276"/>
    <x v="0"/>
    <x v="44"/>
    <x v="2"/>
    <n v="2"/>
    <n v="25"/>
  </r>
  <r>
    <n v="1439"/>
    <x v="339"/>
    <x v="0"/>
    <x v="35"/>
    <x v="2"/>
    <n v="3"/>
    <n v="377"/>
  </r>
  <r>
    <n v="418"/>
    <x v="235"/>
    <x v="0"/>
    <x v="12"/>
    <x v="2"/>
    <n v="3"/>
    <n v="30"/>
  </r>
  <r>
    <n v="817"/>
    <x v="447"/>
    <x v="0"/>
    <x v="7"/>
    <x v="0"/>
    <n v="2"/>
    <n v="50"/>
  </r>
  <r>
    <n v="1901"/>
    <x v="416"/>
    <x v="1"/>
    <x v="22"/>
    <x v="0"/>
    <n v="3"/>
    <n v="298"/>
  </r>
  <r>
    <n v="1890"/>
    <x v="383"/>
    <x v="1"/>
    <x v="23"/>
    <x v="1"/>
    <n v="5"/>
    <n v="467"/>
  </r>
  <r>
    <n v="1098"/>
    <x v="654"/>
    <x v="1"/>
    <x v="42"/>
    <x v="1"/>
    <n v="6"/>
    <n v="96"/>
  </r>
  <r>
    <n v="1833"/>
    <x v="73"/>
    <x v="1"/>
    <x v="45"/>
    <x v="0"/>
    <n v="4"/>
    <n v="24"/>
  </r>
  <r>
    <n v="1589"/>
    <x v="478"/>
    <x v="0"/>
    <x v="2"/>
    <x v="0"/>
    <n v="7"/>
    <n v="320"/>
  </r>
  <r>
    <n v="1899"/>
    <x v="169"/>
    <x v="0"/>
    <x v="6"/>
    <x v="0"/>
    <n v="2"/>
    <n v="70"/>
  </r>
  <r>
    <n v="789"/>
    <x v="217"/>
    <x v="0"/>
    <x v="16"/>
    <x v="0"/>
    <n v="1"/>
    <n v="25"/>
  </r>
  <r>
    <n v="1536"/>
    <x v="466"/>
    <x v="1"/>
    <x v="12"/>
    <x v="0"/>
    <n v="3"/>
    <n v="108"/>
  </r>
  <r>
    <n v="334"/>
    <x v="655"/>
    <x v="0"/>
    <x v="3"/>
    <x v="0"/>
    <n v="4"/>
    <n v="30"/>
  </r>
  <r>
    <n v="275"/>
    <x v="292"/>
    <x v="0"/>
    <x v="5"/>
    <x v="0"/>
    <n v="4"/>
    <n v="25"/>
  </r>
  <r>
    <n v="1543"/>
    <x v="269"/>
    <x v="0"/>
    <x v="42"/>
    <x v="1"/>
    <n v="1"/>
    <n v="204"/>
  </r>
  <r>
    <n v="602"/>
    <x v="12"/>
    <x v="0"/>
    <x v="18"/>
    <x v="2"/>
    <n v="3"/>
    <n v="30"/>
  </r>
  <r>
    <n v="468"/>
    <x v="208"/>
    <x v="1"/>
    <x v="4"/>
    <x v="0"/>
    <n v="3"/>
    <n v="25"/>
  </r>
  <r>
    <n v="894"/>
    <x v="113"/>
    <x v="0"/>
    <x v="17"/>
    <x v="1"/>
    <n v="2"/>
    <n v="25"/>
  </r>
  <r>
    <n v="1533"/>
    <x v="408"/>
    <x v="0"/>
    <x v="33"/>
    <x v="0"/>
    <n v="4"/>
    <n v="129"/>
  </r>
  <r>
    <n v="1878"/>
    <x v="159"/>
    <x v="0"/>
    <x v="20"/>
    <x v="1"/>
    <n v="6"/>
    <n v="496"/>
  </r>
  <r>
    <n v="1480"/>
    <x v="603"/>
    <x v="1"/>
    <x v="10"/>
    <x v="2"/>
    <n v="7"/>
    <n v="370"/>
  </r>
  <r>
    <n v="215"/>
    <x v="656"/>
    <x v="1"/>
    <x v="1"/>
    <x v="1"/>
    <n v="2"/>
    <n v="50"/>
  </r>
  <r>
    <n v="1513"/>
    <x v="267"/>
    <x v="1"/>
    <x v="20"/>
    <x v="0"/>
    <n v="1"/>
    <n v="151"/>
  </r>
  <r>
    <n v="1588"/>
    <x v="198"/>
    <x v="1"/>
    <x v="31"/>
    <x v="1"/>
    <n v="6"/>
    <n v="252"/>
  </r>
  <r>
    <n v="170"/>
    <x v="17"/>
    <x v="0"/>
    <x v="26"/>
    <x v="2"/>
    <n v="2"/>
    <n v="25"/>
  </r>
  <r>
    <n v="744"/>
    <x v="156"/>
    <x v="0"/>
    <x v="31"/>
    <x v="2"/>
    <n v="3"/>
    <n v="30"/>
  </r>
  <r>
    <n v="108"/>
    <x v="162"/>
    <x v="0"/>
    <x v="42"/>
    <x v="0"/>
    <n v="3"/>
    <n v="25"/>
  </r>
  <r>
    <n v="558"/>
    <x v="351"/>
    <x v="0"/>
    <x v="18"/>
    <x v="2"/>
    <n v="4"/>
    <n v="300"/>
  </r>
  <r>
    <n v="1075"/>
    <x v="474"/>
    <x v="0"/>
    <x v="6"/>
    <x v="2"/>
    <n v="2"/>
    <n v="352"/>
  </r>
  <r>
    <n v="346"/>
    <x v="486"/>
    <x v="1"/>
    <x v="33"/>
    <x v="1"/>
    <n v="1"/>
    <n v="25"/>
  </r>
  <r>
    <n v="1951"/>
    <x v="263"/>
    <x v="1"/>
    <x v="43"/>
    <x v="2"/>
    <n v="7"/>
    <n v="394"/>
  </r>
  <r>
    <n v="1557"/>
    <x v="493"/>
    <x v="0"/>
    <x v="27"/>
    <x v="1"/>
    <n v="2"/>
    <n v="211"/>
  </r>
  <r>
    <n v="962"/>
    <x v="556"/>
    <x v="1"/>
    <x v="9"/>
    <x v="2"/>
    <n v="3"/>
    <n v="300"/>
  </r>
  <r>
    <n v="1425"/>
    <x v="472"/>
    <x v="0"/>
    <x v="15"/>
    <x v="1"/>
    <n v="3"/>
    <n v="30"/>
  </r>
  <r>
    <n v="328"/>
    <x v="319"/>
    <x v="0"/>
    <x v="28"/>
    <x v="1"/>
    <n v="4"/>
    <n v="25"/>
  </r>
  <r>
    <n v="501"/>
    <x v="302"/>
    <x v="1"/>
    <x v="24"/>
    <x v="1"/>
    <n v="3"/>
    <n v="50"/>
  </r>
  <r>
    <n v="1585"/>
    <x v="117"/>
    <x v="1"/>
    <x v="13"/>
    <x v="1"/>
    <n v="7"/>
    <n v="186"/>
  </r>
  <r>
    <n v="1535"/>
    <x v="363"/>
    <x v="1"/>
    <x v="34"/>
    <x v="2"/>
    <n v="2"/>
    <n v="281"/>
  </r>
  <r>
    <n v="89"/>
    <x v="262"/>
    <x v="0"/>
    <x v="27"/>
    <x v="1"/>
    <n v="4"/>
    <n v="500"/>
  </r>
  <r>
    <n v="145"/>
    <x v="320"/>
    <x v="0"/>
    <x v="32"/>
    <x v="2"/>
    <n v="3"/>
    <n v="25"/>
  </r>
  <r>
    <n v="1436"/>
    <x v="474"/>
    <x v="1"/>
    <x v="14"/>
    <x v="2"/>
    <n v="7"/>
    <n v="466"/>
  </r>
  <r>
    <n v="1213"/>
    <x v="97"/>
    <x v="1"/>
    <x v="41"/>
    <x v="1"/>
    <n v="2"/>
    <n v="264"/>
  </r>
  <r>
    <n v="1086"/>
    <x v="657"/>
    <x v="1"/>
    <x v="35"/>
    <x v="2"/>
    <n v="4"/>
    <n v="198"/>
  </r>
  <r>
    <n v="1936"/>
    <x v="638"/>
    <x v="0"/>
    <x v="7"/>
    <x v="1"/>
    <n v="3"/>
    <n v="212"/>
  </r>
  <r>
    <n v="1565"/>
    <x v="29"/>
    <x v="0"/>
    <x v="4"/>
    <x v="1"/>
    <n v="1"/>
    <n v="477"/>
  </r>
  <r>
    <n v="1467"/>
    <x v="387"/>
    <x v="0"/>
    <x v="4"/>
    <x v="2"/>
    <n v="2"/>
    <n v="186"/>
  </r>
  <r>
    <n v="1609"/>
    <x v="639"/>
    <x v="0"/>
    <x v="22"/>
    <x v="1"/>
    <n v="5"/>
    <n v="135"/>
  </r>
  <r>
    <n v="140"/>
    <x v="0"/>
    <x v="1"/>
    <x v="36"/>
    <x v="1"/>
    <n v="1"/>
    <n v="30"/>
  </r>
  <r>
    <n v="135"/>
    <x v="658"/>
    <x v="1"/>
    <x v="43"/>
    <x v="2"/>
    <n v="2"/>
    <n v="25"/>
  </r>
  <r>
    <n v="75"/>
    <x v="530"/>
    <x v="1"/>
    <x v="30"/>
    <x v="0"/>
    <n v="4"/>
    <n v="50"/>
  </r>
  <r>
    <n v="1973"/>
    <x v="53"/>
    <x v="0"/>
    <x v="11"/>
    <x v="1"/>
    <n v="4"/>
    <n v="388"/>
  </r>
  <r>
    <n v="1292"/>
    <x v="173"/>
    <x v="0"/>
    <x v="25"/>
    <x v="0"/>
    <n v="3"/>
    <n v="229"/>
  </r>
  <r>
    <n v="1273"/>
    <x v="80"/>
    <x v="0"/>
    <x v="19"/>
    <x v="0"/>
    <n v="5"/>
    <n v="304"/>
  </r>
  <r>
    <n v="1879"/>
    <x v="55"/>
    <x v="1"/>
    <x v="30"/>
    <x v="1"/>
    <n v="6"/>
    <n v="254"/>
  </r>
  <r>
    <n v="964"/>
    <x v="357"/>
    <x v="1"/>
    <x v="21"/>
    <x v="1"/>
    <n v="2"/>
    <n v="500"/>
  </r>
  <r>
    <n v="1932"/>
    <x v="344"/>
    <x v="1"/>
    <x v="36"/>
    <x v="0"/>
    <n v="6"/>
    <n v="497"/>
  </r>
  <r>
    <n v="1248"/>
    <x v="218"/>
    <x v="0"/>
    <x v="28"/>
    <x v="0"/>
    <n v="5"/>
    <n v="106"/>
  </r>
  <r>
    <n v="936"/>
    <x v="659"/>
    <x v="1"/>
    <x v="20"/>
    <x v="2"/>
    <n v="4"/>
    <n v="50"/>
  </r>
  <r>
    <n v="1666"/>
    <x v="462"/>
    <x v="1"/>
    <x v="11"/>
    <x v="0"/>
    <n v="2"/>
    <n v="285"/>
  </r>
  <r>
    <n v="66"/>
    <x v="496"/>
    <x v="0"/>
    <x v="46"/>
    <x v="1"/>
    <n v="1"/>
    <n v="30"/>
  </r>
  <r>
    <n v="1262"/>
    <x v="436"/>
    <x v="1"/>
    <x v="9"/>
    <x v="2"/>
    <n v="5"/>
    <n v="365"/>
  </r>
  <r>
    <n v="1085"/>
    <x v="631"/>
    <x v="0"/>
    <x v="36"/>
    <x v="0"/>
    <n v="6"/>
    <n v="34"/>
  </r>
  <r>
    <n v="465"/>
    <x v="212"/>
    <x v="1"/>
    <x v="23"/>
    <x v="1"/>
    <n v="4"/>
    <n v="25"/>
  </r>
  <r>
    <n v="1389"/>
    <x v="404"/>
    <x v="1"/>
    <x v="42"/>
    <x v="2"/>
    <n v="1"/>
    <n v="268"/>
  </r>
  <r>
    <n v="520"/>
    <x v="460"/>
    <x v="0"/>
    <x v="3"/>
    <x v="2"/>
    <n v="4"/>
    <n v="30"/>
  </r>
  <r>
    <n v="1694"/>
    <x v="343"/>
    <x v="0"/>
    <x v="33"/>
    <x v="1"/>
    <n v="5"/>
    <n v="34"/>
  </r>
  <r>
    <n v="1110"/>
    <x v="315"/>
    <x v="1"/>
    <x v="29"/>
    <x v="2"/>
    <n v="4"/>
    <n v="100"/>
  </r>
  <r>
    <n v="1527"/>
    <x v="407"/>
    <x v="0"/>
    <x v="14"/>
    <x v="1"/>
    <n v="5"/>
    <n v="468"/>
  </r>
  <r>
    <n v="1471"/>
    <x v="422"/>
    <x v="0"/>
    <x v="21"/>
    <x v="2"/>
    <n v="4"/>
    <n v="243"/>
  </r>
  <r>
    <n v="514"/>
    <x v="244"/>
    <x v="0"/>
    <x v="20"/>
    <x v="2"/>
    <n v="3"/>
    <n v="300"/>
  </r>
  <r>
    <n v="581"/>
    <x v="630"/>
    <x v="1"/>
    <x v="7"/>
    <x v="2"/>
    <n v="3"/>
    <n v="300"/>
  </r>
  <r>
    <n v="1047"/>
    <x v="628"/>
    <x v="0"/>
    <x v="29"/>
    <x v="1"/>
    <n v="6"/>
    <n v="301"/>
  </r>
  <r>
    <n v="1349"/>
    <x v="215"/>
    <x v="1"/>
    <x v="4"/>
    <x v="1"/>
    <n v="4"/>
    <n v="180"/>
  </r>
  <r>
    <n v="106"/>
    <x v="595"/>
    <x v="0"/>
    <x v="28"/>
    <x v="2"/>
    <n v="1"/>
    <n v="50"/>
  </r>
  <r>
    <n v="775"/>
    <x v="129"/>
    <x v="1"/>
    <x v="38"/>
    <x v="1"/>
    <n v="3"/>
    <n v="50"/>
  </r>
  <r>
    <n v="753"/>
    <x v="492"/>
    <x v="0"/>
    <x v="0"/>
    <x v="2"/>
    <n v="3"/>
    <n v="25"/>
  </r>
  <r>
    <n v="123"/>
    <x v="79"/>
    <x v="0"/>
    <x v="18"/>
    <x v="1"/>
    <n v="2"/>
    <n v="30"/>
  </r>
  <r>
    <n v="592"/>
    <x v="137"/>
    <x v="1"/>
    <x v="7"/>
    <x v="1"/>
    <n v="2"/>
    <n v="30"/>
  </r>
  <r>
    <n v="580"/>
    <x v="44"/>
    <x v="0"/>
    <x v="38"/>
    <x v="0"/>
    <n v="2"/>
    <n v="30"/>
  </r>
  <r>
    <n v="43"/>
    <x v="121"/>
    <x v="0"/>
    <x v="38"/>
    <x v="2"/>
    <n v="1"/>
    <n v="300"/>
  </r>
  <r>
    <n v="630"/>
    <x v="83"/>
    <x v="1"/>
    <x v="41"/>
    <x v="1"/>
    <n v="3"/>
    <n v="30"/>
  </r>
  <r>
    <n v="1218"/>
    <x v="119"/>
    <x v="1"/>
    <x v="37"/>
    <x v="0"/>
    <n v="3"/>
    <n v="188"/>
  </r>
  <r>
    <n v="885"/>
    <x v="172"/>
    <x v="1"/>
    <x v="8"/>
    <x v="2"/>
    <n v="4"/>
    <n v="25"/>
  </r>
  <r>
    <n v="868"/>
    <x v="650"/>
    <x v="0"/>
    <x v="28"/>
    <x v="1"/>
    <n v="4"/>
    <n v="30"/>
  </r>
  <r>
    <n v="99"/>
    <x v="592"/>
    <x v="0"/>
    <x v="40"/>
    <x v="1"/>
    <n v="4"/>
    <n v="300"/>
  </r>
  <r>
    <n v="179"/>
    <x v="163"/>
    <x v="1"/>
    <x v="34"/>
    <x v="1"/>
    <n v="1"/>
    <n v="300"/>
  </r>
  <r>
    <n v="53"/>
    <x v="660"/>
    <x v="1"/>
    <x v="19"/>
    <x v="1"/>
    <n v="2"/>
    <n v="50"/>
  </r>
  <r>
    <n v="607"/>
    <x v="562"/>
    <x v="0"/>
    <x v="27"/>
    <x v="1"/>
    <n v="3"/>
    <n v="500"/>
  </r>
  <r>
    <n v="249"/>
    <x v="266"/>
    <x v="1"/>
    <x v="38"/>
    <x v="1"/>
    <n v="1"/>
    <n v="50"/>
  </r>
  <r>
    <n v="1197"/>
    <x v="455"/>
    <x v="1"/>
    <x v="25"/>
    <x v="0"/>
    <n v="6"/>
    <n v="11"/>
  </r>
  <r>
    <n v="1560"/>
    <x v="33"/>
    <x v="1"/>
    <x v="29"/>
    <x v="2"/>
    <n v="6"/>
    <n v="246"/>
  </r>
  <r>
    <n v="1061"/>
    <x v="407"/>
    <x v="1"/>
    <x v="14"/>
    <x v="1"/>
    <n v="1"/>
    <n v="213"/>
  </r>
  <r>
    <n v="444"/>
    <x v="403"/>
    <x v="0"/>
    <x v="6"/>
    <x v="1"/>
    <n v="1"/>
    <n v="300"/>
  </r>
  <r>
    <n v="1317"/>
    <x v="566"/>
    <x v="0"/>
    <x v="44"/>
    <x v="1"/>
    <n v="1"/>
    <n v="84"/>
  </r>
  <r>
    <n v="1064"/>
    <x v="169"/>
    <x v="0"/>
    <x v="26"/>
    <x v="1"/>
    <n v="3"/>
    <n v="33"/>
  </r>
  <r>
    <n v="829"/>
    <x v="624"/>
    <x v="1"/>
    <x v="42"/>
    <x v="1"/>
    <n v="4"/>
    <n v="25"/>
  </r>
  <r>
    <n v="1549"/>
    <x v="515"/>
    <x v="0"/>
    <x v="13"/>
    <x v="1"/>
    <n v="6"/>
    <n v="237"/>
  </r>
  <r>
    <n v="1347"/>
    <x v="8"/>
    <x v="1"/>
    <x v="42"/>
    <x v="0"/>
    <n v="3"/>
    <n v="174"/>
  </r>
  <r>
    <n v="1225"/>
    <x v="588"/>
    <x v="0"/>
    <x v="6"/>
    <x v="1"/>
    <n v="2"/>
    <n v="207"/>
  </r>
  <r>
    <n v="1463"/>
    <x v="661"/>
    <x v="1"/>
    <x v="36"/>
    <x v="1"/>
    <n v="6"/>
    <n v="257"/>
  </r>
  <r>
    <n v="1984"/>
    <x v="662"/>
    <x v="0"/>
    <x v="20"/>
    <x v="2"/>
    <n v="6"/>
    <n v="89"/>
  </r>
  <r>
    <n v="799"/>
    <x v="663"/>
    <x v="1"/>
    <x v="5"/>
    <x v="2"/>
    <n v="4"/>
    <n v="50"/>
  </r>
  <r>
    <n v="1238"/>
    <x v="240"/>
    <x v="0"/>
    <x v="28"/>
    <x v="1"/>
    <n v="4"/>
    <n v="116"/>
  </r>
  <r>
    <n v="896"/>
    <x v="320"/>
    <x v="0"/>
    <x v="33"/>
    <x v="2"/>
    <n v="3"/>
    <n v="30"/>
  </r>
  <r>
    <n v="1776"/>
    <x v="513"/>
    <x v="1"/>
    <x v="40"/>
    <x v="1"/>
    <n v="4"/>
    <n v="313"/>
  </r>
  <r>
    <n v="1811"/>
    <x v="29"/>
    <x v="0"/>
    <x v="24"/>
    <x v="2"/>
    <n v="4"/>
    <n v="73"/>
  </r>
  <r>
    <n v="598"/>
    <x v="659"/>
    <x v="0"/>
    <x v="47"/>
    <x v="0"/>
    <n v="2"/>
    <n v="50"/>
  </r>
  <r>
    <n v="574"/>
    <x v="664"/>
    <x v="1"/>
    <x v="21"/>
    <x v="2"/>
    <n v="2"/>
    <n v="50"/>
  </r>
  <r>
    <n v="1005"/>
    <x v="333"/>
    <x v="1"/>
    <x v="44"/>
    <x v="2"/>
    <n v="6"/>
    <n v="448"/>
  </r>
  <r>
    <n v="1687"/>
    <x v="2"/>
    <x v="0"/>
    <x v="28"/>
    <x v="2"/>
    <n v="6"/>
    <n v="189"/>
  </r>
  <r>
    <n v="1715"/>
    <x v="665"/>
    <x v="0"/>
    <x v="16"/>
    <x v="2"/>
    <n v="3"/>
    <n v="416"/>
  </r>
  <r>
    <n v="942"/>
    <x v="510"/>
    <x v="1"/>
    <x v="12"/>
    <x v="2"/>
    <n v="2"/>
    <n v="25"/>
  </r>
  <r>
    <n v="541"/>
    <x v="647"/>
    <x v="0"/>
    <x v="43"/>
    <x v="0"/>
    <n v="1"/>
    <n v="50"/>
  </r>
  <r>
    <n v="821"/>
    <x v="272"/>
    <x v="0"/>
    <x v="41"/>
    <x v="1"/>
    <n v="2"/>
    <n v="50"/>
  </r>
  <r>
    <n v="1380"/>
    <x v="301"/>
    <x v="0"/>
    <x v="14"/>
    <x v="0"/>
    <n v="2"/>
    <n v="376"/>
  </r>
  <r>
    <n v="892"/>
    <x v="391"/>
    <x v="1"/>
    <x v="22"/>
    <x v="1"/>
    <n v="1"/>
    <n v="30"/>
  </r>
  <r>
    <n v="329"/>
    <x v="399"/>
    <x v="0"/>
    <x v="26"/>
    <x v="0"/>
    <n v="4"/>
    <n v="50"/>
  </r>
  <r>
    <n v="1397"/>
    <x v="591"/>
    <x v="1"/>
    <x v="21"/>
    <x v="2"/>
    <n v="7"/>
    <n v="254"/>
  </r>
  <r>
    <n v="1117"/>
    <x v="333"/>
    <x v="0"/>
    <x v="13"/>
    <x v="2"/>
    <n v="7"/>
    <n v="109"/>
  </r>
  <r>
    <n v="1830"/>
    <x v="665"/>
    <x v="0"/>
    <x v="33"/>
    <x v="0"/>
    <n v="5"/>
    <n v="354"/>
  </r>
  <r>
    <n v="360"/>
    <x v="473"/>
    <x v="0"/>
    <x v="19"/>
    <x v="1"/>
    <n v="4"/>
    <n v="300"/>
  </r>
  <r>
    <n v="37"/>
    <x v="141"/>
    <x v="0"/>
    <x v="4"/>
    <x v="0"/>
    <n v="3"/>
    <n v="25"/>
  </r>
  <r>
    <n v="561"/>
    <x v="433"/>
    <x v="1"/>
    <x v="2"/>
    <x v="1"/>
    <n v="2"/>
    <n v="25"/>
  </r>
  <r>
    <n v="1277"/>
    <x v="665"/>
    <x v="0"/>
    <x v="20"/>
    <x v="2"/>
    <n v="3"/>
    <n v="479"/>
  </r>
  <r>
    <n v="1446"/>
    <x v="519"/>
    <x v="1"/>
    <x v="4"/>
    <x v="1"/>
    <n v="4"/>
    <n v="234"/>
  </r>
  <r>
    <n v="1769"/>
    <x v="666"/>
    <x v="1"/>
    <x v="25"/>
    <x v="1"/>
    <n v="1"/>
    <n v="447"/>
  </r>
  <r>
    <n v="1716"/>
    <x v="84"/>
    <x v="0"/>
    <x v="46"/>
    <x v="0"/>
    <n v="2"/>
    <n v="437"/>
  </r>
  <r>
    <n v="703"/>
    <x v="158"/>
    <x v="1"/>
    <x v="21"/>
    <x v="1"/>
    <n v="2"/>
    <n v="25"/>
  </r>
  <r>
    <n v="1893"/>
    <x v="667"/>
    <x v="0"/>
    <x v="13"/>
    <x v="1"/>
    <n v="1"/>
    <n v="40"/>
  </r>
  <r>
    <n v="1419"/>
    <x v="661"/>
    <x v="0"/>
    <x v="7"/>
    <x v="2"/>
    <n v="5"/>
    <n v="409"/>
  </r>
  <r>
    <n v="1829"/>
    <x v="654"/>
    <x v="1"/>
    <x v="22"/>
    <x v="0"/>
    <n v="6"/>
    <n v="335"/>
  </r>
  <r>
    <n v="1889"/>
    <x v="636"/>
    <x v="1"/>
    <x v="32"/>
    <x v="1"/>
    <n v="4"/>
    <n v="481"/>
  </r>
  <r>
    <n v="1280"/>
    <x v="6"/>
    <x v="0"/>
    <x v="20"/>
    <x v="1"/>
    <n v="7"/>
    <n v="174"/>
  </r>
  <r>
    <n v="1520"/>
    <x v="511"/>
    <x v="0"/>
    <x v="45"/>
    <x v="1"/>
    <n v="4"/>
    <n v="443"/>
  </r>
  <r>
    <n v="832"/>
    <x v="645"/>
    <x v="0"/>
    <x v="41"/>
    <x v="0"/>
    <n v="2"/>
    <n v="30"/>
  </r>
  <r>
    <n v="1645"/>
    <x v="649"/>
    <x v="1"/>
    <x v="28"/>
    <x v="0"/>
    <n v="7"/>
    <n v="243"/>
  </r>
  <r>
    <n v="1451"/>
    <x v="513"/>
    <x v="0"/>
    <x v="39"/>
    <x v="0"/>
    <n v="2"/>
    <n v="284"/>
  </r>
  <r>
    <n v="652"/>
    <x v="167"/>
    <x v="1"/>
    <x v="33"/>
    <x v="2"/>
    <n v="3"/>
    <n v="25"/>
  </r>
  <r>
    <n v="1315"/>
    <x v="585"/>
    <x v="1"/>
    <x v="21"/>
    <x v="2"/>
    <n v="3"/>
    <n v="125"/>
  </r>
  <r>
    <n v="803"/>
    <x v="372"/>
    <x v="0"/>
    <x v="17"/>
    <x v="0"/>
    <n v="3"/>
    <n v="500"/>
  </r>
  <r>
    <n v="251"/>
    <x v="203"/>
    <x v="1"/>
    <x v="2"/>
    <x v="1"/>
    <n v="1"/>
    <n v="300"/>
  </r>
  <r>
    <n v="32"/>
    <x v="381"/>
    <x v="1"/>
    <x v="17"/>
    <x v="0"/>
    <n v="3"/>
    <n v="30"/>
  </r>
  <r>
    <n v="1828"/>
    <x v="528"/>
    <x v="1"/>
    <x v="28"/>
    <x v="0"/>
    <n v="2"/>
    <n v="421"/>
  </r>
  <r>
    <n v="1858"/>
    <x v="151"/>
    <x v="1"/>
    <x v="8"/>
    <x v="1"/>
    <n v="5"/>
    <n v="31"/>
  </r>
  <r>
    <n v="635"/>
    <x v="368"/>
    <x v="0"/>
    <x v="5"/>
    <x v="0"/>
    <n v="3"/>
    <n v="500"/>
  </r>
  <r>
    <n v="226"/>
    <x v="106"/>
    <x v="1"/>
    <x v="44"/>
    <x v="1"/>
    <n v="2"/>
    <n v="50"/>
  </r>
  <r>
    <n v="696"/>
    <x v="250"/>
    <x v="0"/>
    <x v="37"/>
    <x v="1"/>
    <n v="1"/>
    <n v="300"/>
  </r>
  <r>
    <n v="250"/>
    <x v="385"/>
    <x v="0"/>
    <x v="15"/>
    <x v="0"/>
    <n v="4"/>
    <n v="50"/>
  </r>
  <r>
    <n v="1684"/>
    <x v="311"/>
    <x v="1"/>
    <x v="27"/>
    <x v="2"/>
    <n v="3"/>
    <n v="60"/>
  </r>
  <r>
    <n v="1215"/>
    <x v="294"/>
    <x v="1"/>
    <x v="34"/>
    <x v="0"/>
    <n v="5"/>
    <n v="239"/>
  </r>
  <r>
    <n v="443"/>
    <x v="158"/>
    <x v="0"/>
    <x v="30"/>
    <x v="2"/>
    <n v="3"/>
    <n v="30"/>
  </r>
  <r>
    <n v="736"/>
    <x v="204"/>
    <x v="1"/>
    <x v="13"/>
    <x v="2"/>
    <n v="2"/>
    <n v="50"/>
  </r>
  <r>
    <n v="1312"/>
    <x v="527"/>
    <x v="1"/>
    <x v="45"/>
    <x v="2"/>
    <n v="2"/>
    <n v="427"/>
  </r>
  <r>
    <n v="1773"/>
    <x v="40"/>
    <x v="1"/>
    <x v="33"/>
    <x v="1"/>
    <n v="5"/>
    <n v="487"/>
  </r>
  <r>
    <n v="739"/>
    <x v="91"/>
    <x v="1"/>
    <x v="38"/>
    <x v="2"/>
    <n v="1"/>
    <n v="300"/>
  </r>
  <r>
    <n v="1622"/>
    <x v="404"/>
    <x v="1"/>
    <x v="33"/>
    <x v="2"/>
    <n v="3"/>
    <n v="85"/>
  </r>
  <r>
    <n v="798"/>
    <x v="619"/>
    <x v="1"/>
    <x v="25"/>
    <x v="2"/>
    <n v="4"/>
    <n v="300"/>
  </r>
  <r>
    <n v="1512"/>
    <x v="633"/>
    <x v="0"/>
    <x v="31"/>
    <x v="2"/>
    <n v="3"/>
    <n v="51"/>
  </r>
  <r>
    <n v="176"/>
    <x v="656"/>
    <x v="0"/>
    <x v="24"/>
    <x v="0"/>
    <n v="2"/>
    <n v="50"/>
  </r>
  <r>
    <n v="149"/>
    <x v="106"/>
    <x v="1"/>
    <x v="39"/>
    <x v="2"/>
    <n v="3"/>
    <n v="25"/>
  </r>
  <r>
    <n v="624"/>
    <x v="476"/>
    <x v="1"/>
    <x v="34"/>
    <x v="2"/>
    <n v="1"/>
    <n v="300"/>
  </r>
  <r>
    <n v="447"/>
    <x v="617"/>
    <x v="0"/>
    <x v="2"/>
    <x v="0"/>
    <n v="2"/>
    <n v="30"/>
  </r>
  <r>
    <n v="1152"/>
    <x v="80"/>
    <x v="1"/>
    <x v="35"/>
    <x v="1"/>
    <n v="3"/>
    <n v="364"/>
  </r>
  <r>
    <n v="1644"/>
    <x v="537"/>
    <x v="1"/>
    <x v="9"/>
    <x v="2"/>
    <n v="5"/>
    <n v="419"/>
  </r>
  <r>
    <n v="1894"/>
    <x v="298"/>
    <x v="0"/>
    <x v="8"/>
    <x v="2"/>
    <n v="3"/>
    <n v="390"/>
  </r>
  <r>
    <n v="1578"/>
    <x v="90"/>
    <x v="0"/>
    <x v="28"/>
    <x v="0"/>
    <n v="2"/>
    <n v="192"/>
  </r>
  <r>
    <n v="1120"/>
    <x v="311"/>
    <x v="1"/>
    <x v="14"/>
    <x v="1"/>
    <n v="7"/>
    <n v="92"/>
  </r>
  <r>
    <n v="917"/>
    <x v="128"/>
    <x v="0"/>
    <x v="39"/>
    <x v="0"/>
    <n v="2"/>
    <n v="25"/>
  </r>
  <r>
    <n v="1930"/>
    <x v="623"/>
    <x v="1"/>
    <x v="14"/>
    <x v="0"/>
    <n v="6"/>
    <n v="313"/>
  </r>
  <r>
    <n v="1937"/>
    <x v="596"/>
    <x v="0"/>
    <x v="30"/>
    <x v="2"/>
    <n v="5"/>
    <n v="146"/>
  </r>
  <r>
    <n v="50"/>
    <x v="668"/>
    <x v="0"/>
    <x v="42"/>
    <x v="0"/>
    <n v="3"/>
    <n v="25"/>
  </r>
  <r>
    <n v="1927"/>
    <x v="442"/>
    <x v="1"/>
    <x v="44"/>
    <x v="0"/>
    <n v="2"/>
    <n v="392"/>
  </r>
  <r>
    <n v="157"/>
    <x v="569"/>
    <x v="1"/>
    <x v="1"/>
    <x v="1"/>
    <n v="4"/>
    <n v="500"/>
  </r>
  <r>
    <n v="527"/>
    <x v="530"/>
    <x v="0"/>
    <x v="44"/>
    <x v="2"/>
    <n v="2"/>
    <n v="30"/>
  </r>
  <r>
    <n v="51"/>
    <x v="292"/>
    <x v="1"/>
    <x v="42"/>
    <x v="0"/>
    <n v="3"/>
    <n v="25"/>
  </r>
  <r>
    <n v="658"/>
    <x v="601"/>
    <x v="0"/>
    <x v="36"/>
    <x v="0"/>
    <n v="2"/>
    <n v="500"/>
  </r>
  <r>
    <n v="1966"/>
    <x v="189"/>
    <x v="1"/>
    <x v="21"/>
    <x v="1"/>
    <n v="1"/>
    <n v="105"/>
  </r>
  <r>
    <n v="1344"/>
    <x v="342"/>
    <x v="1"/>
    <x v="16"/>
    <x v="1"/>
    <n v="2"/>
    <n v="30"/>
  </r>
  <r>
    <n v="735"/>
    <x v="642"/>
    <x v="0"/>
    <x v="31"/>
    <x v="2"/>
    <n v="1"/>
    <n v="50"/>
  </r>
  <r>
    <n v="324"/>
    <x v="464"/>
    <x v="0"/>
    <x v="22"/>
    <x v="1"/>
    <n v="2"/>
    <n v="25"/>
  </r>
  <r>
    <n v="1755"/>
    <x v="632"/>
    <x v="1"/>
    <x v="33"/>
    <x v="1"/>
    <n v="4"/>
    <n v="212"/>
  </r>
  <r>
    <n v="1026"/>
    <x v="2"/>
    <x v="0"/>
    <x v="10"/>
    <x v="0"/>
    <n v="4"/>
    <n v="232"/>
  </r>
  <r>
    <n v="1523"/>
    <x v="610"/>
    <x v="1"/>
    <x v="43"/>
    <x v="2"/>
    <n v="7"/>
    <n v="34"/>
  </r>
  <r>
    <n v="1949"/>
    <x v="117"/>
    <x v="1"/>
    <x v="29"/>
    <x v="0"/>
    <n v="6"/>
    <n v="280"/>
  </r>
  <r>
    <n v="1586"/>
    <x v="221"/>
    <x v="0"/>
    <x v="9"/>
    <x v="0"/>
    <n v="7"/>
    <n v="496"/>
  </r>
  <r>
    <n v="837"/>
    <x v="569"/>
    <x v="0"/>
    <x v="43"/>
    <x v="1"/>
    <n v="4"/>
    <n v="300"/>
  </r>
  <r>
    <n v="1729"/>
    <x v="504"/>
    <x v="1"/>
    <x v="37"/>
    <x v="0"/>
    <n v="3"/>
    <n v="391"/>
  </r>
  <r>
    <n v="505"/>
    <x v="604"/>
    <x v="1"/>
    <x v="19"/>
    <x v="0"/>
    <n v="3"/>
    <n v="500"/>
  </r>
  <r>
    <n v="1748"/>
    <x v="112"/>
    <x v="1"/>
    <x v="26"/>
    <x v="2"/>
    <n v="2"/>
    <n v="161"/>
  </r>
  <r>
    <n v="386"/>
    <x v="618"/>
    <x v="1"/>
    <x v="12"/>
    <x v="0"/>
    <n v="1"/>
    <n v="30"/>
  </r>
  <r>
    <n v="819"/>
    <x v="225"/>
    <x v="1"/>
    <x v="20"/>
    <x v="1"/>
    <n v="1"/>
    <n v="300"/>
  </r>
  <r>
    <n v="437"/>
    <x v="669"/>
    <x v="0"/>
    <x v="33"/>
    <x v="2"/>
    <n v="1"/>
    <n v="30"/>
  </r>
  <r>
    <n v="570"/>
    <x v="670"/>
    <x v="0"/>
    <x v="13"/>
    <x v="1"/>
    <n v="1"/>
    <n v="50"/>
  </r>
  <r>
    <n v="318"/>
    <x v="356"/>
    <x v="1"/>
    <x v="34"/>
    <x v="2"/>
    <n v="1"/>
    <n v="500"/>
  </r>
  <r>
    <n v="1539"/>
    <x v="126"/>
    <x v="0"/>
    <x v="24"/>
    <x v="0"/>
    <n v="1"/>
    <n v="183"/>
  </r>
  <r>
    <n v="1672"/>
    <x v="343"/>
    <x v="1"/>
    <x v="24"/>
    <x v="1"/>
    <n v="5"/>
    <n v="219"/>
  </r>
  <r>
    <n v="537"/>
    <x v="157"/>
    <x v="1"/>
    <x v="4"/>
    <x v="2"/>
    <n v="3"/>
    <n v="50"/>
  </r>
  <r>
    <n v="162"/>
    <x v="101"/>
    <x v="1"/>
    <x v="32"/>
    <x v="2"/>
    <n v="2"/>
    <n v="30"/>
  </r>
  <r>
    <n v="103"/>
    <x v="66"/>
    <x v="0"/>
    <x v="8"/>
    <x v="2"/>
    <n v="1"/>
    <n v="25"/>
  </r>
  <r>
    <n v="188"/>
    <x v="400"/>
    <x v="1"/>
    <x v="18"/>
    <x v="2"/>
    <n v="3"/>
    <n v="25"/>
  </r>
  <r>
    <n v="1831"/>
    <x v="42"/>
    <x v="1"/>
    <x v="2"/>
    <x v="2"/>
    <n v="7"/>
    <n v="308"/>
  </r>
  <r>
    <n v="831"/>
    <x v="671"/>
    <x v="1"/>
    <x v="33"/>
    <x v="0"/>
    <n v="4"/>
    <n v="50"/>
  </r>
  <r>
    <n v="234"/>
    <x v="556"/>
    <x v="0"/>
    <x v="35"/>
    <x v="1"/>
    <n v="2"/>
    <n v="500"/>
  </r>
  <r>
    <n v="1909"/>
    <x v="638"/>
    <x v="1"/>
    <x v="19"/>
    <x v="1"/>
    <n v="2"/>
    <n v="209"/>
  </r>
  <r>
    <n v="1623"/>
    <x v="28"/>
    <x v="0"/>
    <x v="3"/>
    <x v="2"/>
    <n v="6"/>
    <n v="499"/>
  </r>
  <r>
    <n v="1809"/>
    <x v="311"/>
    <x v="1"/>
    <x v="17"/>
    <x v="1"/>
    <n v="2"/>
    <n v="413"/>
  </r>
  <r>
    <n v="748"/>
    <x v="440"/>
    <x v="0"/>
    <x v="7"/>
    <x v="2"/>
    <n v="3"/>
    <n v="25"/>
  </r>
  <r>
    <n v="1421"/>
    <x v="313"/>
    <x v="1"/>
    <x v="20"/>
    <x v="0"/>
    <n v="7"/>
    <n v="401"/>
  </r>
  <r>
    <n v="1234"/>
    <x v="565"/>
    <x v="0"/>
    <x v="9"/>
    <x v="0"/>
    <n v="3"/>
    <n v="353"/>
  </r>
  <r>
    <n v="1621"/>
    <x v="520"/>
    <x v="0"/>
    <x v="7"/>
    <x v="0"/>
    <n v="7"/>
    <n v="204"/>
  </r>
  <r>
    <n v="847"/>
    <x v="193"/>
    <x v="1"/>
    <x v="25"/>
    <x v="2"/>
    <n v="2"/>
    <n v="25"/>
  </r>
  <r>
    <n v="1337"/>
    <x v="328"/>
    <x v="0"/>
    <x v="10"/>
    <x v="2"/>
    <n v="4"/>
    <n v="33"/>
  </r>
  <r>
    <n v="166"/>
    <x v="302"/>
    <x v="1"/>
    <x v="19"/>
    <x v="2"/>
    <n v="4"/>
    <n v="500"/>
  </r>
  <r>
    <n v="1052"/>
    <x v="621"/>
    <x v="0"/>
    <x v="8"/>
    <x v="1"/>
    <n v="6"/>
    <n v="346"/>
  </r>
  <r>
    <n v="555"/>
    <x v="618"/>
    <x v="0"/>
    <x v="4"/>
    <x v="1"/>
    <n v="1"/>
    <n v="50"/>
  </r>
  <r>
    <n v="882"/>
    <x v="601"/>
    <x v="0"/>
    <x v="29"/>
    <x v="2"/>
    <n v="2"/>
    <n v="30"/>
  </r>
  <r>
    <n v="1789"/>
    <x v="407"/>
    <x v="1"/>
    <x v="27"/>
    <x v="0"/>
    <n v="6"/>
    <n v="499"/>
  </r>
  <r>
    <n v="1164"/>
    <x v="416"/>
    <x v="1"/>
    <x v="17"/>
    <x v="2"/>
    <n v="5"/>
    <n v="242"/>
  </r>
  <r>
    <n v="1209"/>
    <x v="334"/>
    <x v="1"/>
    <x v="6"/>
    <x v="2"/>
    <n v="7"/>
    <n v="166"/>
  </r>
  <r>
    <n v="549"/>
    <x v="626"/>
    <x v="1"/>
    <x v="18"/>
    <x v="2"/>
    <n v="3"/>
    <n v="300"/>
  </r>
  <r>
    <n v="8"/>
    <x v="362"/>
    <x v="1"/>
    <x v="17"/>
    <x v="1"/>
    <n v="4"/>
    <n v="25"/>
  </r>
  <r>
    <n v="403"/>
    <x v="378"/>
    <x v="1"/>
    <x v="28"/>
    <x v="1"/>
    <n v="2"/>
    <n v="500"/>
  </r>
  <r>
    <n v="509"/>
    <x v="426"/>
    <x v="0"/>
    <x v="32"/>
    <x v="0"/>
    <n v="4"/>
    <n v="50"/>
  </r>
  <r>
    <n v="1780"/>
    <x v="672"/>
    <x v="0"/>
    <x v="19"/>
    <x v="1"/>
    <n v="3"/>
    <n v="206"/>
  </r>
  <r>
    <n v="1791"/>
    <x v="551"/>
    <x v="1"/>
    <x v="12"/>
    <x v="1"/>
    <n v="6"/>
    <n v="108"/>
  </r>
  <r>
    <n v="1501"/>
    <x v="189"/>
    <x v="0"/>
    <x v="3"/>
    <x v="0"/>
    <n v="6"/>
    <n v="63"/>
  </r>
  <r>
    <n v="1236"/>
    <x v="353"/>
    <x v="1"/>
    <x v="42"/>
    <x v="1"/>
    <n v="6"/>
    <n v="194"/>
  </r>
  <r>
    <n v="1235"/>
    <x v="421"/>
    <x v="0"/>
    <x v="45"/>
    <x v="0"/>
    <n v="1"/>
    <n v="497"/>
  </r>
  <r>
    <n v="1350"/>
    <x v="512"/>
    <x v="1"/>
    <x v="15"/>
    <x v="1"/>
    <n v="3"/>
    <n v="117"/>
  </r>
  <r>
    <n v="802"/>
    <x v="668"/>
    <x v="1"/>
    <x v="33"/>
    <x v="1"/>
    <n v="1"/>
    <n v="30"/>
  </r>
  <r>
    <n v="1613"/>
    <x v="673"/>
    <x v="1"/>
    <x v="22"/>
    <x v="2"/>
    <n v="1"/>
    <n v="401"/>
  </r>
  <r>
    <n v="797"/>
    <x v="95"/>
    <x v="1"/>
    <x v="41"/>
    <x v="1"/>
    <n v="2"/>
    <n v="50"/>
  </r>
  <r>
    <n v="980"/>
    <x v="270"/>
    <x v="0"/>
    <x v="28"/>
    <x v="0"/>
    <n v="3"/>
    <n v="30"/>
  </r>
  <r>
    <n v="1384"/>
    <x v="153"/>
    <x v="1"/>
    <x v="7"/>
    <x v="0"/>
    <n v="2"/>
    <n v="66"/>
  </r>
  <r>
    <n v="1849"/>
    <x v="98"/>
    <x v="1"/>
    <x v="28"/>
    <x v="0"/>
    <n v="6"/>
    <n v="345"/>
  </r>
  <r>
    <n v="1801"/>
    <x v="282"/>
    <x v="0"/>
    <x v="17"/>
    <x v="0"/>
    <n v="6"/>
    <n v="472"/>
  </r>
  <r>
    <n v="292"/>
    <x v="526"/>
    <x v="1"/>
    <x v="40"/>
    <x v="1"/>
    <n v="3"/>
    <n v="30"/>
  </r>
  <r>
    <n v="707"/>
    <x v="674"/>
    <x v="0"/>
    <x v="11"/>
    <x v="1"/>
    <n v="2"/>
    <n v="500"/>
  </r>
  <r>
    <n v="779"/>
    <x v="130"/>
    <x v="1"/>
    <x v="7"/>
    <x v="0"/>
    <n v="1"/>
    <n v="500"/>
  </r>
  <r>
    <n v="1790"/>
    <x v="363"/>
    <x v="0"/>
    <x v="28"/>
    <x v="0"/>
    <n v="2"/>
    <n v="99"/>
  </r>
  <r>
    <n v="1195"/>
    <x v="453"/>
    <x v="0"/>
    <x v="32"/>
    <x v="2"/>
    <n v="1"/>
    <n v="224"/>
  </r>
  <r>
    <n v="1762"/>
    <x v="402"/>
    <x v="1"/>
    <x v="26"/>
    <x v="1"/>
    <n v="5"/>
    <n v="374"/>
  </r>
  <r>
    <n v="361"/>
    <x v="540"/>
    <x v="1"/>
    <x v="40"/>
    <x v="2"/>
    <n v="1"/>
    <n v="25"/>
  </r>
  <r>
    <n v="717"/>
    <x v="645"/>
    <x v="0"/>
    <x v="33"/>
    <x v="2"/>
    <n v="2"/>
    <n v="30"/>
  </r>
  <r>
    <n v="1924"/>
    <x v="675"/>
    <x v="0"/>
    <x v="13"/>
    <x v="2"/>
    <n v="1"/>
    <n v="293"/>
  </r>
  <r>
    <n v="1105"/>
    <x v="676"/>
    <x v="0"/>
    <x v="0"/>
    <x v="2"/>
    <n v="7"/>
    <n v="494"/>
  </r>
  <r>
    <n v="128"/>
    <x v="622"/>
    <x v="1"/>
    <x v="26"/>
    <x v="0"/>
    <n v="1"/>
    <n v="500"/>
  </r>
  <r>
    <n v="869"/>
    <x v="385"/>
    <x v="1"/>
    <x v="1"/>
    <x v="0"/>
    <n v="2"/>
    <n v="30"/>
  </r>
  <r>
    <n v="1798"/>
    <x v="224"/>
    <x v="0"/>
    <x v="23"/>
    <x v="0"/>
    <n v="7"/>
    <n v="203"/>
  </r>
  <r>
    <n v="1815"/>
    <x v="10"/>
    <x v="0"/>
    <x v="37"/>
    <x v="0"/>
    <n v="2"/>
    <n v="233"/>
  </r>
  <r>
    <n v="1443"/>
    <x v="325"/>
    <x v="1"/>
    <x v="43"/>
    <x v="1"/>
    <n v="6"/>
    <n v="284"/>
  </r>
  <r>
    <n v="1385"/>
    <x v="677"/>
    <x v="1"/>
    <x v="41"/>
    <x v="1"/>
    <n v="5"/>
    <n v="11"/>
  </r>
  <r>
    <n v="445"/>
    <x v="316"/>
    <x v="1"/>
    <x v="5"/>
    <x v="1"/>
    <n v="1"/>
    <n v="50"/>
  </r>
  <r>
    <n v="951"/>
    <x v="392"/>
    <x v="1"/>
    <x v="46"/>
    <x v="0"/>
    <n v="3"/>
    <n v="30"/>
  </r>
  <r>
    <n v="1414"/>
    <x v="90"/>
    <x v="1"/>
    <x v="30"/>
    <x v="1"/>
    <n v="5"/>
    <n v="263"/>
  </r>
  <r>
    <n v="1415"/>
    <x v="11"/>
    <x v="0"/>
    <x v="46"/>
    <x v="1"/>
    <n v="4"/>
    <n v="204"/>
  </r>
  <r>
    <n v="503"/>
    <x v="154"/>
    <x v="0"/>
    <x v="36"/>
    <x v="0"/>
    <n v="3"/>
    <n v="50"/>
  </r>
  <r>
    <n v="518"/>
    <x v="559"/>
    <x v="0"/>
    <x v="44"/>
    <x v="1"/>
    <n v="4"/>
    <n v="30"/>
  </r>
  <r>
    <n v="1784"/>
    <x v="678"/>
    <x v="0"/>
    <x v="17"/>
    <x v="0"/>
    <n v="2"/>
    <n v="244"/>
  </r>
  <r>
    <n v="766"/>
    <x v="500"/>
    <x v="0"/>
    <x v="9"/>
    <x v="0"/>
    <n v="3"/>
    <n v="25"/>
  </r>
  <r>
    <n v="859"/>
    <x v="47"/>
    <x v="0"/>
    <x v="13"/>
    <x v="2"/>
    <n v="3"/>
    <n v="30"/>
  </r>
  <r>
    <n v="269"/>
    <x v="401"/>
    <x v="1"/>
    <x v="24"/>
    <x v="1"/>
    <n v="1"/>
    <n v="300"/>
  </r>
  <r>
    <n v="59"/>
    <x v="622"/>
    <x v="1"/>
    <x v="1"/>
    <x v="2"/>
    <n v="1"/>
    <n v="50"/>
  </r>
  <r>
    <n v="1843"/>
    <x v="502"/>
    <x v="0"/>
    <x v="41"/>
    <x v="1"/>
    <n v="6"/>
    <n v="54"/>
  </r>
  <r>
    <n v="1628"/>
    <x v="677"/>
    <x v="1"/>
    <x v="31"/>
    <x v="1"/>
    <n v="3"/>
    <n v="285"/>
  </r>
  <r>
    <n v="177"/>
    <x v="309"/>
    <x v="1"/>
    <x v="46"/>
    <x v="0"/>
    <n v="2"/>
    <n v="50"/>
  </r>
  <r>
    <n v="623"/>
    <x v="346"/>
    <x v="0"/>
    <x v="19"/>
    <x v="0"/>
    <n v="3"/>
    <n v="300"/>
  </r>
  <r>
    <n v="353"/>
    <x v="70"/>
    <x v="0"/>
    <x v="20"/>
    <x v="0"/>
    <n v="4"/>
    <n v="50"/>
  </r>
  <r>
    <n v="58"/>
    <x v="614"/>
    <x v="1"/>
    <x v="4"/>
    <x v="2"/>
    <n v="4"/>
    <n v="300"/>
  </r>
  <r>
    <n v="298"/>
    <x v="634"/>
    <x v="1"/>
    <x v="30"/>
    <x v="1"/>
    <n v="2"/>
    <n v="500"/>
  </r>
  <r>
    <n v="586"/>
    <x v="214"/>
    <x v="0"/>
    <x v="18"/>
    <x v="0"/>
    <n v="4"/>
    <n v="300"/>
  </r>
  <r>
    <n v="961"/>
    <x v="630"/>
    <x v="0"/>
    <x v="27"/>
    <x v="0"/>
    <n v="1"/>
    <n v="50"/>
  </r>
  <r>
    <n v="323"/>
    <x v="286"/>
    <x v="0"/>
    <x v="22"/>
    <x v="1"/>
    <n v="3"/>
    <n v="50"/>
  </r>
  <r>
    <n v="150"/>
    <x v="616"/>
    <x v="0"/>
    <x v="0"/>
    <x v="1"/>
    <n v="4"/>
    <n v="30"/>
  </r>
  <r>
    <n v="62"/>
    <x v="525"/>
    <x v="1"/>
    <x v="4"/>
    <x v="0"/>
    <n v="2"/>
    <n v="50"/>
  </r>
  <r>
    <n v="1468"/>
    <x v="380"/>
    <x v="1"/>
    <x v="0"/>
    <x v="2"/>
    <n v="4"/>
    <n v="493"/>
  </r>
  <r>
    <n v="1794"/>
    <x v="379"/>
    <x v="1"/>
    <x v="14"/>
    <x v="2"/>
    <n v="5"/>
    <n v="487"/>
  </r>
  <r>
    <n v="1473"/>
    <x v="504"/>
    <x v="0"/>
    <x v="29"/>
    <x v="2"/>
    <n v="5"/>
    <n v="407"/>
  </r>
  <r>
    <n v="236"/>
    <x v="655"/>
    <x v="0"/>
    <x v="40"/>
    <x v="0"/>
    <n v="2"/>
    <n v="500"/>
  </r>
  <r>
    <n v="1802"/>
    <x v="92"/>
    <x v="0"/>
    <x v="15"/>
    <x v="0"/>
    <n v="6"/>
    <n v="270"/>
  </r>
  <r>
    <n v="408"/>
    <x v="194"/>
    <x v="0"/>
    <x v="5"/>
    <x v="1"/>
    <n v="3"/>
    <n v="300"/>
  </r>
  <r>
    <n v="1495"/>
    <x v="353"/>
    <x v="0"/>
    <x v="43"/>
    <x v="2"/>
    <n v="5"/>
    <n v="280"/>
  </r>
  <r>
    <n v="1862"/>
    <x v="142"/>
    <x v="1"/>
    <x v="4"/>
    <x v="1"/>
    <n v="5"/>
    <n v="55"/>
  </r>
  <r>
    <n v="1486"/>
    <x v="88"/>
    <x v="1"/>
    <x v="21"/>
    <x v="1"/>
    <n v="4"/>
    <n v="136"/>
  </r>
  <r>
    <n v="1222"/>
    <x v="410"/>
    <x v="0"/>
    <x v="7"/>
    <x v="0"/>
    <n v="4"/>
    <n v="399"/>
  </r>
  <r>
    <n v="1092"/>
    <x v="534"/>
    <x v="0"/>
    <x v="13"/>
    <x v="0"/>
    <n v="3"/>
    <n v="223"/>
  </r>
  <r>
    <n v="662"/>
    <x v="531"/>
    <x v="0"/>
    <x v="12"/>
    <x v="2"/>
    <n v="4"/>
    <n v="500"/>
  </r>
  <r>
    <n v="1566"/>
    <x v="100"/>
    <x v="1"/>
    <x v="16"/>
    <x v="1"/>
    <n v="3"/>
    <n v="240"/>
  </r>
  <r>
    <n v="513"/>
    <x v="149"/>
    <x v="0"/>
    <x v="4"/>
    <x v="1"/>
    <n v="1"/>
    <n v="300"/>
  </r>
  <r>
    <n v="100"/>
    <x v="671"/>
    <x v="1"/>
    <x v="13"/>
    <x v="1"/>
    <n v="1"/>
    <n v="30"/>
  </r>
  <r>
    <n v="31"/>
    <x v="141"/>
    <x v="1"/>
    <x v="12"/>
    <x v="1"/>
    <n v="4"/>
    <n v="300"/>
  </r>
  <r>
    <n v="1964"/>
    <x v="105"/>
    <x v="0"/>
    <x v="31"/>
    <x v="2"/>
    <n v="6"/>
    <n v="107"/>
  </r>
  <r>
    <n v="1295"/>
    <x v="370"/>
    <x v="1"/>
    <x v="14"/>
    <x v="0"/>
    <n v="1"/>
    <n v="329"/>
  </r>
  <r>
    <n v="1559"/>
    <x v="186"/>
    <x v="1"/>
    <x v="26"/>
    <x v="1"/>
    <n v="7"/>
    <n v="370"/>
  </r>
  <r>
    <n v="1462"/>
    <x v="416"/>
    <x v="0"/>
    <x v="17"/>
    <x v="1"/>
    <n v="4"/>
    <n v="416"/>
  </r>
  <r>
    <n v="889"/>
    <x v="600"/>
    <x v="1"/>
    <x v="13"/>
    <x v="1"/>
    <n v="3"/>
    <n v="300"/>
  </r>
  <r>
    <n v="1313"/>
    <x v="648"/>
    <x v="0"/>
    <x v="37"/>
    <x v="2"/>
    <n v="4"/>
    <n v="224"/>
  </r>
  <r>
    <n v="1805"/>
    <x v="413"/>
    <x v="0"/>
    <x v="31"/>
    <x v="0"/>
    <n v="4"/>
    <n v="39"/>
  </r>
  <r>
    <n v="1931"/>
    <x v="349"/>
    <x v="0"/>
    <x v="40"/>
    <x v="0"/>
    <n v="6"/>
    <n v="157"/>
  </r>
  <r>
    <n v="1797"/>
    <x v="679"/>
    <x v="1"/>
    <x v="11"/>
    <x v="2"/>
    <n v="1"/>
    <n v="97"/>
  </r>
  <r>
    <n v="1682"/>
    <x v="343"/>
    <x v="0"/>
    <x v="43"/>
    <x v="1"/>
    <n v="2"/>
    <n v="194"/>
  </r>
  <r>
    <n v="663"/>
    <x v="238"/>
    <x v="1"/>
    <x v="15"/>
    <x v="2"/>
    <n v="1"/>
    <n v="50"/>
  </r>
  <r>
    <n v="422"/>
    <x v="680"/>
    <x v="0"/>
    <x v="42"/>
    <x v="2"/>
    <n v="1"/>
    <n v="25"/>
  </r>
  <r>
    <n v="1491"/>
    <x v="594"/>
    <x v="0"/>
    <x v="42"/>
    <x v="0"/>
    <n v="2"/>
    <n v="63"/>
  </r>
  <r>
    <n v="1237"/>
    <x v="102"/>
    <x v="0"/>
    <x v="31"/>
    <x v="0"/>
    <n v="1"/>
    <n v="384"/>
  </r>
  <r>
    <n v="1680"/>
    <x v="305"/>
    <x v="0"/>
    <x v="3"/>
    <x v="2"/>
    <n v="1"/>
    <n v="308"/>
  </r>
  <r>
    <n v="494"/>
    <x v="48"/>
    <x v="1"/>
    <x v="9"/>
    <x v="0"/>
    <n v="2"/>
    <n v="30"/>
  </r>
  <r>
    <n v="1547"/>
    <x v="523"/>
    <x v="1"/>
    <x v="8"/>
    <x v="2"/>
    <n v="2"/>
    <n v="269"/>
  </r>
  <r>
    <n v="1981"/>
    <x v="412"/>
    <x v="0"/>
    <x v="24"/>
    <x v="1"/>
    <n v="3"/>
    <n v="13"/>
  </r>
  <r>
    <n v="525"/>
    <x v="473"/>
    <x v="1"/>
    <x v="31"/>
    <x v="2"/>
    <n v="2"/>
    <n v="50"/>
  </r>
  <r>
    <n v="822"/>
    <x v="203"/>
    <x v="1"/>
    <x v="23"/>
    <x v="2"/>
    <n v="4"/>
    <n v="30"/>
  </r>
  <r>
    <n v="1990"/>
    <x v="335"/>
    <x v="0"/>
    <x v="13"/>
    <x v="0"/>
    <n v="7"/>
    <n v="338"/>
  </r>
  <r>
    <n v="1504"/>
    <x v="298"/>
    <x v="0"/>
    <x v="30"/>
    <x v="1"/>
    <n v="6"/>
    <n v="159"/>
  </r>
  <r>
    <n v="1130"/>
    <x v="681"/>
    <x v="1"/>
    <x v="20"/>
    <x v="1"/>
    <n v="1"/>
    <n v="66"/>
  </r>
  <r>
    <n v="1327"/>
    <x v="594"/>
    <x v="0"/>
    <x v="17"/>
    <x v="0"/>
    <n v="6"/>
    <n v="476"/>
  </r>
  <r>
    <n v="38"/>
    <x v="341"/>
    <x v="1"/>
    <x v="36"/>
    <x v="0"/>
    <n v="4"/>
    <n v="50"/>
  </r>
  <r>
    <n v="1763"/>
    <x v="585"/>
    <x v="1"/>
    <x v="19"/>
    <x v="0"/>
    <n v="2"/>
    <n v="335"/>
  </r>
  <r>
    <n v="1175"/>
    <x v="497"/>
    <x v="1"/>
    <x v="33"/>
    <x v="0"/>
    <n v="3"/>
    <n v="279"/>
  </r>
  <r>
    <n v="792"/>
    <x v="157"/>
    <x v="0"/>
    <x v="21"/>
    <x v="0"/>
    <n v="1"/>
    <n v="300"/>
  </r>
  <r>
    <n v="794"/>
    <x v="569"/>
    <x v="1"/>
    <x v="24"/>
    <x v="0"/>
    <n v="4"/>
    <n v="30"/>
  </r>
  <r>
    <n v="1903"/>
    <x v="300"/>
    <x v="0"/>
    <x v="11"/>
    <x v="1"/>
    <n v="3"/>
    <n v="126"/>
  </r>
  <r>
    <n v="1498"/>
    <x v="512"/>
    <x v="1"/>
    <x v="5"/>
    <x v="1"/>
    <n v="4"/>
    <n v="413"/>
  </r>
  <r>
    <n v="1161"/>
    <x v="81"/>
    <x v="0"/>
    <x v="43"/>
    <x v="2"/>
    <n v="7"/>
    <n v="491"/>
  </r>
  <r>
    <n v="161"/>
    <x v="51"/>
    <x v="1"/>
    <x v="37"/>
    <x v="0"/>
    <n v="2"/>
    <n v="500"/>
  </r>
  <r>
    <n v="305"/>
    <x v="101"/>
    <x v="1"/>
    <x v="2"/>
    <x v="1"/>
    <n v="1"/>
    <n v="50"/>
  </r>
  <r>
    <n v="540"/>
    <x v="245"/>
    <x v="1"/>
    <x v="41"/>
    <x v="0"/>
    <n v="1"/>
    <n v="500"/>
  </r>
  <r>
    <n v="343"/>
    <x v="617"/>
    <x v="0"/>
    <x v="33"/>
    <x v="0"/>
    <n v="1"/>
    <n v="30"/>
  </r>
  <r>
    <n v="1196"/>
    <x v="330"/>
    <x v="0"/>
    <x v="24"/>
    <x v="0"/>
    <n v="4"/>
    <n v="316"/>
  </r>
  <r>
    <n v="1015"/>
    <x v="648"/>
    <x v="0"/>
    <x v="8"/>
    <x v="2"/>
    <n v="3"/>
    <n v="471"/>
  </r>
  <r>
    <n v="993"/>
    <x v="609"/>
    <x v="0"/>
    <x v="13"/>
    <x v="2"/>
    <n v="1"/>
    <n v="30"/>
  </r>
  <r>
    <n v="1518"/>
    <x v="165"/>
    <x v="0"/>
    <x v="12"/>
    <x v="2"/>
    <n v="4"/>
    <n v="278"/>
  </r>
  <r>
    <n v="1356"/>
    <x v="629"/>
    <x v="1"/>
    <x v="39"/>
    <x v="2"/>
    <n v="1"/>
    <n v="264"/>
  </r>
  <r>
    <n v="1268"/>
    <x v="345"/>
    <x v="0"/>
    <x v="45"/>
    <x v="0"/>
    <n v="4"/>
    <n v="397"/>
  </r>
  <r>
    <n v="1353"/>
    <x v="229"/>
    <x v="1"/>
    <x v="34"/>
    <x v="1"/>
    <n v="4"/>
    <n v="335"/>
  </r>
  <r>
    <n v="628"/>
    <x v="682"/>
    <x v="1"/>
    <x v="1"/>
    <x v="1"/>
    <n v="2"/>
    <n v="25"/>
  </r>
  <r>
    <n v="364"/>
    <x v="172"/>
    <x v="1"/>
    <x v="34"/>
    <x v="2"/>
    <n v="1"/>
    <n v="300"/>
  </r>
  <r>
    <n v="134"/>
    <x v="683"/>
    <x v="1"/>
    <x v="20"/>
    <x v="1"/>
    <n v="1"/>
    <n v="50"/>
  </r>
  <r>
    <n v="743"/>
    <x v="211"/>
    <x v="1"/>
    <x v="2"/>
    <x v="0"/>
    <n v="2"/>
    <n v="50"/>
  </r>
  <r>
    <n v="335"/>
    <x v="670"/>
    <x v="0"/>
    <x v="22"/>
    <x v="0"/>
    <n v="3"/>
    <n v="50"/>
  </r>
  <r>
    <n v="352"/>
    <x v="558"/>
    <x v="1"/>
    <x v="34"/>
    <x v="1"/>
    <n v="1"/>
    <n v="500"/>
  </r>
  <r>
    <n v="627"/>
    <x v="371"/>
    <x v="0"/>
    <x v="11"/>
    <x v="0"/>
    <n v="4"/>
    <n v="50"/>
  </r>
  <r>
    <n v="1083"/>
    <x v="102"/>
    <x v="1"/>
    <x v="13"/>
    <x v="2"/>
    <n v="7"/>
    <n v="219"/>
  </r>
  <r>
    <n v="321"/>
    <x v="319"/>
    <x v="1"/>
    <x v="16"/>
    <x v="1"/>
    <n v="1"/>
    <n v="500"/>
  </r>
  <r>
    <n v="3"/>
    <x v="522"/>
    <x v="1"/>
    <x v="40"/>
    <x v="1"/>
    <n v="1"/>
    <n v="30"/>
  </r>
  <r>
    <n v="47"/>
    <x v="651"/>
    <x v="0"/>
    <x v="18"/>
    <x v="0"/>
    <n v="3"/>
    <n v="500"/>
  </r>
  <r>
    <n v="898"/>
    <x v="205"/>
    <x v="1"/>
    <x v="5"/>
    <x v="2"/>
    <n v="2"/>
    <n v="30"/>
  </r>
  <r>
    <n v="1960"/>
    <x v="187"/>
    <x v="1"/>
    <x v="1"/>
    <x v="2"/>
    <n v="1"/>
    <n v="309"/>
  </r>
  <r>
    <n v="791"/>
    <x v="161"/>
    <x v="1"/>
    <x v="2"/>
    <x v="0"/>
    <n v="1"/>
    <n v="30"/>
  </r>
  <r>
    <n v="1735"/>
    <x v="322"/>
    <x v="1"/>
    <x v="4"/>
    <x v="0"/>
    <n v="3"/>
    <n v="476"/>
  </r>
  <r>
    <n v="1887"/>
    <x v="675"/>
    <x v="1"/>
    <x v="37"/>
    <x v="1"/>
    <n v="7"/>
    <n v="252"/>
  </r>
  <r>
    <n v="921"/>
    <x v="415"/>
    <x v="1"/>
    <x v="25"/>
    <x v="0"/>
    <n v="3"/>
    <n v="300"/>
  </r>
  <r>
    <n v="1882"/>
    <x v="19"/>
    <x v="1"/>
    <x v="26"/>
    <x v="1"/>
    <n v="1"/>
    <n v="308"/>
  </r>
  <r>
    <n v="18"/>
    <x v="609"/>
    <x v="0"/>
    <x v="3"/>
    <x v="1"/>
    <n v="2"/>
    <n v="25"/>
  </r>
  <r>
    <n v="1855"/>
    <x v="197"/>
    <x v="0"/>
    <x v="14"/>
    <x v="1"/>
    <n v="4"/>
    <n v="119"/>
  </r>
  <r>
    <n v="1432"/>
    <x v="40"/>
    <x v="0"/>
    <x v="28"/>
    <x v="0"/>
    <n v="6"/>
    <n v="500"/>
  </r>
  <r>
    <n v="1727"/>
    <x v="582"/>
    <x v="1"/>
    <x v="25"/>
    <x v="2"/>
    <n v="2"/>
    <n v="76"/>
  </r>
  <r>
    <n v="1399"/>
    <x v="252"/>
    <x v="0"/>
    <x v="33"/>
    <x v="2"/>
    <n v="1"/>
    <n v="206"/>
  </r>
  <r>
    <n v="1822"/>
    <x v="328"/>
    <x v="0"/>
    <x v="9"/>
    <x v="2"/>
    <n v="4"/>
    <n v="176"/>
  </r>
  <r>
    <n v="1915"/>
    <x v="349"/>
    <x v="0"/>
    <x v="28"/>
    <x v="0"/>
    <n v="6"/>
    <n v="36"/>
  </r>
  <r>
    <n v="1076"/>
    <x v="73"/>
    <x v="0"/>
    <x v="25"/>
    <x v="2"/>
    <n v="6"/>
    <n v="479"/>
  </r>
  <r>
    <n v="337"/>
    <x v="401"/>
    <x v="1"/>
    <x v="2"/>
    <x v="0"/>
    <n v="2"/>
    <n v="50"/>
  </r>
  <r>
    <n v="959"/>
    <x v="254"/>
    <x v="1"/>
    <x v="6"/>
    <x v="0"/>
    <n v="4"/>
    <n v="50"/>
  </r>
  <r>
    <n v="999"/>
    <x v="248"/>
    <x v="1"/>
    <x v="21"/>
    <x v="0"/>
    <n v="3"/>
    <n v="492"/>
  </r>
  <r>
    <n v="1877"/>
    <x v="534"/>
    <x v="1"/>
    <x v="39"/>
    <x v="1"/>
    <n v="1"/>
    <n v="446"/>
  </r>
  <r>
    <n v="1464"/>
    <x v="424"/>
    <x v="0"/>
    <x v="19"/>
    <x v="1"/>
    <n v="2"/>
    <n v="206"/>
  </r>
  <r>
    <n v="480"/>
    <x v="254"/>
    <x v="0"/>
    <x v="24"/>
    <x v="1"/>
    <n v="4"/>
    <n v="300"/>
  </r>
  <r>
    <n v="937"/>
    <x v="194"/>
    <x v="0"/>
    <x v="28"/>
    <x v="1"/>
    <n v="1"/>
    <n v="300"/>
  </r>
  <r>
    <n v="801"/>
    <x v="243"/>
    <x v="1"/>
    <x v="32"/>
    <x v="2"/>
    <n v="4"/>
    <n v="25"/>
  </r>
  <r>
    <n v="280"/>
    <x v="141"/>
    <x v="0"/>
    <x v="14"/>
    <x v="0"/>
    <n v="4"/>
    <n v="500"/>
  </r>
  <r>
    <n v="773"/>
    <x v="226"/>
    <x v="0"/>
    <x v="28"/>
    <x v="1"/>
    <n v="4"/>
    <n v="25"/>
  </r>
  <r>
    <n v="1150"/>
    <x v="206"/>
    <x v="1"/>
    <x v="4"/>
    <x v="1"/>
    <n v="3"/>
    <n v="160"/>
  </r>
  <r>
    <n v="1001"/>
    <x v="198"/>
    <x v="1"/>
    <x v="11"/>
    <x v="1"/>
    <n v="6"/>
    <n v="45"/>
  </r>
  <r>
    <n v="1303"/>
    <x v="136"/>
    <x v="1"/>
    <x v="17"/>
    <x v="1"/>
    <n v="2"/>
    <n v="471"/>
  </r>
  <r>
    <n v="310"/>
    <x v="217"/>
    <x v="0"/>
    <x v="25"/>
    <x v="0"/>
    <n v="4"/>
    <n v="25"/>
  </r>
  <r>
    <n v="344"/>
    <x v="630"/>
    <x v="1"/>
    <x v="1"/>
    <x v="1"/>
    <n v="1"/>
    <n v="30"/>
  </r>
  <r>
    <n v="473"/>
    <x v="78"/>
    <x v="0"/>
    <x v="29"/>
    <x v="2"/>
    <n v="3"/>
    <n v="500"/>
  </r>
  <r>
    <n v="199"/>
    <x v="398"/>
    <x v="1"/>
    <x v="46"/>
    <x v="0"/>
    <n v="3"/>
    <n v="500"/>
  </r>
  <r>
    <n v="1760"/>
    <x v="602"/>
    <x v="0"/>
    <x v="41"/>
    <x v="2"/>
    <n v="3"/>
    <n v="171"/>
  </r>
  <r>
    <n v="1457"/>
    <x v="283"/>
    <x v="1"/>
    <x v="42"/>
    <x v="0"/>
    <n v="4"/>
    <n v="216"/>
  </r>
  <r>
    <n v="1929"/>
    <x v="676"/>
    <x v="1"/>
    <x v="17"/>
    <x v="0"/>
    <n v="7"/>
    <n v="224"/>
  </r>
  <r>
    <n v="278"/>
    <x v="0"/>
    <x v="1"/>
    <x v="40"/>
    <x v="2"/>
    <n v="1"/>
    <n v="500"/>
  </r>
  <r>
    <n v="383"/>
    <x v="236"/>
    <x v="1"/>
    <x v="27"/>
    <x v="2"/>
    <n v="1"/>
    <n v="500"/>
  </r>
  <r>
    <n v="204"/>
    <x v="179"/>
    <x v="1"/>
    <x v="32"/>
    <x v="0"/>
    <n v="1"/>
    <n v="25"/>
  </r>
  <r>
    <n v="1056"/>
    <x v="684"/>
    <x v="1"/>
    <x v="31"/>
    <x v="2"/>
    <n v="1"/>
    <n v="465"/>
  </r>
  <r>
    <n v="1952"/>
    <x v="367"/>
    <x v="1"/>
    <x v="38"/>
    <x v="2"/>
    <n v="6"/>
    <n v="442"/>
  </r>
  <r>
    <n v="306"/>
    <x v="529"/>
    <x v="0"/>
    <x v="29"/>
    <x v="1"/>
    <n v="2"/>
    <n v="25"/>
  </r>
  <r>
    <n v="1279"/>
    <x v="24"/>
    <x v="0"/>
    <x v="26"/>
    <x v="1"/>
    <n v="3"/>
    <n v="392"/>
  </r>
  <r>
    <n v="673"/>
    <x v="276"/>
    <x v="0"/>
    <x v="46"/>
    <x v="2"/>
    <n v="2"/>
    <n v="30"/>
  </r>
  <r>
    <n v="1701"/>
    <x v="330"/>
    <x v="1"/>
    <x v="47"/>
    <x v="1"/>
    <n v="6"/>
    <n v="462"/>
  </r>
  <r>
    <n v="1783"/>
    <x v="259"/>
    <x v="1"/>
    <x v="34"/>
    <x v="1"/>
    <n v="5"/>
    <n v="325"/>
  </r>
  <r>
    <n v="1408"/>
    <x v="189"/>
    <x v="1"/>
    <x v="19"/>
    <x v="1"/>
    <n v="7"/>
    <n v="457"/>
  </r>
  <r>
    <n v="543"/>
    <x v="130"/>
    <x v="0"/>
    <x v="42"/>
    <x v="1"/>
    <n v="1"/>
    <n v="25"/>
  </r>
  <r>
    <n v="1603"/>
    <x v="142"/>
    <x v="1"/>
    <x v="42"/>
    <x v="1"/>
    <n v="6"/>
    <n v="45"/>
  </r>
  <r>
    <n v="684"/>
    <x v="250"/>
    <x v="0"/>
    <x v="47"/>
    <x v="1"/>
    <n v="4"/>
    <n v="50"/>
  </r>
  <r>
    <n v="1278"/>
    <x v="88"/>
    <x v="0"/>
    <x v="6"/>
    <x v="0"/>
    <n v="7"/>
    <n v="301"/>
  </r>
  <r>
    <n v="689"/>
    <x v="13"/>
    <x v="0"/>
    <x v="16"/>
    <x v="2"/>
    <n v="3"/>
    <n v="30"/>
  </r>
  <r>
    <n v="1388"/>
    <x v="480"/>
    <x v="1"/>
    <x v="26"/>
    <x v="0"/>
    <n v="5"/>
    <n v="306"/>
  </r>
  <r>
    <n v="1819"/>
    <x v="367"/>
    <x v="0"/>
    <x v="25"/>
    <x v="1"/>
    <n v="3"/>
    <n v="241"/>
  </r>
  <r>
    <n v="879"/>
    <x v="369"/>
    <x v="1"/>
    <x v="39"/>
    <x v="1"/>
    <n v="1"/>
    <n v="300"/>
  </r>
  <r>
    <n v="587"/>
    <x v="392"/>
    <x v="1"/>
    <x v="36"/>
    <x v="1"/>
    <n v="2"/>
    <n v="30"/>
  </r>
  <r>
    <n v="1532"/>
    <x v="123"/>
    <x v="1"/>
    <x v="33"/>
    <x v="0"/>
    <n v="2"/>
    <n v="408"/>
  </r>
  <r>
    <n v="338"/>
    <x v="439"/>
    <x v="0"/>
    <x v="39"/>
    <x v="1"/>
    <n v="2"/>
    <n v="25"/>
  </r>
  <r>
    <n v="1562"/>
    <x v="213"/>
    <x v="0"/>
    <x v="1"/>
    <x v="0"/>
    <n v="7"/>
    <n v="194"/>
  </r>
  <r>
    <n v="1757"/>
    <x v="213"/>
    <x v="0"/>
    <x v="42"/>
    <x v="2"/>
    <n v="3"/>
    <n v="240"/>
  </r>
  <r>
    <n v="1014"/>
    <x v="465"/>
    <x v="1"/>
    <x v="15"/>
    <x v="2"/>
    <n v="7"/>
    <n v="85"/>
  </r>
  <r>
    <n v="1660"/>
    <x v="152"/>
    <x v="0"/>
    <x v="28"/>
    <x v="2"/>
    <n v="2"/>
    <n v="264"/>
  </r>
  <r>
    <n v="551"/>
    <x v="451"/>
    <x v="0"/>
    <x v="20"/>
    <x v="1"/>
    <n v="3"/>
    <n v="25"/>
  </r>
  <r>
    <n v="1103"/>
    <x v="623"/>
    <x v="0"/>
    <x v="5"/>
    <x v="1"/>
    <n v="1"/>
    <n v="347"/>
  </r>
  <r>
    <n v="413"/>
    <x v="69"/>
    <x v="1"/>
    <x v="38"/>
    <x v="0"/>
    <n v="4"/>
    <n v="25"/>
  </r>
  <r>
    <n v="893"/>
    <x v="235"/>
    <x v="0"/>
    <x v="27"/>
    <x v="2"/>
    <n v="4"/>
    <n v="30"/>
  </r>
  <r>
    <n v="972"/>
    <x v="400"/>
    <x v="1"/>
    <x v="3"/>
    <x v="0"/>
    <n v="1"/>
    <n v="30"/>
  </r>
  <r>
    <n v="1631"/>
    <x v="653"/>
    <x v="1"/>
    <x v="39"/>
    <x v="1"/>
    <n v="2"/>
    <n v="244"/>
  </r>
  <r>
    <n v="274"/>
    <x v="45"/>
    <x v="1"/>
    <x v="24"/>
    <x v="2"/>
    <n v="2"/>
    <n v="500"/>
  </r>
  <r>
    <n v="575"/>
    <x v="398"/>
    <x v="0"/>
    <x v="31"/>
    <x v="0"/>
    <n v="3"/>
    <n v="50"/>
  </r>
  <r>
    <n v="631"/>
    <x v="139"/>
    <x v="0"/>
    <x v="29"/>
    <x v="1"/>
    <n v="4"/>
    <n v="25"/>
  </r>
  <r>
    <n v="302"/>
    <x v="485"/>
    <x v="1"/>
    <x v="11"/>
    <x v="1"/>
    <n v="3"/>
    <n v="30"/>
  </r>
  <r>
    <n v="163"/>
    <x v="485"/>
    <x v="0"/>
    <x v="37"/>
    <x v="2"/>
    <n v="3"/>
    <n v="50"/>
  </r>
  <r>
    <n v="1028"/>
    <x v="171"/>
    <x v="0"/>
    <x v="42"/>
    <x v="0"/>
    <n v="2"/>
    <n v="364"/>
  </r>
  <r>
    <n v="569"/>
    <x v="273"/>
    <x v="1"/>
    <x v="20"/>
    <x v="2"/>
    <n v="1"/>
    <n v="500"/>
  </r>
  <r>
    <n v="922"/>
    <x v="331"/>
    <x v="1"/>
    <x v="27"/>
    <x v="0"/>
    <n v="2"/>
    <n v="50"/>
  </r>
  <r>
    <n v="1458"/>
    <x v="602"/>
    <x v="0"/>
    <x v="0"/>
    <x v="0"/>
    <n v="4"/>
    <n v="351"/>
  </r>
  <r>
    <n v="159"/>
    <x v="148"/>
    <x v="1"/>
    <x v="29"/>
    <x v="2"/>
    <n v="4"/>
    <n v="50"/>
  </r>
  <r>
    <n v="431"/>
    <x v="260"/>
    <x v="0"/>
    <x v="21"/>
    <x v="1"/>
    <n v="2"/>
    <n v="500"/>
  </r>
  <r>
    <n v="133"/>
    <x v="685"/>
    <x v="1"/>
    <x v="43"/>
    <x v="1"/>
    <n v="3"/>
    <n v="300"/>
  </r>
  <r>
    <n v="1351"/>
    <x v="264"/>
    <x v="0"/>
    <x v="36"/>
    <x v="0"/>
    <n v="5"/>
    <n v="301"/>
  </r>
  <r>
    <n v="1078"/>
    <x v="610"/>
    <x v="0"/>
    <x v="6"/>
    <x v="2"/>
    <n v="5"/>
    <n v="56"/>
  </r>
  <r>
    <n v="909"/>
    <x v="509"/>
    <x v="1"/>
    <x v="33"/>
    <x v="1"/>
    <n v="3"/>
    <n v="300"/>
  </r>
  <r>
    <n v="1071"/>
    <x v="136"/>
    <x v="1"/>
    <x v="2"/>
    <x v="1"/>
    <n v="2"/>
    <n v="294"/>
  </r>
  <r>
    <n v="436"/>
    <x v="277"/>
    <x v="0"/>
    <x v="7"/>
    <x v="1"/>
    <n v="4"/>
    <n v="300"/>
  </r>
  <r>
    <n v="712"/>
    <x v="686"/>
    <x v="0"/>
    <x v="4"/>
    <x v="2"/>
    <n v="1"/>
    <n v="500"/>
  </r>
  <r>
    <n v="724"/>
    <x v="647"/>
    <x v="1"/>
    <x v="3"/>
    <x v="2"/>
    <n v="4"/>
    <n v="300"/>
  </r>
  <r>
    <n v="167"/>
    <x v="157"/>
    <x v="0"/>
    <x v="24"/>
    <x v="2"/>
    <n v="3"/>
    <n v="50"/>
  </r>
  <r>
    <n v="247"/>
    <x v="605"/>
    <x v="1"/>
    <x v="29"/>
    <x v="2"/>
    <n v="3"/>
    <n v="300"/>
  </r>
  <r>
    <n v="478"/>
    <x v="668"/>
    <x v="1"/>
    <x v="22"/>
    <x v="1"/>
    <n v="4"/>
    <n v="300"/>
  </r>
  <r>
    <n v="1010"/>
    <x v="687"/>
    <x v="1"/>
    <x v="44"/>
    <x v="0"/>
    <n v="4"/>
    <n v="392"/>
  </r>
  <r>
    <n v="1417"/>
    <x v="628"/>
    <x v="0"/>
    <x v="28"/>
    <x v="2"/>
    <n v="1"/>
    <n v="114"/>
  </r>
  <r>
    <n v="1430"/>
    <x v="87"/>
    <x v="1"/>
    <x v="16"/>
    <x v="0"/>
    <n v="5"/>
    <n v="485"/>
  </r>
  <r>
    <n v="71"/>
    <x v="121"/>
    <x v="0"/>
    <x v="16"/>
    <x v="0"/>
    <n v="4"/>
    <n v="25"/>
  </r>
  <r>
    <n v="456"/>
    <x v="352"/>
    <x v="0"/>
    <x v="0"/>
    <x v="0"/>
    <n v="3"/>
    <n v="300"/>
  </r>
  <r>
    <n v="92"/>
    <x v="31"/>
    <x v="0"/>
    <x v="16"/>
    <x v="1"/>
    <n v="4"/>
    <n v="30"/>
  </r>
  <r>
    <n v="1342"/>
    <x v="39"/>
    <x v="1"/>
    <x v="9"/>
    <x v="1"/>
    <n v="1"/>
    <n v="77"/>
  </r>
  <r>
    <n v="506"/>
    <x v="320"/>
    <x v="0"/>
    <x v="10"/>
    <x v="1"/>
    <n v="3"/>
    <n v="500"/>
  </r>
  <r>
    <n v="783"/>
    <x v="439"/>
    <x v="0"/>
    <x v="34"/>
    <x v="0"/>
    <n v="4"/>
    <n v="50"/>
  </r>
  <r>
    <n v="1525"/>
    <x v="146"/>
    <x v="0"/>
    <x v="20"/>
    <x v="2"/>
    <n v="7"/>
    <n v="482"/>
  </r>
  <r>
    <n v="836"/>
    <x v="641"/>
    <x v="1"/>
    <x v="3"/>
    <x v="1"/>
    <n v="2"/>
    <n v="300"/>
  </r>
  <r>
    <n v="1258"/>
    <x v="11"/>
    <x v="1"/>
    <x v="39"/>
    <x v="2"/>
    <n v="2"/>
    <n v="51"/>
  </r>
  <r>
    <n v="928"/>
    <x v="554"/>
    <x v="1"/>
    <x v="2"/>
    <x v="2"/>
    <n v="4"/>
    <n v="50"/>
  </r>
  <r>
    <n v="289"/>
    <x v="52"/>
    <x v="0"/>
    <x v="17"/>
    <x v="0"/>
    <n v="2"/>
    <n v="300"/>
  </r>
  <r>
    <n v="1948"/>
    <x v="684"/>
    <x v="0"/>
    <x v="45"/>
    <x v="2"/>
    <n v="5"/>
    <n v="294"/>
  </r>
  <r>
    <n v="1598"/>
    <x v="376"/>
    <x v="1"/>
    <x v="8"/>
    <x v="2"/>
    <n v="2"/>
    <n v="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D4884-BBD2-4742-8382-77AC59E60C60}" name="отчет_сводный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X7:BA26" firstHeaderRow="0" firstDataRow="1" firstDataCol="1"/>
  <pivotFields count="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h="1" sd="0" x="2"/>
        <item h="1" sd="0" x="3"/>
        <item h="1" sd="0" x="4"/>
        <item t="default"/>
      </items>
    </pivotField>
  </pivotFields>
  <rowFields count="2">
    <field x="4"/>
    <field x="3"/>
  </rowFields>
  <rowItems count="19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-во транз-ий" fld="0" subtotal="count" baseField="3" baseItem="1"/>
    <dataField name="Сумма продаж" fld="5" baseField="4" baseItem="0"/>
    <dataField name="Средняя цена" fld="6" subtotal="average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der" xr10:uid="{32AE4EAF-68F9-4E18-A435-E46CE9BE53FA}" sourceName="Gender">
  <pivotTables>
    <pivotTable tabId="17" name="отчет_сводный"/>
  </pivotTables>
  <data>
    <tabular pivotCacheId="234910116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" xr10:uid="{311FF821-83B9-4D2C-AED1-D6F712A31912}" sourceName="Годы">
  <pivotTables>
    <pivotTable tabId="17" name="отчет_сводный"/>
  </pivotTables>
  <data>
    <tabular pivotCacheId="234910116">
      <items count="5">
        <i x="1" s="1"/>
        <i x="2"/>
        <i x="0" nd="1"/>
        <i x="4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B7FD2226-BBDA-4797-9B02-0D1EF652E798}" cache="Срез_Gender" caption="Gender" columnCount="2" showCaption="0" rowHeight="257175"/>
  <slicer name="Годы" xr10:uid="{03C64876-B79D-4E5B-BFEA-8F484E520FDE}" cache="Срез_Годы" caption="Годы" columnCount="2" showCaption="0" rowHeight="257175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xcalidraw.com/" TargetMode="External"/><Relationship Id="rId2" Type="http://schemas.openxmlformats.org/officeDocument/2006/relationships/hyperlink" Target="https://support.microsoft.com/ru-ru/office/%D1%84%D1%83%D0%BD%D0%BA%D1%86%D0%B8%D0%B8-excel-%D0%BF%D0%BE-%D0%BA%D0%B0%D1%82%D0%B5%D0%B3%D0%BE%D1%80%D0%B8%D1%8F%D0%BC-5f91f4e9-7b42-46d2-9bd1-63f26a86c0eb" TargetMode="External"/><Relationship Id="rId1" Type="http://schemas.openxmlformats.org/officeDocument/2006/relationships/hyperlink" Target="https://support.microsoft.com/ru-ru/office/%D1%81%D0%BE%D0%B7%D0%B4%D0%B0%D0%BD%D0%B8%D0%B5-%D1%81%D0%B2%D0%BE%D0%B4%D0%BD%D0%BE%D0%B9-%D1%82%D0%B0%D0%B1%D0%BB%D0%B8%D1%86%D1%8B-%D0%B4%D0%BB%D1%8F-%D0%B0%D0%BD%D0%B0%D0%BB%D0%B8%D0%B7%D0%B0-%D0%B4%D0%B0%D0%BD%D0%BD%D1%8B%D1%85-%D0%BB%D0%B8%D1%81%D1%82%D0%B0-a9a84538-bfe9-40a9-a8e9-f99134456576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support.microsoft.com/ru-ru/office/%D0%B2%D1%8B%D1%87%D0%B8%D1%81%D0%BB%D0%B5%D0%BD%D0%B8%D0%B5-%D0%B7%D0%BD%D0%B0%D1%87%D0%B5%D0%BD%D0%B8%D0%B9-%D0%B2-%D1%81%D0%B2%D0%BE%D0%B4%D0%BD%D0%BE%D0%B9-%D1%82%D0%B0%D0%B1%D0%BB%D0%B8%D1%86%D0%B5-11f41417-da80-435c-a5c6-b0185e59da77" TargetMode="External"/><Relationship Id="rId4" Type="http://schemas.openxmlformats.org/officeDocument/2006/relationships/hyperlink" Target="https://support.microsoft.com/ru-ru/office/%D0%BA%D0%BE%D0%B4%D1%8B-%D1%87%D0%B8%D1%81%D0%BB%D0%BE%D0%B2%D1%8B%D1%85-%D1%84%D0%BE%D1%80%D0%BC%D0%B0%D1%82%D0%BE%D0%B2-5026bbd6-04bc-48cd-bf33-80f18b4eae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9" sqref="O9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7:BA720"/>
  <sheetViews>
    <sheetView tabSelected="1" topLeftCell="AU1" workbookViewId="0">
      <selection activeCell="AY29" sqref="AY29"/>
    </sheetView>
  </sheetViews>
  <sheetFormatPr defaultColWidth="8.625" defaultRowHeight="15" x14ac:dyDescent="0.25"/>
  <cols>
    <col min="1" max="1" width="2.125" style="2" customWidth="1"/>
    <col min="2" max="2" width="6.25" style="2" customWidth="1"/>
    <col min="3" max="3" width="4.75" style="2" customWidth="1"/>
    <col min="4" max="5" width="8.625" style="1"/>
    <col min="6" max="6" width="9.125" style="1" bestFit="1" customWidth="1"/>
    <col min="7" max="7" width="17.375" style="1" bestFit="1" customWidth="1"/>
    <col min="8" max="8" width="12.5" style="1" customWidth="1"/>
    <col min="9" max="9" width="11.625" style="1" bestFit="1" customWidth="1"/>
    <col min="10" max="11" width="8.625" style="1"/>
    <col min="12" max="12" width="9.625" style="1" bestFit="1" customWidth="1"/>
    <col min="13" max="13" width="22.125" style="1" customWidth="1"/>
    <col min="14" max="45" width="8.625" style="1"/>
    <col min="46" max="46" width="4.375" style="2" customWidth="1"/>
    <col min="47" max="47" width="3.75" style="2" customWidth="1"/>
    <col min="48" max="48" width="4.375" style="2" customWidth="1"/>
    <col min="49" max="50" width="17.375" style="1" bestFit="1" customWidth="1"/>
    <col min="51" max="51" width="15.875" style="1" bestFit="1" customWidth="1"/>
    <col min="52" max="52" width="14.5" style="1" bestFit="1" customWidth="1"/>
    <col min="53" max="53" width="13.375" style="1" bestFit="1" customWidth="1"/>
    <col min="54" max="54" width="11" style="1" bestFit="1" customWidth="1"/>
    <col min="55" max="64" width="9.75" style="1" bestFit="1" customWidth="1"/>
    <col min="65" max="65" width="7.625" style="1" customWidth="1"/>
    <col min="66" max="739" width="9.75" style="1" bestFit="1" customWidth="1"/>
    <col min="740" max="740" width="15.625" style="1" bestFit="1" customWidth="1"/>
    <col min="741" max="1427" width="9.75" style="1" bestFit="1" customWidth="1"/>
    <col min="1428" max="1428" width="11" style="1" bestFit="1" customWidth="1"/>
    <col min="1429" max="2115" width="9.75" style="1" bestFit="1" customWidth="1"/>
    <col min="2116" max="2116" width="22.625" style="1" bestFit="1" customWidth="1"/>
    <col min="2117" max="2117" width="20.375" style="1" bestFit="1" customWidth="1"/>
    <col min="2118" max="2118" width="15.75" style="1" bestFit="1" customWidth="1"/>
    <col min="2119" max="16384" width="8.625" style="1"/>
  </cols>
  <sheetData>
    <row r="7" spans="50:53" x14ac:dyDescent="0.25">
      <c r="AX7" s="20" t="s">
        <v>77</v>
      </c>
      <c r="AY7" t="s">
        <v>84</v>
      </c>
      <c r="AZ7" t="s">
        <v>85</v>
      </c>
      <c r="BA7" t="s">
        <v>86</v>
      </c>
    </row>
    <row r="8" spans="50:53" x14ac:dyDescent="0.25">
      <c r="AX8" s="21" t="s">
        <v>8</v>
      </c>
      <c r="AY8" s="19">
        <v>306</v>
      </c>
      <c r="AZ8" s="19">
        <v>768</v>
      </c>
      <c r="BA8" s="23">
        <v>183.02287581699346</v>
      </c>
    </row>
    <row r="9" spans="50:53" x14ac:dyDescent="0.25">
      <c r="AX9" s="22" t="s">
        <v>79</v>
      </c>
      <c r="AY9" s="19">
        <v>75</v>
      </c>
      <c r="AZ9" s="19">
        <v>189</v>
      </c>
      <c r="BA9" s="23">
        <v>200.8</v>
      </c>
    </row>
    <row r="10" spans="50:53" x14ac:dyDescent="0.25">
      <c r="AX10" s="22" t="s">
        <v>80</v>
      </c>
      <c r="AY10" s="19">
        <v>58</v>
      </c>
      <c r="AZ10" s="19">
        <v>155</v>
      </c>
      <c r="BA10" s="23">
        <v>186.55172413793105</v>
      </c>
    </row>
    <row r="11" spans="50:53" x14ac:dyDescent="0.25">
      <c r="AX11" s="22" t="s">
        <v>81</v>
      </c>
      <c r="AY11" s="19">
        <v>70</v>
      </c>
      <c r="AZ11" s="19">
        <v>179</v>
      </c>
      <c r="BA11" s="23">
        <v>189.28571428571428</v>
      </c>
    </row>
    <row r="12" spans="50:53" x14ac:dyDescent="0.25">
      <c r="AX12" s="22" t="s">
        <v>82</v>
      </c>
      <c r="AY12" s="19">
        <v>61</v>
      </c>
      <c r="AZ12" s="19">
        <v>153</v>
      </c>
      <c r="BA12" s="23">
        <v>173.68852459016392</v>
      </c>
    </row>
    <row r="13" spans="50:53" x14ac:dyDescent="0.25">
      <c r="AX13" s="22" t="s">
        <v>83</v>
      </c>
      <c r="AY13" s="19">
        <v>42</v>
      </c>
      <c r="AZ13" s="19">
        <v>92</v>
      </c>
      <c r="BA13" s="23">
        <v>149.52380952380952</v>
      </c>
    </row>
    <row r="14" spans="50:53" x14ac:dyDescent="0.25">
      <c r="AX14" s="21" t="s">
        <v>10</v>
      </c>
      <c r="AY14" s="19">
        <v>351</v>
      </c>
      <c r="AZ14" s="19">
        <v>894</v>
      </c>
      <c r="BA14" s="23">
        <v>174.28774928774928</v>
      </c>
    </row>
    <row r="15" spans="50:53" x14ac:dyDescent="0.25">
      <c r="AX15" s="22" t="s">
        <v>79</v>
      </c>
      <c r="AY15" s="19">
        <v>70</v>
      </c>
      <c r="AZ15" s="19">
        <v>176</v>
      </c>
      <c r="BA15" s="23">
        <v>199</v>
      </c>
    </row>
    <row r="16" spans="50:53" x14ac:dyDescent="0.25">
      <c r="AX16" s="22" t="s">
        <v>80</v>
      </c>
      <c r="AY16" s="19">
        <v>69</v>
      </c>
      <c r="AZ16" s="19">
        <v>183</v>
      </c>
      <c r="BA16" s="23">
        <v>193.55072463768116</v>
      </c>
    </row>
    <row r="17" spans="49:53" x14ac:dyDescent="0.25">
      <c r="AX17" s="22" t="s">
        <v>81</v>
      </c>
      <c r="AY17" s="19">
        <v>77</v>
      </c>
      <c r="AZ17" s="19">
        <v>199</v>
      </c>
      <c r="BA17" s="23">
        <v>134.09090909090909</v>
      </c>
    </row>
    <row r="18" spans="49:53" x14ac:dyDescent="0.25">
      <c r="AX18" s="22" t="s">
        <v>82</v>
      </c>
      <c r="AY18" s="19">
        <v>80</v>
      </c>
      <c r="AZ18" s="19">
        <v>202</v>
      </c>
      <c r="BA18" s="23">
        <v>197.75</v>
      </c>
    </row>
    <row r="19" spans="49:53" x14ac:dyDescent="0.25">
      <c r="AX19" s="22" t="s">
        <v>83</v>
      </c>
      <c r="AY19" s="19">
        <v>55</v>
      </c>
      <c r="AZ19" s="19">
        <v>134</v>
      </c>
      <c r="BA19" s="23">
        <v>140.81818181818181</v>
      </c>
    </row>
    <row r="20" spans="49:53" x14ac:dyDescent="0.25">
      <c r="AX20" s="21" t="s">
        <v>11</v>
      </c>
      <c r="AY20" s="19">
        <v>341</v>
      </c>
      <c r="AZ20" s="19">
        <v>848</v>
      </c>
      <c r="BA20" s="23">
        <v>182.34604105571847</v>
      </c>
    </row>
    <row r="21" spans="49:53" x14ac:dyDescent="0.25">
      <c r="AX21" s="22" t="s">
        <v>79</v>
      </c>
      <c r="AY21" s="19">
        <v>69</v>
      </c>
      <c r="AZ21" s="19">
        <v>160</v>
      </c>
      <c r="BA21" s="23">
        <v>186.8840579710145</v>
      </c>
    </row>
    <row r="22" spans="49:53" x14ac:dyDescent="0.25">
      <c r="AW22"/>
      <c r="AX22" s="22" t="s">
        <v>80</v>
      </c>
      <c r="AY22" s="19">
        <v>64</v>
      </c>
      <c r="AZ22" s="19">
        <v>179</v>
      </c>
      <c r="BA22" s="23">
        <v>175.625</v>
      </c>
    </row>
    <row r="23" spans="49:53" x14ac:dyDescent="0.25">
      <c r="AW23"/>
      <c r="AX23" s="22" t="s">
        <v>81</v>
      </c>
      <c r="AY23" s="19">
        <v>74</v>
      </c>
      <c r="AZ23" s="19">
        <v>172</v>
      </c>
      <c r="BA23" s="23">
        <v>170.20270270270271</v>
      </c>
    </row>
    <row r="24" spans="49:53" x14ac:dyDescent="0.25">
      <c r="AW24"/>
      <c r="AX24" s="22" t="s">
        <v>82</v>
      </c>
      <c r="AY24" s="19">
        <v>85</v>
      </c>
      <c r="AZ24" s="19">
        <v>207</v>
      </c>
      <c r="BA24" s="23">
        <v>171.11764705882354</v>
      </c>
    </row>
    <row r="25" spans="49:53" x14ac:dyDescent="0.25">
      <c r="AW25"/>
      <c r="AX25" s="22" t="s">
        <v>83</v>
      </c>
      <c r="AY25" s="19">
        <v>49</v>
      </c>
      <c r="AZ25" s="19">
        <v>130</v>
      </c>
      <c r="BA25" s="23">
        <v>222.55102040816325</v>
      </c>
    </row>
    <row r="26" spans="49:53" x14ac:dyDescent="0.25">
      <c r="AW26"/>
      <c r="AX26" s="21" t="s">
        <v>78</v>
      </c>
      <c r="AY26" s="19">
        <v>998</v>
      </c>
      <c r="AZ26" s="19">
        <v>2510</v>
      </c>
      <c r="BA26" s="23">
        <v>179.71943887775552</v>
      </c>
    </row>
    <row r="56" spans="49:50" x14ac:dyDescent="0.25">
      <c r="AW56"/>
      <c r="AX56"/>
    </row>
    <row r="57" spans="49:50" x14ac:dyDescent="0.25">
      <c r="AW57"/>
      <c r="AX57"/>
    </row>
    <row r="58" spans="49:50" x14ac:dyDescent="0.25">
      <c r="AW58"/>
      <c r="AX58"/>
    </row>
    <row r="59" spans="49:50" x14ac:dyDescent="0.25">
      <c r="AW59"/>
      <c r="AX59"/>
    </row>
    <row r="60" spans="49:50" x14ac:dyDescent="0.25">
      <c r="AW60"/>
      <c r="AX60"/>
    </row>
    <row r="61" spans="49:50" x14ac:dyDescent="0.25">
      <c r="AW61"/>
      <c r="AX61"/>
    </row>
    <row r="62" spans="49:50" x14ac:dyDescent="0.25">
      <c r="AW62"/>
      <c r="AX62"/>
    </row>
    <row r="63" spans="49:50" x14ac:dyDescent="0.25">
      <c r="AW63"/>
      <c r="AX63"/>
    </row>
    <row r="64" spans="49:50" x14ac:dyDescent="0.25">
      <c r="AW64"/>
      <c r="AX64"/>
    </row>
    <row r="65" spans="49:50" x14ac:dyDescent="0.25">
      <c r="AW65"/>
      <c r="AX65"/>
    </row>
    <row r="66" spans="49:50" x14ac:dyDescent="0.25">
      <c r="AW66"/>
      <c r="AX66"/>
    </row>
    <row r="67" spans="49:50" x14ac:dyDescent="0.25">
      <c r="AW67"/>
      <c r="AX67"/>
    </row>
    <row r="68" spans="49:50" x14ac:dyDescent="0.25">
      <c r="AW68"/>
      <c r="AX68"/>
    </row>
    <row r="69" spans="49:50" x14ac:dyDescent="0.25">
      <c r="AW69"/>
      <c r="AX69"/>
    </row>
    <row r="70" spans="49:50" x14ac:dyDescent="0.25">
      <c r="AW70"/>
      <c r="AX70"/>
    </row>
    <row r="71" spans="49:50" x14ac:dyDescent="0.25">
      <c r="AW71"/>
      <c r="AX71"/>
    </row>
    <row r="72" spans="49:50" x14ac:dyDescent="0.25">
      <c r="AW72"/>
      <c r="AX72"/>
    </row>
    <row r="73" spans="49:50" x14ac:dyDescent="0.25">
      <c r="AW73"/>
      <c r="AX73"/>
    </row>
    <row r="74" spans="49:50" x14ac:dyDescent="0.25">
      <c r="AW74"/>
      <c r="AX74"/>
    </row>
    <row r="75" spans="49:50" x14ac:dyDescent="0.25">
      <c r="AW75"/>
      <c r="AX75"/>
    </row>
    <row r="76" spans="49:50" x14ac:dyDescent="0.25">
      <c r="AW76"/>
      <c r="AX76"/>
    </row>
    <row r="77" spans="49:50" x14ac:dyDescent="0.25">
      <c r="AW77"/>
      <c r="AX77"/>
    </row>
    <row r="78" spans="49:50" x14ac:dyDescent="0.25">
      <c r="AW78"/>
      <c r="AX78"/>
    </row>
    <row r="79" spans="49:50" x14ac:dyDescent="0.25">
      <c r="AW79"/>
      <c r="AX79"/>
    </row>
    <row r="80" spans="49:50" x14ac:dyDescent="0.25">
      <c r="AW80"/>
      <c r="AX80"/>
    </row>
    <row r="81" spans="49:50" x14ac:dyDescent="0.25">
      <c r="AW81"/>
      <c r="AX81"/>
    </row>
    <row r="82" spans="49:50" x14ac:dyDescent="0.25">
      <c r="AW82"/>
      <c r="AX82"/>
    </row>
    <row r="83" spans="49:50" x14ac:dyDescent="0.25">
      <c r="AW83"/>
      <c r="AX83"/>
    </row>
    <row r="84" spans="49:50" x14ac:dyDescent="0.25">
      <c r="AW84"/>
      <c r="AX84"/>
    </row>
    <row r="85" spans="49:50" x14ac:dyDescent="0.25">
      <c r="AW85"/>
      <c r="AX85"/>
    </row>
    <row r="86" spans="49:50" x14ac:dyDescent="0.25">
      <c r="AW86"/>
      <c r="AX86"/>
    </row>
    <row r="87" spans="49:50" x14ac:dyDescent="0.25">
      <c r="AW87"/>
      <c r="AX87"/>
    </row>
    <row r="88" spans="49:50" x14ac:dyDescent="0.25">
      <c r="AW88"/>
      <c r="AX88"/>
    </row>
    <row r="89" spans="49:50" x14ac:dyDescent="0.25">
      <c r="AW89"/>
      <c r="AX89"/>
    </row>
    <row r="90" spans="49:50" x14ac:dyDescent="0.25">
      <c r="AW90"/>
      <c r="AX90"/>
    </row>
    <row r="91" spans="49:50" x14ac:dyDescent="0.25">
      <c r="AW91"/>
      <c r="AX91"/>
    </row>
    <row r="92" spans="49:50" x14ac:dyDescent="0.25">
      <c r="AW92"/>
      <c r="AX92"/>
    </row>
    <row r="93" spans="49:50" x14ac:dyDescent="0.25">
      <c r="AW93"/>
      <c r="AX93"/>
    </row>
    <row r="94" spans="49:50" x14ac:dyDescent="0.25">
      <c r="AW94"/>
      <c r="AX94"/>
    </row>
    <row r="95" spans="49:50" x14ac:dyDescent="0.25">
      <c r="AW95"/>
      <c r="AX95"/>
    </row>
    <row r="96" spans="49:50" x14ac:dyDescent="0.25">
      <c r="AW96"/>
      <c r="AX96"/>
    </row>
    <row r="97" spans="49:50" x14ac:dyDescent="0.25">
      <c r="AW97"/>
      <c r="AX97"/>
    </row>
    <row r="98" spans="49:50" x14ac:dyDescent="0.25">
      <c r="AW98"/>
      <c r="AX98"/>
    </row>
    <row r="99" spans="49:50" x14ac:dyDescent="0.25">
      <c r="AW99"/>
      <c r="AX99"/>
    </row>
    <row r="100" spans="49:50" x14ac:dyDescent="0.25">
      <c r="AW100"/>
      <c r="AX100"/>
    </row>
    <row r="101" spans="49:50" x14ac:dyDescent="0.25">
      <c r="AW101"/>
      <c r="AX101"/>
    </row>
    <row r="102" spans="49:50" x14ac:dyDescent="0.25">
      <c r="AW102"/>
      <c r="AX102"/>
    </row>
    <row r="103" spans="49:50" x14ac:dyDescent="0.25">
      <c r="AW103"/>
      <c r="AX103"/>
    </row>
    <row r="104" spans="49:50" x14ac:dyDescent="0.25">
      <c r="AW104"/>
      <c r="AX104"/>
    </row>
    <row r="105" spans="49:50" x14ac:dyDescent="0.25">
      <c r="AW105"/>
      <c r="AX105"/>
    </row>
    <row r="106" spans="49:50" x14ac:dyDescent="0.25">
      <c r="AW106"/>
      <c r="AX106"/>
    </row>
    <row r="107" spans="49:50" x14ac:dyDescent="0.25">
      <c r="AW107"/>
      <c r="AX107"/>
    </row>
    <row r="108" spans="49:50" x14ac:dyDescent="0.25">
      <c r="AW108"/>
      <c r="AX108"/>
    </row>
    <row r="109" spans="49:50" x14ac:dyDescent="0.25">
      <c r="AW109"/>
      <c r="AX109"/>
    </row>
    <row r="110" spans="49:50" x14ac:dyDescent="0.25">
      <c r="AW110"/>
      <c r="AX110"/>
    </row>
    <row r="111" spans="49:50" x14ac:dyDescent="0.25">
      <c r="AW111"/>
      <c r="AX111"/>
    </row>
    <row r="112" spans="49:50" x14ac:dyDescent="0.25">
      <c r="AW112"/>
      <c r="AX112"/>
    </row>
    <row r="113" spans="49:50" x14ac:dyDescent="0.25">
      <c r="AW113"/>
      <c r="AX113"/>
    </row>
    <row r="114" spans="49:50" x14ac:dyDescent="0.25">
      <c r="AW114"/>
      <c r="AX114"/>
    </row>
    <row r="115" spans="49:50" x14ac:dyDescent="0.25">
      <c r="AW115"/>
      <c r="AX115"/>
    </row>
    <row r="116" spans="49:50" x14ac:dyDescent="0.25">
      <c r="AW116"/>
      <c r="AX116"/>
    </row>
    <row r="117" spans="49:50" x14ac:dyDescent="0.25">
      <c r="AW117"/>
      <c r="AX117"/>
    </row>
    <row r="118" spans="49:50" x14ac:dyDescent="0.25">
      <c r="AW118"/>
      <c r="AX118"/>
    </row>
    <row r="119" spans="49:50" x14ac:dyDescent="0.25">
      <c r="AW119"/>
      <c r="AX119"/>
    </row>
    <row r="120" spans="49:50" x14ac:dyDescent="0.25">
      <c r="AW120"/>
      <c r="AX120"/>
    </row>
    <row r="121" spans="49:50" x14ac:dyDescent="0.25">
      <c r="AW121"/>
      <c r="AX121"/>
    </row>
    <row r="122" spans="49:50" x14ac:dyDescent="0.25">
      <c r="AW122"/>
      <c r="AX122"/>
    </row>
    <row r="123" spans="49:50" x14ac:dyDescent="0.25">
      <c r="AW123"/>
      <c r="AX123"/>
    </row>
    <row r="124" spans="49:50" x14ac:dyDescent="0.25">
      <c r="AW124"/>
      <c r="AX124"/>
    </row>
    <row r="125" spans="49:50" x14ac:dyDescent="0.25">
      <c r="AW125"/>
      <c r="AX125"/>
    </row>
    <row r="126" spans="49:50" x14ac:dyDescent="0.25">
      <c r="AW126"/>
      <c r="AX126"/>
    </row>
    <row r="127" spans="49:50" x14ac:dyDescent="0.25">
      <c r="AW127"/>
      <c r="AX127"/>
    </row>
    <row r="128" spans="49:50" x14ac:dyDescent="0.25">
      <c r="AW128"/>
      <c r="AX128"/>
    </row>
    <row r="129" spans="49:50" x14ac:dyDescent="0.25">
      <c r="AW129"/>
      <c r="AX129"/>
    </row>
    <row r="130" spans="49:50" x14ac:dyDescent="0.25">
      <c r="AW130"/>
      <c r="AX130"/>
    </row>
    <row r="131" spans="49:50" x14ac:dyDescent="0.25">
      <c r="AW131"/>
      <c r="AX131"/>
    </row>
    <row r="132" spans="49:50" x14ac:dyDescent="0.25">
      <c r="AW132"/>
      <c r="AX132"/>
    </row>
    <row r="133" spans="49:50" x14ac:dyDescent="0.25">
      <c r="AW133"/>
      <c r="AX133"/>
    </row>
    <row r="134" spans="49:50" x14ac:dyDescent="0.25">
      <c r="AW134"/>
      <c r="AX134"/>
    </row>
    <row r="135" spans="49:50" x14ac:dyDescent="0.25">
      <c r="AW135"/>
      <c r="AX135"/>
    </row>
    <row r="136" spans="49:50" x14ac:dyDescent="0.25">
      <c r="AW136"/>
      <c r="AX136"/>
    </row>
    <row r="137" spans="49:50" x14ac:dyDescent="0.25">
      <c r="AW137"/>
      <c r="AX137"/>
    </row>
    <row r="138" spans="49:50" x14ac:dyDescent="0.25">
      <c r="AW138"/>
      <c r="AX138"/>
    </row>
    <row r="139" spans="49:50" x14ac:dyDescent="0.25">
      <c r="AW139"/>
      <c r="AX139"/>
    </row>
    <row r="140" spans="49:50" x14ac:dyDescent="0.25">
      <c r="AW140"/>
      <c r="AX140"/>
    </row>
    <row r="141" spans="49:50" x14ac:dyDescent="0.25">
      <c r="AW141"/>
      <c r="AX141"/>
    </row>
    <row r="142" spans="49:50" x14ac:dyDescent="0.25">
      <c r="AW142"/>
      <c r="AX142"/>
    </row>
    <row r="143" spans="49:50" x14ac:dyDescent="0.25">
      <c r="AW143"/>
      <c r="AX143"/>
    </row>
    <row r="144" spans="49:50" x14ac:dyDescent="0.25">
      <c r="AW144"/>
      <c r="AX144"/>
    </row>
    <row r="145" spans="49:50" x14ac:dyDescent="0.25">
      <c r="AW145"/>
      <c r="AX145"/>
    </row>
    <row r="146" spans="49:50" x14ac:dyDescent="0.25">
      <c r="AW146"/>
      <c r="AX146"/>
    </row>
    <row r="147" spans="49:50" x14ac:dyDescent="0.25">
      <c r="AW147"/>
      <c r="AX147"/>
    </row>
    <row r="148" spans="49:50" x14ac:dyDescent="0.25">
      <c r="AW148"/>
      <c r="AX148"/>
    </row>
    <row r="149" spans="49:50" x14ac:dyDescent="0.25">
      <c r="AW149"/>
      <c r="AX149"/>
    </row>
    <row r="150" spans="49:50" x14ac:dyDescent="0.25">
      <c r="AW150"/>
      <c r="AX150"/>
    </row>
    <row r="151" spans="49:50" x14ac:dyDescent="0.25">
      <c r="AW151"/>
      <c r="AX151"/>
    </row>
    <row r="152" spans="49:50" x14ac:dyDescent="0.25">
      <c r="AW152"/>
      <c r="AX152"/>
    </row>
    <row r="153" spans="49:50" x14ac:dyDescent="0.25">
      <c r="AW153"/>
      <c r="AX153"/>
    </row>
    <row r="154" spans="49:50" x14ac:dyDescent="0.25">
      <c r="AW154"/>
      <c r="AX154"/>
    </row>
    <row r="155" spans="49:50" x14ac:dyDescent="0.25">
      <c r="AW155"/>
      <c r="AX155"/>
    </row>
    <row r="156" spans="49:50" x14ac:dyDescent="0.25">
      <c r="AW156"/>
      <c r="AX156"/>
    </row>
    <row r="157" spans="49:50" x14ac:dyDescent="0.25">
      <c r="AW157"/>
      <c r="AX157"/>
    </row>
    <row r="158" spans="49:50" x14ac:dyDescent="0.25">
      <c r="AW158"/>
      <c r="AX158"/>
    </row>
    <row r="159" spans="49:50" x14ac:dyDescent="0.25">
      <c r="AW159"/>
      <c r="AX159"/>
    </row>
    <row r="160" spans="49:50" x14ac:dyDescent="0.25">
      <c r="AW160"/>
      <c r="AX160"/>
    </row>
    <row r="161" spans="49:50" x14ac:dyDescent="0.25">
      <c r="AW161"/>
      <c r="AX161"/>
    </row>
    <row r="162" spans="49:50" x14ac:dyDescent="0.25">
      <c r="AW162"/>
      <c r="AX162"/>
    </row>
    <row r="163" spans="49:50" x14ac:dyDescent="0.25">
      <c r="AW163"/>
      <c r="AX163"/>
    </row>
    <row r="164" spans="49:50" x14ac:dyDescent="0.25">
      <c r="AW164"/>
      <c r="AX164"/>
    </row>
    <row r="165" spans="49:50" x14ac:dyDescent="0.25">
      <c r="AW165"/>
      <c r="AX165"/>
    </row>
    <row r="166" spans="49:50" x14ac:dyDescent="0.25">
      <c r="AW166"/>
      <c r="AX166"/>
    </row>
    <row r="167" spans="49:50" x14ac:dyDescent="0.25">
      <c r="AW167"/>
      <c r="AX167"/>
    </row>
    <row r="168" spans="49:50" x14ac:dyDescent="0.25">
      <c r="AW168"/>
      <c r="AX168"/>
    </row>
    <row r="169" spans="49:50" x14ac:dyDescent="0.25">
      <c r="AW169"/>
      <c r="AX169"/>
    </row>
    <row r="170" spans="49:50" x14ac:dyDescent="0.25">
      <c r="AW170"/>
      <c r="AX170"/>
    </row>
    <row r="171" spans="49:50" x14ac:dyDescent="0.25">
      <c r="AW171"/>
      <c r="AX171"/>
    </row>
    <row r="172" spans="49:50" x14ac:dyDescent="0.25">
      <c r="AW172"/>
      <c r="AX172"/>
    </row>
    <row r="173" spans="49:50" x14ac:dyDescent="0.25">
      <c r="AW173"/>
      <c r="AX173"/>
    </row>
    <row r="174" spans="49:50" x14ac:dyDescent="0.25">
      <c r="AW174"/>
      <c r="AX174"/>
    </row>
    <row r="175" spans="49:50" x14ac:dyDescent="0.25">
      <c r="AW175"/>
      <c r="AX175"/>
    </row>
    <row r="176" spans="49:50" x14ac:dyDescent="0.25">
      <c r="AW176"/>
      <c r="AX176"/>
    </row>
    <row r="177" spans="49:50" x14ac:dyDescent="0.25">
      <c r="AW177"/>
      <c r="AX177"/>
    </row>
    <row r="178" spans="49:50" x14ac:dyDescent="0.25">
      <c r="AW178"/>
      <c r="AX178"/>
    </row>
    <row r="179" spans="49:50" x14ac:dyDescent="0.25">
      <c r="AW179"/>
      <c r="AX179"/>
    </row>
    <row r="180" spans="49:50" x14ac:dyDescent="0.25">
      <c r="AW180"/>
      <c r="AX180"/>
    </row>
    <row r="181" spans="49:50" x14ac:dyDescent="0.25">
      <c r="AW181"/>
      <c r="AX181"/>
    </row>
    <row r="182" spans="49:50" x14ac:dyDescent="0.25">
      <c r="AW182"/>
      <c r="AX182"/>
    </row>
    <row r="183" spans="49:50" x14ac:dyDescent="0.25">
      <c r="AW183"/>
      <c r="AX183"/>
    </row>
    <row r="184" spans="49:50" x14ac:dyDescent="0.25">
      <c r="AW184"/>
      <c r="AX184"/>
    </row>
    <row r="185" spans="49:50" x14ac:dyDescent="0.25">
      <c r="AW185"/>
      <c r="AX185"/>
    </row>
    <row r="186" spans="49:50" x14ac:dyDescent="0.25">
      <c r="AW186"/>
      <c r="AX186"/>
    </row>
    <row r="187" spans="49:50" x14ac:dyDescent="0.25">
      <c r="AW187"/>
      <c r="AX187"/>
    </row>
    <row r="188" spans="49:50" x14ac:dyDescent="0.25">
      <c r="AW188"/>
      <c r="AX188"/>
    </row>
    <row r="189" spans="49:50" x14ac:dyDescent="0.25">
      <c r="AW189"/>
      <c r="AX189"/>
    </row>
    <row r="190" spans="49:50" x14ac:dyDescent="0.25">
      <c r="AW190"/>
      <c r="AX190"/>
    </row>
    <row r="191" spans="49:50" x14ac:dyDescent="0.25">
      <c r="AW191"/>
      <c r="AX191"/>
    </row>
    <row r="192" spans="49:50" x14ac:dyDescent="0.25">
      <c r="AW192"/>
      <c r="AX192"/>
    </row>
    <row r="193" spans="49:50" x14ac:dyDescent="0.25">
      <c r="AW193"/>
      <c r="AX193"/>
    </row>
    <row r="194" spans="49:50" x14ac:dyDescent="0.25">
      <c r="AW194"/>
      <c r="AX194"/>
    </row>
    <row r="195" spans="49:50" x14ac:dyDescent="0.25">
      <c r="AW195"/>
      <c r="AX195"/>
    </row>
    <row r="196" spans="49:50" x14ac:dyDescent="0.25">
      <c r="AW196"/>
      <c r="AX196"/>
    </row>
    <row r="197" spans="49:50" x14ac:dyDescent="0.25">
      <c r="AW197"/>
      <c r="AX197"/>
    </row>
    <row r="198" spans="49:50" x14ac:dyDescent="0.25">
      <c r="AW198"/>
      <c r="AX198"/>
    </row>
    <row r="199" spans="49:50" x14ac:dyDescent="0.25">
      <c r="AW199"/>
      <c r="AX199"/>
    </row>
    <row r="200" spans="49:50" x14ac:dyDescent="0.25">
      <c r="AW200"/>
      <c r="AX200"/>
    </row>
    <row r="201" spans="49:50" x14ac:dyDescent="0.25">
      <c r="AW201"/>
      <c r="AX201"/>
    </row>
    <row r="202" spans="49:50" x14ac:dyDescent="0.25">
      <c r="AW202"/>
      <c r="AX202"/>
    </row>
    <row r="203" spans="49:50" x14ac:dyDescent="0.25">
      <c r="AW203"/>
      <c r="AX203"/>
    </row>
    <row r="204" spans="49:50" x14ac:dyDescent="0.25">
      <c r="AW204"/>
      <c r="AX204"/>
    </row>
    <row r="205" spans="49:50" x14ac:dyDescent="0.25">
      <c r="AW205"/>
      <c r="AX205"/>
    </row>
    <row r="206" spans="49:50" x14ac:dyDescent="0.25">
      <c r="AW206"/>
      <c r="AX206"/>
    </row>
    <row r="207" spans="49:50" x14ac:dyDescent="0.25">
      <c r="AW207"/>
      <c r="AX207"/>
    </row>
    <row r="208" spans="49:50" x14ac:dyDescent="0.25">
      <c r="AW208"/>
      <c r="AX208"/>
    </row>
    <row r="209" spans="49:50" x14ac:dyDescent="0.25">
      <c r="AW209"/>
      <c r="AX209"/>
    </row>
    <row r="210" spans="49:50" x14ac:dyDescent="0.25">
      <c r="AW210"/>
      <c r="AX210"/>
    </row>
    <row r="211" spans="49:50" x14ac:dyDescent="0.25">
      <c r="AW211"/>
      <c r="AX211"/>
    </row>
    <row r="212" spans="49:50" x14ac:dyDescent="0.25">
      <c r="AW212"/>
      <c r="AX212"/>
    </row>
    <row r="213" spans="49:50" x14ac:dyDescent="0.25">
      <c r="AW213"/>
      <c r="AX213"/>
    </row>
    <row r="214" spans="49:50" x14ac:dyDescent="0.25">
      <c r="AW214"/>
      <c r="AX214"/>
    </row>
    <row r="215" spans="49:50" x14ac:dyDescent="0.25">
      <c r="AW215"/>
      <c r="AX215"/>
    </row>
    <row r="216" spans="49:50" x14ac:dyDescent="0.25">
      <c r="AW216"/>
      <c r="AX216"/>
    </row>
    <row r="217" spans="49:50" x14ac:dyDescent="0.25">
      <c r="AW217"/>
      <c r="AX217"/>
    </row>
    <row r="218" spans="49:50" x14ac:dyDescent="0.25">
      <c r="AW218"/>
      <c r="AX218"/>
    </row>
    <row r="219" spans="49:50" x14ac:dyDescent="0.25">
      <c r="AW219"/>
      <c r="AX219"/>
    </row>
    <row r="220" spans="49:50" x14ac:dyDescent="0.25">
      <c r="AW220"/>
      <c r="AX220"/>
    </row>
    <row r="221" spans="49:50" x14ac:dyDescent="0.25">
      <c r="AW221"/>
      <c r="AX221"/>
    </row>
    <row r="222" spans="49:50" x14ac:dyDescent="0.25">
      <c r="AW222"/>
      <c r="AX222"/>
    </row>
    <row r="223" spans="49:50" x14ac:dyDescent="0.25">
      <c r="AW223"/>
      <c r="AX223"/>
    </row>
    <row r="224" spans="49:50" x14ac:dyDescent="0.25">
      <c r="AW224"/>
      <c r="AX224"/>
    </row>
    <row r="225" spans="49:50" x14ac:dyDescent="0.25">
      <c r="AW225"/>
      <c r="AX225"/>
    </row>
    <row r="226" spans="49:50" x14ac:dyDescent="0.25">
      <c r="AW226"/>
      <c r="AX226"/>
    </row>
    <row r="227" spans="49:50" x14ac:dyDescent="0.25">
      <c r="AW227"/>
      <c r="AX227"/>
    </row>
    <row r="228" spans="49:50" x14ac:dyDescent="0.25">
      <c r="AW228"/>
      <c r="AX228"/>
    </row>
    <row r="229" spans="49:50" x14ac:dyDescent="0.25">
      <c r="AW229"/>
      <c r="AX229"/>
    </row>
    <row r="230" spans="49:50" x14ac:dyDescent="0.25">
      <c r="AW230"/>
      <c r="AX230"/>
    </row>
    <row r="231" spans="49:50" x14ac:dyDescent="0.25">
      <c r="AW231"/>
      <c r="AX231"/>
    </row>
    <row r="232" spans="49:50" x14ac:dyDescent="0.25">
      <c r="AW232"/>
      <c r="AX232"/>
    </row>
    <row r="233" spans="49:50" x14ac:dyDescent="0.25">
      <c r="AW233"/>
      <c r="AX233"/>
    </row>
    <row r="234" spans="49:50" x14ac:dyDescent="0.25">
      <c r="AW234"/>
      <c r="AX234"/>
    </row>
    <row r="235" spans="49:50" x14ac:dyDescent="0.25">
      <c r="AW235"/>
      <c r="AX235"/>
    </row>
    <row r="236" spans="49:50" x14ac:dyDescent="0.25">
      <c r="AW236"/>
      <c r="AX236"/>
    </row>
    <row r="237" spans="49:50" x14ac:dyDescent="0.25">
      <c r="AW237"/>
      <c r="AX237"/>
    </row>
    <row r="238" spans="49:50" x14ac:dyDescent="0.25">
      <c r="AW238"/>
      <c r="AX238"/>
    </row>
    <row r="239" spans="49:50" x14ac:dyDescent="0.25">
      <c r="AW239"/>
      <c r="AX239"/>
    </row>
    <row r="240" spans="49:50" x14ac:dyDescent="0.25">
      <c r="AW240"/>
      <c r="AX240"/>
    </row>
    <row r="241" spans="49:50" x14ac:dyDescent="0.25">
      <c r="AW241"/>
      <c r="AX241"/>
    </row>
    <row r="242" spans="49:50" x14ac:dyDescent="0.25">
      <c r="AW242"/>
      <c r="AX242"/>
    </row>
    <row r="243" spans="49:50" x14ac:dyDescent="0.25">
      <c r="AW243"/>
      <c r="AX243"/>
    </row>
    <row r="244" spans="49:50" x14ac:dyDescent="0.25">
      <c r="AW244"/>
      <c r="AX244"/>
    </row>
    <row r="245" spans="49:50" x14ac:dyDescent="0.25">
      <c r="AW245"/>
      <c r="AX245"/>
    </row>
    <row r="246" spans="49:50" x14ac:dyDescent="0.25">
      <c r="AW246"/>
      <c r="AX246"/>
    </row>
    <row r="247" spans="49:50" x14ac:dyDescent="0.25">
      <c r="AW247"/>
      <c r="AX247"/>
    </row>
    <row r="248" spans="49:50" x14ac:dyDescent="0.25">
      <c r="AW248"/>
      <c r="AX248"/>
    </row>
    <row r="249" spans="49:50" x14ac:dyDescent="0.25">
      <c r="AW249"/>
      <c r="AX249"/>
    </row>
    <row r="250" spans="49:50" x14ac:dyDescent="0.25">
      <c r="AW250"/>
      <c r="AX250"/>
    </row>
    <row r="251" spans="49:50" x14ac:dyDescent="0.25">
      <c r="AW251"/>
      <c r="AX251"/>
    </row>
    <row r="252" spans="49:50" x14ac:dyDescent="0.25">
      <c r="AW252"/>
      <c r="AX252"/>
    </row>
    <row r="253" spans="49:50" x14ac:dyDescent="0.25">
      <c r="AW253"/>
      <c r="AX253"/>
    </row>
    <row r="254" spans="49:50" x14ac:dyDescent="0.25">
      <c r="AW254"/>
      <c r="AX254"/>
    </row>
    <row r="255" spans="49:50" x14ac:dyDescent="0.25">
      <c r="AW255"/>
      <c r="AX255"/>
    </row>
    <row r="256" spans="49:50" x14ac:dyDescent="0.25">
      <c r="AW256"/>
      <c r="AX256"/>
    </row>
    <row r="257" spans="49:50" x14ac:dyDescent="0.25">
      <c r="AW257"/>
      <c r="AX257"/>
    </row>
    <row r="258" spans="49:50" x14ac:dyDescent="0.25">
      <c r="AW258"/>
      <c r="AX258"/>
    </row>
    <row r="259" spans="49:50" x14ac:dyDescent="0.25">
      <c r="AW259"/>
      <c r="AX259"/>
    </row>
    <row r="260" spans="49:50" x14ac:dyDescent="0.25">
      <c r="AW260"/>
      <c r="AX260"/>
    </row>
    <row r="261" spans="49:50" x14ac:dyDescent="0.25">
      <c r="AW261"/>
      <c r="AX261"/>
    </row>
    <row r="262" spans="49:50" x14ac:dyDescent="0.25">
      <c r="AW262"/>
      <c r="AX262"/>
    </row>
    <row r="263" spans="49:50" x14ac:dyDescent="0.25">
      <c r="AW263"/>
      <c r="AX263"/>
    </row>
    <row r="264" spans="49:50" x14ac:dyDescent="0.25">
      <c r="AW264"/>
      <c r="AX264"/>
    </row>
    <row r="265" spans="49:50" x14ac:dyDescent="0.25">
      <c r="AW265"/>
      <c r="AX265"/>
    </row>
    <row r="266" spans="49:50" x14ac:dyDescent="0.25">
      <c r="AW266"/>
      <c r="AX266"/>
    </row>
    <row r="267" spans="49:50" x14ac:dyDescent="0.25">
      <c r="AW267"/>
      <c r="AX267"/>
    </row>
    <row r="268" spans="49:50" x14ac:dyDescent="0.25">
      <c r="AW268"/>
      <c r="AX268"/>
    </row>
    <row r="269" spans="49:50" x14ac:dyDescent="0.25">
      <c r="AW269"/>
      <c r="AX269"/>
    </row>
    <row r="270" spans="49:50" x14ac:dyDescent="0.25">
      <c r="AW270"/>
      <c r="AX270"/>
    </row>
    <row r="271" spans="49:50" x14ac:dyDescent="0.25">
      <c r="AW271"/>
      <c r="AX271"/>
    </row>
    <row r="272" spans="49:50" x14ac:dyDescent="0.25">
      <c r="AW272"/>
      <c r="AX272"/>
    </row>
    <row r="273" spans="49:50" x14ac:dyDescent="0.25">
      <c r="AW273"/>
      <c r="AX273"/>
    </row>
    <row r="274" spans="49:50" x14ac:dyDescent="0.25">
      <c r="AW274"/>
      <c r="AX274"/>
    </row>
    <row r="275" spans="49:50" x14ac:dyDescent="0.25">
      <c r="AW275"/>
      <c r="AX275"/>
    </row>
    <row r="276" spans="49:50" x14ac:dyDescent="0.25">
      <c r="AW276"/>
      <c r="AX276"/>
    </row>
    <row r="277" spans="49:50" x14ac:dyDescent="0.25">
      <c r="AW277"/>
      <c r="AX277"/>
    </row>
    <row r="278" spans="49:50" x14ac:dyDescent="0.25">
      <c r="AW278"/>
      <c r="AX278"/>
    </row>
    <row r="279" spans="49:50" x14ac:dyDescent="0.25">
      <c r="AW279"/>
      <c r="AX279"/>
    </row>
    <row r="280" spans="49:50" x14ac:dyDescent="0.25">
      <c r="AW280"/>
      <c r="AX280"/>
    </row>
    <row r="281" spans="49:50" x14ac:dyDescent="0.25">
      <c r="AW281"/>
      <c r="AX281"/>
    </row>
    <row r="282" spans="49:50" x14ac:dyDescent="0.25">
      <c r="AW282"/>
      <c r="AX282"/>
    </row>
    <row r="283" spans="49:50" x14ac:dyDescent="0.25">
      <c r="AW283"/>
      <c r="AX283"/>
    </row>
    <row r="284" spans="49:50" x14ac:dyDescent="0.25">
      <c r="AW284"/>
      <c r="AX284"/>
    </row>
    <row r="285" spans="49:50" x14ac:dyDescent="0.25">
      <c r="AW285"/>
      <c r="AX285"/>
    </row>
    <row r="286" spans="49:50" x14ac:dyDescent="0.25">
      <c r="AW286"/>
      <c r="AX286"/>
    </row>
    <row r="287" spans="49:50" x14ac:dyDescent="0.25">
      <c r="AW287"/>
      <c r="AX287"/>
    </row>
    <row r="288" spans="49:50" x14ac:dyDescent="0.25">
      <c r="AW288"/>
      <c r="AX288"/>
    </row>
    <row r="289" spans="49:50" x14ac:dyDescent="0.25">
      <c r="AW289"/>
      <c r="AX289"/>
    </row>
    <row r="290" spans="49:50" x14ac:dyDescent="0.25">
      <c r="AW290"/>
      <c r="AX290"/>
    </row>
    <row r="291" spans="49:50" x14ac:dyDescent="0.25">
      <c r="AW291"/>
      <c r="AX291"/>
    </row>
    <row r="292" spans="49:50" x14ac:dyDescent="0.25">
      <c r="AW292"/>
      <c r="AX292"/>
    </row>
    <row r="293" spans="49:50" x14ac:dyDescent="0.25">
      <c r="AW293"/>
      <c r="AX293"/>
    </row>
    <row r="294" spans="49:50" x14ac:dyDescent="0.25">
      <c r="AW294"/>
      <c r="AX294"/>
    </row>
    <row r="295" spans="49:50" x14ac:dyDescent="0.25">
      <c r="AW295"/>
      <c r="AX295"/>
    </row>
    <row r="296" spans="49:50" x14ac:dyDescent="0.25">
      <c r="AW296"/>
      <c r="AX296"/>
    </row>
    <row r="297" spans="49:50" x14ac:dyDescent="0.25">
      <c r="AW297"/>
      <c r="AX297"/>
    </row>
    <row r="298" spans="49:50" x14ac:dyDescent="0.25">
      <c r="AW298"/>
      <c r="AX298"/>
    </row>
    <row r="299" spans="49:50" x14ac:dyDescent="0.25">
      <c r="AW299"/>
      <c r="AX299"/>
    </row>
    <row r="300" spans="49:50" x14ac:dyDescent="0.25">
      <c r="AW300"/>
      <c r="AX300"/>
    </row>
    <row r="301" spans="49:50" x14ac:dyDescent="0.25">
      <c r="AW301"/>
      <c r="AX301"/>
    </row>
    <row r="302" spans="49:50" x14ac:dyDescent="0.25">
      <c r="AW302"/>
      <c r="AX302"/>
    </row>
    <row r="303" spans="49:50" x14ac:dyDescent="0.25">
      <c r="AW303"/>
      <c r="AX303"/>
    </row>
    <row r="304" spans="49:50" x14ac:dyDescent="0.25">
      <c r="AW304"/>
      <c r="AX304"/>
    </row>
    <row r="305" spans="49:50" x14ac:dyDescent="0.25">
      <c r="AW305"/>
      <c r="AX305"/>
    </row>
    <row r="306" spans="49:50" x14ac:dyDescent="0.25">
      <c r="AW306"/>
      <c r="AX306"/>
    </row>
    <row r="307" spans="49:50" x14ac:dyDescent="0.25">
      <c r="AW307"/>
      <c r="AX307"/>
    </row>
    <row r="308" spans="49:50" x14ac:dyDescent="0.25">
      <c r="AW308"/>
      <c r="AX308"/>
    </row>
    <row r="309" spans="49:50" x14ac:dyDescent="0.25">
      <c r="AW309"/>
      <c r="AX309"/>
    </row>
    <row r="310" spans="49:50" x14ac:dyDescent="0.25">
      <c r="AW310"/>
      <c r="AX310"/>
    </row>
    <row r="311" spans="49:50" x14ac:dyDescent="0.25">
      <c r="AW311"/>
      <c r="AX311"/>
    </row>
    <row r="312" spans="49:50" x14ac:dyDescent="0.25">
      <c r="AW312"/>
      <c r="AX312"/>
    </row>
    <row r="313" spans="49:50" x14ac:dyDescent="0.25">
      <c r="AW313"/>
      <c r="AX313"/>
    </row>
    <row r="314" spans="49:50" x14ac:dyDescent="0.25">
      <c r="AW314"/>
      <c r="AX314"/>
    </row>
    <row r="315" spans="49:50" x14ac:dyDescent="0.25">
      <c r="AW315"/>
      <c r="AX315"/>
    </row>
    <row r="316" spans="49:50" x14ac:dyDescent="0.25">
      <c r="AW316"/>
      <c r="AX316"/>
    </row>
    <row r="317" spans="49:50" x14ac:dyDescent="0.25">
      <c r="AW317"/>
      <c r="AX317"/>
    </row>
    <row r="318" spans="49:50" x14ac:dyDescent="0.25">
      <c r="AW318"/>
      <c r="AX318"/>
    </row>
    <row r="319" spans="49:50" x14ac:dyDescent="0.25">
      <c r="AW319"/>
      <c r="AX319"/>
    </row>
    <row r="320" spans="49:50" x14ac:dyDescent="0.25">
      <c r="AW320"/>
      <c r="AX320"/>
    </row>
    <row r="321" spans="49:50" x14ac:dyDescent="0.25">
      <c r="AW321"/>
      <c r="AX321"/>
    </row>
    <row r="322" spans="49:50" x14ac:dyDescent="0.25">
      <c r="AW322"/>
      <c r="AX322"/>
    </row>
    <row r="323" spans="49:50" x14ac:dyDescent="0.25">
      <c r="AW323"/>
      <c r="AX323"/>
    </row>
    <row r="324" spans="49:50" x14ac:dyDescent="0.25">
      <c r="AW324"/>
      <c r="AX324"/>
    </row>
    <row r="325" spans="49:50" x14ac:dyDescent="0.25">
      <c r="AW325"/>
      <c r="AX325"/>
    </row>
    <row r="326" spans="49:50" x14ac:dyDescent="0.25">
      <c r="AW326"/>
      <c r="AX326"/>
    </row>
    <row r="327" spans="49:50" x14ac:dyDescent="0.25">
      <c r="AW327"/>
      <c r="AX327"/>
    </row>
    <row r="328" spans="49:50" x14ac:dyDescent="0.25">
      <c r="AW328"/>
      <c r="AX328"/>
    </row>
    <row r="329" spans="49:50" x14ac:dyDescent="0.25">
      <c r="AW329"/>
      <c r="AX329"/>
    </row>
    <row r="330" spans="49:50" x14ac:dyDescent="0.25">
      <c r="AW330"/>
      <c r="AX330"/>
    </row>
    <row r="331" spans="49:50" x14ac:dyDescent="0.25">
      <c r="AW331"/>
      <c r="AX331"/>
    </row>
    <row r="332" spans="49:50" x14ac:dyDescent="0.25">
      <c r="AW332"/>
      <c r="AX332"/>
    </row>
    <row r="333" spans="49:50" x14ac:dyDescent="0.25">
      <c r="AW333"/>
      <c r="AX333"/>
    </row>
    <row r="334" spans="49:50" x14ac:dyDescent="0.25">
      <c r="AW334"/>
      <c r="AX334"/>
    </row>
    <row r="335" spans="49:50" x14ac:dyDescent="0.25">
      <c r="AW335"/>
      <c r="AX335"/>
    </row>
    <row r="336" spans="49:50" x14ac:dyDescent="0.25">
      <c r="AW336"/>
      <c r="AX336"/>
    </row>
    <row r="337" spans="49:50" x14ac:dyDescent="0.25">
      <c r="AW337"/>
      <c r="AX337"/>
    </row>
    <row r="338" spans="49:50" x14ac:dyDescent="0.25">
      <c r="AW338"/>
      <c r="AX338"/>
    </row>
    <row r="339" spans="49:50" x14ac:dyDescent="0.25">
      <c r="AW339"/>
      <c r="AX339"/>
    </row>
    <row r="340" spans="49:50" x14ac:dyDescent="0.25">
      <c r="AW340"/>
      <c r="AX340"/>
    </row>
    <row r="341" spans="49:50" x14ac:dyDescent="0.25">
      <c r="AW341"/>
      <c r="AX341"/>
    </row>
    <row r="342" spans="49:50" x14ac:dyDescent="0.25">
      <c r="AW342"/>
      <c r="AX342"/>
    </row>
    <row r="343" spans="49:50" x14ac:dyDescent="0.25">
      <c r="AW343"/>
      <c r="AX343"/>
    </row>
    <row r="344" spans="49:50" x14ac:dyDescent="0.25">
      <c r="AW344"/>
      <c r="AX344"/>
    </row>
    <row r="345" spans="49:50" x14ac:dyDescent="0.25">
      <c r="AW345"/>
      <c r="AX345"/>
    </row>
    <row r="346" spans="49:50" x14ac:dyDescent="0.25">
      <c r="AW346"/>
      <c r="AX346"/>
    </row>
    <row r="347" spans="49:50" x14ac:dyDescent="0.25">
      <c r="AW347"/>
      <c r="AX347"/>
    </row>
    <row r="348" spans="49:50" x14ac:dyDescent="0.25">
      <c r="AW348"/>
      <c r="AX348"/>
    </row>
    <row r="349" spans="49:50" x14ac:dyDescent="0.25">
      <c r="AW349"/>
      <c r="AX349"/>
    </row>
    <row r="350" spans="49:50" x14ac:dyDescent="0.25">
      <c r="AW350"/>
      <c r="AX350"/>
    </row>
    <row r="351" spans="49:50" x14ac:dyDescent="0.25">
      <c r="AW351"/>
      <c r="AX351"/>
    </row>
    <row r="352" spans="49:50" x14ac:dyDescent="0.25">
      <c r="AW352"/>
      <c r="AX352"/>
    </row>
    <row r="353" spans="49:50" x14ac:dyDescent="0.25">
      <c r="AW353"/>
      <c r="AX353"/>
    </row>
    <row r="354" spans="49:50" x14ac:dyDescent="0.25">
      <c r="AW354"/>
      <c r="AX354"/>
    </row>
    <row r="355" spans="49:50" x14ac:dyDescent="0.25">
      <c r="AW355"/>
      <c r="AX355"/>
    </row>
    <row r="356" spans="49:50" x14ac:dyDescent="0.25">
      <c r="AW356"/>
      <c r="AX356"/>
    </row>
    <row r="357" spans="49:50" x14ac:dyDescent="0.25">
      <c r="AW357"/>
      <c r="AX357"/>
    </row>
    <row r="358" spans="49:50" x14ac:dyDescent="0.25">
      <c r="AW358"/>
      <c r="AX358"/>
    </row>
    <row r="359" spans="49:50" x14ac:dyDescent="0.25">
      <c r="AW359"/>
      <c r="AX359"/>
    </row>
    <row r="360" spans="49:50" x14ac:dyDescent="0.25">
      <c r="AW360"/>
      <c r="AX360"/>
    </row>
    <row r="361" spans="49:50" x14ac:dyDescent="0.25">
      <c r="AW361"/>
      <c r="AX361"/>
    </row>
    <row r="362" spans="49:50" x14ac:dyDescent="0.25">
      <c r="AW362"/>
      <c r="AX362"/>
    </row>
    <row r="363" spans="49:50" x14ac:dyDescent="0.25">
      <c r="AW363"/>
      <c r="AX363"/>
    </row>
    <row r="364" spans="49:50" x14ac:dyDescent="0.25">
      <c r="AW364"/>
      <c r="AX364"/>
    </row>
    <row r="365" spans="49:50" x14ac:dyDescent="0.25">
      <c r="AW365"/>
      <c r="AX365"/>
    </row>
    <row r="366" spans="49:50" x14ac:dyDescent="0.25">
      <c r="AW366"/>
      <c r="AX366"/>
    </row>
    <row r="367" spans="49:50" x14ac:dyDescent="0.25">
      <c r="AW367"/>
      <c r="AX367"/>
    </row>
    <row r="368" spans="49:50" x14ac:dyDescent="0.25">
      <c r="AW368"/>
      <c r="AX368"/>
    </row>
    <row r="369" spans="49:50" x14ac:dyDescent="0.25">
      <c r="AW369"/>
      <c r="AX369"/>
    </row>
    <row r="370" spans="49:50" x14ac:dyDescent="0.25">
      <c r="AW370"/>
      <c r="AX370"/>
    </row>
    <row r="371" spans="49:50" x14ac:dyDescent="0.25">
      <c r="AW371"/>
      <c r="AX371"/>
    </row>
    <row r="372" spans="49:50" x14ac:dyDescent="0.25">
      <c r="AW372"/>
      <c r="AX372"/>
    </row>
    <row r="373" spans="49:50" x14ac:dyDescent="0.25">
      <c r="AW373"/>
      <c r="AX373"/>
    </row>
    <row r="374" spans="49:50" x14ac:dyDescent="0.25">
      <c r="AW374"/>
      <c r="AX374"/>
    </row>
    <row r="375" spans="49:50" x14ac:dyDescent="0.25">
      <c r="AW375"/>
      <c r="AX375"/>
    </row>
    <row r="376" spans="49:50" x14ac:dyDescent="0.25">
      <c r="AW376"/>
      <c r="AX376"/>
    </row>
    <row r="377" spans="49:50" x14ac:dyDescent="0.25">
      <c r="AW377"/>
      <c r="AX377"/>
    </row>
    <row r="378" spans="49:50" x14ac:dyDescent="0.25">
      <c r="AW378"/>
      <c r="AX378"/>
    </row>
    <row r="379" spans="49:50" x14ac:dyDescent="0.25">
      <c r="AW379"/>
      <c r="AX379"/>
    </row>
    <row r="380" spans="49:50" x14ac:dyDescent="0.25">
      <c r="AW380"/>
      <c r="AX380"/>
    </row>
    <row r="381" spans="49:50" x14ac:dyDescent="0.25">
      <c r="AW381"/>
      <c r="AX381"/>
    </row>
    <row r="382" spans="49:50" x14ac:dyDescent="0.25">
      <c r="AW382"/>
      <c r="AX382"/>
    </row>
    <row r="383" spans="49:50" x14ac:dyDescent="0.25">
      <c r="AW383"/>
      <c r="AX383"/>
    </row>
    <row r="384" spans="49:50" x14ac:dyDescent="0.25">
      <c r="AW384"/>
      <c r="AX384"/>
    </row>
    <row r="385" spans="49:50" x14ac:dyDescent="0.25">
      <c r="AW385"/>
      <c r="AX385"/>
    </row>
    <row r="386" spans="49:50" x14ac:dyDescent="0.25">
      <c r="AW386"/>
      <c r="AX386"/>
    </row>
    <row r="387" spans="49:50" x14ac:dyDescent="0.25">
      <c r="AW387"/>
      <c r="AX387"/>
    </row>
    <row r="388" spans="49:50" x14ac:dyDescent="0.25">
      <c r="AW388"/>
      <c r="AX388"/>
    </row>
    <row r="389" spans="49:50" x14ac:dyDescent="0.25">
      <c r="AW389"/>
      <c r="AX389"/>
    </row>
    <row r="390" spans="49:50" x14ac:dyDescent="0.25">
      <c r="AW390"/>
      <c r="AX390"/>
    </row>
    <row r="391" spans="49:50" x14ac:dyDescent="0.25">
      <c r="AW391"/>
      <c r="AX391"/>
    </row>
    <row r="392" spans="49:50" x14ac:dyDescent="0.25">
      <c r="AW392"/>
      <c r="AX392"/>
    </row>
    <row r="393" spans="49:50" x14ac:dyDescent="0.25">
      <c r="AW393"/>
      <c r="AX393"/>
    </row>
    <row r="394" spans="49:50" x14ac:dyDescent="0.25">
      <c r="AW394"/>
      <c r="AX394"/>
    </row>
    <row r="395" spans="49:50" x14ac:dyDescent="0.25">
      <c r="AW395"/>
      <c r="AX395"/>
    </row>
    <row r="396" spans="49:50" x14ac:dyDescent="0.25">
      <c r="AW396"/>
      <c r="AX396"/>
    </row>
    <row r="397" spans="49:50" x14ac:dyDescent="0.25">
      <c r="AW397"/>
      <c r="AX397"/>
    </row>
    <row r="398" spans="49:50" x14ac:dyDescent="0.25">
      <c r="AW398"/>
      <c r="AX398"/>
    </row>
    <row r="399" spans="49:50" x14ac:dyDescent="0.25">
      <c r="AW399"/>
      <c r="AX399"/>
    </row>
    <row r="400" spans="49:50" x14ac:dyDescent="0.25">
      <c r="AW400"/>
      <c r="AX400"/>
    </row>
    <row r="401" spans="49:50" x14ac:dyDescent="0.25">
      <c r="AW401"/>
      <c r="AX401"/>
    </row>
    <row r="402" spans="49:50" x14ac:dyDescent="0.25">
      <c r="AW402"/>
      <c r="AX402"/>
    </row>
    <row r="403" spans="49:50" x14ac:dyDescent="0.25">
      <c r="AW403"/>
      <c r="AX403"/>
    </row>
    <row r="404" spans="49:50" x14ac:dyDescent="0.25">
      <c r="AW404"/>
      <c r="AX404"/>
    </row>
    <row r="405" spans="49:50" x14ac:dyDescent="0.25">
      <c r="AW405"/>
      <c r="AX405"/>
    </row>
    <row r="406" spans="49:50" x14ac:dyDescent="0.25">
      <c r="AW406"/>
      <c r="AX406"/>
    </row>
    <row r="407" spans="49:50" x14ac:dyDescent="0.25">
      <c r="AW407"/>
      <c r="AX407"/>
    </row>
    <row r="408" spans="49:50" x14ac:dyDescent="0.25">
      <c r="AW408"/>
      <c r="AX408"/>
    </row>
    <row r="409" spans="49:50" x14ac:dyDescent="0.25">
      <c r="AW409"/>
      <c r="AX409"/>
    </row>
    <row r="410" spans="49:50" x14ac:dyDescent="0.25">
      <c r="AW410"/>
      <c r="AX410"/>
    </row>
    <row r="411" spans="49:50" x14ac:dyDescent="0.25">
      <c r="AW411"/>
      <c r="AX411"/>
    </row>
    <row r="412" spans="49:50" x14ac:dyDescent="0.25">
      <c r="AW412"/>
      <c r="AX412"/>
    </row>
    <row r="413" spans="49:50" x14ac:dyDescent="0.25">
      <c r="AW413"/>
      <c r="AX413"/>
    </row>
    <row r="414" spans="49:50" x14ac:dyDescent="0.25">
      <c r="AW414"/>
      <c r="AX414"/>
    </row>
    <row r="415" spans="49:50" x14ac:dyDescent="0.25">
      <c r="AW415"/>
      <c r="AX415"/>
    </row>
    <row r="416" spans="49:50" x14ac:dyDescent="0.25">
      <c r="AW416"/>
      <c r="AX416"/>
    </row>
    <row r="417" spans="49:50" x14ac:dyDescent="0.25">
      <c r="AW417"/>
      <c r="AX417"/>
    </row>
    <row r="418" spans="49:50" x14ac:dyDescent="0.25">
      <c r="AW418"/>
      <c r="AX418"/>
    </row>
    <row r="419" spans="49:50" x14ac:dyDescent="0.25">
      <c r="AW419"/>
      <c r="AX419"/>
    </row>
    <row r="420" spans="49:50" x14ac:dyDescent="0.25">
      <c r="AW420"/>
      <c r="AX420"/>
    </row>
    <row r="421" spans="49:50" x14ac:dyDescent="0.25">
      <c r="AW421"/>
      <c r="AX421"/>
    </row>
    <row r="422" spans="49:50" x14ac:dyDescent="0.25">
      <c r="AW422"/>
      <c r="AX422"/>
    </row>
    <row r="423" spans="49:50" x14ac:dyDescent="0.25">
      <c r="AW423"/>
      <c r="AX423"/>
    </row>
    <row r="424" spans="49:50" x14ac:dyDescent="0.25">
      <c r="AW424"/>
      <c r="AX424"/>
    </row>
    <row r="425" spans="49:50" x14ac:dyDescent="0.25">
      <c r="AW425"/>
      <c r="AX425"/>
    </row>
    <row r="426" spans="49:50" x14ac:dyDescent="0.25">
      <c r="AW426"/>
      <c r="AX426"/>
    </row>
    <row r="427" spans="49:50" x14ac:dyDescent="0.25">
      <c r="AW427"/>
      <c r="AX427"/>
    </row>
    <row r="428" spans="49:50" x14ac:dyDescent="0.25">
      <c r="AW428"/>
      <c r="AX428"/>
    </row>
    <row r="429" spans="49:50" x14ac:dyDescent="0.25">
      <c r="AW429"/>
      <c r="AX429"/>
    </row>
    <row r="430" spans="49:50" x14ac:dyDescent="0.25">
      <c r="AW430"/>
      <c r="AX430"/>
    </row>
    <row r="431" spans="49:50" x14ac:dyDescent="0.25">
      <c r="AW431"/>
      <c r="AX431"/>
    </row>
    <row r="432" spans="49:50" x14ac:dyDescent="0.25">
      <c r="AW432"/>
      <c r="AX432"/>
    </row>
    <row r="433" spans="49:50" x14ac:dyDescent="0.25">
      <c r="AW433"/>
      <c r="AX433"/>
    </row>
    <row r="434" spans="49:50" x14ac:dyDescent="0.25">
      <c r="AW434"/>
      <c r="AX434"/>
    </row>
    <row r="435" spans="49:50" x14ac:dyDescent="0.25">
      <c r="AW435"/>
      <c r="AX435"/>
    </row>
    <row r="436" spans="49:50" x14ac:dyDescent="0.25">
      <c r="AW436"/>
      <c r="AX436"/>
    </row>
    <row r="437" spans="49:50" x14ac:dyDescent="0.25">
      <c r="AW437"/>
      <c r="AX437"/>
    </row>
    <row r="438" spans="49:50" x14ac:dyDescent="0.25">
      <c r="AW438"/>
      <c r="AX438"/>
    </row>
    <row r="439" spans="49:50" x14ac:dyDescent="0.25">
      <c r="AW439"/>
      <c r="AX439"/>
    </row>
    <row r="440" spans="49:50" x14ac:dyDescent="0.25">
      <c r="AW440"/>
      <c r="AX440"/>
    </row>
    <row r="441" spans="49:50" x14ac:dyDescent="0.25">
      <c r="AW441"/>
      <c r="AX441"/>
    </row>
    <row r="442" spans="49:50" x14ac:dyDescent="0.25">
      <c r="AW442"/>
      <c r="AX442"/>
    </row>
    <row r="443" spans="49:50" x14ac:dyDescent="0.25">
      <c r="AW443"/>
      <c r="AX443"/>
    </row>
    <row r="444" spans="49:50" x14ac:dyDescent="0.25">
      <c r="AW444"/>
      <c r="AX444"/>
    </row>
    <row r="445" spans="49:50" x14ac:dyDescent="0.25">
      <c r="AW445"/>
      <c r="AX445"/>
    </row>
    <row r="446" spans="49:50" x14ac:dyDescent="0.25">
      <c r="AW446"/>
      <c r="AX446"/>
    </row>
    <row r="447" spans="49:50" x14ac:dyDescent="0.25">
      <c r="AW447"/>
      <c r="AX447"/>
    </row>
    <row r="448" spans="49:50" x14ac:dyDescent="0.25">
      <c r="AW448"/>
      <c r="AX448"/>
    </row>
    <row r="449" spans="49:50" x14ac:dyDescent="0.25">
      <c r="AW449"/>
      <c r="AX449"/>
    </row>
    <row r="450" spans="49:50" x14ac:dyDescent="0.25">
      <c r="AW450"/>
      <c r="AX450"/>
    </row>
    <row r="451" spans="49:50" x14ac:dyDescent="0.25">
      <c r="AW451"/>
      <c r="AX451"/>
    </row>
    <row r="452" spans="49:50" x14ac:dyDescent="0.25">
      <c r="AW452"/>
      <c r="AX452"/>
    </row>
    <row r="453" spans="49:50" x14ac:dyDescent="0.25">
      <c r="AW453"/>
      <c r="AX453"/>
    </row>
    <row r="454" spans="49:50" x14ac:dyDescent="0.25">
      <c r="AW454"/>
      <c r="AX454"/>
    </row>
    <row r="455" spans="49:50" x14ac:dyDescent="0.25">
      <c r="AW455"/>
      <c r="AX455"/>
    </row>
    <row r="456" spans="49:50" x14ac:dyDescent="0.25">
      <c r="AW456"/>
      <c r="AX456"/>
    </row>
    <row r="457" spans="49:50" x14ac:dyDescent="0.25">
      <c r="AW457"/>
      <c r="AX457"/>
    </row>
    <row r="458" spans="49:50" x14ac:dyDescent="0.25">
      <c r="AW458"/>
      <c r="AX458"/>
    </row>
    <row r="459" spans="49:50" x14ac:dyDescent="0.25">
      <c r="AW459"/>
      <c r="AX459"/>
    </row>
    <row r="460" spans="49:50" x14ac:dyDescent="0.25">
      <c r="AW460"/>
      <c r="AX460"/>
    </row>
    <row r="461" spans="49:50" x14ac:dyDescent="0.25">
      <c r="AW461"/>
      <c r="AX461"/>
    </row>
    <row r="462" spans="49:50" x14ac:dyDescent="0.25">
      <c r="AW462"/>
      <c r="AX462"/>
    </row>
    <row r="463" spans="49:50" x14ac:dyDescent="0.25">
      <c r="AW463"/>
      <c r="AX463"/>
    </row>
    <row r="464" spans="49:50" x14ac:dyDescent="0.25">
      <c r="AW464"/>
      <c r="AX464"/>
    </row>
    <row r="465" spans="49:50" x14ac:dyDescent="0.25">
      <c r="AW465"/>
      <c r="AX465"/>
    </row>
    <row r="466" spans="49:50" x14ac:dyDescent="0.25">
      <c r="AW466"/>
      <c r="AX466"/>
    </row>
    <row r="467" spans="49:50" x14ac:dyDescent="0.25">
      <c r="AW467"/>
      <c r="AX467"/>
    </row>
    <row r="468" spans="49:50" x14ac:dyDescent="0.25">
      <c r="AW468"/>
      <c r="AX468"/>
    </row>
    <row r="469" spans="49:50" x14ac:dyDescent="0.25">
      <c r="AW469"/>
      <c r="AX469"/>
    </row>
    <row r="470" spans="49:50" x14ac:dyDescent="0.25">
      <c r="AW470"/>
      <c r="AX470"/>
    </row>
    <row r="471" spans="49:50" x14ac:dyDescent="0.25">
      <c r="AW471"/>
      <c r="AX471"/>
    </row>
    <row r="472" spans="49:50" x14ac:dyDescent="0.25">
      <c r="AW472"/>
      <c r="AX472"/>
    </row>
    <row r="473" spans="49:50" x14ac:dyDescent="0.25">
      <c r="AW473"/>
      <c r="AX473"/>
    </row>
    <row r="474" spans="49:50" x14ac:dyDescent="0.25">
      <c r="AW474"/>
      <c r="AX474"/>
    </row>
    <row r="475" spans="49:50" x14ac:dyDescent="0.25">
      <c r="AW475"/>
      <c r="AX475"/>
    </row>
    <row r="476" spans="49:50" x14ac:dyDescent="0.25">
      <c r="AW476"/>
      <c r="AX476"/>
    </row>
    <row r="477" spans="49:50" x14ac:dyDescent="0.25">
      <c r="AW477"/>
      <c r="AX477"/>
    </row>
    <row r="478" spans="49:50" x14ac:dyDescent="0.25">
      <c r="AW478"/>
      <c r="AX478"/>
    </row>
    <row r="479" spans="49:50" x14ac:dyDescent="0.25">
      <c r="AW479"/>
      <c r="AX479"/>
    </row>
    <row r="480" spans="49:50" x14ac:dyDescent="0.25">
      <c r="AW480"/>
      <c r="AX480"/>
    </row>
    <row r="481" spans="49:50" x14ac:dyDescent="0.25">
      <c r="AW481"/>
      <c r="AX481"/>
    </row>
    <row r="482" spans="49:50" x14ac:dyDescent="0.25">
      <c r="AW482"/>
      <c r="AX482"/>
    </row>
    <row r="483" spans="49:50" x14ac:dyDescent="0.25">
      <c r="AW483"/>
      <c r="AX483"/>
    </row>
    <row r="484" spans="49:50" x14ac:dyDescent="0.25">
      <c r="AW484"/>
      <c r="AX484"/>
    </row>
    <row r="485" spans="49:50" x14ac:dyDescent="0.25">
      <c r="AW485"/>
      <c r="AX485"/>
    </row>
    <row r="486" spans="49:50" x14ac:dyDescent="0.25">
      <c r="AW486"/>
      <c r="AX486"/>
    </row>
    <row r="487" spans="49:50" x14ac:dyDescent="0.25">
      <c r="AW487"/>
      <c r="AX487"/>
    </row>
    <row r="488" spans="49:50" x14ac:dyDescent="0.25">
      <c r="AW488"/>
      <c r="AX488"/>
    </row>
    <row r="489" spans="49:50" x14ac:dyDescent="0.25">
      <c r="AW489"/>
      <c r="AX489"/>
    </row>
    <row r="490" spans="49:50" x14ac:dyDescent="0.25">
      <c r="AW490"/>
      <c r="AX490"/>
    </row>
    <row r="491" spans="49:50" x14ac:dyDescent="0.25">
      <c r="AW491"/>
      <c r="AX491"/>
    </row>
    <row r="492" spans="49:50" x14ac:dyDescent="0.25">
      <c r="AW492"/>
      <c r="AX492"/>
    </row>
    <row r="493" spans="49:50" x14ac:dyDescent="0.25">
      <c r="AW493"/>
      <c r="AX493"/>
    </row>
    <row r="494" spans="49:50" x14ac:dyDescent="0.25">
      <c r="AW494"/>
      <c r="AX494"/>
    </row>
    <row r="495" spans="49:50" x14ac:dyDescent="0.25">
      <c r="AW495"/>
      <c r="AX495"/>
    </row>
    <row r="496" spans="49:50" x14ac:dyDescent="0.25">
      <c r="AW496"/>
      <c r="AX496"/>
    </row>
    <row r="497" spans="49:50" x14ac:dyDescent="0.25">
      <c r="AW497"/>
      <c r="AX497"/>
    </row>
    <row r="498" spans="49:50" x14ac:dyDescent="0.25">
      <c r="AW498"/>
      <c r="AX498"/>
    </row>
    <row r="499" spans="49:50" x14ac:dyDescent="0.25">
      <c r="AW499"/>
      <c r="AX499"/>
    </row>
    <row r="500" spans="49:50" x14ac:dyDescent="0.25">
      <c r="AW500"/>
      <c r="AX500"/>
    </row>
    <row r="501" spans="49:50" x14ac:dyDescent="0.25">
      <c r="AW501"/>
      <c r="AX501"/>
    </row>
    <row r="502" spans="49:50" x14ac:dyDescent="0.25">
      <c r="AW502"/>
      <c r="AX502"/>
    </row>
    <row r="503" spans="49:50" x14ac:dyDescent="0.25">
      <c r="AW503"/>
      <c r="AX503"/>
    </row>
    <row r="504" spans="49:50" x14ac:dyDescent="0.25">
      <c r="AW504"/>
      <c r="AX504"/>
    </row>
    <row r="505" spans="49:50" x14ac:dyDescent="0.25">
      <c r="AW505"/>
      <c r="AX505"/>
    </row>
    <row r="506" spans="49:50" x14ac:dyDescent="0.25">
      <c r="AW506"/>
      <c r="AX506"/>
    </row>
    <row r="507" spans="49:50" x14ac:dyDescent="0.25">
      <c r="AW507"/>
      <c r="AX507"/>
    </row>
    <row r="508" spans="49:50" x14ac:dyDescent="0.25">
      <c r="AW508"/>
      <c r="AX508"/>
    </row>
    <row r="509" spans="49:50" x14ac:dyDescent="0.25">
      <c r="AW509"/>
      <c r="AX509"/>
    </row>
    <row r="510" spans="49:50" x14ac:dyDescent="0.25">
      <c r="AW510"/>
      <c r="AX510"/>
    </row>
    <row r="511" spans="49:50" x14ac:dyDescent="0.25">
      <c r="AW511"/>
      <c r="AX511"/>
    </row>
    <row r="512" spans="49:50" x14ac:dyDescent="0.25">
      <c r="AW512"/>
      <c r="AX512"/>
    </row>
    <row r="513" spans="49:50" x14ac:dyDescent="0.25">
      <c r="AW513"/>
      <c r="AX513"/>
    </row>
    <row r="514" spans="49:50" x14ac:dyDescent="0.25">
      <c r="AW514"/>
      <c r="AX514"/>
    </row>
    <row r="515" spans="49:50" x14ac:dyDescent="0.25">
      <c r="AW515"/>
      <c r="AX515"/>
    </row>
    <row r="516" spans="49:50" x14ac:dyDescent="0.25">
      <c r="AW516"/>
      <c r="AX516"/>
    </row>
    <row r="517" spans="49:50" x14ac:dyDescent="0.25">
      <c r="AW517"/>
      <c r="AX517"/>
    </row>
    <row r="518" spans="49:50" x14ac:dyDescent="0.25">
      <c r="AW518"/>
      <c r="AX518"/>
    </row>
    <row r="519" spans="49:50" x14ac:dyDescent="0.25">
      <c r="AW519"/>
      <c r="AX519"/>
    </row>
    <row r="520" spans="49:50" x14ac:dyDescent="0.25">
      <c r="AW520"/>
      <c r="AX520"/>
    </row>
    <row r="521" spans="49:50" x14ac:dyDescent="0.25">
      <c r="AW521"/>
      <c r="AX521"/>
    </row>
    <row r="522" spans="49:50" x14ac:dyDescent="0.25">
      <c r="AW522"/>
      <c r="AX522"/>
    </row>
    <row r="523" spans="49:50" x14ac:dyDescent="0.25">
      <c r="AW523"/>
      <c r="AX523"/>
    </row>
    <row r="524" spans="49:50" x14ac:dyDescent="0.25">
      <c r="AW524"/>
      <c r="AX524"/>
    </row>
    <row r="525" spans="49:50" x14ac:dyDescent="0.25">
      <c r="AW525"/>
      <c r="AX525"/>
    </row>
    <row r="526" spans="49:50" x14ac:dyDescent="0.25">
      <c r="AW526"/>
      <c r="AX526"/>
    </row>
    <row r="527" spans="49:50" x14ac:dyDescent="0.25">
      <c r="AW527"/>
      <c r="AX527"/>
    </row>
    <row r="528" spans="49:50" x14ac:dyDescent="0.25">
      <c r="AW528"/>
      <c r="AX528"/>
    </row>
    <row r="529" spans="49:50" x14ac:dyDescent="0.25">
      <c r="AW529"/>
      <c r="AX529"/>
    </row>
    <row r="530" spans="49:50" x14ac:dyDescent="0.25">
      <c r="AW530"/>
      <c r="AX530"/>
    </row>
    <row r="531" spans="49:50" x14ac:dyDescent="0.25">
      <c r="AW531"/>
      <c r="AX531"/>
    </row>
    <row r="532" spans="49:50" x14ac:dyDescent="0.25">
      <c r="AW532"/>
      <c r="AX532"/>
    </row>
    <row r="533" spans="49:50" x14ac:dyDescent="0.25">
      <c r="AW533"/>
      <c r="AX533"/>
    </row>
    <row r="534" spans="49:50" x14ac:dyDescent="0.25">
      <c r="AW534"/>
      <c r="AX534"/>
    </row>
    <row r="535" spans="49:50" x14ac:dyDescent="0.25">
      <c r="AW535"/>
      <c r="AX535"/>
    </row>
    <row r="536" spans="49:50" x14ac:dyDescent="0.25">
      <c r="AW536"/>
      <c r="AX536"/>
    </row>
    <row r="537" spans="49:50" x14ac:dyDescent="0.25">
      <c r="AW537"/>
      <c r="AX537"/>
    </row>
    <row r="538" spans="49:50" x14ac:dyDescent="0.25">
      <c r="AW538"/>
      <c r="AX538"/>
    </row>
    <row r="539" spans="49:50" x14ac:dyDescent="0.25">
      <c r="AW539"/>
      <c r="AX539"/>
    </row>
    <row r="540" spans="49:50" x14ac:dyDescent="0.25">
      <c r="AW540"/>
      <c r="AX540"/>
    </row>
    <row r="541" spans="49:50" x14ac:dyDescent="0.25">
      <c r="AW541"/>
      <c r="AX541"/>
    </row>
    <row r="542" spans="49:50" x14ac:dyDescent="0.25">
      <c r="AW542"/>
      <c r="AX542"/>
    </row>
    <row r="543" spans="49:50" x14ac:dyDescent="0.25">
      <c r="AW543"/>
      <c r="AX543"/>
    </row>
    <row r="544" spans="49:50" x14ac:dyDescent="0.25">
      <c r="AW544"/>
      <c r="AX544"/>
    </row>
    <row r="545" spans="49:50" x14ac:dyDescent="0.25">
      <c r="AW545"/>
      <c r="AX545"/>
    </row>
    <row r="546" spans="49:50" x14ac:dyDescent="0.25">
      <c r="AW546"/>
      <c r="AX546"/>
    </row>
    <row r="547" spans="49:50" x14ac:dyDescent="0.25">
      <c r="AW547"/>
      <c r="AX547"/>
    </row>
    <row r="548" spans="49:50" x14ac:dyDescent="0.25">
      <c r="AW548"/>
      <c r="AX548"/>
    </row>
    <row r="549" spans="49:50" x14ac:dyDescent="0.25">
      <c r="AW549"/>
      <c r="AX549"/>
    </row>
    <row r="550" spans="49:50" x14ac:dyDescent="0.25">
      <c r="AW550"/>
      <c r="AX550"/>
    </row>
    <row r="551" spans="49:50" x14ac:dyDescent="0.25">
      <c r="AW551"/>
      <c r="AX551"/>
    </row>
    <row r="552" spans="49:50" x14ac:dyDescent="0.25">
      <c r="AW552"/>
      <c r="AX552"/>
    </row>
    <row r="553" spans="49:50" x14ac:dyDescent="0.25">
      <c r="AW553"/>
      <c r="AX553"/>
    </row>
    <row r="554" spans="49:50" x14ac:dyDescent="0.25">
      <c r="AW554"/>
      <c r="AX554"/>
    </row>
    <row r="555" spans="49:50" x14ac:dyDescent="0.25">
      <c r="AW555"/>
      <c r="AX555"/>
    </row>
    <row r="556" spans="49:50" x14ac:dyDescent="0.25">
      <c r="AW556"/>
      <c r="AX556"/>
    </row>
    <row r="557" spans="49:50" x14ac:dyDescent="0.25">
      <c r="AW557"/>
      <c r="AX557"/>
    </row>
    <row r="558" spans="49:50" x14ac:dyDescent="0.25">
      <c r="AW558"/>
      <c r="AX558"/>
    </row>
    <row r="559" spans="49:50" x14ac:dyDescent="0.25">
      <c r="AW559"/>
      <c r="AX559"/>
    </row>
    <row r="560" spans="49:50" x14ac:dyDescent="0.25">
      <c r="AW560"/>
      <c r="AX560"/>
    </row>
    <row r="561" spans="49:50" x14ac:dyDescent="0.25">
      <c r="AW561"/>
      <c r="AX561"/>
    </row>
    <row r="562" spans="49:50" x14ac:dyDescent="0.25">
      <c r="AW562"/>
      <c r="AX562"/>
    </row>
    <row r="563" spans="49:50" x14ac:dyDescent="0.25">
      <c r="AW563"/>
      <c r="AX563"/>
    </row>
    <row r="564" spans="49:50" x14ac:dyDescent="0.25">
      <c r="AW564"/>
      <c r="AX564"/>
    </row>
    <row r="565" spans="49:50" x14ac:dyDescent="0.25">
      <c r="AW565"/>
      <c r="AX565"/>
    </row>
    <row r="566" spans="49:50" x14ac:dyDescent="0.25">
      <c r="AW566"/>
      <c r="AX566"/>
    </row>
    <row r="567" spans="49:50" x14ac:dyDescent="0.25">
      <c r="AW567"/>
      <c r="AX567"/>
    </row>
    <row r="568" spans="49:50" x14ac:dyDescent="0.25">
      <c r="AW568"/>
      <c r="AX568"/>
    </row>
    <row r="569" spans="49:50" x14ac:dyDescent="0.25">
      <c r="AW569"/>
      <c r="AX569"/>
    </row>
    <row r="570" spans="49:50" x14ac:dyDescent="0.25">
      <c r="AW570"/>
      <c r="AX570"/>
    </row>
    <row r="571" spans="49:50" x14ac:dyDescent="0.25">
      <c r="AW571"/>
      <c r="AX571"/>
    </row>
    <row r="572" spans="49:50" x14ac:dyDescent="0.25">
      <c r="AW572"/>
      <c r="AX572"/>
    </row>
    <row r="573" spans="49:50" x14ac:dyDescent="0.25">
      <c r="AW573"/>
      <c r="AX573"/>
    </row>
    <row r="574" spans="49:50" x14ac:dyDescent="0.25">
      <c r="AW574"/>
      <c r="AX574"/>
    </row>
    <row r="575" spans="49:50" x14ac:dyDescent="0.25">
      <c r="AW575"/>
      <c r="AX575"/>
    </row>
    <row r="576" spans="49:50" x14ac:dyDescent="0.25">
      <c r="AW576"/>
      <c r="AX576"/>
    </row>
    <row r="577" spans="49:50" x14ac:dyDescent="0.25">
      <c r="AW577"/>
      <c r="AX577"/>
    </row>
    <row r="578" spans="49:50" x14ac:dyDescent="0.25">
      <c r="AW578"/>
      <c r="AX578"/>
    </row>
    <row r="579" spans="49:50" x14ac:dyDescent="0.25">
      <c r="AW579"/>
      <c r="AX579"/>
    </row>
    <row r="580" spans="49:50" x14ac:dyDescent="0.25">
      <c r="AW580"/>
      <c r="AX580"/>
    </row>
    <row r="581" spans="49:50" x14ac:dyDescent="0.25">
      <c r="AW581"/>
      <c r="AX581"/>
    </row>
    <row r="582" spans="49:50" x14ac:dyDescent="0.25">
      <c r="AW582"/>
      <c r="AX582"/>
    </row>
    <row r="583" spans="49:50" x14ac:dyDescent="0.25">
      <c r="AW583"/>
      <c r="AX583"/>
    </row>
    <row r="584" spans="49:50" x14ac:dyDescent="0.25">
      <c r="AW584"/>
      <c r="AX584"/>
    </row>
    <row r="585" spans="49:50" x14ac:dyDescent="0.25">
      <c r="AW585"/>
      <c r="AX585"/>
    </row>
    <row r="586" spans="49:50" x14ac:dyDescent="0.25">
      <c r="AW586"/>
      <c r="AX586"/>
    </row>
    <row r="587" spans="49:50" x14ac:dyDescent="0.25">
      <c r="AW587"/>
      <c r="AX587"/>
    </row>
    <row r="588" spans="49:50" x14ac:dyDescent="0.25">
      <c r="AW588"/>
      <c r="AX588"/>
    </row>
    <row r="589" spans="49:50" x14ac:dyDescent="0.25">
      <c r="AW589"/>
      <c r="AX589"/>
    </row>
    <row r="590" spans="49:50" x14ac:dyDescent="0.25">
      <c r="AW590"/>
      <c r="AX590"/>
    </row>
    <row r="591" spans="49:50" x14ac:dyDescent="0.25">
      <c r="AW591"/>
      <c r="AX591"/>
    </row>
    <row r="592" spans="49:50" x14ac:dyDescent="0.25">
      <c r="AW592"/>
      <c r="AX592"/>
    </row>
    <row r="593" spans="49:50" x14ac:dyDescent="0.25">
      <c r="AW593"/>
      <c r="AX593"/>
    </row>
    <row r="594" spans="49:50" x14ac:dyDescent="0.25">
      <c r="AW594"/>
      <c r="AX594"/>
    </row>
    <row r="595" spans="49:50" x14ac:dyDescent="0.25">
      <c r="AW595"/>
      <c r="AX595"/>
    </row>
    <row r="596" spans="49:50" x14ac:dyDescent="0.25">
      <c r="AW596"/>
      <c r="AX596"/>
    </row>
    <row r="597" spans="49:50" x14ac:dyDescent="0.25">
      <c r="AW597"/>
      <c r="AX597"/>
    </row>
    <row r="598" spans="49:50" x14ac:dyDescent="0.25">
      <c r="AW598"/>
      <c r="AX598"/>
    </row>
    <row r="599" spans="49:50" x14ac:dyDescent="0.25">
      <c r="AW599"/>
      <c r="AX599"/>
    </row>
    <row r="600" spans="49:50" x14ac:dyDescent="0.25">
      <c r="AW600"/>
      <c r="AX600"/>
    </row>
    <row r="601" spans="49:50" x14ac:dyDescent="0.25">
      <c r="AW601"/>
      <c r="AX601"/>
    </row>
    <row r="602" spans="49:50" x14ac:dyDescent="0.25">
      <c r="AW602"/>
      <c r="AX602"/>
    </row>
    <row r="603" spans="49:50" x14ac:dyDescent="0.25">
      <c r="AW603"/>
      <c r="AX603"/>
    </row>
    <row r="604" spans="49:50" x14ac:dyDescent="0.25">
      <c r="AW604"/>
      <c r="AX604"/>
    </row>
    <row r="605" spans="49:50" x14ac:dyDescent="0.25">
      <c r="AW605"/>
      <c r="AX605"/>
    </row>
    <row r="606" spans="49:50" x14ac:dyDescent="0.25">
      <c r="AW606"/>
      <c r="AX606"/>
    </row>
    <row r="607" spans="49:50" x14ac:dyDescent="0.25">
      <c r="AW607"/>
      <c r="AX607"/>
    </row>
    <row r="608" spans="49:50" x14ac:dyDescent="0.25">
      <c r="AW608"/>
      <c r="AX608"/>
    </row>
    <row r="609" spans="49:50" x14ac:dyDescent="0.25">
      <c r="AW609"/>
      <c r="AX609"/>
    </row>
    <row r="610" spans="49:50" x14ac:dyDescent="0.25">
      <c r="AW610"/>
      <c r="AX610"/>
    </row>
    <row r="611" spans="49:50" x14ac:dyDescent="0.25">
      <c r="AW611"/>
      <c r="AX611"/>
    </row>
    <row r="612" spans="49:50" x14ac:dyDescent="0.25">
      <c r="AW612"/>
      <c r="AX612"/>
    </row>
    <row r="613" spans="49:50" x14ac:dyDescent="0.25">
      <c r="AW613"/>
      <c r="AX613"/>
    </row>
    <row r="614" spans="49:50" x14ac:dyDescent="0.25">
      <c r="AW614"/>
      <c r="AX614"/>
    </row>
    <row r="615" spans="49:50" x14ac:dyDescent="0.25">
      <c r="AW615"/>
      <c r="AX615"/>
    </row>
    <row r="616" spans="49:50" x14ac:dyDescent="0.25">
      <c r="AW616"/>
      <c r="AX616"/>
    </row>
    <row r="617" spans="49:50" x14ac:dyDescent="0.25">
      <c r="AW617"/>
      <c r="AX617"/>
    </row>
    <row r="618" spans="49:50" x14ac:dyDescent="0.25">
      <c r="AW618"/>
      <c r="AX618"/>
    </row>
    <row r="619" spans="49:50" x14ac:dyDescent="0.25">
      <c r="AW619"/>
      <c r="AX619"/>
    </row>
    <row r="620" spans="49:50" x14ac:dyDescent="0.25">
      <c r="AW620"/>
      <c r="AX620"/>
    </row>
    <row r="621" spans="49:50" x14ac:dyDescent="0.25">
      <c r="AW621"/>
      <c r="AX621"/>
    </row>
    <row r="622" spans="49:50" x14ac:dyDescent="0.25">
      <c r="AW622"/>
      <c r="AX622"/>
    </row>
    <row r="623" spans="49:50" x14ac:dyDescent="0.25">
      <c r="AW623"/>
      <c r="AX623"/>
    </row>
    <row r="624" spans="49:50" x14ac:dyDescent="0.25">
      <c r="AW624"/>
      <c r="AX624"/>
    </row>
    <row r="625" spans="49:50" x14ac:dyDescent="0.25">
      <c r="AW625"/>
      <c r="AX625"/>
    </row>
    <row r="626" spans="49:50" x14ac:dyDescent="0.25">
      <c r="AW626"/>
      <c r="AX626"/>
    </row>
    <row r="627" spans="49:50" x14ac:dyDescent="0.25">
      <c r="AW627"/>
      <c r="AX627"/>
    </row>
    <row r="628" spans="49:50" x14ac:dyDescent="0.25">
      <c r="AW628"/>
      <c r="AX628"/>
    </row>
    <row r="629" spans="49:50" x14ac:dyDescent="0.25">
      <c r="AW629"/>
      <c r="AX629"/>
    </row>
    <row r="630" spans="49:50" x14ac:dyDescent="0.25">
      <c r="AW630"/>
      <c r="AX630"/>
    </row>
    <row r="631" spans="49:50" x14ac:dyDescent="0.25">
      <c r="AW631"/>
      <c r="AX631"/>
    </row>
    <row r="632" spans="49:50" x14ac:dyDescent="0.25">
      <c r="AW632"/>
      <c r="AX632"/>
    </row>
    <row r="633" spans="49:50" x14ac:dyDescent="0.25">
      <c r="AW633"/>
      <c r="AX633"/>
    </row>
    <row r="634" spans="49:50" x14ac:dyDescent="0.25">
      <c r="AW634"/>
      <c r="AX634"/>
    </row>
    <row r="635" spans="49:50" x14ac:dyDescent="0.25">
      <c r="AW635"/>
      <c r="AX635"/>
    </row>
    <row r="636" spans="49:50" x14ac:dyDescent="0.25">
      <c r="AW636"/>
      <c r="AX636"/>
    </row>
    <row r="637" spans="49:50" x14ac:dyDescent="0.25">
      <c r="AW637"/>
      <c r="AX637"/>
    </row>
    <row r="638" spans="49:50" x14ac:dyDescent="0.25">
      <c r="AW638"/>
      <c r="AX638"/>
    </row>
    <row r="639" spans="49:50" x14ac:dyDescent="0.25">
      <c r="AW639"/>
      <c r="AX639"/>
    </row>
    <row r="640" spans="49:50" x14ac:dyDescent="0.25">
      <c r="AW640"/>
      <c r="AX640"/>
    </row>
    <row r="641" spans="49:50" x14ac:dyDescent="0.25">
      <c r="AW641"/>
      <c r="AX641"/>
    </row>
    <row r="642" spans="49:50" x14ac:dyDescent="0.25">
      <c r="AW642"/>
      <c r="AX642"/>
    </row>
    <row r="643" spans="49:50" x14ac:dyDescent="0.25">
      <c r="AW643"/>
      <c r="AX643"/>
    </row>
    <row r="644" spans="49:50" x14ac:dyDescent="0.25">
      <c r="AW644"/>
      <c r="AX644"/>
    </row>
    <row r="645" spans="49:50" x14ac:dyDescent="0.25">
      <c r="AW645"/>
      <c r="AX645"/>
    </row>
    <row r="646" spans="49:50" x14ac:dyDescent="0.25">
      <c r="AW646"/>
      <c r="AX646"/>
    </row>
    <row r="647" spans="49:50" x14ac:dyDescent="0.25">
      <c r="AW647"/>
      <c r="AX647"/>
    </row>
    <row r="648" spans="49:50" x14ac:dyDescent="0.25">
      <c r="AW648"/>
      <c r="AX648"/>
    </row>
    <row r="649" spans="49:50" x14ac:dyDescent="0.25">
      <c r="AW649"/>
      <c r="AX649"/>
    </row>
    <row r="650" spans="49:50" x14ac:dyDescent="0.25">
      <c r="AW650"/>
      <c r="AX650"/>
    </row>
    <row r="651" spans="49:50" x14ac:dyDescent="0.25">
      <c r="AW651"/>
      <c r="AX651"/>
    </row>
    <row r="652" spans="49:50" x14ac:dyDescent="0.25">
      <c r="AW652"/>
      <c r="AX652"/>
    </row>
    <row r="653" spans="49:50" x14ac:dyDescent="0.25">
      <c r="AW653"/>
      <c r="AX653"/>
    </row>
    <row r="654" spans="49:50" x14ac:dyDescent="0.25">
      <c r="AW654"/>
      <c r="AX654"/>
    </row>
    <row r="655" spans="49:50" x14ac:dyDescent="0.25">
      <c r="AW655"/>
      <c r="AX655"/>
    </row>
    <row r="656" spans="49:50" x14ac:dyDescent="0.25">
      <c r="AW656"/>
      <c r="AX656"/>
    </row>
    <row r="657" spans="49:50" x14ac:dyDescent="0.25">
      <c r="AW657"/>
      <c r="AX657"/>
    </row>
    <row r="658" spans="49:50" x14ac:dyDescent="0.25">
      <c r="AW658"/>
      <c r="AX658"/>
    </row>
    <row r="659" spans="49:50" x14ac:dyDescent="0.25">
      <c r="AW659"/>
      <c r="AX659"/>
    </row>
    <row r="660" spans="49:50" x14ac:dyDescent="0.25">
      <c r="AW660"/>
      <c r="AX660"/>
    </row>
    <row r="661" spans="49:50" x14ac:dyDescent="0.25">
      <c r="AW661"/>
      <c r="AX661"/>
    </row>
    <row r="662" spans="49:50" x14ac:dyDescent="0.25">
      <c r="AW662"/>
      <c r="AX662"/>
    </row>
    <row r="663" spans="49:50" x14ac:dyDescent="0.25">
      <c r="AW663"/>
      <c r="AX663"/>
    </row>
    <row r="664" spans="49:50" x14ac:dyDescent="0.25">
      <c r="AW664"/>
      <c r="AX664"/>
    </row>
    <row r="665" spans="49:50" x14ac:dyDescent="0.25">
      <c r="AW665"/>
      <c r="AX665"/>
    </row>
    <row r="666" spans="49:50" x14ac:dyDescent="0.25">
      <c r="AW666"/>
      <c r="AX666"/>
    </row>
    <row r="667" spans="49:50" x14ac:dyDescent="0.25">
      <c r="AW667"/>
      <c r="AX667"/>
    </row>
    <row r="668" spans="49:50" x14ac:dyDescent="0.25">
      <c r="AW668"/>
      <c r="AX668"/>
    </row>
    <row r="669" spans="49:50" x14ac:dyDescent="0.25">
      <c r="AW669"/>
      <c r="AX669"/>
    </row>
    <row r="670" spans="49:50" x14ac:dyDescent="0.25">
      <c r="AW670"/>
      <c r="AX670"/>
    </row>
    <row r="671" spans="49:50" x14ac:dyDescent="0.25">
      <c r="AW671"/>
      <c r="AX671"/>
    </row>
    <row r="672" spans="49:50" x14ac:dyDescent="0.25">
      <c r="AW672"/>
      <c r="AX672"/>
    </row>
    <row r="673" spans="49:50" x14ac:dyDescent="0.25">
      <c r="AW673"/>
      <c r="AX673"/>
    </row>
    <row r="674" spans="49:50" x14ac:dyDescent="0.25">
      <c r="AW674"/>
      <c r="AX674"/>
    </row>
    <row r="675" spans="49:50" x14ac:dyDescent="0.25">
      <c r="AW675"/>
      <c r="AX675"/>
    </row>
    <row r="676" spans="49:50" x14ac:dyDescent="0.25">
      <c r="AW676"/>
      <c r="AX676"/>
    </row>
    <row r="677" spans="49:50" x14ac:dyDescent="0.25">
      <c r="AW677"/>
      <c r="AX677"/>
    </row>
    <row r="678" spans="49:50" x14ac:dyDescent="0.25">
      <c r="AW678"/>
      <c r="AX678"/>
    </row>
    <row r="679" spans="49:50" x14ac:dyDescent="0.25">
      <c r="AW679"/>
      <c r="AX679"/>
    </row>
    <row r="680" spans="49:50" x14ac:dyDescent="0.25">
      <c r="AW680"/>
      <c r="AX680"/>
    </row>
    <row r="681" spans="49:50" x14ac:dyDescent="0.25">
      <c r="AW681"/>
      <c r="AX681"/>
    </row>
    <row r="682" spans="49:50" x14ac:dyDescent="0.25">
      <c r="AW682"/>
      <c r="AX682"/>
    </row>
    <row r="683" spans="49:50" x14ac:dyDescent="0.25">
      <c r="AW683"/>
      <c r="AX683"/>
    </row>
    <row r="684" spans="49:50" x14ac:dyDescent="0.25">
      <c r="AW684"/>
      <c r="AX684"/>
    </row>
    <row r="685" spans="49:50" x14ac:dyDescent="0.25">
      <c r="AW685"/>
      <c r="AX685"/>
    </row>
    <row r="686" spans="49:50" x14ac:dyDescent="0.25">
      <c r="AW686"/>
      <c r="AX686"/>
    </row>
    <row r="687" spans="49:50" x14ac:dyDescent="0.25">
      <c r="AW687"/>
      <c r="AX687"/>
    </row>
    <row r="688" spans="49:50" x14ac:dyDescent="0.25">
      <c r="AW688"/>
      <c r="AX688"/>
    </row>
    <row r="689" spans="49:50" x14ac:dyDescent="0.25">
      <c r="AW689"/>
      <c r="AX689"/>
    </row>
    <row r="690" spans="49:50" x14ac:dyDescent="0.25">
      <c r="AW690"/>
      <c r="AX690"/>
    </row>
    <row r="691" spans="49:50" x14ac:dyDescent="0.25">
      <c r="AW691"/>
      <c r="AX691"/>
    </row>
    <row r="692" spans="49:50" x14ac:dyDescent="0.25">
      <c r="AW692"/>
      <c r="AX692"/>
    </row>
    <row r="693" spans="49:50" x14ac:dyDescent="0.25">
      <c r="AW693"/>
      <c r="AX693"/>
    </row>
    <row r="694" spans="49:50" x14ac:dyDescent="0.25">
      <c r="AW694"/>
      <c r="AX694"/>
    </row>
    <row r="695" spans="49:50" x14ac:dyDescent="0.25">
      <c r="AW695"/>
      <c r="AX695"/>
    </row>
    <row r="696" spans="49:50" x14ac:dyDescent="0.25">
      <c r="AW696"/>
      <c r="AX696"/>
    </row>
    <row r="697" spans="49:50" x14ac:dyDescent="0.25">
      <c r="AW697"/>
      <c r="AX697"/>
    </row>
    <row r="698" spans="49:50" x14ac:dyDescent="0.25">
      <c r="AW698"/>
      <c r="AX698"/>
    </row>
    <row r="699" spans="49:50" x14ac:dyDescent="0.25">
      <c r="AW699"/>
      <c r="AX699"/>
    </row>
    <row r="700" spans="49:50" x14ac:dyDescent="0.25">
      <c r="AW700"/>
      <c r="AX700"/>
    </row>
    <row r="701" spans="49:50" x14ac:dyDescent="0.25">
      <c r="AW701"/>
      <c r="AX701"/>
    </row>
    <row r="702" spans="49:50" x14ac:dyDescent="0.25">
      <c r="AW702"/>
      <c r="AX702"/>
    </row>
    <row r="703" spans="49:50" x14ac:dyDescent="0.25">
      <c r="AW703"/>
      <c r="AX703"/>
    </row>
    <row r="704" spans="49:50" x14ac:dyDescent="0.25">
      <c r="AW704"/>
      <c r="AX704"/>
    </row>
    <row r="705" spans="49:50" x14ac:dyDescent="0.25">
      <c r="AW705"/>
      <c r="AX705"/>
    </row>
    <row r="706" spans="49:50" x14ac:dyDescent="0.25">
      <c r="AW706"/>
      <c r="AX706"/>
    </row>
    <row r="707" spans="49:50" x14ac:dyDescent="0.25">
      <c r="AW707"/>
      <c r="AX707"/>
    </row>
    <row r="708" spans="49:50" x14ac:dyDescent="0.25">
      <c r="AW708"/>
      <c r="AX708"/>
    </row>
    <row r="709" spans="49:50" x14ac:dyDescent="0.25">
      <c r="AW709"/>
      <c r="AX709"/>
    </row>
    <row r="710" spans="49:50" x14ac:dyDescent="0.25">
      <c r="AW710"/>
      <c r="AX710"/>
    </row>
    <row r="711" spans="49:50" x14ac:dyDescent="0.25">
      <c r="AW711"/>
      <c r="AX711"/>
    </row>
    <row r="712" spans="49:50" x14ac:dyDescent="0.25">
      <c r="AW712"/>
      <c r="AX712"/>
    </row>
    <row r="713" spans="49:50" x14ac:dyDescent="0.25">
      <c r="AW713"/>
      <c r="AX713"/>
    </row>
    <row r="714" spans="49:50" x14ac:dyDescent="0.25">
      <c r="AW714"/>
      <c r="AX714"/>
    </row>
    <row r="715" spans="49:50" x14ac:dyDescent="0.25">
      <c r="AW715"/>
      <c r="AX715"/>
    </row>
    <row r="716" spans="49:50" x14ac:dyDescent="0.25">
      <c r="AW716"/>
      <c r="AX716"/>
    </row>
    <row r="717" spans="49:50" x14ac:dyDescent="0.25">
      <c r="AW717"/>
      <c r="AX717"/>
    </row>
    <row r="718" spans="49:50" x14ac:dyDescent="0.25">
      <c r="AW718"/>
      <c r="AX718"/>
    </row>
    <row r="719" spans="49:50" x14ac:dyDescent="0.25">
      <c r="AW719"/>
      <c r="AX719"/>
    </row>
    <row r="720" spans="49:50" x14ac:dyDescent="0.25">
      <c r="AW720"/>
      <c r="AX720"/>
    </row>
  </sheetData>
  <phoneticPr fontId="4" type="noConversion"/>
  <pageMargins left="0.7" right="0.7" top="0.75" bottom="0.75" header="0.3" footer="0.3"/>
  <pageSetup paperSize="9"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7:K2004"/>
  <sheetViews>
    <sheetView topLeftCell="A8" workbookViewId="0">
      <selection activeCell="E9" sqref="E8:K2004"/>
    </sheetView>
  </sheetViews>
  <sheetFormatPr defaultColWidth="8.625" defaultRowHeight="15" x14ac:dyDescent="0.25"/>
  <cols>
    <col min="1" max="1" width="3.5" style="2" customWidth="1"/>
    <col min="2" max="2" width="4" style="2" customWidth="1"/>
    <col min="3" max="3" width="4.375" style="2" customWidth="1"/>
    <col min="4" max="4" width="8.625" style="1"/>
    <col min="5" max="5" width="18" style="1" bestFit="1" customWidth="1"/>
    <col min="6" max="6" width="9.75" style="1" bestFit="1" customWidth="1"/>
    <col min="7" max="7" width="11.875" style="1" bestFit="1" customWidth="1"/>
    <col min="8" max="8" width="9" style="1" bestFit="1" customWidth="1"/>
    <col min="9" max="9" width="20.5" style="1" bestFit="1" customWidth="1"/>
    <col min="10" max="10" width="12.875" style="1" bestFit="1" customWidth="1"/>
    <col min="11" max="11" width="17.375" style="1" bestFit="1" customWidth="1"/>
    <col min="12" max="16384" width="8.625" style="1"/>
  </cols>
  <sheetData>
    <row r="7" spans="5:11" ht="15.75" thickBot="1" x14ac:dyDescent="0.3"/>
    <row r="8" spans="5:11" x14ac:dyDescent="0.25">
      <c r="E8" s="6" t="s">
        <v>1</v>
      </c>
      <c r="F8" s="6" t="s">
        <v>2</v>
      </c>
      <c r="G8" s="6" t="s">
        <v>3</v>
      </c>
      <c r="H8" s="6" t="s">
        <v>4</v>
      </c>
      <c r="I8" s="6" t="s">
        <v>5</v>
      </c>
      <c r="J8" s="6" t="s">
        <v>0</v>
      </c>
      <c r="K8" s="6" t="s">
        <v>6</v>
      </c>
    </row>
    <row r="9" spans="5:11" x14ac:dyDescent="0.25">
      <c r="E9">
        <v>35</v>
      </c>
      <c r="F9" s="7">
        <v>45143</v>
      </c>
      <c r="G9" t="s">
        <v>9</v>
      </c>
      <c r="H9">
        <v>58</v>
      </c>
      <c r="I9" t="s">
        <v>8</v>
      </c>
      <c r="J9">
        <v>3</v>
      </c>
      <c r="K9">
        <v>300</v>
      </c>
    </row>
    <row r="10" spans="5:11" x14ac:dyDescent="0.25">
      <c r="E10">
        <v>522</v>
      </c>
      <c r="F10" s="7">
        <v>45193</v>
      </c>
      <c r="G10" t="s">
        <v>9</v>
      </c>
      <c r="H10">
        <v>62</v>
      </c>
      <c r="I10" t="s">
        <v>11</v>
      </c>
      <c r="J10">
        <v>1</v>
      </c>
      <c r="K10">
        <v>300</v>
      </c>
    </row>
    <row r="11" spans="5:11" x14ac:dyDescent="0.25">
      <c r="E11">
        <v>1610</v>
      </c>
      <c r="F11" s="7">
        <v>45405</v>
      </c>
      <c r="G11" t="s">
        <v>9</v>
      </c>
      <c r="H11">
        <v>54</v>
      </c>
      <c r="I11" t="s">
        <v>10</v>
      </c>
      <c r="J11">
        <v>5</v>
      </c>
      <c r="K11">
        <v>190</v>
      </c>
    </row>
    <row r="12" spans="5:11" x14ac:dyDescent="0.25">
      <c r="E12">
        <v>1179</v>
      </c>
      <c r="F12" s="7">
        <v>45599</v>
      </c>
      <c r="G12" t="s">
        <v>7</v>
      </c>
      <c r="H12">
        <v>47</v>
      </c>
      <c r="I12" t="s">
        <v>11</v>
      </c>
      <c r="J12">
        <v>5</v>
      </c>
      <c r="K12">
        <v>286</v>
      </c>
    </row>
    <row r="13" spans="5:11" x14ac:dyDescent="0.25">
      <c r="E13">
        <v>22</v>
      </c>
      <c r="F13" s="7">
        <v>45214</v>
      </c>
      <c r="G13" t="s">
        <v>7</v>
      </c>
      <c r="H13">
        <v>18</v>
      </c>
      <c r="I13" t="s">
        <v>10</v>
      </c>
      <c r="J13">
        <v>2</v>
      </c>
      <c r="K13">
        <v>50</v>
      </c>
    </row>
    <row r="14" spans="5:11" x14ac:dyDescent="0.25">
      <c r="E14">
        <v>536</v>
      </c>
      <c r="F14" s="7">
        <v>45080</v>
      </c>
      <c r="G14" t="s">
        <v>9</v>
      </c>
      <c r="H14">
        <v>21</v>
      </c>
      <c r="I14" t="s">
        <v>8</v>
      </c>
      <c r="J14">
        <v>1</v>
      </c>
      <c r="K14">
        <v>500</v>
      </c>
    </row>
    <row r="15" spans="5:11" x14ac:dyDescent="0.25">
      <c r="E15">
        <v>1617</v>
      </c>
      <c r="F15" s="7">
        <v>45420</v>
      </c>
      <c r="G15" t="s">
        <v>7</v>
      </c>
      <c r="H15">
        <v>53</v>
      </c>
      <c r="I15" t="s">
        <v>11</v>
      </c>
      <c r="J15">
        <v>3</v>
      </c>
      <c r="K15">
        <v>474</v>
      </c>
    </row>
    <row r="16" spans="5:11" x14ac:dyDescent="0.25">
      <c r="E16">
        <v>347</v>
      </c>
      <c r="F16" s="7">
        <v>45263</v>
      </c>
      <c r="G16" t="s">
        <v>9</v>
      </c>
      <c r="H16">
        <v>35</v>
      </c>
      <c r="I16" t="s">
        <v>11</v>
      </c>
      <c r="J16">
        <v>2</v>
      </c>
      <c r="K16">
        <v>300</v>
      </c>
    </row>
    <row r="17" spans="5:11" x14ac:dyDescent="0.25">
      <c r="E17">
        <v>1782</v>
      </c>
      <c r="F17" s="7">
        <v>45582</v>
      </c>
      <c r="G17" t="s">
        <v>7</v>
      </c>
      <c r="H17">
        <v>59</v>
      </c>
      <c r="I17" t="s">
        <v>10</v>
      </c>
      <c r="J17">
        <v>5</v>
      </c>
      <c r="K17">
        <v>97</v>
      </c>
    </row>
    <row r="18" spans="5:11" x14ac:dyDescent="0.25">
      <c r="E18">
        <v>1148</v>
      </c>
      <c r="F18" s="7">
        <v>45297</v>
      </c>
      <c r="G18" t="s">
        <v>9</v>
      </c>
      <c r="H18">
        <v>24</v>
      </c>
      <c r="I18" t="s">
        <v>11</v>
      </c>
      <c r="J18">
        <v>1</v>
      </c>
      <c r="K18">
        <v>227</v>
      </c>
    </row>
    <row r="19" spans="5:11" x14ac:dyDescent="0.25">
      <c r="E19">
        <v>1180</v>
      </c>
      <c r="F19" s="7">
        <v>45458</v>
      </c>
      <c r="G19" t="s">
        <v>7</v>
      </c>
      <c r="H19">
        <v>37</v>
      </c>
      <c r="I19" t="s">
        <v>8</v>
      </c>
      <c r="J19">
        <v>2</v>
      </c>
      <c r="K19">
        <v>128</v>
      </c>
    </row>
    <row r="20" spans="5:11" x14ac:dyDescent="0.25">
      <c r="E20">
        <v>1305</v>
      </c>
      <c r="F20" s="7">
        <v>45509</v>
      </c>
      <c r="G20" t="s">
        <v>9</v>
      </c>
      <c r="H20">
        <v>19</v>
      </c>
      <c r="I20" t="s">
        <v>8</v>
      </c>
      <c r="J20">
        <v>6</v>
      </c>
      <c r="K20">
        <v>125</v>
      </c>
    </row>
    <row r="21" spans="5:11" x14ac:dyDescent="0.25">
      <c r="E21">
        <v>659</v>
      </c>
      <c r="F21" s="7">
        <v>45123</v>
      </c>
      <c r="G21" t="s">
        <v>9</v>
      </c>
      <c r="H21">
        <v>44</v>
      </c>
      <c r="I21" t="s">
        <v>10</v>
      </c>
      <c r="J21">
        <v>4</v>
      </c>
      <c r="K21">
        <v>25</v>
      </c>
    </row>
    <row r="22" spans="5:11" x14ac:dyDescent="0.25">
      <c r="E22">
        <v>691</v>
      </c>
      <c r="F22" s="7">
        <v>45039</v>
      </c>
      <c r="G22" t="s">
        <v>7</v>
      </c>
      <c r="H22">
        <v>41</v>
      </c>
      <c r="I22" t="s">
        <v>8</v>
      </c>
      <c r="J22">
        <v>3</v>
      </c>
      <c r="K22">
        <v>500</v>
      </c>
    </row>
    <row r="23" spans="5:11" x14ac:dyDescent="0.25">
      <c r="E23">
        <v>432</v>
      </c>
      <c r="F23" s="7">
        <v>44984</v>
      </c>
      <c r="G23" t="s">
        <v>7</v>
      </c>
      <c r="H23">
        <v>29</v>
      </c>
      <c r="I23" t="s">
        <v>8</v>
      </c>
      <c r="J23">
        <v>4</v>
      </c>
      <c r="K23">
        <v>50</v>
      </c>
    </row>
    <row r="24" spans="5:11" x14ac:dyDescent="0.25">
      <c r="E24">
        <v>669</v>
      </c>
      <c r="F24" s="7">
        <v>45165</v>
      </c>
      <c r="G24" t="s">
        <v>7</v>
      </c>
      <c r="H24">
        <v>62</v>
      </c>
      <c r="I24" t="s">
        <v>11</v>
      </c>
      <c r="J24">
        <v>3</v>
      </c>
      <c r="K24">
        <v>50</v>
      </c>
    </row>
    <row r="25" spans="5:11" x14ac:dyDescent="0.25">
      <c r="E25">
        <v>853</v>
      </c>
      <c r="F25" s="7">
        <v>45170</v>
      </c>
      <c r="G25" t="s">
        <v>7</v>
      </c>
      <c r="H25">
        <v>54</v>
      </c>
      <c r="I25" t="s">
        <v>8</v>
      </c>
      <c r="J25">
        <v>1</v>
      </c>
      <c r="K25">
        <v>25</v>
      </c>
    </row>
    <row r="26" spans="5:11" x14ac:dyDescent="0.25">
      <c r="E26">
        <v>683</v>
      </c>
      <c r="F26" s="7">
        <v>45079</v>
      </c>
      <c r="G26" t="s">
        <v>7</v>
      </c>
      <c r="H26">
        <v>57</v>
      </c>
      <c r="I26" t="s">
        <v>11</v>
      </c>
      <c r="J26">
        <v>2</v>
      </c>
      <c r="K26">
        <v>25</v>
      </c>
    </row>
    <row r="27" spans="5:11" x14ac:dyDescent="0.25">
      <c r="E27">
        <v>547</v>
      </c>
      <c r="F27" s="7">
        <v>45025</v>
      </c>
      <c r="G27" t="s">
        <v>9</v>
      </c>
      <c r="H27">
        <v>51</v>
      </c>
      <c r="I27" t="s">
        <v>10</v>
      </c>
      <c r="J27">
        <v>2</v>
      </c>
      <c r="K27">
        <v>30</v>
      </c>
    </row>
    <row r="28" spans="5:11" x14ac:dyDescent="0.25">
      <c r="E28">
        <v>1545</v>
      </c>
      <c r="F28" s="7">
        <v>45391</v>
      </c>
      <c r="G28" t="s">
        <v>9</v>
      </c>
      <c r="H28">
        <v>37</v>
      </c>
      <c r="I28" t="s">
        <v>10</v>
      </c>
      <c r="J28">
        <v>3</v>
      </c>
      <c r="K28">
        <v>465</v>
      </c>
    </row>
    <row r="29" spans="5:11" x14ac:dyDescent="0.25">
      <c r="E29">
        <v>861</v>
      </c>
      <c r="F29" s="7">
        <v>45040</v>
      </c>
      <c r="G29" t="s">
        <v>9</v>
      </c>
      <c r="H29">
        <v>30</v>
      </c>
      <c r="I29" t="s">
        <v>11</v>
      </c>
      <c r="J29">
        <v>2</v>
      </c>
      <c r="K29">
        <v>25</v>
      </c>
    </row>
    <row r="30" spans="5:11" x14ac:dyDescent="0.25">
      <c r="E30">
        <v>715</v>
      </c>
      <c r="F30" s="7">
        <v>44996</v>
      </c>
      <c r="G30" t="s">
        <v>7</v>
      </c>
      <c r="H30">
        <v>57</v>
      </c>
      <c r="I30" t="s">
        <v>10</v>
      </c>
      <c r="J30">
        <v>1</v>
      </c>
      <c r="K30">
        <v>500</v>
      </c>
    </row>
    <row r="31" spans="5:11" x14ac:dyDescent="0.25">
      <c r="E31">
        <v>620</v>
      </c>
      <c r="F31" s="7">
        <v>44989</v>
      </c>
      <c r="G31" t="s">
        <v>9</v>
      </c>
      <c r="H31">
        <v>40</v>
      </c>
      <c r="I31" t="s">
        <v>8</v>
      </c>
      <c r="J31">
        <v>2</v>
      </c>
      <c r="K31">
        <v>500</v>
      </c>
    </row>
    <row r="32" spans="5:11" x14ac:dyDescent="0.25">
      <c r="E32">
        <v>701</v>
      </c>
      <c r="F32" s="7">
        <v>45011</v>
      </c>
      <c r="G32" t="s">
        <v>7</v>
      </c>
      <c r="H32">
        <v>34</v>
      </c>
      <c r="I32" t="s">
        <v>11</v>
      </c>
      <c r="J32">
        <v>2</v>
      </c>
      <c r="K32">
        <v>50</v>
      </c>
    </row>
    <row r="33" spans="5:11" x14ac:dyDescent="0.25">
      <c r="E33">
        <v>1090</v>
      </c>
      <c r="F33" s="7">
        <v>45529</v>
      </c>
      <c r="G33" t="s">
        <v>9</v>
      </c>
      <c r="H33">
        <v>30</v>
      </c>
      <c r="I33" t="s">
        <v>11</v>
      </c>
      <c r="J33">
        <v>7</v>
      </c>
      <c r="K33">
        <v>54</v>
      </c>
    </row>
    <row r="34" spans="5:11" x14ac:dyDescent="0.25">
      <c r="E34">
        <v>1016</v>
      </c>
      <c r="F34" s="7">
        <v>45412</v>
      </c>
      <c r="G34" t="s">
        <v>9</v>
      </c>
      <c r="H34">
        <v>49</v>
      </c>
      <c r="I34" t="s">
        <v>11</v>
      </c>
      <c r="J34">
        <v>2</v>
      </c>
      <c r="K34">
        <v>177</v>
      </c>
    </row>
    <row r="35" spans="5:11" x14ac:dyDescent="0.25">
      <c r="E35">
        <v>1030</v>
      </c>
      <c r="F35" s="7">
        <v>45295</v>
      </c>
      <c r="G35" t="s">
        <v>7</v>
      </c>
      <c r="H35">
        <v>60</v>
      </c>
      <c r="I35" t="s">
        <v>8</v>
      </c>
      <c r="J35">
        <v>7</v>
      </c>
      <c r="K35">
        <v>51</v>
      </c>
    </row>
    <row r="36" spans="5:11" x14ac:dyDescent="0.25">
      <c r="E36">
        <v>1133</v>
      </c>
      <c r="F36" s="7">
        <v>45348</v>
      </c>
      <c r="G36" t="s">
        <v>7</v>
      </c>
      <c r="H36">
        <v>34</v>
      </c>
      <c r="I36" t="s">
        <v>10</v>
      </c>
      <c r="J36">
        <v>7</v>
      </c>
      <c r="K36">
        <v>51</v>
      </c>
    </row>
    <row r="37" spans="5:11" x14ac:dyDescent="0.25">
      <c r="E37">
        <v>1177</v>
      </c>
      <c r="F37" s="7">
        <v>45564</v>
      </c>
      <c r="G37" t="s">
        <v>7</v>
      </c>
      <c r="H37">
        <v>29</v>
      </c>
      <c r="I37" t="s">
        <v>11</v>
      </c>
      <c r="J37">
        <v>5</v>
      </c>
      <c r="K37">
        <v>447</v>
      </c>
    </row>
    <row r="38" spans="5:11" x14ac:dyDescent="0.25">
      <c r="E38">
        <v>1667</v>
      </c>
      <c r="F38" s="7">
        <v>45531</v>
      </c>
      <c r="G38" t="s">
        <v>7</v>
      </c>
      <c r="H38">
        <v>52</v>
      </c>
      <c r="I38" t="s">
        <v>11</v>
      </c>
      <c r="J38">
        <v>5</v>
      </c>
      <c r="K38">
        <v>479</v>
      </c>
    </row>
    <row r="39" spans="5:11" x14ac:dyDescent="0.25">
      <c r="E39">
        <v>1629</v>
      </c>
      <c r="F39" s="7">
        <v>45551</v>
      </c>
      <c r="G39" t="s">
        <v>9</v>
      </c>
      <c r="H39">
        <v>53</v>
      </c>
      <c r="I39" t="s">
        <v>11</v>
      </c>
      <c r="J39">
        <v>5</v>
      </c>
      <c r="K39">
        <v>493</v>
      </c>
    </row>
    <row r="40" spans="5:11" x14ac:dyDescent="0.25">
      <c r="E40">
        <v>716</v>
      </c>
      <c r="F40" s="7">
        <v>45163</v>
      </c>
      <c r="G40" t="s">
        <v>9</v>
      </c>
      <c r="H40">
        <v>59</v>
      </c>
      <c r="I40" t="s">
        <v>8</v>
      </c>
      <c r="J40">
        <v>3</v>
      </c>
      <c r="K40">
        <v>25</v>
      </c>
    </row>
    <row r="41" spans="5:11" x14ac:dyDescent="0.25">
      <c r="E41">
        <v>153</v>
      </c>
      <c r="F41" s="7">
        <v>45276</v>
      </c>
      <c r="G41" t="s">
        <v>7</v>
      </c>
      <c r="H41">
        <v>63</v>
      </c>
      <c r="I41" t="s">
        <v>11</v>
      </c>
      <c r="J41">
        <v>2</v>
      </c>
      <c r="K41">
        <v>500</v>
      </c>
    </row>
    <row r="42" spans="5:11" x14ac:dyDescent="0.25">
      <c r="E42">
        <v>1440</v>
      </c>
      <c r="F42" s="7">
        <v>45513</v>
      </c>
      <c r="G42" t="s">
        <v>7</v>
      </c>
      <c r="H42">
        <v>21</v>
      </c>
      <c r="I42" t="s">
        <v>10</v>
      </c>
      <c r="J42">
        <v>6</v>
      </c>
      <c r="K42">
        <v>215</v>
      </c>
    </row>
    <row r="43" spans="5:11" x14ac:dyDescent="0.25">
      <c r="E43">
        <v>142</v>
      </c>
      <c r="F43" s="7">
        <v>44959</v>
      </c>
      <c r="G43" t="s">
        <v>7</v>
      </c>
      <c r="H43">
        <v>35</v>
      </c>
      <c r="I43" t="s">
        <v>11</v>
      </c>
      <c r="J43">
        <v>4</v>
      </c>
      <c r="K43">
        <v>300</v>
      </c>
    </row>
    <row r="44" spans="5:11" x14ac:dyDescent="0.25">
      <c r="E44">
        <v>152</v>
      </c>
      <c r="F44" s="7">
        <v>44985</v>
      </c>
      <c r="G44" t="s">
        <v>7</v>
      </c>
      <c r="H44">
        <v>43</v>
      </c>
      <c r="I44" t="s">
        <v>11</v>
      </c>
      <c r="J44">
        <v>4</v>
      </c>
      <c r="K44">
        <v>500</v>
      </c>
    </row>
    <row r="45" spans="5:11" x14ac:dyDescent="0.25">
      <c r="E45">
        <v>101</v>
      </c>
      <c r="F45" s="7">
        <v>44955</v>
      </c>
      <c r="G45" t="s">
        <v>7</v>
      </c>
      <c r="H45">
        <v>32</v>
      </c>
      <c r="I45" t="s">
        <v>10</v>
      </c>
      <c r="J45">
        <v>2</v>
      </c>
      <c r="K45">
        <v>300</v>
      </c>
    </row>
    <row r="46" spans="5:11" x14ac:dyDescent="0.25">
      <c r="E46">
        <v>1709</v>
      </c>
      <c r="F46" s="7">
        <v>45305</v>
      </c>
      <c r="G46" t="s">
        <v>7</v>
      </c>
      <c r="H46">
        <v>49</v>
      </c>
      <c r="I46" t="s">
        <v>8</v>
      </c>
      <c r="J46">
        <v>2</v>
      </c>
      <c r="K46">
        <v>389</v>
      </c>
    </row>
    <row r="47" spans="5:11" x14ac:dyDescent="0.25">
      <c r="E47">
        <v>109</v>
      </c>
      <c r="F47" s="7">
        <v>45217</v>
      </c>
      <c r="G47" t="s">
        <v>9</v>
      </c>
      <c r="H47">
        <v>34</v>
      </c>
      <c r="I47" t="s">
        <v>11</v>
      </c>
      <c r="J47">
        <v>4</v>
      </c>
      <c r="K47">
        <v>500</v>
      </c>
    </row>
    <row r="48" spans="5:11" x14ac:dyDescent="0.25">
      <c r="E48">
        <v>1959</v>
      </c>
      <c r="F48" s="7">
        <v>45610</v>
      </c>
      <c r="G48" t="s">
        <v>9</v>
      </c>
      <c r="H48">
        <v>25</v>
      </c>
      <c r="I48" t="s">
        <v>8</v>
      </c>
      <c r="J48">
        <v>3</v>
      </c>
      <c r="K48">
        <v>452</v>
      </c>
    </row>
    <row r="49" spans="5:11" x14ac:dyDescent="0.25">
      <c r="E49">
        <v>1096</v>
      </c>
      <c r="F49" s="7">
        <v>45405</v>
      </c>
      <c r="G49" t="s">
        <v>9</v>
      </c>
      <c r="H49">
        <v>55</v>
      </c>
      <c r="I49" t="s">
        <v>8</v>
      </c>
      <c r="J49">
        <v>5</v>
      </c>
      <c r="K49">
        <v>330</v>
      </c>
    </row>
    <row r="50" spans="5:11" x14ac:dyDescent="0.25">
      <c r="E50">
        <v>1850</v>
      </c>
      <c r="F50" s="7">
        <v>45646</v>
      </c>
      <c r="G50" t="s">
        <v>7</v>
      </c>
      <c r="H50">
        <v>46</v>
      </c>
      <c r="I50" t="s">
        <v>10</v>
      </c>
      <c r="J50">
        <v>5</v>
      </c>
      <c r="K50">
        <v>184</v>
      </c>
    </row>
    <row r="51" spans="5:11" x14ac:dyDescent="0.25">
      <c r="E51">
        <v>113</v>
      </c>
      <c r="F51" s="7">
        <v>45182</v>
      </c>
      <c r="G51" t="s">
        <v>9</v>
      </c>
      <c r="H51">
        <v>41</v>
      </c>
      <c r="I51" t="s">
        <v>11</v>
      </c>
      <c r="J51">
        <v>2</v>
      </c>
      <c r="K51">
        <v>25</v>
      </c>
    </row>
    <row r="52" spans="5:11" x14ac:dyDescent="0.25">
      <c r="E52">
        <v>1688</v>
      </c>
      <c r="F52" s="7">
        <v>45542</v>
      </c>
      <c r="G52" t="s">
        <v>9</v>
      </c>
      <c r="H52">
        <v>26</v>
      </c>
      <c r="I52" t="s">
        <v>10</v>
      </c>
      <c r="J52">
        <v>1</v>
      </c>
      <c r="K52">
        <v>279</v>
      </c>
    </row>
    <row r="53" spans="5:11" x14ac:dyDescent="0.25">
      <c r="E53">
        <v>755</v>
      </c>
      <c r="F53" s="7">
        <v>45285</v>
      </c>
      <c r="G53" t="s">
        <v>9</v>
      </c>
      <c r="H53">
        <v>43</v>
      </c>
      <c r="I53" t="s">
        <v>11</v>
      </c>
      <c r="J53">
        <v>4</v>
      </c>
      <c r="K53">
        <v>300</v>
      </c>
    </row>
    <row r="54" spans="5:11" x14ac:dyDescent="0.25">
      <c r="E54">
        <v>416</v>
      </c>
      <c r="F54" s="7">
        <v>45251</v>
      </c>
      <c r="G54" t="s">
        <v>7</v>
      </c>
      <c r="H54">
        <v>43</v>
      </c>
      <c r="I54" t="s">
        <v>11</v>
      </c>
      <c r="J54">
        <v>3</v>
      </c>
      <c r="K54">
        <v>300</v>
      </c>
    </row>
    <row r="55" spans="5:11" x14ac:dyDescent="0.25">
      <c r="E55">
        <v>516</v>
      </c>
      <c r="F55" s="7">
        <v>45024</v>
      </c>
      <c r="G55" t="s">
        <v>9</v>
      </c>
      <c r="H55">
        <v>47</v>
      </c>
      <c r="I55" t="s">
        <v>10</v>
      </c>
      <c r="J55">
        <v>4</v>
      </c>
      <c r="K55">
        <v>25</v>
      </c>
    </row>
    <row r="56" spans="5:11" x14ac:dyDescent="0.25">
      <c r="E56">
        <v>825</v>
      </c>
      <c r="F56" s="7">
        <v>45239</v>
      </c>
      <c r="G56" t="s">
        <v>7</v>
      </c>
      <c r="H56">
        <v>61</v>
      </c>
      <c r="I56" t="s">
        <v>8</v>
      </c>
      <c r="J56">
        <v>3</v>
      </c>
      <c r="K56">
        <v>300</v>
      </c>
    </row>
    <row r="57" spans="5:11" x14ac:dyDescent="0.25">
      <c r="E57">
        <v>415</v>
      </c>
      <c r="F57" s="7">
        <v>44974</v>
      </c>
      <c r="G57" t="s">
        <v>7</v>
      </c>
      <c r="H57">
        <v>53</v>
      </c>
      <c r="I57" t="s">
        <v>11</v>
      </c>
      <c r="J57">
        <v>4</v>
      </c>
      <c r="K57">
        <v>500</v>
      </c>
    </row>
    <row r="58" spans="5:11" x14ac:dyDescent="0.25">
      <c r="E58">
        <v>127</v>
      </c>
      <c r="F58" s="7">
        <v>45131</v>
      </c>
      <c r="G58" t="s">
        <v>9</v>
      </c>
      <c r="H58">
        <v>33</v>
      </c>
      <c r="I58" t="s">
        <v>10</v>
      </c>
      <c r="J58">
        <v>2</v>
      </c>
      <c r="K58">
        <v>25</v>
      </c>
    </row>
    <row r="59" spans="5:11" x14ac:dyDescent="0.25">
      <c r="E59">
        <v>223</v>
      </c>
      <c r="F59" s="7">
        <v>45100</v>
      </c>
      <c r="G59" t="s">
        <v>9</v>
      </c>
      <c r="H59">
        <v>25</v>
      </c>
      <c r="I59" t="s">
        <v>10</v>
      </c>
      <c r="J59">
        <v>1</v>
      </c>
      <c r="K59">
        <v>50</v>
      </c>
    </row>
    <row r="60" spans="5:11" x14ac:dyDescent="0.25">
      <c r="E60">
        <v>900</v>
      </c>
      <c r="F60" s="7">
        <v>45078</v>
      </c>
      <c r="G60" t="s">
        <v>9</v>
      </c>
      <c r="H60">
        <v>54</v>
      </c>
      <c r="I60" t="s">
        <v>8</v>
      </c>
      <c r="J60">
        <v>1</v>
      </c>
      <c r="K60">
        <v>50</v>
      </c>
    </row>
    <row r="61" spans="5:11" x14ac:dyDescent="0.25">
      <c r="E61">
        <v>327</v>
      </c>
      <c r="F61" s="7">
        <v>45007</v>
      </c>
      <c r="G61" t="s">
        <v>7</v>
      </c>
      <c r="H61">
        <v>39</v>
      </c>
      <c r="I61" t="s">
        <v>8</v>
      </c>
      <c r="J61">
        <v>2</v>
      </c>
      <c r="K61">
        <v>50</v>
      </c>
    </row>
    <row r="62" spans="5:11" x14ac:dyDescent="0.25">
      <c r="E62">
        <v>208</v>
      </c>
      <c r="F62" s="7">
        <v>45203</v>
      </c>
      <c r="G62" t="s">
        <v>9</v>
      </c>
      <c r="H62">
        <v>34</v>
      </c>
      <c r="I62" t="s">
        <v>11</v>
      </c>
      <c r="J62">
        <v>4</v>
      </c>
      <c r="K62">
        <v>50</v>
      </c>
    </row>
    <row r="63" spans="5:11" x14ac:dyDescent="0.25">
      <c r="E63">
        <v>1431</v>
      </c>
      <c r="F63" s="7">
        <v>45330</v>
      </c>
      <c r="G63" t="s">
        <v>9</v>
      </c>
      <c r="H63">
        <v>42</v>
      </c>
      <c r="I63" t="s">
        <v>11</v>
      </c>
      <c r="J63">
        <v>2</v>
      </c>
      <c r="K63">
        <v>488</v>
      </c>
    </row>
    <row r="64" spans="5:11" x14ac:dyDescent="0.25">
      <c r="E64">
        <v>1409</v>
      </c>
      <c r="F64" s="7">
        <v>45551</v>
      </c>
      <c r="G64" t="s">
        <v>9</v>
      </c>
      <c r="H64">
        <v>31</v>
      </c>
      <c r="I64" t="s">
        <v>11</v>
      </c>
      <c r="J64">
        <v>7</v>
      </c>
      <c r="K64">
        <v>123</v>
      </c>
    </row>
    <row r="65" spans="5:11" x14ac:dyDescent="0.25">
      <c r="E65">
        <v>1032</v>
      </c>
      <c r="F65" s="7">
        <v>45650</v>
      </c>
      <c r="G65" t="s">
        <v>9</v>
      </c>
      <c r="H65">
        <v>32</v>
      </c>
      <c r="I65" t="s">
        <v>10</v>
      </c>
      <c r="J65">
        <v>1</v>
      </c>
      <c r="K65">
        <v>445</v>
      </c>
    </row>
    <row r="66" spans="5:11" x14ac:dyDescent="0.25">
      <c r="E66">
        <v>1146</v>
      </c>
      <c r="F66" s="7">
        <v>45421</v>
      </c>
      <c r="G66" t="s">
        <v>7</v>
      </c>
      <c r="H66">
        <v>19</v>
      </c>
      <c r="I66" t="s">
        <v>10</v>
      </c>
      <c r="J66">
        <v>4</v>
      </c>
      <c r="K66">
        <v>162</v>
      </c>
    </row>
    <row r="67" spans="5:11" x14ac:dyDescent="0.25">
      <c r="E67">
        <v>1558</v>
      </c>
      <c r="F67" s="7">
        <v>45439</v>
      </c>
      <c r="G67" t="s">
        <v>9</v>
      </c>
      <c r="H67">
        <v>61</v>
      </c>
      <c r="I67" t="s">
        <v>10</v>
      </c>
      <c r="J67">
        <v>3</v>
      </c>
      <c r="K67">
        <v>135</v>
      </c>
    </row>
    <row r="68" spans="5:11" x14ac:dyDescent="0.25">
      <c r="E68">
        <v>1472</v>
      </c>
      <c r="F68" s="7">
        <v>45311</v>
      </c>
      <c r="G68" t="s">
        <v>7</v>
      </c>
      <c r="H68">
        <v>46</v>
      </c>
      <c r="I68" t="s">
        <v>10</v>
      </c>
      <c r="J68">
        <v>1</v>
      </c>
      <c r="K68">
        <v>224</v>
      </c>
    </row>
    <row r="69" spans="5:11" x14ac:dyDescent="0.25">
      <c r="E69">
        <v>255</v>
      </c>
      <c r="F69" s="7">
        <v>44975</v>
      </c>
      <c r="G69" t="s">
        <v>7</v>
      </c>
      <c r="H69">
        <v>23</v>
      </c>
      <c r="I69" t="s">
        <v>10</v>
      </c>
      <c r="J69">
        <v>2</v>
      </c>
      <c r="K69">
        <v>500</v>
      </c>
    </row>
    <row r="70" spans="5:11" x14ac:dyDescent="0.25">
      <c r="E70">
        <v>1489</v>
      </c>
      <c r="F70" s="7">
        <v>45472</v>
      </c>
      <c r="G70" t="s">
        <v>7</v>
      </c>
      <c r="H70">
        <v>38</v>
      </c>
      <c r="I70" t="s">
        <v>8</v>
      </c>
      <c r="J70">
        <v>3</v>
      </c>
      <c r="K70">
        <v>47</v>
      </c>
    </row>
    <row r="71" spans="5:11" x14ac:dyDescent="0.25">
      <c r="E71">
        <v>1386</v>
      </c>
      <c r="F71" s="7">
        <v>45627</v>
      </c>
      <c r="G71" t="s">
        <v>7</v>
      </c>
      <c r="H71">
        <v>32</v>
      </c>
      <c r="I71" t="s">
        <v>10</v>
      </c>
      <c r="J71">
        <v>2</v>
      </c>
      <c r="K71">
        <v>341</v>
      </c>
    </row>
    <row r="72" spans="5:11" x14ac:dyDescent="0.25">
      <c r="E72">
        <v>653</v>
      </c>
      <c r="F72" s="7">
        <v>45090</v>
      </c>
      <c r="G72" t="s">
        <v>9</v>
      </c>
      <c r="H72">
        <v>55</v>
      </c>
      <c r="I72" t="s">
        <v>10</v>
      </c>
      <c r="J72">
        <v>1</v>
      </c>
      <c r="K72">
        <v>500</v>
      </c>
    </row>
    <row r="73" spans="5:11" x14ac:dyDescent="0.25">
      <c r="E73">
        <v>1368</v>
      </c>
      <c r="F73" s="7">
        <v>45343</v>
      </c>
      <c r="G73" t="s">
        <v>9</v>
      </c>
      <c r="H73">
        <v>30</v>
      </c>
      <c r="I73" t="s">
        <v>8</v>
      </c>
      <c r="J73">
        <v>1</v>
      </c>
      <c r="K73">
        <v>319</v>
      </c>
    </row>
    <row r="74" spans="5:11" x14ac:dyDescent="0.25">
      <c r="E74">
        <v>1657</v>
      </c>
      <c r="F74" s="7">
        <v>45489</v>
      </c>
      <c r="G74" t="s">
        <v>9</v>
      </c>
      <c r="H74">
        <v>46</v>
      </c>
      <c r="I74" t="s">
        <v>10</v>
      </c>
      <c r="J74">
        <v>5</v>
      </c>
      <c r="K74">
        <v>452</v>
      </c>
    </row>
    <row r="75" spans="5:11" x14ac:dyDescent="0.25">
      <c r="E75">
        <v>1524</v>
      </c>
      <c r="F75" s="7">
        <v>45393</v>
      </c>
      <c r="G75" t="s">
        <v>7</v>
      </c>
      <c r="H75">
        <v>63</v>
      </c>
      <c r="I75" t="s">
        <v>10</v>
      </c>
      <c r="J75">
        <v>1</v>
      </c>
      <c r="K75">
        <v>84</v>
      </c>
    </row>
    <row r="76" spans="5:11" x14ac:dyDescent="0.25">
      <c r="E76">
        <v>640</v>
      </c>
      <c r="F76" s="7">
        <v>45253</v>
      </c>
      <c r="G76" t="s">
        <v>9</v>
      </c>
      <c r="H76">
        <v>40</v>
      </c>
      <c r="I76" t="s">
        <v>11</v>
      </c>
      <c r="J76">
        <v>1</v>
      </c>
      <c r="K76">
        <v>300</v>
      </c>
    </row>
    <row r="77" spans="5:11" x14ac:dyDescent="0.25">
      <c r="E77">
        <v>222</v>
      </c>
      <c r="F77" s="7">
        <v>44959</v>
      </c>
      <c r="G77" t="s">
        <v>9</v>
      </c>
      <c r="H77">
        <v>64</v>
      </c>
      <c r="I77" t="s">
        <v>10</v>
      </c>
      <c r="J77">
        <v>1</v>
      </c>
      <c r="K77">
        <v>25</v>
      </c>
    </row>
    <row r="78" spans="5:11" x14ac:dyDescent="0.25">
      <c r="E78">
        <v>14</v>
      </c>
      <c r="F78" s="7">
        <v>44943</v>
      </c>
      <c r="G78" t="s">
        <v>7</v>
      </c>
      <c r="H78">
        <v>64</v>
      </c>
      <c r="I78" t="s">
        <v>10</v>
      </c>
      <c r="J78">
        <v>4</v>
      </c>
      <c r="K78">
        <v>30</v>
      </c>
    </row>
    <row r="79" spans="5:11" x14ac:dyDescent="0.25">
      <c r="E79">
        <v>1492</v>
      </c>
      <c r="F79" s="7">
        <v>45497</v>
      </c>
      <c r="G79" t="s">
        <v>7</v>
      </c>
      <c r="H79">
        <v>34</v>
      </c>
      <c r="I79" t="s">
        <v>8</v>
      </c>
      <c r="J79">
        <v>3</v>
      </c>
      <c r="K79">
        <v>108</v>
      </c>
    </row>
    <row r="80" spans="5:11" x14ac:dyDescent="0.25">
      <c r="E80">
        <v>991</v>
      </c>
      <c r="F80" s="7">
        <v>44963</v>
      </c>
      <c r="G80" t="s">
        <v>9</v>
      </c>
      <c r="H80">
        <v>48</v>
      </c>
      <c r="I80" t="s">
        <v>11</v>
      </c>
      <c r="J80">
        <v>3</v>
      </c>
      <c r="K80">
        <v>50</v>
      </c>
    </row>
    <row r="81" spans="5:11" x14ac:dyDescent="0.25">
      <c r="E81">
        <v>881</v>
      </c>
      <c r="F81" s="7">
        <v>45055</v>
      </c>
      <c r="G81" t="s">
        <v>7</v>
      </c>
      <c r="H81">
        <v>40</v>
      </c>
      <c r="I81" t="s">
        <v>11</v>
      </c>
      <c r="J81">
        <v>1</v>
      </c>
      <c r="K81">
        <v>500</v>
      </c>
    </row>
    <row r="82" spans="5:11" x14ac:dyDescent="0.25">
      <c r="E82">
        <v>1526</v>
      </c>
      <c r="F82" s="7">
        <v>45513</v>
      </c>
      <c r="G82" t="s">
        <v>9</v>
      </c>
      <c r="H82">
        <v>19</v>
      </c>
      <c r="I82" t="s">
        <v>10</v>
      </c>
      <c r="J82">
        <v>6</v>
      </c>
      <c r="K82">
        <v>72</v>
      </c>
    </row>
    <row r="83" spans="5:11" x14ac:dyDescent="0.25">
      <c r="E83">
        <v>407</v>
      </c>
      <c r="F83" s="7">
        <v>45031</v>
      </c>
      <c r="G83" t="s">
        <v>9</v>
      </c>
      <c r="H83">
        <v>64</v>
      </c>
      <c r="I83" t="s">
        <v>8</v>
      </c>
      <c r="J83">
        <v>1</v>
      </c>
      <c r="K83">
        <v>500</v>
      </c>
    </row>
    <row r="84" spans="5:11" x14ac:dyDescent="0.25">
      <c r="E84">
        <v>958</v>
      </c>
      <c r="F84" s="7">
        <v>45146</v>
      </c>
      <c r="G84" t="s">
        <v>7</v>
      </c>
      <c r="H84">
        <v>59</v>
      </c>
      <c r="I84" t="s">
        <v>10</v>
      </c>
      <c r="J84">
        <v>2</v>
      </c>
      <c r="K84">
        <v>30</v>
      </c>
    </row>
    <row r="85" spans="5:11" x14ac:dyDescent="0.25">
      <c r="E85">
        <v>1918</v>
      </c>
      <c r="F85" s="7">
        <v>45586</v>
      </c>
      <c r="G85" t="s">
        <v>7</v>
      </c>
      <c r="H85">
        <v>62</v>
      </c>
      <c r="I85" t="s">
        <v>11</v>
      </c>
      <c r="J85">
        <v>3</v>
      </c>
      <c r="K85">
        <v>387</v>
      </c>
    </row>
    <row r="86" spans="5:11" x14ac:dyDescent="0.25">
      <c r="E86">
        <v>1257</v>
      </c>
      <c r="F86" s="7">
        <v>45474</v>
      </c>
      <c r="G86" t="s">
        <v>7</v>
      </c>
      <c r="H86">
        <v>21</v>
      </c>
      <c r="I86" t="s">
        <v>8</v>
      </c>
      <c r="J86">
        <v>1</v>
      </c>
      <c r="K86">
        <v>188</v>
      </c>
    </row>
    <row r="87" spans="5:11" x14ac:dyDescent="0.25">
      <c r="E87">
        <v>943</v>
      </c>
      <c r="F87" s="7">
        <v>44970</v>
      </c>
      <c r="G87" t="s">
        <v>7</v>
      </c>
      <c r="H87">
        <v>30</v>
      </c>
      <c r="I87" t="s">
        <v>8</v>
      </c>
      <c r="J87">
        <v>1</v>
      </c>
      <c r="K87">
        <v>25</v>
      </c>
    </row>
    <row r="88" spans="5:11" x14ac:dyDescent="0.25">
      <c r="E88">
        <v>1121</v>
      </c>
      <c r="F88" s="7">
        <v>45427</v>
      </c>
      <c r="G88" t="s">
        <v>9</v>
      </c>
      <c r="H88">
        <v>59</v>
      </c>
      <c r="I88" t="s">
        <v>11</v>
      </c>
      <c r="J88">
        <v>6</v>
      </c>
      <c r="K88">
        <v>443</v>
      </c>
    </row>
    <row r="89" spans="5:11" x14ac:dyDescent="0.25">
      <c r="E89">
        <v>1106</v>
      </c>
      <c r="F89" s="7">
        <v>45401</v>
      </c>
      <c r="G89" t="s">
        <v>9</v>
      </c>
      <c r="H89">
        <v>25</v>
      </c>
      <c r="I89" t="s">
        <v>8</v>
      </c>
      <c r="J89">
        <v>6</v>
      </c>
      <c r="K89">
        <v>197</v>
      </c>
    </row>
    <row r="90" spans="5:11" x14ac:dyDescent="0.25">
      <c r="E90">
        <v>692</v>
      </c>
      <c r="F90" s="7">
        <v>45066</v>
      </c>
      <c r="G90" t="s">
        <v>9</v>
      </c>
      <c r="H90">
        <v>39</v>
      </c>
      <c r="I90" t="s">
        <v>11</v>
      </c>
      <c r="J90">
        <v>2</v>
      </c>
      <c r="K90">
        <v>25</v>
      </c>
    </row>
    <row r="91" spans="5:11" x14ac:dyDescent="0.25">
      <c r="E91">
        <v>144</v>
      </c>
      <c r="F91" s="7">
        <v>45122</v>
      </c>
      <c r="G91" t="s">
        <v>9</v>
      </c>
      <c r="H91">
        <v>59</v>
      </c>
      <c r="I91" t="s">
        <v>8</v>
      </c>
      <c r="J91">
        <v>3</v>
      </c>
      <c r="K91">
        <v>500</v>
      </c>
    </row>
    <row r="92" spans="5:11" x14ac:dyDescent="0.25">
      <c r="E92">
        <v>636</v>
      </c>
      <c r="F92" s="7">
        <v>45170</v>
      </c>
      <c r="G92" t="s">
        <v>7</v>
      </c>
      <c r="H92">
        <v>43</v>
      </c>
      <c r="I92" t="s">
        <v>10</v>
      </c>
      <c r="J92">
        <v>2</v>
      </c>
      <c r="K92">
        <v>300</v>
      </c>
    </row>
    <row r="93" spans="5:11" x14ac:dyDescent="0.25">
      <c r="E93">
        <v>42</v>
      </c>
      <c r="F93" s="7">
        <v>44974</v>
      </c>
      <c r="G93" t="s">
        <v>7</v>
      </c>
      <c r="H93">
        <v>22</v>
      </c>
      <c r="I93" t="s">
        <v>10</v>
      </c>
      <c r="J93">
        <v>3</v>
      </c>
      <c r="K93">
        <v>300</v>
      </c>
    </row>
    <row r="94" spans="5:11" x14ac:dyDescent="0.25">
      <c r="E94">
        <v>424</v>
      </c>
      <c r="F94" s="7">
        <v>45061</v>
      </c>
      <c r="G94" t="s">
        <v>9</v>
      </c>
      <c r="H94">
        <v>55</v>
      </c>
      <c r="I94" t="s">
        <v>11</v>
      </c>
      <c r="J94">
        <v>4</v>
      </c>
      <c r="K94">
        <v>30</v>
      </c>
    </row>
    <row r="95" spans="5:11" x14ac:dyDescent="0.25">
      <c r="E95">
        <v>1885</v>
      </c>
      <c r="F95" s="7">
        <v>45567</v>
      </c>
      <c r="G95" t="s">
        <v>9</v>
      </c>
      <c r="H95">
        <v>60</v>
      </c>
      <c r="I95" t="s">
        <v>11</v>
      </c>
      <c r="J95">
        <v>7</v>
      </c>
      <c r="K95">
        <v>267</v>
      </c>
    </row>
    <row r="96" spans="5:11" x14ac:dyDescent="0.25">
      <c r="E96">
        <v>1300</v>
      </c>
      <c r="F96" s="7">
        <v>45293</v>
      </c>
      <c r="G96" t="s">
        <v>7</v>
      </c>
      <c r="H96">
        <v>42</v>
      </c>
      <c r="I96" t="s">
        <v>11</v>
      </c>
      <c r="J96">
        <v>2</v>
      </c>
      <c r="K96">
        <v>171</v>
      </c>
    </row>
    <row r="97" spans="5:11" x14ac:dyDescent="0.25">
      <c r="E97">
        <v>240</v>
      </c>
      <c r="F97" s="7">
        <v>45190</v>
      </c>
      <c r="G97" t="s">
        <v>9</v>
      </c>
      <c r="H97">
        <v>23</v>
      </c>
      <c r="I97" t="s">
        <v>11</v>
      </c>
      <c r="J97">
        <v>3</v>
      </c>
      <c r="K97">
        <v>25</v>
      </c>
    </row>
    <row r="98" spans="5:11" x14ac:dyDescent="0.25">
      <c r="E98">
        <v>387</v>
      </c>
      <c r="F98" s="7">
        <v>45240</v>
      </c>
      <c r="G98" t="s">
        <v>7</v>
      </c>
      <c r="H98">
        <v>50</v>
      </c>
      <c r="I98" t="s">
        <v>11</v>
      </c>
      <c r="J98">
        <v>1</v>
      </c>
      <c r="K98">
        <v>25</v>
      </c>
    </row>
    <row r="99" spans="5:11" x14ac:dyDescent="0.25">
      <c r="E99">
        <v>1320</v>
      </c>
      <c r="F99" s="7">
        <v>45317</v>
      </c>
      <c r="G99" t="s">
        <v>9</v>
      </c>
      <c r="H99">
        <v>56</v>
      </c>
      <c r="I99" t="s">
        <v>8</v>
      </c>
      <c r="J99">
        <v>6</v>
      </c>
      <c r="K99">
        <v>33</v>
      </c>
    </row>
    <row r="100" spans="5:11" x14ac:dyDescent="0.25">
      <c r="E100">
        <v>1634</v>
      </c>
      <c r="F100" s="7">
        <v>45536</v>
      </c>
      <c r="G100" t="s">
        <v>7</v>
      </c>
      <c r="H100">
        <v>31</v>
      </c>
      <c r="I100" t="s">
        <v>10</v>
      </c>
      <c r="J100">
        <v>7</v>
      </c>
      <c r="K100">
        <v>490</v>
      </c>
    </row>
    <row r="101" spans="5:11" x14ac:dyDescent="0.25">
      <c r="E101">
        <v>44</v>
      </c>
      <c r="F101" s="7">
        <v>44976</v>
      </c>
      <c r="G101" t="s">
        <v>9</v>
      </c>
      <c r="H101">
        <v>22</v>
      </c>
      <c r="I101" t="s">
        <v>10</v>
      </c>
      <c r="J101">
        <v>1</v>
      </c>
      <c r="K101">
        <v>25</v>
      </c>
    </row>
    <row r="102" spans="5:11" x14ac:dyDescent="0.25">
      <c r="E102">
        <v>1183</v>
      </c>
      <c r="F102" s="7">
        <v>45349</v>
      </c>
      <c r="G102" t="s">
        <v>7</v>
      </c>
      <c r="H102">
        <v>50</v>
      </c>
      <c r="I102" t="s">
        <v>10</v>
      </c>
      <c r="J102">
        <v>6</v>
      </c>
      <c r="K102">
        <v>18</v>
      </c>
    </row>
    <row r="103" spans="5:11" x14ac:dyDescent="0.25">
      <c r="E103">
        <v>1488</v>
      </c>
      <c r="F103" s="7">
        <v>45435</v>
      </c>
      <c r="G103" t="s">
        <v>9</v>
      </c>
      <c r="H103">
        <v>19</v>
      </c>
      <c r="I103" t="s">
        <v>11</v>
      </c>
      <c r="J103">
        <v>6</v>
      </c>
      <c r="K103">
        <v>93</v>
      </c>
    </row>
    <row r="104" spans="5:11" x14ac:dyDescent="0.25">
      <c r="E104">
        <v>1787</v>
      </c>
      <c r="F104" s="7">
        <v>45631</v>
      </c>
      <c r="G104" t="s">
        <v>9</v>
      </c>
      <c r="H104">
        <v>64</v>
      </c>
      <c r="I104" t="s">
        <v>8</v>
      </c>
      <c r="J104">
        <v>3</v>
      </c>
      <c r="K104">
        <v>404</v>
      </c>
    </row>
    <row r="105" spans="5:11" x14ac:dyDescent="0.25">
      <c r="E105">
        <v>1407</v>
      </c>
      <c r="F105" s="7">
        <v>45617</v>
      </c>
      <c r="G105" t="s">
        <v>9</v>
      </c>
      <c r="H105">
        <v>59</v>
      </c>
      <c r="I105" t="s">
        <v>10</v>
      </c>
      <c r="J105">
        <v>2</v>
      </c>
      <c r="K105">
        <v>45</v>
      </c>
    </row>
    <row r="106" spans="5:11" x14ac:dyDescent="0.25">
      <c r="E106">
        <v>1210</v>
      </c>
      <c r="F106" s="7">
        <v>45497</v>
      </c>
      <c r="G106" t="s">
        <v>7</v>
      </c>
      <c r="H106">
        <v>29</v>
      </c>
      <c r="I106" t="s">
        <v>8</v>
      </c>
      <c r="J106">
        <v>5</v>
      </c>
      <c r="K106">
        <v>308</v>
      </c>
    </row>
    <row r="107" spans="5:11" x14ac:dyDescent="0.25">
      <c r="E107">
        <v>808</v>
      </c>
      <c r="F107" s="7">
        <v>45260</v>
      </c>
      <c r="G107" t="s">
        <v>7</v>
      </c>
      <c r="H107">
        <v>59</v>
      </c>
      <c r="I107" t="s">
        <v>11</v>
      </c>
      <c r="J107">
        <v>4</v>
      </c>
      <c r="K107">
        <v>25</v>
      </c>
    </row>
    <row r="108" spans="5:11" x14ac:dyDescent="0.25">
      <c r="E108">
        <v>1659</v>
      </c>
      <c r="F108" s="7">
        <v>45371</v>
      </c>
      <c r="G108" t="s">
        <v>7</v>
      </c>
      <c r="H108">
        <v>21</v>
      </c>
      <c r="I108" t="s">
        <v>10</v>
      </c>
      <c r="J108">
        <v>3</v>
      </c>
      <c r="K108">
        <v>347</v>
      </c>
    </row>
    <row r="109" spans="5:11" x14ac:dyDescent="0.25">
      <c r="E109">
        <v>1391</v>
      </c>
      <c r="F109" s="7">
        <v>45446</v>
      </c>
      <c r="G109" t="s">
        <v>9</v>
      </c>
      <c r="H109">
        <v>52</v>
      </c>
      <c r="I109" t="s">
        <v>10</v>
      </c>
      <c r="J109">
        <v>5</v>
      </c>
      <c r="K109">
        <v>44</v>
      </c>
    </row>
    <row r="110" spans="5:11" x14ac:dyDescent="0.25">
      <c r="E110">
        <v>1080</v>
      </c>
      <c r="F110" s="7">
        <v>45652</v>
      </c>
      <c r="G110" t="s">
        <v>9</v>
      </c>
      <c r="H110">
        <v>46</v>
      </c>
      <c r="I110" t="s">
        <v>8</v>
      </c>
      <c r="J110">
        <v>6</v>
      </c>
      <c r="K110">
        <v>143</v>
      </c>
    </row>
    <row r="111" spans="5:11" x14ac:dyDescent="0.25">
      <c r="E111">
        <v>412</v>
      </c>
      <c r="F111" s="7">
        <v>45177</v>
      </c>
      <c r="G111" t="s">
        <v>9</v>
      </c>
      <c r="H111">
        <v>44</v>
      </c>
      <c r="I111" t="s">
        <v>8</v>
      </c>
      <c r="J111">
        <v>3</v>
      </c>
      <c r="K111">
        <v>25</v>
      </c>
    </row>
    <row r="112" spans="5:11" x14ac:dyDescent="0.25">
      <c r="E112">
        <v>971</v>
      </c>
      <c r="F112" s="7">
        <v>45007</v>
      </c>
      <c r="G112" t="s">
        <v>7</v>
      </c>
      <c r="H112">
        <v>60</v>
      </c>
      <c r="I112" t="s">
        <v>10</v>
      </c>
      <c r="J112">
        <v>1</v>
      </c>
      <c r="K112">
        <v>50</v>
      </c>
    </row>
    <row r="113" spans="5:11" x14ac:dyDescent="0.25">
      <c r="E113">
        <v>657</v>
      </c>
      <c r="F113" s="7">
        <v>45004</v>
      </c>
      <c r="G113" t="s">
        <v>9</v>
      </c>
      <c r="H113">
        <v>39</v>
      </c>
      <c r="I113" t="s">
        <v>11</v>
      </c>
      <c r="J113">
        <v>1</v>
      </c>
      <c r="K113">
        <v>30</v>
      </c>
    </row>
    <row r="114" spans="5:11" x14ac:dyDescent="0.25">
      <c r="E114">
        <v>1174</v>
      </c>
      <c r="F114" s="7">
        <v>45484</v>
      </c>
      <c r="G114" t="s">
        <v>9</v>
      </c>
      <c r="H114">
        <v>35</v>
      </c>
      <c r="I114" t="s">
        <v>8</v>
      </c>
      <c r="J114">
        <v>1</v>
      </c>
      <c r="K114">
        <v>431</v>
      </c>
    </row>
    <row r="115" spans="5:11" x14ac:dyDescent="0.25">
      <c r="E115">
        <v>1845</v>
      </c>
      <c r="F115" s="7">
        <v>45416</v>
      </c>
      <c r="G115" t="s">
        <v>7</v>
      </c>
      <c r="H115">
        <v>53</v>
      </c>
      <c r="I115" t="s">
        <v>10</v>
      </c>
      <c r="J115">
        <v>1</v>
      </c>
      <c r="K115">
        <v>359</v>
      </c>
    </row>
    <row r="116" spans="5:11" x14ac:dyDescent="0.25">
      <c r="E116">
        <v>508</v>
      </c>
      <c r="F116" s="7">
        <v>45103</v>
      </c>
      <c r="G116" t="s">
        <v>9</v>
      </c>
      <c r="H116">
        <v>37</v>
      </c>
      <c r="I116" t="s">
        <v>11</v>
      </c>
      <c r="J116">
        <v>3</v>
      </c>
      <c r="K116">
        <v>300</v>
      </c>
    </row>
    <row r="117" spans="5:11" x14ac:dyDescent="0.25">
      <c r="E117">
        <v>1953</v>
      </c>
      <c r="F117" s="7">
        <v>45519</v>
      </c>
      <c r="G117" t="s">
        <v>9</v>
      </c>
      <c r="H117">
        <v>42</v>
      </c>
      <c r="I117" t="s">
        <v>11</v>
      </c>
      <c r="J117">
        <v>5</v>
      </c>
      <c r="K117">
        <v>187</v>
      </c>
    </row>
    <row r="118" spans="5:11" x14ac:dyDescent="0.25">
      <c r="E118">
        <v>878</v>
      </c>
      <c r="F118" s="7">
        <v>45159</v>
      </c>
      <c r="G118" t="s">
        <v>7</v>
      </c>
      <c r="H118">
        <v>22</v>
      </c>
      <c r="I118" t="s">
        <v>8</v>
      </c>
      <c r="J118">
        <v>2</v>
      </c>
      <c r="K118">
        <v>500</v>
      </c>
    </row>
    <row r="119" spans="5:11" x14ac:dyDescent="0.25">
      <c r="E119">
        <v>1229</v>
      </c>
      <c r="F119" s="7">
        <v>45328</v>
      </c>
      <c r="G119" t="s">
        <v>9</v>
      </c>
      <c r="H119">
        <v>23</v>
      </c>
      <c r="I119" t="s">
        <v>8</v>
      </c>
      <c r="J119">
        <v>3</v>
      </c>
      <c r="K119">
        <v>135</v>
      </c>
    </row>
    <row r="120" spans="5:11" x14ac:dyDescent="0.25">
      <c r="E120">
        <v>1679</v>
      </c>
      <c r="F120" s="7">
        <v>45295</v>
      </c>
      <c r="G120" t="s">
        <v>7</v>
      </c>
      <c r="H120">
        <v>59</v>
      </c>
      <c r="I120" t="s">
        <v>8</v>
      </c>
      <c r="J120">
        <v>4</v>
      </c>
      <c r="K120">
        <v>435</v>
      </c>
    </row>
    <row r="121" spans="5:11" x14ac:dyDescent="0.25">
      <c r="E121">
        <v>697</v>
      </c>
      <c r="F121" s="7">
        <v>45099</v>
      </c>
      <c r="G121" t="s">
        <v>9</v>
      </c>
      <c r="H121">
        <v>37</v>
      </c>
      <c r="I121" t="s">
        <v>10</v>
      </c>
      <c r="J121">
        <v>4</v>
      </c>
      <c r="K121">
        <v>30</v>
      </c>
    </row>
    <row r="122" spans="5:11" x14ac:dyDescent="0.25">
      <c r="E122">
        <v>1752</v>
      </c>
      <c r="F122" s="7">
        <v>45531</v>
      </c>
      <c r="G122" t="s">
        <v>9</v>
      </c>
      <c r="H122">
        <v>31</v>
      </c>
      <c r="I122" t="s">
        <v>11</v>
      </c>
      <c r="J122">
        <v>1</v>
      </c>
      <c r="K122">
        <v>121</v>
      </c>
    </row>
    <row r="123" spans="5:11" x14ac:dyDescent="0.25">
      <c r="E123">
        <v>617</v>
      </c>
      <c r="F123" s="7">
        <v>44952</v>
      </c>
      <c r="G123" t="s">
        <v>9</v>
      </c>
      <c r="H123">
        <v>27</v>
      </c>
      <c r="I123" t="s">
        <v>8</v>
      </c>
      <c r="J123">
        <v>1</v>
      </c>
      <c r="K123">
        <v>50</v>
      </c>
    </row>
    <row r="124" spans="5:11" x14ac:dyDescent="0.25">
      <c r="E124">
        <v>1642</v>
      </c>
      <c r="F124" s="7">
        <v>45613</v>
      </c>
      <c r="G124" t="s">
        <v>9</v>
      </c>
      <c r="H124">
        <v>20</v>
      </c>
      <c r="I124" t="s">
        <v>11</v>
      </c>
      <c r="J124">
        <v>7</v>
      </c>
      <c r="K124">
        <v>375</v>
      </c>
    </row>
    <row r="125" spans="5:11" x14ac:dyDescent="0.25">
      <c r="E125">
        <v>545</v>
      </c>
      <c r="F125" s="7">
        <v>45210</v>
      </c>
      <c r="G125" t="s">
        <v>9</v>
      </c>
      <c r="H125">
        <v>36</v>
      </c>
      <c r="I125" t="s">
        <v>11</v>
      </c>
      <c r="J125">
        <v>4</v>
      </c>
      <c r="K125">
        <v>50</v>
      </c>
    </row>
    <row r="126" spans="5:11" x14ac:dyDescent="0.25">
      <c r="E126">
        <v>1779</v>
      </c>
      <c r="F126" s="7">
        <v>45643</v>
      </c>
      <c r="G126" t="s">
        <v>9</v>
      </c>
      <c r="H126">
        <v>63</v>
      </c>
      <c r="I126" t="s">
        <v>10</v>
      </c>
      <c r="J126">
        <v>7</v>
      </c>
      <c r="K126">
        <v>54</v>
      </c>
    </row>
    <row r="127" spans="5:11" x14ac:dyDescent="0.25">
      <c r="E127">
        <v>523</v>
      </c>
      <c r="F127" s="7">
        <v>45202</v>
      </c>
      <c r="G127" t="s">
        <v>7</v>
      </c>
      <c r="H127">
        <v>46</v>
      </c>
      <c r="I127" t="s">
        <v>8</v>
      </c>
      <c r="J127">
        <v>4</v>
      </c>
      <c r="K127">
        <v>300</v>
      </c>
    </row>
    <row r="128" spans="5:11" x14ac:dyDescent="0.25">
      <c r="E128">
        <v>600</v>
      </c>
      <c r="F128" s="7">
        <v>45026</v>
      </c>
      <c r="G128" t="s">
        <v>7</v>
      </c>
      <c r="H128">
        <v>19</v>
      </c>
      <c r="I128" t="s">
        <v>10</v>
      </c>
      <c r="J128">
        <v>1</v>
      </c>
      <c r="K128">
        <v>30</v>
      </c>
    </row>
    <row r="129" spans="5:11" x14ac:dyDescent="0.25">
      <c r="E129">
        <v>790</v>
      </c>
      <c r="F129" s="7">
        <v>45116</v>
      </c>
      <c r="G129" t="s">
        <v>9</v>
      </c>
      <c r="H129">
        <v>20</v>
      </c>
      <c r="I129" t="s">
        <v>8</v>
      </c>
      <c r="J129">
        <v>1</v>
      </c>
      <c r="K129">
        <v>50</v>
      </c>
    </row>
    <row r="130" spans="5:11" x14ac:dyDescent="0.25">
      <c r="E130">
        <v>1939</v>
      </c>
      <c r="F130" s="7">
        <v>45581</v>
      </c>
      <c r="G130" t="s">
        <v>9</v>
      </c>
      <c r="H130">
        <v>52</v>
      </c>
      <c r="I130" t="s">
        <v>10</v>
      </c>
      <c r="J130">
        <v>5</v>
      </c>
      <c r="K130">
        <v>303</v>
      </c>
    </row>
    <row r="131" spans="5:11" x14ac:dyDescent="0.25">
      <c r="E131">
        <v>1352</v>
      </c>
      <c r="F131" s="7">
        <v>45635</v>
      </c>
      <c r="G131" t="s">
        <v>9</v>
      </c>
      <c r="H131">
        <v>65</v>
      </c>
      <c r="I131" t="s">
        <v>11</v>
      </c>
      <c r="J131">
        <v>7</v>
      </c>
      <c r="K131">
        <v>230</v>
      </c>
    </row>
    <row r="132" spans="5:11" x14ac:dyDescent="0.25">
      <c r="E132">
        <v>225</v>
      </c>
      <c r="F132" s="7">
        <v>45228</v>
      </c>
      <c r="G132" t="s">
        <v>9</v>
      </c>
      <c r="H132">
        <v>61</v>
      </c>
      <c r="I132" t="s">
        <v>10</v>
      </c>
      <c r="J132">
        <v>1</v>
      </c>
      <c r="K132">
        <v>50</v>
      </c>
    </row>
    <row r="133" spans="5:11" x14ac:dyDescent="0.25">
      <c r="E133">
        <v>1145</v>
      </c>
      <c r="F133" s="7">
        <v>45563</v>
      </c>
      <c r="G133" t="s">
        <v>7</v>
      </c>
      <c r="H133">
        <v>43</v>
      </c>
      <c r="I133" t="s">
        <v>11</v>
      </c>
      <c r="J133">
        <v>3</v>
      </c>
      <c r="K133">
        <v>221</v>
      </c>
    </row>
    <row r="134" spans="5:11" x14ac:dyDescent="0.25">
      <c r="E134">
        <v>1144</v>
      </c>
      <c r="F134" s="7">
        <v>45532</v>
      </c>
      <c r="G134" t="s">
        <v>7</v>
      </c>
      <c r="H134">
        <v>46</v>
      </c>
      <c r="I134" t="s">
        <v>10</v>
      </c>
      <c r="J134">
        <v>2</v>
      </c>
      <c r="K134">
        <v>186</v>
      </c>
    </row>
    <row r="135" spans="5:11" x14ac:dyDescent="0.25">
      <c r="E135">
        <v>492</v>
      </c>
      <c r="F135" s="7">
        <v>45255</v>
      </c>
      <c r="G135" t="s">
        <v>7</v>
      </c>
      <c r="H135">
        <v>41</v>
      </c>
      <c r="I135" t="s">
        <v>8</v>
      </c>
      <c r="J135">
        <v>2</v>
      </c>
      <c r="K135">
        <v>25</v>
      </c>
    </row>
    <row r="136" spans="5:11" x14ac:dyDescent="0.25">
      <c r="E136">
        <v>1219</v>
      </c>
      <c r="F136" s="7">
        <v>45408</v>
      </c>
      <c r="G136" t="s">
        <v>7</v>
      </c>
      <c r="H136">
        <v>45</v>
      </c>
      <c r="I136" t="s">
        <v>10</v>
      </c>
      <c r="J136">
        <v>4</v>
      </c>
      <c r="K136">
        <v>216</v>
      </c>
    </row>
    <row r="137" spans="5:11" x14ac:dyDescent="0.25">
      <c r="E137">
        <v>842</v>
      </c>
      <c r="F137" s="7">
        <v>45211</v>
      </c>
      <c r="G137" t="s">
        <v>7</v>
      </c>
      <c r="H137">
        <v>35</v>
      </c>
      <c r="I137" t="s">
        <v>10</v>
      </c>
      <c r="J137">
        <v>3</v>
      </c>
      <c r="K137">
        <v>50</v>
      </c>
    </row>
    <row r="138" spans="5:11" x14ac:dyDescent="0.25">
      <c r="E138">
        <v>1338</v>
      </c>
      <c r="F138" s="7">
        <v>45419</v>
      </c>
      <c r="G138" t="s">
        <v>7</v>
      </c>
      <c r="H138">
        <v>20</v>
      </c>
      <c r="I138" t="s">
        <v>10</v>
      </c>
      <c r="J138">
        <v>5</v>
      </c>
      <c r="K138">
        <v>235</v>
      </c>
    </row>
    <row r="139" spans="5:11" x14ac:dyDescent="0.25">
      <c r="E139">
        <v>588</v>
      </c>
      <c r="F139" s="7">
        <v>45028</v>
      </c>
      <c r="G139" t="s">
        <v>9</v>
      </c>
      <c r="H139">
        <v>36</v>
      </c>
      <c r="I139" t="s">
        <v>8</v>
      </c>
      <c r="J139">
        <v>2</v>
      </c>
      <c r="K139">
        <v>500</v>
      </c>
    </row>
    <row r="140" spans="5:11" x14ac:dyDescent="0.25">
      <c r="E140">
        <v>594</v>
      </c>
      <c r="F140" s="7">
        <v>45239</v>
      </c>
      <c r="G140" t="s">
        <v>9</v>
      </c>
      <c r="H140">
        <v>18</v>
      </c>
      <c r="I140" t="s">
        <v>10</v>
      </c>
      <c r="J140">
        <v>4</v>
      </c>
      <c r="K140">
        <v>500</v>
      </c>
    </row>
    <row r="141" spans="5:11" x14ac:dyDescent="0.25">
      <c r="E141">
        <v>726</v>
      </c>
      <c r="F141" s="7">
        <v>45121</v>
      </c>
      <c r="G141" t="s">
        <v>7</v>
      </c>
      <c r="H141">
        <v>51</v>
      </c>
      <c r="I141" t="s">
        <v>11</v>
      </c>
      <c r="J141">
        <v>3</v>
      </c>
      <c r="K141">
        <v>50</v>
      </c>
    </row>
    <row r="142" spans="5:11" x14ac:dyDescent="0.25">
      <c r="E142">
        <v>741</v>
      </c>
      <c r="F142" s="7">
        <v>44942</v>
      </c>
      <c r="G142" t="s">
        <v>9</v>
      </c>
      <c r="H142">
        <v>34</v>
      </c>
      <c r="I142" t="s">
        <v>8</v>
      </c>
      <c r="J142">
        <v>4</v>
      </c>
      <c r="K142">
        <v>500</v>
      </c>
    </row>
    <row r="143" spans="5:11" x14ac:dyDescent="0.25">
      <c r="E143">
        <v>1708</v>
      </c>
      <c r="F143" s="7">
        <v>45632</v>
      </c>
      <c r="G143" t="s">
        <v>9</v>
      </c>
      <c r="H143">
        <v>42</v>
      </c>
      <c r="I143" t="s">
        <v>8</v>
      </c>
      <c r="J143">
        <v>3</v>
      </c>
      <c r="K143">
        <v>100</v>
      </c>
    </row>
    <row r="144" spans="5:11" x14ac:dyDescent="0.25">
      <c r="E144">
        <v>1572</v>
      </c>
      <c r="F144" s="7">
        <v>45379</v>
      </c>
      <c r="G144" t="s">
        <v>7</v>
      </c>
      <c r="H144">
        <v>23</v>
      </c>
      <c r="I144" t="s">
        <v>10</v>
      </c>
      <c r="J144">
        <v>6</v>
      </c>
      <c r="K144">
        <v>130</v>
      </c>
    </row>
    <row r="145" spans="5:11" x14ac:dyDescent="0.25">
      <c r="E145">
        <v>1156</v>
      </c>
      <c r="F145" s="7">
        <v>45349</v>
      </c>
      <c r="G145" t="s">
        <v>9</v>
      </c>
      <c r="H145">
        <v>28</v>
      </c>
      <c r="I145" t="s">
        <v>11</v>
      </c>
      <c r="J145">
        <v>3</v>
      </c>
      <c r="K145">
        <v>272</v>
      </c>
    </row>
    <row r="146" spans="5:11" x14ac:dyDescent="0.25">
      <c r="E146">
        <v>1853</v>
      </c>
      <c r="F146" s="7">
        <v>45657</v>
      </c>
      <c r="G146" t="s">
        <v>7</v>
      </c>
      <c r="H146">
        <v>52</v>
      </c>
      <c r="I146" t="s">
        <v>11</v>
      </c>
      <c r="J146">
        <v>4</v>
      </c>
      <c r="K146">
        <v>111</v>
      </c>
    </row>
    <row r="147" spans="5:11" x14ac:dyDescent="0.25">
      <c r="E147">
        <v>1864</v>
      </c>
      <c r="F147" s="7">
        <v>45632</v>
      </c>
      <c r="G147" t="s">
        <v>9</v>
      </c>
      <c r="H147">
        <v>37</v>
      </c>
      <c r="I147" t="s">
        <v>11</v>
      </c>
      <c r="J147">
        <v>3</v>
      </c>
      <c r="K147">
        <v>466</v>
      </c>
    </row>
    <row r="148" spans="5:11" x14ac:dyDescent="0.25">
      <c r="E148">
        <v>1722</v>
      </c>
      <c r="F148" s="7">
        <v>45460</v>
      </c>
      <c r="G148" t="s">
        <v>7</v>
      </c>
      <c r="H148">
        <v>48</v>
      </c>
      <c r="I148" t="s">
        <v>10</v>
      </c>
      <c r="J148">
        <v>6</v>
      </c>
      <c r="K148">
        <v>139</v>
      </c>
    </row>
    <row r="149" spans="5:11" x14ac:dyDescent="0.25">
      <c r="E149">
        <v>746</v>
      </c>
      <c r="F149" s="7">
        <v>45005</v>
      </c>
      <c r="G149" t="s">
        <v>7</v>
      </c>
      <c r="H149">
        <v>25</v>
      </c>
      <c r="I149" t="s">
        <v>10</v>
      </c>
      <c r="J149">
        <v>3</v>
      </c>
      <c r="K149">
        <v>50</v>
      </c>
    </row>
    <row r="150" spans="5:11" x14ac:dyDescent="0.25">
      <c r="E150">
        <v>856</v>
      </c>
      <c r="F150" s="7">
        <v>45178</v>
      </c>
      <c r="G150" t="s">
        <v>7</v>
      </c>
      <c r="H150">
        <v>23</v>
      </c>
      <c r="I150" t="s">
        <v>11</v>
      </c>
      <c r="J150">
        <v>2</v>
      </c>
      <c r="K150">
        <v>50</v>
      </c>
    </row>
    <row r="151" spans="5:11" x14ac:dyDescent="0.25">
      <c r="E151">
        <v>434</v>
      </c>
      <c r="F151" s="7">
        <v>45280</v>
      </c>
      <c r="G151" t="s">
        <v>9</v>
      </c>
      <c r="H151">
        <v>30</v>
      </c>
      <c r="I151" t="s">
        <v>8</v>
      </c>
      <c r="J151">
        <v>3</v>
      </c>
      <c r="K151">
        <v>300</v>
      </c>
    </row>
    <row r="152" spans="5:11" x14ac:dyDescent="0.25">
      <c r="E152">
        <v>676</v>
      </c>
      <c r="F152" s="7">
        <v>45283</v>
      </c>
      <c r="G152" t="s">
        <v>9</v>
      </c>
      <c r="H152">
        <v>60</v>
      </c>
      <c r="I152" t="s">
        <v>11</v>
      </c>
      <c r="J152">
        <v>3</v>
      </c>
      <c r="K152">
        <v>300</v>
      </c>
    </row>
    <row r="153" spans="5:11" x14ac:dyDescent="0.25">
      <c r="E153">
        <v>1720</v>
      </c>
      <c r="F153" s="7">
        <v>45401</v>
      </c>
      <c r="G153" t="s">
        <v>7</v>
      </c>
      <c r="H153">
        <v>45</v>
      </c>
      <c r="I153" t="s">
        <v>10</v>
      </c>
      <c r="J153">
        <v>6</v>
      </c>
      <c r="K153">
        <v>357</v>
      </c>
    </row>
    <row r="154" spans="5:11" x14ac:dyDescent="0.25">
      <c r="E154">
        <v>1793</v>
      </c>
      <c r="F154" s="7">
        <v>45298</v>
      </c>
      <c r="G154" t="s">
        <v>7</v>
      </c>
      <c r="H154">
        <v>20</v>
      </c>
      <c r="I154" t="s">
        <v>10</v>
      </c>
      <c r="J154">
        <v>1</v>
      </c>
      <c r="K154">
        <v>491</v>
      </c>
    </row>
    <row r="155" spans="5:11" x14ac:dyDescent="0.25">
      <c r="E155">
        <v>183</v>
      </c>
      <c r="F155" s="7">
        <v>45177</v>
      </c>
      <c r="G155" t="s">
        <v>9</v>
      </c>
      <c r="H155">
        <v>43</v>
      </c>
      <c r="I155" t="s">
        <v>8</v>
      </c>
      <c r="J155">
        <v>3</v>
      </c>
      <c r="K155">
        <v>300</v>
      </c>
    </row>
    <row r="156" spans="5:11" x14ac:dyDescent="0.25">
      <c r="E156">
        <v>169</v>
      </c>
      <c r="F156" s="7">
        <v>45247</v>
      </c>
      <c r="G156" t="s">
        <v>7</v>
      </c>
      <c r="H156">
        <v>18</v>
      </c>
      <c r="I156" t="s">
        <v>8</v>
      </c>
      <c r="J156">
        <v>3</v>
      </c>
      <c r="K156">
        <v>500</v>
      </c>
    </row>
    <row r="157" spans="5:11" x14ac:dyDescent="0.25">
      <c r="E157">
        <v>211</v>
      </c>
      <c r="F157" s="7">
        <v>45086</v>
      </c>
      <c r="G157" t="s">
        <v>7</v>
      </c>
      <c r="H157">
        <v>21</v>
      </c>
      <c r="I157" t="s">
        <v>10</v>
      </c>
      <c r="J157">
        <v>3</v>
      </c>
      <c r="K157">
        <v>500</v>
      </c>
    </row>
    <row r="158" spans="5:11" x14ac:dyDescent="0.25">
      <c r="E158">
        <v>1263</v>
      </c>
      <c r="F158" s="7">
        <v>45627</v>
      </c>
      <c r="G158" t="s">
        <v>9</v>
      </c>
      <c r="H158">
        <v>55</v>
      </c>
      <c r="I158" t="s">
        <v>11</v>
      </c>
      <c r="J158">
        <v>3</v>
      </c>
      <c r="K158">
        <v>233</v>
      </c>
    </row>
    <row r="159" spans="5:11" x14ac:dyDescent="0.25">
      <c r="E159">
        <v>1681</v>
      </c>
      <c r="F159" s="7">
        <v>45445</v>
      </c>
      <c r="G159" t="s">
        <v>7</v>
      </c>
      <c r="H159">
        <v>50</v>
      </c>
      <c r="I159" t="s">
        <v>11</v>
      </c>
      <c r="J159">
        <v>3</v>
      </c>
      <c r="K159">
        <v>26</v>
      </c>
    </row>
    <row r="160" spans="5:11" x14ac:dyDescent="0.25">
      <c r="E160">
        <v>1267</v>
      </c>
      <c r="F160" s="7">
        <v>45499</v>
      </c>
      <c r="G160" t="s">
        <v>7</v>
      </c>
      <c r="H160">
        <v>25</v>
      </c>
      <c r="I160" t="s">
        <v>11</v>
      </c>
      <c r="J160">
        <v>1</v>
      </c>
      <c r="K160">
        <v>493</v>
      </c>
    </row>
    <row r="161" spans="5:11" x14ac:dyDescent="0.25">
      <c r="E161">
        <v>1876</v>
      </c>
      <c r="F161" s="7">
        <v>45525</v>
      </c>
      <c r="G161" t="s">
        <v>7</v>
      </c>
      <c r="H161">
        <v>63</v>
      </c>
      <c r="I161" t="s">
        <v>8</v>
      </c>
      <c r="J161">
        <v>4</v>
      </c>
      <c r="K161">
        <v>499</v>
      </c>
    </row>
    <row r="162" spans="5:11" x14ac:dyDescent="0.25">
      <c r="E162">
        <v>379</v>
      </c>
      <c r="F162" s="7">
        <v>45052</v>
      </c>
      <c r="G162" t="s">
        <v>7</v>
      </c>
      <c r="H162">
        <v>56</v>
      </c>
      <c r="I162" t="s">
        <v>11</v>
      </c>
      <c r="J162">
        <v>2</v>
      </c>
      <c r="K162">
        <v>300</v>
      </c>
    </row>
    <row r="163" spans="5:11" x14ac:dyDescent="0.25">
      <c r="E163">
        <v>1294</v>
      </c>
      <c r="F163" s="7">
        <v>45539</v>
      </c>
      <c r="G163" t="s">
        <v>9</v>
      </c>
      <c r="H163">
        <v>60</v>
      </c>
      <c r="I163" t="s">
        <v>11</v>
      </c>
      <c r="J163">
        <v>1</v>
      </c>
      <c r="K163">
        <v>137</v>
      </c>
    </row>
    <row r="164" spans="5:11" x14ac:dyDescent="0.25">
      <c r="E164">
        <v>19</v>
      </c>
      <c r="F164" s="7">
        <v>45185</v>
      </c>
      <c r="G164" t="s">
        <v>9</v>
      </c>
      <c r="H164">
        <v>62</v>
      </c>
      <c r="I164" t="s">
        <v>10</v>
      </c>
      <c r="J164">
        <v>2</v>
      </c>
      <c r="K164">
        <v>25</v>
      </c>
    </row>
    <row r="165" spans="5:11" x14ac:dyDescent="0.25">
      <c r="E165">
        <v>867</v>
      </c>
      <c r="F165" s="7">
        <v>45224</v>
      </c>
      <c r="G165" t="s">
        <v>7</v>
      </c>
      <c r="H165">
        <v>37</v>
      </c>
      <c r="I165" t="s">
        <v>8</v>
      </c>
      <c r="J165">
        <v>3</v>
      </c>
      <c r="K165">
        <v>500</v>
      </c>
    </row>
    <row r="166" spans="5:11" x14ac:dyDescent="0.25">
      <c r="E166">
        <v>129</v>
      </c>
      <c r="F166" s="7">
        <v>45039</v>
      </c>
      <c r="G166" t="s">
        <v>9</v>
      </c>
      <c r="H166">
        <v>21</v>
      </c>
      <c r="I166" t="s">
        <v>8</v>
      </c>
      <c r="J166">
        <v>2</v>
      </c>
      <c r="K166">
        <v>300</v>
      </c>
    </row>
    <row r="167" spans="5:11" x14ac:dyDescent="0.25">
      <c r="E167">
        <v>72</v>
      </c>
      <c r="F167" s="7">
        <v>45069</v>
      </c>
      <c r="G167" t="s">
        <v>9</v>
      </c>
      <c r="H167">
        <v>20</v>
      </c>
      <c r="I167" t="s">
        <v>11</v>
      </c>
      <c r="J167">
        <v>4</v>
      </c>
      <c r="K167">
        <v>500</v>
      </c>
    </row>
    <row r="168" spans="5:11" x14ac:dyDescent="0.25">
      <c r="E168">
        <v>1249</v>
      </c>
      <c r="F168" s="7">
        <v>45417</v>
      </c>
      <c r="G168" t="s">
        <v>7</v>
      </c>
      <c r="H168">
        <v>42</v>
      </c>
      <c r="I168" t="s">
        <v>11</v>
      </c>
      <c r="J168">
        <v>7</v>
      </c>
      <c r="K168">
        <v>389</v>
      </c>
    </row>
    <row r="169" spans="5:11" x14ac:dyDescent="0.25">
      <c r="E169">
        <v>380</v>
      </c>
      <c r="F169" s="7">
        <v>45116</v>
      </c>
      <c r="G169" t="s">
        <v>9</v>
      </c>
      <c r="H169">
        <v>44</v>
      </c>
      <c r="I169" t="s">
        <v>10</v>
      </c>
      <c r="J169">
        <v>4</v>
      </c>
      <c r="K169">
        <v>25</v>
      </c>
    </row>
    <row r="170" spans="5:11" x14ac:dyDescent="0.25">
      <c r="E170">
        <v>914</v>
      </c>
      <c r="F170" s="7">
        <v>45284</v>
      </c>
      <c r="G170" t="s">
        <v>9</v>
      </c>
      <c r="H170">
        <v>32</v>
      </c>
      <c r="I170" t="s">
        <v>11</v>
      </c>
      <c r="J170">
        <v>1</v>
      </c>
      <c r="K170">
        <v>50</v>
      </c>
    </row>
    <row r="171" spans="5:11" x14ac:dyDescent="0.25">
      <c r="E171">
        <v>1731</v>
      </c>
      <c r="F171" s="7">
        <v>45569</v>
      </c>
      <c r="G171" t="s">
        <v>9</v>
      </c>
      <c r="H171">
        <v>32</v>
      </c>
      <c r="I171" t="s">
        <v>10</v>
      </c>
      <c r="J171">
        <v>5</v>
      </c>
      <c r="K171">
        <v>124</v>
      </c>
    </row>
    <row r="172" spans="5:11" x14ac:dyDescent="0.25">
      <c r="E172">
        <v>725</v>
      </c>
      <c r="F172" s="7">
        <v>45099</v>
      </c>
      <c r="G172" t="s">
        <v>7</v>
      </c>
      <c r="H172">
        <v>55</v>
      </c>
      <c r="I172" t="s">
        <v>8</v>
      </c>
      <c r="J172">
        <v>3</v>
      </c>
      <c r="K172">
        <v>300</v>
      </c>
    </row>
    <row r="173" spans="5:11" x14ac:dyDescent="0.25">
      <c r="E173">
        <v>1540</v>
      </c>
      <c r="F173" s="7">
        <v>45499</v>
      </c>
      <c r="G173" t="s">
        <v>7</v>
      </c>
      <c r="H173">
        <v>35</v>
      </c>
      <c r="I173" t="s">
        <v>8</v>
      </c>
      <c r="J173">
        <v>4</v>
      </c>
      <c r="K173">
        <v>343</v>
      </c>
    </row>
    <row r="174" spans="5:11" x14ac:dyDescent="0.25">
      <c r="E174">
        <v>554</v>
      </c>
      <c r="F174" s="7">
        <v>45218</v>
      </c>
      <c r="G174" t="s">
        <v>7</v>
      </c>
      <c r="H174">
        <v>25</v>
      </c>
      <c r="I174" t="s">
        <v>8</v>
      </c>
      <c r="J174">
        <v>1</v>
      </c>
      <c r="K174">
        <v>300</v>
      </c>
    </row>
    <row r="175" spans="5:11" x14ac:dyDescent="0.25">
      <c r="E175">
        <v>1444</v>
      </c>
      <c r="F175" s="7">
        <v>45479</v>
      </c>
      <c r="G175" t="s">
        <v>7</v>
      </c>
      <c r="H175">
        <v>33</v>
      </c>
      <c r="I175" t="s">
        <v>8</v>
      </c>
      <c r="J175">
        <v>4</v>
      </c>
      <c r="K175">
        <v>235</v>
      </c>
    </row>
    <row r="176" spans="5:11" x14ac:dyDescent="0.25">
      <c r="E176">
        <v>1856</v>
      </c>
      <c r="F176" s="7">
        <v>45300</v>
      </c>
      <c r="G176" t="s">
        <v>7</v>
      </c>
      <c r="H176">
        <v>44</v>
      </c>
      <c r="I176" t="s">
        <v>10</v>
      </c>
      <c r="J176">
        <v>2</v>
      </c>
      <c r="K176">
        <v>464</v>
      </c>
    </row>
    <row r="177" spans="5:11" x14ac:dyDescent="0.25">
      <c r="E177">
        <v>860</v>
      </c>
      <c r="F177" s="7">
        <v>45077</v>
      </c>
      <c r="G177" t="s">
        <v>7</v>
      </c>
      <c r="H177">
        <v>28</v>
      </c>
      <c r="I177" t="s">
        <v>11</v>
      </c>
      <c r="J177">
        <v>4</v>
      </c>
      <c r="K177">
        <v>300</v>
      </c>
    </row>
    <row r="178" spans="5:11" x14ac:dyDescent="0.25">
      <c r="E178">
        <v>1832</v>
      </c>
      <c r="F178" s="7">
        <v>45401</v>
      </c>
      <c r="G178" t="s">
        <v>9</v>
      </c>
      <c r="H178">
        <v>46</v>
      </c>
      <c r="I178" t="s">
        <v>10</v>
      </c>
      <c r="J178">
        <v>1</v>
      </c>
      <c r="K178">
        <v>496</v>
      </c>
    </row>
    <row r="179" spans="5:11" x14ac:dyDescent="0.25">
      <c r="E179">
        <v>398</v>
      </c>
      <c r="F179" s="7">
        <v>44986</v>
      </c>
      <c r="G179" t="s">
        <v>9</v>
      </c>
      <c r="H179">
        <v>64</v>
      </c>
      <c r="I179" t="s">
        <v>8</v>
      </c>
      <c r="J179">
        <v>2</v>
      </c>
      <c r="K179">
        <v>30</v>
      </c>
    </row>
    <row r="180" spans="5:11" x14ac:dyDescent="0.25">
      <c r="E180">
        <v>173</v>
      </c>
      <c r="F180" s="7">
        <v>45238</v>
      </c>
      <c r="G180" t="s">
        <v>7</v>
      </c>
      <c r="H180">
        <v>64</v>
      </c>
      <c r="I180" t="s">
        <v>11</v>
      </c>
      <c r="J180">
        <v>4</v>
      </c>
      <c r="K180">
        <v>30</v>
      </c>
    </row>
    <row r="181" spans="5:11" x14ac:dyDescent="0.25">
      <c r="E181">
        <v>1054</v>
      </c>
      <c r="F181" s="7">
        <v>45443</v>
      </c>
      <c r="G181" t="s">
        <v>9</v>
      </c>
      <c r="H181">
        <v>42</v>
      </c>
      <c r="I181" t="s">
        <v>10</v>
      </c>
      <c r="J181">
        <v>2</v>
      </c>
      <c r="K181">
        <v>164</v>
      </c>
    </row>
    <row r="182" spans="5:11" x14ac:dyDescent="0.25">
      <c r="E182">
        <v>1426</v>
      </c>
      <c r="F182" s="7">
        <v>45654</v>
      </c>
      <c r="G182" t="s">
        <v>7</v>
      </c>
      <c r="H182">
        <v>55</v>
      </c>
      <c r="I182" t="s">
        <v>11</v>
      </c>
      <c r="J182">
        <v>7</v>
      </c>
      <c r="K182">
        <v>399</v>
      </c>
    </row>
    <row r="183" spans="5:11" x14ac:dyDescent="0.25">
      <c r="E183">
        <v>1778</v>
      </c>
      <c r="F183" s="7">
        <v>45447</v>
      </c>
      <c r="G183" t="s">
        <v>7</v>
      </c>
      <c r="H183">
        <v>60</v>
      </c>
      <c r="I183" t="s">
        <v>10</v>
      </c>
      <c r="J183">
        <v>5</v>
      </c>
      <c r="K183">
        <v>146</v>
      </c>
    </row>
    <row r="184" spans="5:11" x14ac:dyDescent="0.25">
      <c r="E184">
        <v>203</v>
      </c>
      <c r="F184" s="7">
        <v>45062</v>
      </c>
      <c r="G184" t="s">
        <v>7</v>
      </c>
      <c r="H184">
        <v>56</v>
      </c>
      <c r="I184" t="s">
        <v>10</v>
      </c>
      <c r="J184">
        <v>2</v>
      </c>
      <c r="K184">
        <v>500</v>
      </c>
    </row>
    <row r="185" spans="5:11" x14ac:dyDescent="0.25">
      <c r="E185">
        <v>1616</v>
      </c>
      <c r="F185" s="7">
        <v>45578</v>
      </c>
      <c r="G185" t="s">
        <v>7</v>
      </c>
      <c r="H185">
        <v>56</v>
      </c>
      <c r="I185" t="s">
        <v>11</v>
      </c>
      <c r="J185">
        <v>7</v>
      </c>
      <c r="K185">
        <v>249</v>
      </c>
    </row>
    <row r="186" spans="5:11" x14ac:dyDescent="0.25">
      <c r="E186">
        <v>677</v>
      </c>
      <c r="F186" s="7">
        <v>44937</v>
      </c>
      <c r="G186" t="s">
        <v>9</v>
      </c>
      <c r="H186">
        <v>18</v>
      </c>
      <c r="I186" t="s">
        <v>8</v>
      </c>
      <c r="J186">
        <v>3</v>
      </c>
      <c r="K186">
        <v>30</v>
      </c>
    </row>
    <row r="187" spans="5:11" x14ac:dyDescent="0.25">
      <c r="E187">
        <v>172</v>
      </c>
      <c r="F187" s="7">
        <v>45186</v>
      </c>
      <c r="G187" t="s">
        <v>7</v>
      </c>
      <c r="H187">
        <v>32</v>
      </c>
      <c r="I187" t="s">
        <v>8</v>
      </c>
      <c r="J187">
        <v>2</v>
      </c>
      <c r="K187">
        <v>25</v>
      </c>
    </row>
    <row r="188" spans="5:11" x14ac:dyDescent="0.25">
      <c r="E188">
        <v>198</v>
      </c>
      <c r="F188" s="7">
        <v>44992</v>
      </c>
      <c r="G188" t="s">
        <v>9</v>
      </c>
      <c r="H188">
        <v>54</v>
      </c>
      <c r="I188" t="s">
        <v>8</v>
      </c>
      <c r="J188">
        <v>3</v>
      </c>
      <c r="K188">
        <v>300</v>
      </c>
    </row>
    <row r="189" spans="5:11" x14ac:dyDescent="0.25">
      <c r="E189">
        <v>1957</v>
      </c>
      <c r="F189" s="7">
        <v>45449</v>
      </c>
      <c r="G189" t="s">
        <v>7</v>
      </c>
      <c r="H189">
        <v>56</v>
      </c>
      <c r="I189" t="s">
        <v>8</v>
      </c>
      <c r="J189">
        <v>5</v>
      </c>
      <c r="K189">
        <v>263</v>
      </c>
    </row>
    <row r="190" spans="5:11" x14ac:dyDescent="0.25">
      <c r="E190">
        <v>599</v>
      </c>
      <c r="F190" s="7">
        <v>45221</v>
      </c>
      <c r="G190" t="s">
        <v>9</v>
      </c>
      <c r="H190">
        <v>59</v>
      </c>
      <c r="I190" t="s">
        <v>8</v>
      </c>
      <c r="J190">
        <v>2</v>
      </c>
      <c r="K190">
        <v>500</v>
      </c>
    </row>
    <row r="191" spans="5:11" x14ac:dyDescent="0.25">
      <c r="E191">
        <v>378</v>
      </c>
      <c r="F191" s="7">
        <v>44962</v>
      </c>
      <c r="G191" t="s">
        <v>9</v>
      </c>
      <c r="H191">
        <v>47</v>
      </c>
      <c r="I191" t="s">
        <v>10</v>
      </c>
      <c r="J191">
        <v>1</v>
      </c>
      <c r="K191">
        <v>25</v>
      </c>
    </row>
    <row r="192" spans="5:11" x14ac:dyDescent="0.25">
      <c r="E192">
        <v>281</v>
      </c>
      <c r="F192" s="7">
        <v>45163</v>
      </c>
      <c r="G192" t="s">
        <v>9</v>
      </c>
      <c r="H192">
        <v>64</v>
      </c>
      <c r="I192" t="s">
        <v>11</v>
      </c>
      <c r="J192">
        <v>4</v>
      </c>
      <c r="K192">
        <v>50</v>
      </c>
    </row>
    <row r="193" spans="5:11" x14ac:dyDescent="0.25">
      <c r="E193">
        <v>83</v>
      </c>
      <c r="F193" s="7">
        <v>45276</v>
      </c>
      <c r="G193" t="s">
        <v>7</v>
      </c>
      <c r="H193">
        <v>54</v>
      </c>
      <c r="I193" t="s">
        <v>11</v>
      </c>
      <c r="J193">
        <v>2</v>
      </c>
      <c r="K193">
        <v>50</v>
      </c>
    </row>
    <row r="194" spans="5:11" x14ac:dyDescent="0.25">
      <c r="E194">
        <v>499</v>
      </c>
      <c r="F194" s="7">
        <v>44986</v>
      </c>
      <c r="G194" t="s">
        <v>9</v>
      </c>
      <c r="H194">
        <v>60</v>
      </c>
      <c r="I194" t="s">
        <v>8</v>
      </c>
      <c r="J194">
        <v>4</v>
      </c>
      <c r="K194">
        <v>25</v>
      </c>
    </row>
    <row r="195" spans="5:11" x14ac:dyDescent="0.25">
      <c r="E195">
        <v>722</v>
      </c>
      <c r="F195" s="7">
        <v>45035</v>
      </c>
      <c r="G195" t="s">
        <v>7</v>
      </c>
      <c r="H195">
        <v>61</v>
      </c>
      <c r="I195" t="s">
        <v>10</v>
      </c>
      <c r="J195">
        <v>3</v>
      </c>
      <c r="K195">
        <v>50</v>
      </c>
    </row>
    <row r="196" spans="5:11" x14ac:dyDescent="0.25">
      <c r="E196">
        <v>625</v>
      </c>
      <c r="F196" s="7">
        <v>45198</v>
      </c>
      <c r="G196" t="s">
        <v>9</v>
      </c>
      <c r="H196">
        <v>26</v>
      </c>
      <c r="I196" t="s">
        <v>10</v>
      </c>
      <c r="J196">
        <v>4</v>
      </c>
      <c r="K196">
        <v>500</v>
      </c>
    </row>
    <row r="197" spans="5:11" x14ac:dyDescent="0.25">
      <c r="E197">
        <v>1647</v>
      </c>
      <c r="F197" s="7">
        <v>45439</v>
      </c>
      <c r="G197" t="s">
        <v>7</v>
      </c>
      <c r="H197">
        <v>18</v>
      </c>
      <c r="I197" t="s">
        <v>10</v>
      </c>
      <c r="J197">
        <v>1</v>
      </c>
      <c r="K197">
        <v>99</v>
      </c>
    </row>
    <row r="198" spans="5:11" x14ac:dyDescent="0.25">
      <c r="E198">
        <v>1402</v>
      </c>
      <c r="F198" s="7">
        <v>45602</v>
      </c>
      <c r="G198" t="s">
        <v>9</v>
      </c>
      <c r="H198">
        <v>61</v>
      </c>
      <c r="I198" t="s">
        <v>10</v>
      </c>
      <c r="J198">
        <v>3</v>
      </c>
      <c r="K198">
        <v>193</v>
      </c>
    </row>
    <row r="199" spans="5:11" x14ac:dyDescent="0.25">
      <c r="E199">
        <v>1691</v>
      </c>
      <c r="F199" s="7">
        <v>45516</v>
      </c>
      <c r="G199" t="s">
        <v>9</v>
      </c>
      <c r="H199">
        <v>20</v>
      </c>
      <c r="I199" t="s">
        <v>11</v>
      </c>
      <c r="J199">
        <v>7</v>
      </c>
      <c r="K199">
        <v>259</v>
      </c>
    </row>
    <row r="200" spans="5:11" x14ac:dyDescent="0.25">
      <c r="E200">
        <v>804</v>
      </c>
      <c r="F200" s="7">
        <v>45005</v>
      </c>
      <c r="G200" t="s">
        <v>9</v>
      </c>
      <c r="H200">
        <v>35</v>
      </c>
      <c r="I200" t="s">
        <v>8</v>
      </c>
      <c r="J200">
        <v>3</v>
      </c>
      <c r="K200">
        <v>300</v>
      </c>
    </row>
    <row r="201" spans="5:11" x14ac:dyDescent="0.25">
      <c r="E201">
        <v>606</v>
      </c>
      <c r="F201" s="7">
        <v>45002</v>
      </c>
      <c r="G201" t="s">
        <v>7</v>
      </c>
      <c r="H201">
        <v>54</v>
      </c>
      <c r="I201" t="s">
        <v>10</v>
      </c>
      <c r="J201">
        <v>3</v>
      </c>
      <c r="K201">
        <v>25</v>
      </c>
    </row>
    <row r="202" spans="5:11" x14ac:dyDescent="0.25">
      <c r="E202">
        <v>582</v>
      </c>
      <c r="F202" s="7">
        <v>45098</v>
      </c>
      <c r="G202" t="s">
        <v>9</v>
      </c>
      <c r="H202">
        <v>24</v>
      </c>
      <c r="I202" t="s">
        <v>11</v>
      </c>
      <c r="J202">
        <v>4</v>
      </c>
      <c r="K202">
        <v>25</v>
      </c>
    </row>
    <row r="203" spans="5:11" x14ac:dyDescent="0.25">
      <c r="E203">
        <v>1962</v>
      </c>
      <c r="F203" s="7">
        <v>45342</v>
      </c>
      <c r="G203" t="s">
        <v>7</v>
      </c>
      <c r="H203">
        <v>28</v>
      </c>
      <c r="I203" t="s">
        <v>11</v>
      </c>
      <c r="J203">
        <v>1</v>
      </c>
      <c r="K203">
        <v>483</v>
      </c>
    </row>
    <row r="204" spans="5:11" x14ac:dyDescent="0.25">
      <c r="E204">
        <v>1479</v>
      </c>
      <c r="F204" s="7">
        <v>45409</v>
      </c>
      <c r="G204" t="s">
        <v>9</v>
      </c>
      <c r="H204">
        <v>58</v>
      </c>
      <c r="I204" t="s">
        <v>10</v>
      </c>
      <c r="J204">
        <v>2</v>
      </c>
      <c r="K204">
        <v>374</v>
      </c>
    </row>
    <row r="205" spans="5:11" x14ac:dyDescent="0.25">
      <c r="E205">
        <v>417</v>
      </c>
      <c r="F205" s="7">
        <v>45143</v>
      </c>
      <c r="G205" t="s">
        <v>9</v>
      </c>
      <c r="H205">
        <v>60</v>
      </c>
      <c r="I205" t="s">
        <v>11</v>
      </c>
      <c r="J205">
        <v>2</v>
      </c>
      <c r="K205">
        <v>500</v>
      </c>
    </row>
    <row r="206" spans="5:11" x14ac:dyDescent="0.25">
      <c r="E206">
        <v>85</v>
      </c>
      <c r="F206" s="7">
        <v>44963</v>
      </c>
      <c r="G206" t="s">
        <v>7</v>
      </c>
      <c r="H206">
        <v>31</v>
      </c>
      <c r="I206" t="s">
        <v>10</v>
      </c>
      <c r="J206">
        <v>3</v>
      </c>
      <c r="K206">
        <v>50</v>
      </c>
    </row>
    <row r="207" spans="5:11" x14ac:dyDescent="0.25">
      <c r="E207">
        <v>1160</v>
      </c>
      <c r="F207" s="7">
        <v>45525</v>
      </c>
      <c r="G207" t="s">
        <v>7</v>
      </c>
      <c r="H207">
        <v>48</v>
      </c>
      <c r="I207" t="s">
        <v>10</v>
      </c>
      <c r="J207">
        <v>3</v>
      </c>
      <c r="K207">
        <v>118</v>
      </c>
    </row>
    <row r="208" spans="5:11" x14ac:dyDescent="0.25">
      <c r="E208">
        <v>1596</v>
      </c>
      <c r="F208" s="7">
        <v>45615</v>
      </c>
      <c r="G208" t="s">
        <v>9</v>
      </c>
      <c r="H208">
        <v>32</v>
      </c>
      <c r="I208" t="s">
        <v>8</v>
      </c>
      <c r="J208">
        <v>5</v>
      </c>
      <c r="K208">
        <v>101</v>
      </c>
    </row>
    <row r="209" spans="5:11" x14ac:dyDescent="0.25">
      <c r="E209">
        <v>1955</v>
      </c>
      <c r="F209" s="7">
        <v>45594</v>
      </c>
      <c r="G209" t="s">
        <v>9</v>
      </c>
      <c r="H209">
        <v>60</v>
      </c>
      <c r="I209" t="s">
        <v>11</v>
      </c>
      <c r="J209">
        <v>2</v>
      </c>
      <c r="K209">
        <v>64</v>
      </c>
    </row>
    <row r="210" spans="5:11" x14ac:dyDescent="0.25">
      <c r="E210">
        <v>110</v>
      </c>
      <c r="F210" s="7">
        <v>45088</v>
      </c>
      <c r="G210" t="s">
        <v>7</v>
      </c>
      <c r="H210">
        <v>27</v>
      </c>
      <c r="I210" t="s">
        <v>10</v>
      </c>
      <c r="J210">
        <v>3</v>
      </c>
      <c r="K210">
        <v>300</v>
      </c>
    </row>
    <row r="211" spans="5:11" x14ac:dyDescent="0.25">
      <c r="E211">
        <v>1846</v>
      </c>
      <c r="F211" s="7">
        <v>45501</v>
      </c>
      <c r="G211" t="s">
        <v>9</v>
      </c>
      <c r="H211">
        <v>23</v>
      </c>
      <c r="I211" t="s">
        <v>8</v>
      </c>
      <c r="J211">
        <v>6</v>
      </c>
      <c r="K211">
        <v>138</v>
      </c>
    </row>
    <row r="212" spans="5:11" x14ac:dyDescent="0.25">
      <c r="E212">
        <v>989</v>
      </c>
      <c r="F212" s="7">
        <v>45286</v>
      </c>
      <c r="G212" t="s">
        <v>9</v>
      </c>
      <c r="H212">
        <v>34</v>
      </c>
      <c r="I212" t="s">
        <v>10</v>
      </c>
      <c r="J212">
        <v>2</v>
      </c>
      <c r="K212">
        <v>50</v>
      </c>
    </row>
    <row r="213" spans="5:11" x14ac:dyDescent="0.25">
      <c r="E213">
        <v>1060</v>
      </c>
      <c r="F213" s="7">
        <v>45653</v>
      </c>
      <c r="G213" t="s">
        <v>7</v>
      </c>
      <c r="H213">
        <v>49</v>
      </c>
      <c r="I213" t="s">
        <v>8</v>
      </c>
      <c r="J213">
        <v>1</v>
      </c>
      <c r="K213">
        <v>183</v>
      </c>
    </row>
    <row r="214" spans="5:11" x14ac:dyDescent="0.25">
      <c r="E214">
        <v>319</v>
      </c>
      <c r="F214" s="7">
        <v>44958</v>
      </c>
      <c r="G214" t="s">
        <v>9</v>
      </c>
      <c r="H214">
        <v>28</v>
      </c>
      <c r="I214" t="s">
        <v>11</v>
      </c>
      <c r="J214">
        <v>4</v>
      </c>
      <c r="K214">
        <v>300</v>
      </c>
    </row>
    <row r="215" spans="5:11" x14ac:dyDescent="0.25">
      <c r="E215">
        <v>952</v>
      </c>
      <c r="F215" s="7">
        <v>45194</v>
      </c>
      <c r="G215" t="s">
        <v>9</v>
      </c>
      <c r="H215">
        <v>50</v>
      </c>
      <c r="I215" t="s">
        <v>11</v>
      </c>
      <c r="J215">
        <v>3</v>
      </c>
      <c r="K215">
        <v>300</v>
      </c>
    </row>
    <row r="216" spans="5:11" x14ac:dyDescent="0.25">
      <c r="E216">
        <v>1706</v>
      </c>
      <c r="F216" s="7">
        <v>45596</v>
      </c>
      <c r="G216" t="s">
        <v>9</v>
      </c>
      <c r="H216">
        <v>63</v>
      </c>
      <c r="I216" t="s">
        <v>11</v>
      </c>
      <c r="J216">
        <v>6</v>
      </c>
      <c r="K216">
        <v>499</v>
      </c>
    </row>
    <row r="217" spans="5:11" x14ac:dyDescent="0.25">
      <c r="E217">
        <v>147</v>
      </c>
      <c r="F217" s="7">
        <v>45197</v>
      </c>
      <c r="G217" t="s">
        <v>7</v>
      </c>
      <c r="H217">
        <v>23</v>
      </c>
      <c r="I217" t="s">
        <v>11</v>
      </c>
      <c r="J217">
        <v>1</v>
      </c>
      <c r="K217">
        <v>300</v>
      </c>
    </row>
    <row r="218" spans="5:11" x14ac:dyDescent="0.25">
      <c r="E218">
        <v>818</v>
      </c>
      <c r="F218" s="7">
        <v>45052</v>
      </c>
      <c r="G218" t="s">
        <v>7</v>
      </c>
      <c r="H218">
        <v>49</v>
      </c>
      <c r="I218" t="s">
        <v>11</v>
      </c>
      <c r="J218">
        <v>4</v>
      </c>
      <c r="K218">
        <v>50</v>
      </c>
    </row>
    <row r="219" spans="5:11" x14ac:dyDescent="0.25">
      <c r="E219">
        <v>844</v>
      </c>
      <c r="F219" s="7">
        <v>45191</v>
      </c>
      <c r="G219" t="s">
        <v>7</v>
      </c>
      <c r="H219">
        <v>42</v>
      </c>
      <c r="I219" t="s">
        <v>8</v>
      </c>
      <c r="J219">
        <v>1</v>
      </c>
      <c r="K219">
        <v>50</v>
      </c>
    </row>
    <row r="220" spans="5:11" x14ac:dyDescent="0.25">
      <c r="E220">
        <v>256</v>
      </c>
      <c r="F220" s="7">
        <v>44976</v>
      </c>
      <c r="G220" t="s">
        <v>7</v>
      </c>
      <c r="H220">
        <v>19</v>
      </c>
      <c r="I220" t="s">
        <v>8</v>
      </c>
      <c r="J220">
        <v>4</v>
      </c>
      <c r="K220">
        <v>500</v>
      </c>
    </row>
    <row r="221" spans="5:11" x14ac:dyDescent="0.25">
      <c r="E221">
        <v>1625</v>
      </c>
      <c r="F221" s="7">
        <v>45597</v>
      </c>
      <c r="G221" t="s">
        <v>9</v>
      </c>
      <c r="H221">
        <v>62</v>
      </c>
      <c r="I221" t="s">
        <v>8</v>
      </c>
      <c r="J221">
        <v>6</v>
      </c>
      <c r="K221">
        <v>249</v>
      </c>
    </row>
    <row r="222" spans="5:11" x14ac:dyDescent="0.25">
      <c r="E222">
        <v>1844</v>
      </c>
      <c r="F222" s="7">
        <v>45335</v>
      </c>
      <c r="G222" t="s">
        <v>9</v>
      </c>
      <c r="H222">
        <v>35</v>
      </c>
      <c r="I222" t="s">
        <v>10</v>
      </c>
      <c r="J222">
        <v>6</v>
      </c>
      <c r="K222">
        <v>321</v>
      </c>
    </row>
    <row r="223" spans="5:11" x14ac:dyDescent="0.25">
      <c r="E223">
        <v>78</v>
      </c>
      <c r="F223" s="7">
        <v>45108</v>
      </c>
      <c r="G223" t="s">
        <v>9</v>
      </c>
      <c r="H223">
        <v>47</v>
      </c>
      <c r="I223" t="s">
        <v>10</v>
      </c>
      <c r="J223">
        <v>3</v>
      </c>
      <c r="K223">
        <v>500</v>
      </c>
    </row>
    <row r="224" spans="5:11" x14ac:dyDescent="0.25">
      <c r="E224">
        <v>248</v>
      </c>
      <c r="F224" s="7">
        <v>45219</v>
      </c>
      <c r="G224" t="s">
        <v>7</v>
      </c>
      <c r="H224">
        <v>20</v>
      </c>
      <c r="I224" t="s">
        <v>10</v>
      </c>
      <c r="J224">
        <v>1</v>
      </c>
      <c r="K224">
        <v>50</v>
      </c>
    </row>
    <row r="225" spans="5:11" x14ac:dyDescent="0.25">
      <c r="E225">
        <v>634</v>
      </c>
      <c r="F225" s="7">
        <v>45155</v>
      </c>
      <c r="G225" t="s">
        <v>9</v>
      </c>
      <c r="H225">
        <v>63</v>
      </c>
      <c r="I225" t="s">
        <v>11</v>
      </c>
      <c r="J225">
        <v>3</v>
      </c>
      <c r="K225">
        <v>300</v>
      </c>
    </row>
    <row r="226" spans="5:11" x14ac:dyDescent="0.25">
      <c r="E226">
        <v>1403</v>
      </c>
      <c r="F226" s="7">
        <v>45400</v>
      </c>
      <c r="G226" t="s">
        <v>9</v>
      </c>
      <c r="H226">
        <v>35</v>
      </c>
      <c r="I226" t="s">
        <v>8</v>
      </c>
      <c r="J226">
        <v>1</v>
      </c>
      <c r="K226">
        <v>186</v>
      </c>
    </row>
    <row r="227" spans="5:11" x14ac:dyDescent="0.25">
      <c r="E227">
        <v>1297</v>
      </c>
      <c r="F227" s="7">
        <v>45322</v>
      </c>
      <c r="G227" t="s">
        <v>9</v>
      </c>
      <c r="H227">
        <v>44</v>
      </c>
      <c r="I227" t="s">
        <v>11</v>
      </c>
      <c r="J227">
        <v>1</v>
      </c>
      <c r="K227">
        <v>176</v>
      </c>
    </row>
    <row r="228" spans="5:11" x14ac:dyDescent="0.25">
      <c r="E228">
        <v>960</v>
      </c>
      <c r="F228" s="7">
        <v>45218</v>
      </c>
      <c r="G228" t="s">
        <v>7</v>
      </c>
      <c r="H228">
        <v>44</v>
      </c>
      <c r="I228" t="s">
        <v>10</v>
      </c>
      <c r="J228">
        <v>2</v>
      </c>
      <c r="K228">
        <v>30</v>
      </c>
    </row>
    <row r="229" spans="5:11" x14ac:dyDescent="0.25">
      <c r="E229">
        <v>1847</v>
      </c>
      <c r="F229" s="7">
        <v>45543</v>
      </c>
      <c r="G229" t="s">
        <v>7</v>
      </c>
      <c r="H229">
        <v>46</v>
      </c>
      <c r="I229" t="s">
        <v>11</v>
      </c>
      <c r="J229">
        <v>2</v>
      </c>
      <c r="K229">
        <v>419</v>
      </c>
    </row>
    <row r="230" spans="5:11" x14ac:dyDescent="0.25">
      <c r="E230">
        <v>1201</v>
      </c>
      <c r="F230" s="7">
        <v>45428</v>
      </c>
      <c r="G230" t="s">
        <v>7</v>
      </c>
      <c r="H230">
        <v>21</v>
      </c>
      <c r="I230" t="s">
        <v>10</v>
      </c>
      <c r="J230">
        <v>7</v>
      </c>
      <c r="K230">
        <v>335</v>
      </c>
    </row>
    <row r="231" spans="5:11" x14ac:dyDescent="0.25">
      <c r="E231">
        <v>1333</v>
      </c>
      <c r="F231" s="7">
        <v>45638</v>
      </c>
      <c r="G231" t="s">
        <v>9</v>
      </c>
      <c r="H231">
        <v>41</v>
      </c>
      <c r="I231" t="s">
        <v>8</v>
      </c>
      <c r="J231">
        <v>2</v>
      </c>
      <c r="K231">
        <v>80</v>
      </c>
    </row>
    <row r="232" spans="5:11" x14ac:dyDescent="0.25">
      <c r="E232">
        <v>920</v>
      </c>
      <c r="F232" s="7">
        <v>45220</v>
      </c>
      <c r="G232" t="s">
        <v>7</v>
      </c>
      <c r="H232">
        <v>41</v>
      </c>
      <c r="I232" t="s">
        <v>11</v>
      </c>
      <c r="J232">
        <v>1</v>
      </c>
      <c r="K232">
        <v>50</v>
      </c>
    </row>
    <row r="233" spans="5:11" x14ac:dyDescent="0.25">
      <c r="E233">
        <v>1732</v>
      </c>
      <c r="F233" s="7">
        <v>45318</v>
      </c>
      <c r="G233" t="s">
        <v>7</v>
      </c>
      <c r="H233">
        <v>46</v>
      </c>
      <c r="I233" t="s">
        <v>10</v>
      </c>
      <c r="J233">
        <v>2</v>
      </c>
      <c r="K233">
        <v>466</v>
      </c>
    </row>
    <row r="234" spans="5:11" x14ac:dyDescent="0.25">
      <c r="E234">
        <v>190</v>
      </c>
      <c r="F234" s="7">
        <v>45050</v>
      </c>
      <c r="G234" t="s">
        <v>9</v>
      </c>
      <c r="H234">
        <v>60</v>
      </c>
      <c r="I234" t="s">
        <v>8</v>
      </c>
      <c r="J234">
        <v>3</v>
      </c>
      <c r="K234">
        <v>30</v>
      </c>
    </row>
    <row r="235" spans="5:11" x14ac:dyDescent="0.25">
      <c r="E235">
        <v>992</v>
      </c>
      <c r="F235" s="7">
        <v>45278</v>
      </c>
      <c r="G235" t="s">
        <v>9</v>
      </c>
      <c r="H235">
        <v>51</v>
      </c>
      <c r="I235" t="s">
        <v>8</v>
      </c>
      <c r="J235">
        <v>2</v>
      </c>
      <c r="K235">
        <v>500</v>
      </c>
    </row>
    <row r="236" spans="5:11" x14ac:dyDescent="0.25">
      <c r="E236">
        <v>1592</v>
      </c>
      <c r="F236" s="7">
        <v>45605</v>
      </c>
      <c r="G236" t="s">
        <v>9</v>
      </c>
      <c r="H236">
        <v>49</v>
      </c>
      <c r="I236" t="s">
        <v>10</v>
      </c>
      <c r="J236">
        <v>6</v>
      </c>
      <c r="K236">
        <v>155</v>
      </c>
    </row>
    <row r="237" spans="5:11" x14ac:dyDescent="0.25">
      <c r="E237">
        <v>23</v>
      </c>
      <c r="F237" s="7">
        <v>45028</v>
      </c>
      <c r="G237" t="s">
        <v>9</v>
      </c>
      <c r="H237">
        <v>35</v>
      </c>
      <c r="I237" t="s">
        <v>10</v>
      </c>
      <c r="J237">
        <v>4</v>
      </c>
      <c r="K237">
        <v>30</v>
      </c>
    </row>
    <row r="238" spans="5:11" x14ac:dyDescent="0.25">
      <c r="E238">
        <v>855</v>
      </c>
      <c r="F238" s="7">
        <v>45291</v>
      </c>
      <c r="G238" t="s">
        <v>7</v>
      </c>
      <c r="H238">
        <v>60</v>
      </c>
      <c r="I238" t="s">
        <v>11</v>
      </c>
      <c r="J238">
        <v>2</v>
      </c>
      <c r="K238">
        <v>25</v>
      </c>
    </row>
    <row r="239" spans="5:11" x14ac:dyDescent="0.25">
      <c r="E239">
        <v>1274</v>
      </c>
      <c r="F239" s="7">
        <v>45522</v>
      </c>
      <c r="G239" t="s">
        <v>7</v>
      </c>
      <c r="H239">
        <v>47</v>
      </c>
      <c r="I239" t="s">
        <v>10</v>
      </c>
      <c r="J239">
        <v>5</v>
      </c>
      <c r="K239">
        <v>154</v>
      </c>
    </row>
    <row r="240" spans="5:11" x14ac:dyDescent="0.25">
      <c r="E240">
        <v>1481</v>
      </c>
      <c r="F240" s="7">
        <v>45304</v>
      </c>
      <c r="G240" t="s">
        <v>9</v>
      </c>
      <c r="H240">
        <v>63</v>
      </c>
      <c r="I240" t="s">
        <v>10</v>
      </c>
      <c r="J240">
        <v>2</v>
      </c>
      <c r="K240">
        <v>447</v>
      </c>
    </row>
    <row r="241" spans="5:11" x14ac:dyDescent="0.25">
      <c r="E241">
        <v>1204</v>
      </c>
      <c r="F241" s="7">
        <v>45509</v>
      </c>
      <c r="G241" t="s">
        <v>7</v>
      </c>
      <c r="H241">
        <v>28</v>
      </c>
      <c r="I241" t="s">
        <v>10</v>
      </c>
      <c r="J241">
        <v>7</v>
      </c>
      <c r="K241">
        <v>97</v>
      </c>
    </row>
    <row r="242" spans="5:11" x14ac:dyDescent="0.25">
      <c r="E242">
        <v>369</v>
      </c>
      <c r="F242" s="7">
        <v>45215</v>
      </c>
      <c r="G242" t="s">
        <v>7</v>
      </c>
      <c r="H242">
        <v>23</v>
      </c>
      <c r="I242" t="s">
        <v>11</v>
      </c>
      <c r="J242">
        <v>2</v>
      </c>
      <c r="K242">
        <v>30</v>
      </c>
    </row>
    <row r="243" spans="5:11" x14ac:dyDescent="0.25">
      <c r="E243">
        <v>782</v>
      </c>
      <c r="F243" s="7">
        <v>45234</v>
      </c>
      <c r="G243" t="s">
        <v>9</v>
      </c>
      <c r="H243">
        <v>34</v>
      </c>
      <c r="I243" t="s">
        <v>11</v>
      </c>
      <c r="J243">
        <v>1</v>
      </c>
      <c r="K243">
        <v>500</v>
      </c>
    </row>
    <row r="244" spans="5:11" x14ac:dyDescent="0.25">
      <c r="E244">
        <v>1538</v>
      </c>
      <c r="F244" s="7">
        <v>45502</v>
      </c>
      <c r="G244" t="s">
        <v>7</v>
      </c>
      <c r="H244">
        <v>47</v>
      </c>
      <c r="I244" t="s">
        <v>8</v>
      </c>
      <c r="J244">
        <v>4</v>
      </c>
      <c r="K244">
        <v>115</v>
      </c>
    </row>
    <row r="245" spans="5:11" x14ac:dyDescent="0.25">
      <c r="E245">
        <v>91</v>
      </c>
      <c r="F245" s="7">
        <v>45010</v>
      </c>
      <c r="G245" t="s">
        <v>9</v>
      </c>
      <c r="H245">
        <v>55</v>
      </c>
      <c r="I245" t="s">
        <v>11</v>
      </c>
      <c r="J245">
        <v>1</v>
      </c>
      <c r="K245">
        <v>500</v>
      </c>
    </row>
    <row r="246" spans="5:11" x14ac:dyDescent="0.25">
      <c r="E246">
        <v>605</v>
      </c>
      <c r="F246" s="7">
        <v>45051</v>
      </c>
      <c r="G246" t="s">
        <v>7</v>
      </c>
      <c r="H246">
        <v>22</v>
      </c>
      <c r="I246" t="s">
        <v>11</v>
      </c>
      <c r="J246">
        <v>1</v>
      </c>
      <c r="K246">
        <v>50</v>
      </c>
    </row>
    <row r="247" spans="5:11" x14ac:dyDescent="0.25">
      <c r="E247">
        <v>93</v>
      </c>
      <c r="F247" s="7">
        <v>45121</v>
      </c>
      <c r="G247" t="s">
        <v>9</v>
      </c>
      <c r="H247">
        <v>35</v>
      </c>
      <c r="I247" t="s">
        <v>8</v>
      </c>
      <c r="J247">
        <v>4</v>
      </c>
      <c r="K247">
        <v>500</v>
      </c>
    </row>
    <row r="248" spans="5:11" x14ac:dyDescent="0.25">
      <c r="E248">
        <v>6</v>
      </c>
      <c r="F248" s="7">
        <v>45041</v>
      </c>
      <c r="G248" t="s">
        <v>9</v>
      </c>
      <c r="H248">
        <v>45</v>
      </c>
      <c r="I248" t="s">
        <v>8</v>
      </c>
      <c r="J248">
        <v>1</v>
      </c>
      <c r="K248">
        <v>30</v>
      </c>
    </row>
    <row r="249" spans="5:11" x14ac:dyDescent="0.25">
      <c r="E249">
        <v>1412</v>
      </c>
      <c r="F249" s="7">
        <v>45318</v>
      </c>
      <c r="G249" t="s">
        <v>7</v>
      </c>
      <c r="H249">
        <v>28</v>
      </c>
      <c r="I249" t="s">
        <v>10</v>
      </c>
      <c r="J249">
        <v>2</v>
      </c>
      <c r="K249">
        <v>351</v>
      </c>
    </row>
    <row r="250" spans="5:11" x14ac:dyDescent="0.25">
      <c r="E250">
        <v>70</v>
      </c>
      <c r="F250" s="7">
        <v>44978</v>
      </c>
      <c r="G250" t="s">
        <v>9</v>
      </c>
      <c r="H250">
        <v>43</v>
      </c>
      <c r="I250" t="s">
        <v>10</v>
      </c>
      <c r="J250">
        <v>1</v>
      </c>
      <c r="K250">
        <v>300</v>
      </c>
    </row>
    <row r="251" spans="5:11" x14ac:dyDescent="0.25">
      <c r="E251">
        <v>314</v>
      </c>
      <c r="F251" s="7">
        <v>45078</v>
      </c>
      <c r="G251" t="s">
        <v>7</v>
      </c>
      <c r="H251">
        <v>47</v>
      </c>
      <c r="I251" t="s">
        <v>10</v>
      </c>
      <c r="J251">
        <v>2</v>
      </c>
      <c r="K251">
        <v>30</v>
      </c>
    </row>
    <row r="252" spans="5:11" x14ac:dyDescent="0.25">
      <c r="E252">
        <v>1928</v>
      </c>
      <c r="F252" s="7">
        <v>45350</v>
      </c>
      <c r="G252" t="s">
        <v>9</v>
      </c>
      <c r="H252">
        <v>64</v>
      </c>
      <c r="I252" t="s">
        <v>8</v>
      </c>
      <c r="J252">
        <v>7</v>
      </c>
      <c r="K252">
        <v>112</v>
      </c>
    </row>
    <row r="253" spans="5:11" x14ac:dyDescent="0.25">
      <c r="E253">
        <v>1700</v>
      </c>
      <c r="F253" s="7">
        <v>45532</v>
      </c>
      <c r="G253" t="s">
        <v>9</v>
      </c>
      <c r="H253">
        <v>34</v>
      </c>
      <c r="I253" t="s">
        <v>10</v>
      </c>
      <c r="J253">
        <v>3</v>
      </c>
      <c r="K253">
        <v>254</v>
      </c>
    </row>
    <row r="254" spans="5:11" x14ac:dyDescent="0.25">
      <c r="E254">
        <v>260</v>
      </c>
      <c r="F254" s="7">
        <v>45143</v>
      </c>
      <c r="G254" t="s">
        <v>7</v>
      </c>
      <c r="H254">
        <v>21</v>
      </c>
      <c r="I254" t="s">
        <v>10</v>
      </c>
      <c r="J254">
        <v>2</v>
      </c>
      <c r="K254">
        <v>25</v>
      </c>
    </row>
    <row r="255" spans="5:11" x14ac:dyDescent="0.25">
      <c r="E255">
        <v>930</v>
      </c>
      <c r="F255" s="7">
        <v>44985</v>
      </c>
      <c r="G255" t="s">
        <v>9</v>
      </c>
      <c r="H255">
        <v>45</v>
      </c>
      <c r="I255" t="s">
        <v>8</v>
      </c>
      <c r="J255">
        <v>4</v>
      </c>
      <c r="K255">
        <v>25</v>
      </c>
    </row>
    <row r="256" spans="5:11" x14ac:dyDescent="0.25">
      <c r="E256">
        <v>1986</v>
      </c>
      <c r="F256" s="7">
        <v>45437</v>
      </c>
      <c r="G256" t="s">
        <v>9</v>
      </c>
      <c r="H256">
        <v>50</v>
      </c>
      <c r="I256" t="s">
        <v>8</v>
      </c>
      <c r="J256">
        <v>3</v>
      </c>
      <c r="K256">
        <v>109</v>
      </c>
    </row>
    <row r="257" spans="5:11" x14ac:dyDescent="0.25">
      <c r="E257">
        <v>619</v>
      </c>
      <c r="F257" s="7">
        <v>45054</v>
      </c>
      <c r="G257" t="s">
        <v>7</v>
      </c>
      <c r="H257">
        <v>63</v>
      </c>
      <c r="I257" t="s">
        <v>11</v>
      </c>
      <c r="J257">
        <v>3</v>
      </c>
      <c r="K257">
        <v>25</v>
      </c>
    </row>
    <row r="258" spans="5:11" x14ac:dyDescent="0.25">
      <c r="E258">
        <v>1433</v>
      </c>
      <c r="F258" s="7">
        <v>45369</v>
      </c>
      <c r="G258" t="s">
        <v>9</v>
      </c>
      <c r="H258">
        <v>49</v>
      </c>
      <c r="I258" t="s">
        <v>10</v>
      </c>
      <c r="J258">
        <v>7</v>
      </c>
      <c r="K258">
        <v>216</v>
      </c>
    </row>
    <row r="259" spans="5:11" x14ac:dyDescent="0.25">
      <c r="E259">
        <v>227</v>
      </c>
      <c r="F259" s="7">
        <v>45044</v>
      </c>
      <c r="G259" t="s">
        <v>9</v>
      </c>
      <c r="H259">
        <v>59</v>
      </c>
      <c r="I259" t="s">
        <v>11</v>
      </c>
      <c r="J259">
        <v>2</v>
      </c>
      <c r="K259">
        <v>30</v>
      </c>
    </row>
    <row r="260" spans="5:11" x14ac:dyDescent="0.25">
      <c r="E260">
        <v>326</v>
      </c>
      <c r="F260" s="7">
        <v>45198</v>
      </c>
      <c r="G260" t="s">
        <v>7</v>
      </c>
      <c r="H260">
        <v>57</v>
      </c>
      <c r="I260" t="s">
        <v>11</v>
      </c>
      <c r="J260">
        <v>3</v>
      </c>
      <c r="K260">
        <v>50</v>
      </c>
    </row>
    <row r="261" spans="5:11" x14ac:dyDescent="0.25">
      <c r="E261">
        <v>477</v>
      </c>
      <c r="F261" s="7">
        <v>45029</v>
      </c>
      <c r="G261" t="s">
        <v>9</v>
      </c>
      <c r="H261">
        <v>58</v>
      </c>
      <c r="I261" t="s">
        <v>10</v>
      </c>
      <c r="J261">
        <v>2</v>
      </c>
      <c r="K261">
        <v>30</v>
      </c>
    </row>
    <row r="262" spans="5:11" x14ac:dyDescent="0.25">
      <c r="E262">
        <v>421</v>
      </c>
      <c r="F262" s="7">
        <v>45097</v>
      </c>
      <c r="G262" t="s">
        <v>9</v>
      </c>
      <c r="H262">
        <v>28</v>
      </c>
      <c r="I262" t="s">
        <v>10</v>
      </c>
      <c r="J262">
        <v>3</v>
      </c>
      <c r="K262">
        <v>30</v>
      </c>
    </row>
    <row r="263" spans="5:11" x14ac:dyDescent="0.25">
      <c r="E263">
        <v>1946</v>
      </c>
      <c r="F263" s="7">
        <v>45603</v>
      </c>
      <c r="G263" t="s">
        <v>7</v>
      </c>
      <c r="H263">
        <v>24</v>
      </c>
      <c r="I263" t="s">
        <v>10</v>
      </c>
      <c r="J263">
        <v>3</v>
      </c>
      <c r="K263">
        <v>272</v>
      </c>
    </row>
    <row r="264" spans="5:11" x14ac:dyDescent="0.25">
      <c r="E264">
        <v>538</v>
      </c>
      <c r="F264" s="7">
        <v>45085</v>
      </c>
      <c r="G264" t="s">
        <v>7</v>
      </c>
      <c r="H264">
        <v>25</v>
      </c>
      <c r="I264" t="s">
        <v>8</v>
      </c>
      <c r="J264">
        <v>1</v>
      </c>
      <c r="K264">
        <v>500</v>
      </c>
    </row>
    <row r="265" spans="5:11" x14ac:dyDescent="0.25">
      <c r="E265">
        <v>1883</v>
      </c>
      <c r="F265" s="7">
        <v>45454</v>
      </c>
      <c r="G265" t="s">
        <v>7</v>
      </c>
      <c r="H265">
        <v>29</v>
      </c>
      <c r="I265" t="s">
        <v>10</v>
      </c>
      <c r="J265">
        <v>2</v>
      </c>
      <c r="K265">
        <v>125</v>
      </c>
    </row>
    <row r="266" spans="5:11" x14ac:dyDescent="0.25">
      <c r="E266">
        <v>1725</v>
      </c>
      <c r="F266" s="7">
        <v>45435</v>
      </c>
      <c r="G266" t="s">
        <v>7</v>
      </c>
      <c r="H266">
        <v>23</v>
      </c>
      <c r="I266" t="s">
        <v>10</v>
      </c>
      <c r="J266">
        <v>5</v>
      </c>
      <c r="K266">
        <v>387</v>
      </c>
    </row>
    <row r="267" spans="5:11" x14ac:dyDescent="0.25">
      <c r="E267">
        <v>1594</v>
      </c>
      <c r="F267" s="7">
        <v>45526</v>
      </c>
      <c r="G267" t="s">
        <v>7</v>
      </c>
      <c r="H267">
        <v>50</v>
      </c>
      <c r="I267" t="s">
        <v>8</v>
      </c>
      <c r="J267">
        <v>3</v>
      </c>
      <c r="K267">
        <v>454</v>
      </c>
    </row>
    <row r="268" spans="5:11" x14ac:dyDescent="0.25">
      <c r="E268">
        <v>65</v>
      </c>
      <c r="F268" s="7">
        <v>45265</v>
      </c>
      <c r="G268" t="s">
        <v>7</v>
      </c>
      <c r="H268">
        <v>51</v>
      </c>
      <c r="I268" t="s">
        <v>11</v>
      </c>
      <c r="J268">
        <v>4</v>
      </c>
      <c r="K268">
        <v>500</v>
      </c>
    </row>
    <row r="269" spans="5:11" x14ac:dyDescent="0.25">
      <c r="E269">
        <v>1867</v>
      </c>
      <c r="F269" s="7">
        <v>45535</v>
      </c>
      <c r="G269" t="s">
        <v>7</v>
      </c>
      <c r="H269">
        <v>23</v>
      </c>
      <c r="I269" t="s">
        <v>8</v>
      </c>
      <c r="J269">
        <v>2</v>
      </c>
      <c r="K269">
        <v>29</v>
      </c>
    </row>
    <row r="270" spans="5:11" x14ac:dyDescent="0.25">
      <c r="E270">
        <v>1723</v>
      </c>
      <c r="F270" s="7">
        <v>45465</v>
      </c>
      <c r="G270" t="s">
        <v>7</v>
      </c>
      <c r="H270">
        <v>60</v>
      </c>
      <c r="I270" t="s">
        <v>8</v>
      </c>
      <c r="J270">
        <v>4</v>
      </c>
      <c r="K270">
        <v>413</v>
      </c>
    </row>
    <row r="271" spans="5:11" x14ac:dyDescent="0.25">
      <c r="E271">
        <v>1411</v>
      </c>
      <c r="F271" s="7">
        <v>45421</v>
      </c>
      <c r="G271" t="s">
        <v>7</v>
      </c>
      <c r="H271">
        <v>20</v>
      </c>
      <c r="I271" t="s">
        <v>8</v>
      </c>
      <c r="J271">
        <v>4</v>
      </c>
      <c r="K271">
        <v>20</v>
      </c>
    </row>
    <row r="272" spans="5:11" x14ac:dyDescent="0.25">
      <c r="E272">
        <v>1626</v>
      </c>
      <c r="F272" s="7">
        <v>45455</v>
      </c>
      <c r="G272" t="s">
        <v>7</v>
      </c>
      <c r="H272">
        <v>42</v>
      </c>
      <c r="I272" t="s">
        <v>11</v>
      </c>
      <c r="J272">
        <v>6</v>
      </c>
      <c r="K272">
        <v>261</v>
      </c>
    </row>
    <row r="273" spans="5:11" x14ac:dyDescent="0.25">
      <c r="E273">
        <v>375</v>
      </c>
      <c r="F273" s="7">
        <v>45062</v>
      </c>
      <c r="G273" t="s">
        <v>9</v>
      </c>
      <c r="H273">
        <v>64</v>
      </c>
      <c r="I273" t="s">
        <v>8</v>
      </c>
      <c r="J273">
        <v>1</v>
      </c>
      <c r="K273">
        <v>30</v>
      </c>
    </row>
    <row r="274" spans="5:11" x14ac:dyDescent="0.25">
      <c r="E274">
        <v>1775</v>
      </c>
      <c r="F274" s="7">
        <v>45417</v>
      </c>
      <c r="G274" t="s">
        <v>9</v>
      </c>
      <c r="H274">
        <v>65</v>
      </c>
      <c r="I274" t="s">
        <v>11</v>
      </c>
      <c r="J274">
        <v>6</v>
      </c>
      <c r="K274">
        <v>466</v>
      </c>
    </row>
    <row r="275" spans="5:11" x14ac:dyDescent="0.25">
      <c r="E275">
        <v>1996</v>
      </c>
      <c r="F275" s="7">
        <v>45394</v>
      </c>
      <c r="G275" t="s">
        <v>7</v>
      </c>
      <c r="H275">
        <v>34</v>
      </c>
      <c r="I275" t="s">
        <v>11</v>
      </c>
      <c r="J275">
        <v>3</v>
      </c>
      <c r="K275">
        <v>120</v>
      </c>
    </row>
    <row r="276" spans="5:11" x14ac:dyDescent="0.25">
      <c r="E276">
        <v>406</v>
      </c>
      <c r="F276" s="7">
        <v>45102</v>
      </c>
      <c r="G276" t="s">
        <v>9</v>
      </c>
      <c r="H276">
        <v>46</v>
      </c>
      <c r="I276" t="s">
        <v>11</v>
      </c>
      <c r="J276">
        <v>3</v>
      </c>
      <c r="K276">
        <v>300</v>
      </c>
    </row>
    <row r="277" spans="5:11" x14ac:dyDescent="0.25">
      <c r="E277">
        <v>55</v>
      </c>
      <c r="F277" s="7">
        <v>45209</v>
      </c>
      <c r="G277" t="s">
        <v>7</v>
      </c>
      <c r="H277">
        <v>31</v>
      </c>
      <c r="I277" t="s">
        <v>8</v>
      </c>
      <c r="J277">
        <v>4</v>
      </c>
      <c r="K277">
        <v>30</v>
      </c>
    </row>
    <row r="278" spans="5:11" x14ac:dyDescent="0.25">
      <c r="E278">
        <v>1057</v>
      </c>
      <c r="F278" s="7">
        <v>45478</v>
      </c>
      <c r="G278" t="s">
        <v>7</v>
      </c>
      <c r="H278">
        <v>33</v>
      </c>
      <c r="I278" t="s">
        <v>10</v>
      </c>
      <c r="J278">
        <v>5</v>
      </c>
      <c r="K278">
        <v>304</v>
      </c>
    </row>
    <row r="279" spans="5:11" x14ac:dyDescent="0.25">
      <c r="E279">
        <v>1059</v>
      </c>
      <c r="F279" s="7">
        <v>45391</v>
      </c>
      <c r="G279" t="s">
        <v>7</v>
      </c>
      <c r="H279">
        <v>26</v>
      </c>
      <c r="I279" t="s">
        <v>8</v>
      </c>
      <c r="J279">
        <v>2</v>
      </c>
      <c r="K279">
        <v>198</v>
      </c>
    </row>
    <row r="280" spans="5:11" x14ac:dyDescent="0.25">
      <c r="E280">
        <v>11</v>
      </c>
      <c r="F280" s="7">
        <v>44971</v>
      </c>
      <c r="G280" t="s">
        <v>7</v>
      </c>
      <c r="H280">
        <v>23</v>
      </c>
      <c r="I280" t="s">
        <v>10</v>
      </c>
      <c r="J280">
        <v>2</v>
      </c>
      <c r="K280">
        <v>50</v>
      </c>
    </row>
    <row r="281" spans="5:11" x14ac:dyDescent="0.25">
      <c r="E281">
        <v>283</v>
      </c>
      <c r="F281" s="7">
        <v>44965</v>
      </c>
      <c r="G281" t="s">
        <v>7</v>
      </c>
      <c r="H281">
        <v>43</v>
      </c>
      <c r="I281" t="s">
        <v>10</v>
      </c>
      <c r="J281">
        <v>4</v>
      </c>
      <c r="K281">
        <v>50</v>
      </c>
    </row>
    <row r="282" spans="5:11" x14ac:dyDescent="0.25">
      <c r="E282">
        <v>1264</v>
      </c>
      <c r="F282" s="7">
        <v>45623</v>
      </c>
      <c r="G282" t="s">
        <v>9</v>
      </c>
      <c r="H282">
        <v>63</v>
      </c>
      <c r="I282" t="s">
        <v>8</v>
      </c>
      <c r="J282">
        <v>3</v>
      </c>
      <c r="K282">
        <v>43</v>
      </c>
    </row>
    <row r="283" spans="5:11" x14ac:dyDescent="0.25">
      <c r="E283">
        <v>609</v>
      </c>
      <c r="F283" s="7">
        <v>44929</v>
      </c>
      <c r="G283" t="s">
        <v>9</v>
      </c>
      <c r="H283">
        <v>26</v>
      </c>
      <c r="I283" t="s">
        <v>8</v>
      </c>
      <c r="J283">
        <v>2</v>
      </c>
      <c r="K283">
        <v>300</v>
      </c>
    </row>
    <row r="284" spans="5:11" x14ac:dyDescent="0.25">
      <c r="E284">
        <v>1507</v>
      </c>
      <c r="F284" s="7">
        <v>45453</v>
      </c>
      <c r="G284" t="s">
        <v>9</v>
      </c>
      <c r="H284">
        <v>44</v>
      </c>
      <c r="I284" t="s">
        <v>8</v>
      </c>
      <c r="J284">
        <v>6</v>
      </c>
      <c r="K284">
        <v>303</v>
      </c>
    </row>
    <row r="285" spans="5:11" x14ac:dyDescent="0.25">
      <c r="E285">
        <v>938</v>
      </c>
      <c r="F285" s="7">
        <v>44954</v>
      </c>
      <c r="G285" t="s">
        <v>9</v>
      </c>
      <c r="H285">
        <v>20</v>
      </c>
      <c r="I285" t="s">
        <v>11</v>
      </c>
      <c r="J285">
        <v>1</v>
      </c>
      <c r="K285">
        <v>30</v>
      </c>
    </row>
    <row r="286" spans="5:11" x14ac:dyDescent="0.25">
      <c r="E286">
        <v>1474</v>
      </c>
      <c r="F286" s="7">
        <v>45406</v>
      </c>
      <c r="G286" t="s">
        <v>7</v>
      </c>
      <c r="H286">
        <v>55</v>
      </c>
      <c r="I286" t="s">
        <v>10</v>
      </c>
      <c r="J286">
        <v>1</v>
      </c>
      <c r="K286">
        <v>323</v>
      </c>
    </row>
    <row r="287" spans="5:11" x14ac:dyDescent="0.25">
      <c r="E287">
        <v>872</v>
      </c>
      <c r="F287" s="7">
        <v>45103</v>
      </c>
      <c r="G287" t="s">
        <v>7</v>
      </c>
      <c r="H287">
        <v>60</v>
      </c>
      <c r="I287" t="s">
        <v>8</v>
      </c>
      <c r="J287">
        <v>1</v>
      </c>
      <c r="K287">
        <v>30</v>
      </c>
    </row>
    <row r="288" spans="5:11" x14ac:dyDescent="0.25">
      <c r="E288">
        <v>1575</v>
      </c>
      <c r="F288" s="7">
        <v>45438</v>
      </c>
      <c r="G288" t="s">
        <v>9</v>
      </c>
      <c r="H288">
        <v>42</v>
      </c>
      <c r="I288" t="s">
        <v>10</v>
      </c>
      <c r="J288">
        <v>6</v>
      </c>
      <c r="K288">
        <v>190</v>
      </c>
    </row>
    <row r="289" spans="5:11" x14ac:dyDescent="0.25">
      <c r="E289">
        <v>1648</v>
      </c>
      <c r="F289" s="7">
        <v>45413</v>
      </c>
      <c r="G289" t="s">
        <v>9</v>
      </c>
      <c r="H289">
        <v>22</v>
      </c>
      <c r="I289" t="s">
        <v>8</v>
      </c>
      <c r="J289">
        <v>6</v>
      </c>
      <c r="K289">
        <v>393</v>
      </c>
    </row>
    <row r="290" spans="5:11" x14ac:dyDescent="0.25">
      <c r="E290">
        <v>1178</v>
      </c>
      <c r="F290" s="7">
        <v>45292</v>
      </c>
      <c r="G290" t="s">
        <v>7</v>
      </c>
      <c r="H290">
        <v>49</v>
      </c>
      <c r="I290" t="s">
        <v>10</v>
      </c>
      <c r="J290">
        <v>1</v>
      </c>
      <c r="K290">
        <v>378</v>
      </c>
    </row>
    <row r="291" spans="5:11" x14ac:dyDescent="0.25">
      <c r="E291">
        <v>841</v>
      </c>
      <c r="F291" s="7">
        <v>45068</v>
      </c>
      <c r="G291" t="s">
        <v>7</v>
      </c>
      <c r="H291">
        <v>21</v>
      </c>
      <c r="I291" t="s">
        <v>8</v>
      </c>
      <c r="J291">
        <v>3</v>
      </c>
      <c r="K291">
        <v>500</v>
      </c>
    </row>
    <row r="292" spans="5:11" x14ac:dyDescent="0.25">
      <c r="E292">
        <v>216</v>
      </c>
      <c r="F292" s="7">
        <v>45151</v>
      </c>
      <c r="G292" t="s">
        <v>9</v>
      </c>
      <c r="H292">
        <v>35</v>
      </c>
      <c r="I292" t="s">
        <v>11</v>
      </c>
      <c r="J292">
        <v>4</v>
      </c>
      <c r="K292">
        <v>50</v>
      </c>
    </row>
    <row r="293" spans="5:11" x14ac:dyDescent="0.25">
      <c r="E293">
        <v>171</v>
      </c>
      <c r="F293" s="7">
        <v>45254</v>
      </c>
      <c r="G293" t="s">
        <v>9</v>
      </c>
      <c r="H293">
        <v>52</v>
      </c>
      <c r="I293" t="s">
        <v>10</v>
      </c>
      <c r="J293">
        <v>3</v>
      </c>
      <c r="K293">
        <v>300</v>
      </c>
    </row>
    <row r="294" spans="5:11" x14ac:dyDescent="0.25">
      <c r="E294">
        <v>1226</v>
      </c>
      <c r="F294" s="7">
        <v>45594</v>
      </c>
      <c r="G294" t="s">
        <v>7</v>
      </c>
      <c r="H294">
        <v>25</v>
      </c>
      <c r="I294" t="s">
        <v>8</v>
      </c>
      <c r="J294">
        <v>3</v>
      </c>
      <c r="K294">
        <v>491</v>
      </c>
    </row>
    <row r="295" spans="5:11" x14ac:dyDescent="0.25">
      <c r="E295">
        <v>571</v>
      </c>
      <c r="F295" s="7">
        <v>45036</v>
      </c>
      <c r="G295" t="s">
        <v>7</v>
      </c>
      <c r="H295">
        <v>31</v>
      </c>
      <c r="I295" t="s">
        <v>10</v>
      </c>
      <c r="J295">
        <v>4</v>
      </c>
      <c r="K295">
        <v>500</v>
      </c>
    </row>
    <row r="296" spans="5:11" x14ac:dyDescent="0.25">
      <c r="E296">
        <v>1646</v>
      </c>
      <c r="F296" s="7">
        <v>45331</v>
      </c>
      <c r="G296" t="s">
        <v>9</v>
      </c>
      <c r="H296">
        <v>30</v>
      </c>
      <c r="I296" t="s">
        <v>10</v>
      </c>
      <c r="J296">
        <v>2</v>
      </c>
      <c r="K296">
        <v>425</v>
      </c>
    </row>
    <row r="297" spans="5:11" x14ac:dyDescent="0.25">
      <c r="E297">
        <v>1576</v>
      </c>
      <c r="F297" s="7">
        <v>45556</v>
      </c>
      <c r="G297" t="s">
        <v>9</v>
      </c>
      <c r="H297">
        <v>58</v>
      </c>
      <c r="I297" t="s">
        <v>11</v>
      </c>
      <c r="J297">
        <v>5</v>
      </c>
      <c r="K297">
        <v>13</v>
      </c>
    </row>
    <row r="298" spans="5:11" x14ac:dyDescent="0.25">
      <c r="E298">
        <v>1020</v>
      </c>
      <c r="F298" s="7">
        <v>45580</v>
      </c>
      <c r="G298" t="s">
        <v>7</v>
      </c>
      <c r="H298">
        <v>29</v>
      </c>
      <c r="I298" t="s">
        <v>10</v>
      </c>
      <c r="J298">
        <v>3</v>
      </c>
      <c r="K298">
        <v>262</v>
      </c>
    </row>
    <row r="299" spans="5:11" x14ac:dyDescent="0.25">
      <c r="E299">
        <v>1869</v>
      </c>
      <c r="F299" s="7">
        <v>45564</v>
      </c>
      <c r="G299" t="s">
        <v>9</v>
      </c>
      <c r="H299">
        <v>21</v>
      </c>
      <c r="I299" t="s">
        <v>11</v>
      </c>
      <c r="J299">
        <v>7</v>
      </c>
      <c r="K299">
        <v>315</v>
      </c>
    </row>
    <row r="300" spans="5:11" x14ac:dyDescent="0.25">
      <c r="E300">
        <v>245</v>
      </c>
      <c r="F300" s="7">
        <v>45036</v>
      </c>
      <c r="G300" t="s">
        <v>9</v>
      </c>
      <c r="H300">
        <v>48</v>
      </c>
      <c r="I300" t="s">
        <v>11</v>
      </c>
      <c r="J300">
        <v>2</v>
      </c>
      <c r="K300">
        <v>25</v>
      </c>
    </row>
    <row r="301" spans="5:11" x14ac:dyDescent="0.25">
      <c r="E301">
        <v>940</v>
      </c>
      <c r="F301" s="7">
        <v>45003</v>
      </c>
      <c r="G301" t="s">
        <v>7</v>
      </c>
      <c r="H301">
        <v>51</v>
      </c>
      <c r="I301" t="s">
        <v>10</v>
      </c>
      <c r="J301">
        <v>3</v>
      </c>
      <c r="K301">
        <v>500</v>
      </c>
    </row>
    <row r="302" spans="5:11" x14ac:dyDescent="0.25">
      <c r="E302">
        <v>74</v>
      </c>
      <c r="F302" s="7">
        <v>45252</v>
      </c>
      <c r="G302" t="s">
        <v>9</v>
      </c>
      <c r="H302">
        <v>18</v>
      </c>
      <c r="I302" t="s">
        <v>8</v>
      </c>
      <c r="J302">
        <v>4</v>
      </c>
      <c r="K302">
        <v>500</v>
      </c>
    </row>
    <row r="303" spans="5:11" x14ac:dyDescent="0.25">
      <c r="E303">
        <v>143</v>
      </c>
      <c r="F303" s="7">
        <v>45124</v>
      </c>
      <c r="G303" t="s">
        <v>9</v>
      </c>
      <c r="H303">
        <v>45</v>
      </c>
      <c r="I303" t="s">
        <v>10</v>
      </c>
      <c r="J303">
        <v>1</v>
      </c>
      <c r="K303">
        <v>50</v>
      </c>
    </row>
    <row r="304" spans="5:11" x14ac:dyDescent="0.25">
      <c r="E304">
        <v>978</v>
      </c>
      <c r="F304" s="7">
        <v>45136</v>
      </c>
      <c r="G304" t="s">
        <v>9</v>
      </c>
      <c r="H304">
        <v>31</v>
      </c>
      <c r="I304" t="s">
        <v>11</v>
      </c>
      <c r="J304">
        <v>3</v>
      </c>
      <c r="K304">
        <v>25</v>
      </c>
    </row>
    <row r="305" spans="5:11" x14ac:dyDescent="0.25">
      <c r="E305">
        <v>786</v>
      </c>
      <c r="F305" s="7">
        <v>45104</v>
      </c>
      <c r="G305" t="s">
        <v>9</v>
      </c>
      <c r="H305">
        <v>52</v>
      </c>
      <c r="I305" t="s">
        <v>8</v>
      </c>
      <c r="J305">
        <v>3</v>
      </c>
      <c r="K305">
        <v>300</v>
      </c>
    </row>
    <row r="306" spans="5:11" x14ac:dyDescent="0.25">
      <c r="E306">
        <v>1835</v>
      </c>
      <c r="F306" s="7">
        <v>45467</v>
      </c>
      <c r="G306" t="s">
        <v>9</v>
      </c>
      <c r="H306">
        <v>49</v>
      </c>
      <c r="I306" t="s">
        <v>11</v>
      </c>
      <c r="J306">
        <v>4</v>
      </c>
      <c r="K306">
        <v>429</v>
      </c>
    </row>
    <row r="307" spans="5:11" x14ac:dyDescent="0.25">
      <c r="E307">
        <v>1714</v>
      </c>
      <c r="F307" s="7">
        <v>45529</v>
      </c>
      <c r="G307" t="s">
        <v>9</v>
      </c>
      <c r="H307">
        <v>56</v>
      </c>
      <c r="I307" t="s">
        <v>8</v>
      </c>
      <c r="J307">
        <v>5</v>
      </c>
      <c r="K307">
        <v>95</v>
      </c>
    </row>
    <row r="308" spans="5:11" x14ac:dyDescent="0.25">
      <c r="E308">
        <v>1093</v>
      </c>
      <c r="F308" s="7">
        <v>45620</v>
      </c>
      <c r="G308" t="s">
        <v>9</v>
      </c>
      <c r="H308">
        <v>33</v>
      </c>
      <c r="I308" t="s">
        <v>10</v>
      </c>
      <c r="J308">
        <v>7</v>
      </c>
      <c r="K308">
        <v>201</v>
      </c>
    </row>
    <row r="309" spans="5:11" x14ac:dyDescent="0.25">
      <c r="E309">
        <v>694</v>
      </c>
      <c r="F309" s="7">
        <v>45175</v>
      </c>
      <c r="G309" t="s">
        <v>9</v>
      </c>
      <c r="H309">
        <v>50</v>
      </c>
      <c r="I309" t="s">
        <v>10</v>
      </c>
      <c r="J309">
        <v>4</v>
      </c>
      <c r="K309">
        <v>50</v>
      </c>
    </row>
    <row r="310" spans="5:11" x14ac:dyDescent="0.25">
      <c r="E310">
        <v>303</v>
      </c>
      <c r="F310" s="7">
        <v>45126</v>
      </c>
      <c r="G310" t="s">
        <v>9</v>
      </c>
      <c r="H310">
        <v>37</v>
      </c>
      <c r="I310" t="s">
        <v>11</v>
      </c>
      <c r="J310">
        <v>2</v>
      </c>
      <c r="K310">
        <v>30</v>
      </c>
    </row>
    <row r="311" spans="5:11" x14ac:dyDescent="0.25">
      <c r="E311">
        <v>563</v>
      </c>
      <c r="F311" s="7">
        <v>45223</v>
      </c>
      <c r="G311" t="s">
        <v>7</v>
      </c>
      <c r="H311">
        <v>50</v>
      </c>
      <c r="I311" t="s">
        <v>11</v>
      </c>
      <c r="J311">
        <v>2</v>
      </c>
      <c r="K311">
        <v>50</v>
      </c>
    </row>
    <row r="312" spans="5:11" x14ac:dyDescent="0.25">
      <c r="E312">
        <v>34</v>
      </c>
      <c r="F312" s="7">
        <v>45284</v>
      </c>
      <c r="G312" t="s">
        <v>9</v>
      </c>
      <c r="H312">
        <v>51</v>
      </c>
      <c r="I312" t="s">
        <v>10</v>
      </c>
      <c r="J312">
        <v>3</v>
      </c>
      <c r="K312">
        <v>50</v>
      </c>
    </row>
    <row r="313" spans="5:11" x14ac:dyDescent="0.25">
      <c r="E313">
        <v>1627</v>
      </c>
      <c r="F313" s="7">
        <v>45519</v>
      </c>
      <c r="G313" t="s">
        <v>7</v>
      </c>
      <c r="H313">
        <v>37</v>
      </c>
      <c r="I313" t="s">
        <v>10</v>
      </c>
      <c r="J313">
        <v>2</v>
      </c>
      <c r="K313">
        <v>452</v>
      </c>
    </row>
    <row r="314" spans="5:11" x14ac:dyDescent="0.25">
      <c r="E314">
        <v>1456</v>
      </c>
      <c r="F314" s="7">
        <v>45372</v>
      </c>
      <c r="G314" t="s">
        <v>7</v>
      </c>
      <c r="H314">
        <v>25</v>
      </c>
      <c r="I314" t="s">
        <v>10</v>
      </c>
      <c r="J314">
        <v>1</v>
      </c>
      <c r="K314">
        <v>195</v>
      </c>
    </row>
    <row r="315" spans="5:11" x14ac:dyDescent="0.25">
      <c r="E315">
        <v>762</v>
      </c>
      <c r="F315" s="7">
        <v>45010</v>
      </c>
      <c r="G315" t="s">
        <v>9</v>
      </c>
      <c r="H315">
        <v>40</v>
      </c>
      <c r="I315" t="s">
        <v>10</v>
      </c>
      <c r="J315">
        <v>1</v>
      </c>
      <c r="K315">
        <v>25</v>
      </c>
    </row>
    <row r="316" spans="5:11" x14ac:dyDescent="0.25">
      <c r="E316">
        <v>1970</v>
      </c>
      <c r="F316" s="7">
        <v>45415</v>
      </c>
      <c r="G316" t="s">
        <v>7</v>
      </c>
      <c r="H316">
        <v>46</v>
      </c>
      <c r="I316" t="s">
        <v>8</v>
      </c>
      <c r="J316">
        <v>1</v>
      </c>
      <c r="K316">
        <v>223</v>
      </c>
    </row>
    <row r="317" spans="5:11" x14ac:dyDescent="0.25">
      <c r="E317">
        <v>880</v>
      </c>
      <c r="F317" s="7">
        <v>45083</v>
      </c>
      <c r="G317" t="s">
        <v>9</v>
      </c>
      <c r="H317">
        <v>64</v>
      </c>
      <c r="I317" t="s">
        <v>11</v>
      </c>
      <c r="J317">
        <v>2</v>
      </c>
      <c r="K317">
        <v>25</v>
      </c>
    </row>
    <row r="318" spans="5:11" x14ac:dyDescent="0.25">
      <c r="E318">
        <v>486</v>
      </c>
      <c r="F318" s="7">
        <v>45131</v>
      </c>
      <c r="G318" t="s">
        <v>7</v>
      </c>
      <c r="H318">
        <v>44</v>
      </c>
      <c r="I318" t="s">
        <v>10</v>
      </c>
      <c r="J318">
        <v>4</v>
      </c>
      <c r="K318">
        <v>500</v>
      </c>
    </row>
    <row r="319" spans="5:11" x14ac:dyDescent="0.25">
      <c r="E319">
        <v>1721</v>
      </c>
      <c r="F319" s="7">
        <v>45525</v>
      </c>
      <c r="G319" t="s">
        <v>7</v>
      </c>
      <c r="H319">
        <v>31</v>
      </c>
      <c r="I319" t="s">
        <v>11</v>
      </c>
      <c r="J319">
        <v>5</v>
      </c>
      <c r="K319">
        <v>477</v>
      </c>
    </row>
    <row r="320" spans="5:11" x14ac:dyDescent="0.25">
      <c r="E320">
        <v>1695</v>
      </c>
      <c r="F320" s="7">
        <v>45465</v>
      </c>
      <c r="G320" t="s">
        <v>9</v>
      </c>
      <c r="H320">
        <v>18</v>
      </c>
      <c r="I320" t="s">
        <v>10</v>
      </c>
      <c r="J320">
        <v>5</v>
      </c>
      <c r="K320">
        <v>457</v>
      </c>
    </row>
    <row r="321" spans="5:11" x14ac:dyDescent="0.25">
      <c r="E321">
        <v>927</v>
      </c>
      <c r="F321" s="7">
        <v>44953</v>
      </c>
      <c r="G321" t="s">
        <v>9</v>
      </c>
      <c r="H321">
        <v>23</v>
      </c>
      <c r="I321" t="s">
        <v>8</v>
      </c>
      <c r="J321">
        <v>3</v>
      </c>
      <c r="K321">
        <v>25</v>
      </c>
    </row>
    <row r="322" spans="5:11" x14ac:dyDescent="0.25">
      <c r="E322">
        <v>654</v>
      </c>
      <c r="F322" s="7">
        <v>45203</v>
      </c>
      <c r="G322" t="s">
        <v>7</v>
      </c>
      <c r="H322">
        <v>29</v>
      </c>
      <c r="I322" t="s">
        <v>8</v>
      </c>
      <c r="J322">
        <v>3</v>
      </c>
      <c r="K322">
        <v>30</v>
      </c>
    </row>
    <row r="323" spans="5:11" x14ac:dyDescent="0.25">
      <c r="E323">
        <v>293</v>
      </c>
      <c r="F323" s="7">
        <v>45012</v>
      </c>
      <c r="G323" t="s">
        <v>9</v>
      </c>
      <c r="H323">
        <v>23</v>
      </c>
      <c r="I323" t="s">
        <v>10</v>
      </c>
      <c r="J323">
        <v>3</v>
      </c>
      <c r="K323">
        <v>30</v>
      </c>
    </row>
    <row r="324" spans="5:11" x14ac:dyDescent="0.25">
      <c r="E324">
        <v>12</v>
      </c>
      <c r="F324" s="7">
        <v>45229</v>
      </c>
      <c r="G324" t="s">
        <v>7</v>
      </c>
      <c r="H324">
        <v>35</v>
      </c>
      <c r="I324" t="s">
        <v>8</v>
      </c>
      <c r="J324">
        <v>3</v>
      </c>
      <c r="K324">
        <v>25</v>
      </c>
    </row>
    <row r="325" spans="5:11" x14ac:dyDescent="0.25">
      <c r="E325">
        <v>97</v>
      </c>
      <c r="F325" s="7">
        <v>45212</v>
      </c>
      <c r="G325" t="s">
        <v>9</v>
      </c>
      <c r="H325">
        <v>51</v>
      </c>
      <c r="I325" t="s">
        <v>8</v>
      </c>
      <c r="J325">
        <v>2</v>
      </c>
      <c r="K325">
        <v>500</v>
      </c>
    </row>
    <row r="326" spans="5:11" x14ac:dyDescent="0.25">
      <c r="E326">
        <v>1442</v>
      </c>
      <c r="F326" s="7">
        <v>45313</v>
      </c>
      <c r="G326" t="s">
        <v>9</v>
      </c>
      <c r="H326">
        <v>52</v>
      </c>
      <c r="I326" t="s">
        <v>11</v>
      </c>
      <c r="J326">
        <v>7</v>
      </c>
      <c r="K326">
        <v>370</v>
      </c>
    </row>
    <row r="327" spans="5:11" x14ac:dyDescent="0.25">
      <c r="E327">
        <v>1888</v>
      </c>
      <c r="F327" s="7">
        <v>45391</v>
      </c>
      <c r="G327" t="s">
        <v>7</v>
      </c>
      <c r="H327">
        <v>33</v>
      </c>
      <c r="I327" t="s">
        <v>11</v>
      </c>
      <c r="J327">
        <v>5</v>
      </c>
      <c r="K327">
        <v>271</v>
      </c>
    </row>
    <row r="328" spans="5:11" x14ac:dyDescent="0.25">
      <c r="E328">
        <v>366</v>
      </c>
      <c r="F328" s="7">
        <v>44931</v>
      </c>
      <c r="G328" t="s">
        <v>9</v>
      </c>
      <c r="H328">
        <v>57</v>
      </c>
      <c r="I328" t="s">
        <v>11</v>
      </c>
      <c r="J328">
        <v>1</v>
      </c>
      <c r="K328">
        <v>50</v>
      </c>
    </row>
    <row r="329" spans="5:11" x14ac:dyDescent="0.25">
      <c r="E329">
        <v>214</v>
      </c>
      <c r="F329" s="7">
        <v>45259</v>
      </c>
      <c r="G329" t="s">
        <v>7</v>
      </c>
      <c r="H329">
        <v>58</v>
      </c>
      <c r="I329" t="s">
        <v>10</v>
      </c>
      <c r="J329">
        <v>3</v>
      </c>
      <c r="K329">
        <v>500</v>
      </c>
    </row>
    <row r="330" spans="5:11" x14ac:dyDescent="0.25">
      <c r="E330">
        <v>907</v>
      </c>
      <c r="F330" s="7">
        <v>45200</v>
      </c>
      <c r="G330" t="s">
        <v>7</v>
      </c>
      <c r="H330">
        <v>26</v>
      </c>
      <c r="I330" t="s">
        <v>11</v>
      </c>
      <c r="J330">
        <v>1</v>
      </c>
      <c r="K330">
        <v>300</v>
      </c>
    </row>
    <row r="331" spans="5:11" x14ac:dyDescent="0.25">
      <c r="E331">
        <v>1677</v>
      </c>
      <c r="F331" s="7">
        <v>45487</v>
      </c>
      <c r="G331" t="s">
        <v>9</v>
      </c>
      <c r="H331">
        <v>34</v>
      </c>
      <c r="I331" t="s">
        <v>11</v>
      </c>
      <c r="J331">
        <v>3</v>
      </c>
      <c r="K331">
        <v>217</v>
      </c>
    </row>
    <row r="332" spans="5:11" x14ac:dyDescent="0.25">
      <c r="E332">
        <v>1405</v>
      </c>
      <c r="F332" s="7">
        <v>45397</v>
      </c>
      <c r="G332" t="s">
        <v>9</v>
      </c>
      <c r="H332">
        <v>65</v>
      </c>
      <c r="I332" t="s">
        <v>8</v>
      </c>
      <c r="J332">
        <v>1</v>
      </c>
      <c r="K332">
        <v>169</v>
      </c>
    </row>
    <row r="333" spans="5:11" x14ac:dyDescent="0.25">
      <c r="E333">
        <v>1108</v>
      </c>
      <c r="F333" s="7">
        <v>45454</v>
      </c>
      <c r="G333" t="s">
        <v>7</v>
      </c>
      <c r="H333">
        <v>25</v>
      </c>
      <c r="I333" t="s">
        <v>10</v>
      </c>
      <c r="J333">
        <v>5</v>
      </c>
      <c r="K333">
        <v>438</v>
      </c>
    </row>
    <row r="334" spans="5:11" x14ac:dyDescent="0.25">
      <c r="E334">
        <v>1607</v>
      </c>
      <c r="F334" s="7">
        <v>45294</v>
      </c>
      <c r="G334" t="s">
        <v>9</v>
      </c>
      <c r="H334">
        <v>18</v>
      </c>
      <c r="I334" t="s">
        <v>8</v>
      </c>
      <c r="J334">
        <v>4</v>
      </c>
      <c r="K334">
        <v>401</v>
      </c>
    </row>
    <row r="335" spans="5:11" x14ac:dyDescent="0.25">
      <c r="E335">
        <v>935</v>
      </c>
      <c r="F335" s="7">
        <v>45222</v>
      </c>
      <c r="G335" t="s">
        <v>9</v>
      </c>
      <c r="H335">
        <v>62</v>
      </c>
      <c r="I335" t="s">
        <v>8</v>
      </c>
      <c r="J335">
        <v>1</v>
      </c>
      <c r="K335">
        <v>500</v>
      </c>
    </row>
    <row r="336" spans="5:11" x14ac:dyDescent="0.25">
      <c r="E336">
        <v>1058</v>
      </c>
      <c r="F336" s="7">
        <v>45588</v>
      </c>
      <c r="G336" t="s">
        <v>7</v>
      </c>
      <c r="H336">
        <v>30</v>
      </c>
      <c r="I336" t="s">
        <v>8</v>
      </c>
      <c r="J336">
        <v>3</v>
      </c>
      <c r="K336">
        <v>422</v>
      </c>
    </row>
    <row r="337" spans="5:11" x14ac:dyDescent="0.25">
      <c r="E337">
        <v>7</v>
      </c>
      <c r="F337" s="7">
        <v>44998</v>
      </c>
      <c r="G337" t="s">
        <v>7</v>
      </c>
      <c r="H337">
        <v>46</v>
      </c>
      <c r="I337" t="s">
        <v>10</v>
      </c>
      <c r="J337">
        <v>2</v>
      </c>
      <c r="K337">
        <v>25</v>
      </c>
    </row>
    <row r="338" spans="5:11" x14ac:dyDescent="0.25">
      <c r="E338">
        <v>1224</v>
      </c>
      <c r="F338" s="7">
        <v>45576</v>
      </c>
      <c r="G338" t="s">
        <v>7</v>
      </c>
      <c r="H338">
        <v>30</v>
      </c>
      <c r="I338" t="s">
        <v>11</v>
      </c>
      <c r="J338">
        <v>1</v>
      </c>
      <c r="K338">
        <v>428</v>
      </c>
    </row>
    <row r="339" spans="5:11" x14ac:dyDescent="0.25">
      <c r="E339">
        <v>96</v>
      </c>
      <c r="F339" s="7">
        <v>45279</v>
      </c>
      <c r="G339" t="s">
        <v>9</v>
      </c>
      <c r="H339">
        <v>44</v>
      </c>
      <c r="I339" t="s">
        <v>10</v>
      </c>
      <c r="J339">
        <v>2</v>
      </c>
      <c r="K339">
        <v>300</v>
      </c>
    </row>
    <row r="340" spans="5:11" x14ac:dyDescent="0.25">
      <c r="E340">
        <v>1496</v>
      </c>
      <c r="F340" s="7">
        <v>45306</v>
      </c>
      <c r="G340" t="s">
        <v>7</v>
      </c>
      <c r="H340">
        <v>21</v>
      </c>
      <c r="I340" t="s">
        <v>8</v>
      </c>
      <c r="J340">
        <v>6</v>
      </c>
      <c r="K340">
        <v>44</v>
      </c>
    </row>
    <row r="341" spans="5:11" x14ac:dyDescent="0.25">
      <c r="E341">
        <v>979</v>
      </c>
      <c r="F341" s="7">
        <v>45157</v>
      </c>
      <c r="G341" t="s">
        <v>9</v>
      </c>
      <c r="H341">
        <v>30</v>
      </c>
      <c r="I341" t="s">
        <v>11</v>
      </c>
      <c r="J341">
        <v>2</v>
      </c>
      <c r="K341">
        <v>30</v>
      </c>
    </row>
    <row r="342" spans="5:11" x14ac:dyDescent="0.25">
      <c r="E342">
        <v>568</v>
      </c>
      <c r="F342" s="7">
        <v>45153</v>
      </c>
      <c r="G342" t="s">
        <v>7</v>
      </c>
      <c r="H342">
        <v>52</v>
      </c>
      <c r="I342" t="s">
        <v>11</v>
      </c>
      <c r="J342">
        <v>4</v>
      </c>
      <c r="K342">
        <v>50</v>
      </c>
    </row>
    <row r="343" spans="5:11" x14ac:dyDescent="0.25">
      <c r="E343">
        <v>531</v>
      </c>
      <c r="F343" s="7">
        <v>45096</v>
      </c>
      <c r="G343" t="s">
        <v>9</v>
      </c>
      <c r="H343">
        <v>64</v>
      </c>
      <c r="I343" t="s">
        <v>10</v>
      </c>
      <c r="J343">
        <v>4</v>
      </c>
      <c r="K343">
        <v>30</v>
      </c>
    </row>
    <row r="344" spans="5:11" x14ac:dyDescent="0.25">
      <c r="E344">
        <v>1137</v>
      </c>
      <c r="F344" s="7">
        <v>45641</v>
      </c>
      <c r="G344" t="s">
        <v>7</v>
      </c>
      <c r="H344">
        <v>49</v>
      </c>
      <c r="I344" t="s">
        <v>8</v>
      </c>
      <c r="J344">
        <v>7</v>
      </c>
      <c r="K344">
        <v>244</v>
      </c>
    </row>
    <row r="345" spans="5:11" x14ac:dyDescent="0.25">
      <c r="E345">
        <v>402</v>
      </c>
      <c r="F345" s="7">
        <v>45066</v>
      </c>
      <c r="G345" t="s">
        <v>7</v>
      </c>
      <c r="H345">
        <v>32</v>
      </c>
      <c r="I345" t="s">
        <v>10</v>
      </c>
      <c r="J345">
        <v>2</v>
      </c>
      <c r="K345">
        <v>300</v>
      </c>
    </row>
    <row r="346" spans="5:11" x14ac:dyDescent="0.25">
      <c r="E346">
        <v>548</v>
      </c>
      <c r="F346" s="7">
        <v>45142</v>
      </c>
      <c r="G346" t="s">
        <v>9</v>
      </c>
      <c r="H346">
        <v>50</v>
      </c>
      <c r="I346" t="s">
        <v>8</v>
      </c>
      <c r="J346">
        <v>2</v>
      </c>
      <c r="K346">
        <v>50</v>
      </c>
    </row>
    <row r="347" spans="5:11" x14ac:dyDescent="0.25">
      <c r="E347">
        <v>26</v>
      </c>
      <c r="F347" s="7">
        <v>45206</v>
      </c>
      <c r="G347" t="s">
        <v>9</v>
      </c>
      <c r="H347">
        <v>28</v>
      </c>
      <c r="I347" t="s">
        <v>11</v>
      </c>
      <c r="J347">
        <v>2</v>
      </c>
      <c r="K347">
        <v>500</v>
      </c>
    </row>
    <row r="348" spans="5:11" x14ac:dyDescent="0.25">
      <c r="E348">
        <v>1375</v>
      </c>
      <c r="F348" s="7">
        <v>45471</v>
      </c>
      <c r="G348" t="s">
        <v>7</v>
      </c>
      <c r="H348">
        <v>47</v>
      </c>
      <c r="I348" t="s">
        <v>8</v>
      </c>
      <c r="J348">
        <v>5</v>
      </c>
      <c r="K348">
        <v>143</v>
      </c>
    </row>
    <row r="349" spans="5:11" x14ac:dyDescent="0.25">
      <c r="E349">
        <v>438</v>
      </c>
      <c r="F349" s="7">
        <v>45116</v>
      </c>
      <c r="G349" t="s">
        <v>7</v>
      </c>
      <c r="H349">
        <v>50</v>
      </c>
      <c r="I349" t="s">
        <v>10</v>
      </c>
      <c r="J349">
        <v>3</v>
      </c>
      <c r="K349">
        <v>25</v>
      </c>
    </row>
    <row r="350" spans="5:11" x14ac:dyDescent="0.25">
      <c r="E350">
        <v>1664</v>
      </c>
      <c r="F350" s="7">
        <v>45501</v>
      </c>
      <c r="G350" t="s">
        <v>9</v>
      </c>
      <c r="H350">
        <v>24</v>
      </c>
      <c r="I350" t="s">
        <v>11</v>
      </c>
      <c r="J350">
        <v>4</v>
      </c>
      <c r="K350">
        <v>309</v>
      </c>
    </row>
    <row r="351" spans="5:11" x14ac:dyDescent="0.25">
      <c r="E351">
        <v>1328</v>
      </c>
      <c r="F351" s="7">
        <v>45333</v>
      </c>
      <c r="G351" t="s">
        <v>7</v>
      </c>
      <c r="H351">
        <v>59</v>
      </c>
      <c r="I351" t="s">
        <v>11</v>
      </c>
      <c r="J351">
        <v>3</v>
      </c>
      <c r="K351">
        <v>319</v>
      </c>
    </row>
    <row r="352" spans="5:11" x14ac:dyDescent="0.25">
      <c r="E352">
        <v>243</v>
      </c>
      <c r="F352" s="7">
        <v>45269</v>
      </c>
      <c r="G352" t="s">
        <v>7</v>
      </c>
      <c r="H352">
        <v>28</v>
      </c>
      <c r="I352" t="s">
        <v>8</v>
      </c>
      <c r="J352">
        <v>2</v>
      </c>
      <c r="K352">
        <v>50</v>
      </c>
    </row>
    <row r="353" spans="5:11" x14ac:dyDescent="0.25">
      <c r="E353">
        <v>891</v>
      </c>
      <c r="F353" s="7">
        <v>45037</v>
      </c>
      <c r="G353" t="s">
        <v>7</v>
      </c>
      <c r="H353">
        <v>49</v>
      </c>
      <c r="I353" t="s">
        <v>11</v>
      </c>
      <c r="J353">
        <v>1</v>
      </c>
      <c r="K353">
        <v>50</v>
      </c>
    </row>
    <row r="354" spans="5:11" x14ac:dyDescent="0.25">
      <c r="E354">
        <v>1230</v>
      </c>
      <c r="F354" s="7">
        <v>45655</v>
      </c>
      <c r="G354" t="s">
        <v>9</v>
      </c>
      <c r="H354">
        <v>58</v>
      </c>
      <c r="I354" t="s">
        <v>8</v>
      </c>
      <c r="J354">
        <v>6</v>
      </c>
      <c r="K354">
        <v>133</v>
      </c>
    </row>
    <row r="355" spans="5:11" x14ac:dyDescent="0.25">
      <c r="E355">
        <v>1239</v>
      </c>
      <c r="F355" s="7">
        <v>45414</v>
      </c>
      <c r="G355" t="s">
        <v>7</v>
      </c>
      <c r="H355">
        <v>40</v>
      </c>
      <c r="I355" t="s">
        <v>10</v>
      </c>
      <c r="J355">
        <v>6</v>
      </c>
      <c r="K355">
        <v>359</v>
      </c>
    </row>
    <row r="356" spans="5:11" x14ac:dyDescent="0.25">
      <c r="E356">
        <v>1194</v>
      </c>
      <c r="F356" s="7">
        <v>45565</v>
      </c>
      <c r="G356" t="s">
        <v>9</v>
      </c>
      <c r="H356">
        <v>56</v>
      </c>
      <c r="I356" t="s">
        <v>10</v>
      </c>
      <c r="J356">
        <v>2</v>
      </c>
      <c r="K356">
        <v>11</v>
      </c>
    </row>
    <row r="357" spans="5:11" x14ac:dyDescent="0.25">
      <c r="E357">
        <v>622</v>
      </c>
      <c r="F357" s="7">
        <v>44995</v>
      </c>
      <c r="G357" t="s">
        <v>7</v>
      </c>
      <c r="H357">
        <v>34</v>
      </c>
      <c r="I357" t="s">
        <v>10</v>
      </c>
      <c r="J357">
        <v>3</v>
      </c>
      <c r="K357">
        <v>50</v>
      </c>
    </row>
    <row r="358" spans="5:11" x14ac:dyDescent="0.25">
      <c r="E358">
        <v>1360</v>
      </c>
      <c r="F358" s="7">
        <v>45446</v>
      </c>
      <c r="G358" t="s">
        <v>7</v>
      </c>
      <c r="H358">
        <v>42</v>
      </c>
      <c r="I358" t="s">
        <v>8</v>
      </c>
      <c r="J358">
        <v>1</v>
      </c>
      <c r="K358">
        <v>435</v>
      </c>
    </row>
    <row r="359" spans="5:11" x14ac:dyDescent="0.25">
      <c r="E359">
        <v>758</v>
      </c>
      <c r="F359" s="7">
        <v>45012</v>
      </c>
      <c r="G359" t="s">
        <v>7</v>
      </c>
      <c r="H359">
        <v>27</v>
      </c>
      <c r="I359" t="s">
        <v>8</v>
      </c>
      <c r="J359">
        <v>1</v>
      </c>
      <c r="K359">
        <v>500</v>
      </c>
    </row>
    <row r="360" spans="5:11" x14ac:dyDescent="0.25">
      <c r="E360">
        <v>675</v>
      </c>
      <c r="F360" s="7">
        <v>45226</v>
      </c>
      <c r="G360" t="s">
        <v>9</v>
      </c>
      <c r="H360">
        <v>19</v>
      </c>
      <c r="I360" t="s">
        <v>8</v>
      </c>
      <c r="J360">
        <v>3</v>
      </c>
      <c r="K360">
        <v>500</v>
      </c>
    </row>
    <row r="361" spans="5:11" x14ac:dyDescent="0.25">
      <c r="E361">
        <v>564</v>
      </c>
      <c r="F361" s="7">
        <v>45237</v>
      </c>
      <c r="G361" t="s">
        <v>9</v>
      </c>
      <c r="H361">
        <v>45</v>
      </c>
      <c r="I361" t="s">
        <v>8</v>
      </c>
      <c r="J361">
        <v>2</v>
      </c>
      <c r="K361">
        <v>30</v>
      </c>
    </row>
    <row r="362" spans="5:11" x14ac:dyDescent="0.25">
      <c r="E362">
        <v>515</v>
      </c>
      <c r="F362" s="7">
        <v>45222</v>
      </c>
      <c r="G362" t="s">
        <v>7</v>
      </c>
      <c r="H362">
        <v>30</v>
      </c>
      <c r="I362" t="s">
        <v>8</v>
      </c>
      <c r="J362">
        <v>4</v>
      </c>
      <c r="K362">
        <v>25</v>
      </c>
    </row>
    <row r="363" spans="5:11" x14ac:dyDescent="0.25">
      <c r="E363">
        <v>1334</v>
      </c>
      <c r="F363" s="7">
        <v>45413</v>
      </c>
      <c r="G363" t="s">
        <v>7</v>
      </c>
      <c r="H363">
        <v>28</v>
      </c>
      <c r="I363" t="s">
        <v>10</v>
      </c>
      <c r="J363">
        <v>1</v>
      </c>
      <c r="K363">
        <v>364</v>
      </c>
    </row>
    <row r="364" spans="5:11" x14ac:dyDescent="0.25">
      <c r="E364">
        <v>1123</v>
      </c>
      <c r="F364" s="7">
        <v>45512</v>
      </c>
      <c r="G364" t="s">
        <v>7</v>
      </c>
      <c r="H364">
        <v>49</v>
      </c>
      <c r="I364" t="s">
        <v>10</v>
      </c>
      <c r="J364">
        <v>3</v>
      </c>
      <c r="K364">
        <v>71</v>
      </c>
    </row>
    <row r="365" spans="5:11" x14ac:dyDescent="0.25">
      <c r="E365">
        <v>1812</v>
      </c>
      <c r="F365" s="7">
        <v>45516</v>
      </c>
      <c r="G365" t="s">
        <v>7</v>
      </c>
      <c r="H365">
        <v>22</v>
      </c>
      <c r="I365" t="s">
        <v>8</v>
      </c>
      <c r="J365">
        <v>4</v>
      </c>
      <c r="K365">
        <v>292</v>
      </c>
    </row>
    <row r="366" spans="5:11" x14ac:dyDescent="0.25">
      <c r="E366">
        <v>1632</v>
      </c>
      <c r="F366" s="7">
        <v>45521</v>
      </c>
      <c r="G366" t="s">
        <v>9</v>
      </c>
      <c r="H366">
        <v>27</v>
      </c>
      <c r="I366" t="s">
        <v>11</v>
      </c>
      <c r="J366">
        <v>1</v>
      </c>
      <c r="K366">
        <v>168</v>
      </c>
    </row>
    <row r="367" spans="5:11" x14ac:dyDescent="0.25">
      <c r="E367">
        <v>1637</v>
      </c>
      <c r="F367" s="7">
        <v>45419</v>
      </c>
      <c r="G367" t="s">
        <v>9</v>
      </c>
      <c r="H367">
        <v>31</v>
      </c>
      <c r="I367" t="s">
        <v>11</v>
      </c>
      <c r="J367">
        <v>1</v>
      </c>
      <c r="K367">
        <v>198</v>
      </c>
    </row>
    <row r="368" spans="5:11" x14ac:dyDescent="0.25">
      <c r="E368">
        <v>1434</v>
      </c>
      <c r="F368" s="7">
        <v>45572</v>
      </c>
      <c r="G368" t="s">
        <v>9</v>
      </c>
      <c r="H368">
        <v>42</v>
      </c>
      <c r="I368" t="s">
        <v>11</v>
      </c>
      <c r="J368">
        <v>6</v>
      </c>
      <c r="K368">
        <v>244</v>
      </c>
    </row>
    <row r="369" spans="5:11" x14ac:dyDescent="0.25">
      <c r="E369">
        <v>414</v>
      </c>
      <c r="F369" s="7">
        <v>44953</v>
      </c>
      <c r="G369" t="s">
        <v>7</v>
      </c>
      <c r="H369">
        <v>53</v>
      </c>
      <c r="I369" t="s">
        <v>10</v>
      </c>
      <c r="J369">
        <v>2</v>
      </c>
      <c r="K369">
        <v>30</v>
      </c>
    </row>
    <row r="370" spans="5:11" x14ac:dyDescent="0.25">
      <c r="E370">
        <v>931</v>
      </c>
      <c r="F370" s="7">
        <v>44960</v>
      </c>
      <c r="G370" t="s">
        <v>7</v>
      </c>
      <c r="H370">
        <v>22</v>
      </c>
      <c r="I370" t="s">
        <v>8</v>
      </c>
      <c r="J370">
        <v>1</v>
      </c>
      <c r="K370">
        <v>30</v>
      </c>
    </row>
    <row r="371" spans="5:11" x14ac:dyDescent="0.25">
      <c r="E371">
        <v>1023</v>
      </c>
      <c r="F371" s="7">
        <v>45652</v>
      </c>
      <c r="G371" t="s">
        <v>9</v>
      </c>
      <c r="H371">
        <v>42</v>
      </c>
      <c r="I371" t="s">
        <v>8</v>
      </c>
      <c r="J371">
        <v>4</v>
      </c>
      <c r="K371">
        <v>73</v>
      </c>
    </row>
    <row r="372" spans="5:11" x14ac:dyDescent="0.25">
      <c r="E372">
        <v>496</v>
      </c>
      <c r="F372" s="7">
        <v>45201</v>
      </c>
      <c r="G372" t="s">
        <v>7</v>
      </c>
      <c r="H372">
        <v>41</v>
      </c>
      <c r="I372" t="s">
        <v>10</v>
      </c>
      <c r="J372">
        <v>4</v>
      </c>
      <c r="K372">
        <v>30</v>
      </c>
    </row>
    <row r="373" spans="5:11" x14ac:dyDescent="0.25">
      <c r="E373">
        <v>57</v>
      </c>
      <c r="F373" s="7">
        <v>45248</v>
      </c>
      <c r="G373" t="s">
        <v>9</v>
      </c>
      <c r="H373">
        <v>63</v>
      </c>
      <c r="I373" t="s">
        <v>8</v>
      </c>
      <c r="J373">
        <v>1</v>
      </c>
      <c r="K373">
        <v>30</v>
      </c>
    </row>
    <row r="374" spans="5:11" x14ac:dyDescent="0.25">
      <c r="E374">
        <v>642</v>
      </c>
      <c r="F374" s="7">
        <v>45193</v>
      </c>
      <c r="G374" t="s">
        <v>9</v>
      </c>
      <c r="H374">
        <v>28</v>
      </c>
      <c r="I374" t="s">
        <v>11</v>
      </c>
      <c r="J374">
        <v>3</v>
      </c>
      <c r="K374">
        <v>30</v>
      </c>
    </row>
    <row r="375" spans="5:11" x14ac:dyDescent="0.25">
      <c r="E375">
        <v>1826</v>
      </c>
      <c r="F375" s="7">
        <v>45465</v>
      </c>
      <c r="G375" t="s">
        <v>9</v>
      </c>
      <c r="H375">
        <v>44</v>
      </c>
      <c r="I375" t="s">
        <v>10</v>
      </c>
      <c r="J375">
        <v>1</v>
      </c>
      <c r="K375">
        <v>408</v>
      </c>
    </row>
    <row r="376" spans="5:11" x14ac:dyDescent="0.25">
      <c r="E376">
        <v>1842</v>
      </c>
      <c r="F376" s="7">
        <v>45557</v>
      </c>
      <c r="G376" t="s">
        <v>7</v>
      </c>
      <c r="H376">
        <v>61</v>
      </c>
      <c r="I376" t="s">
        <v>8</v>
      </c>
      <c r="J376">
        <v>2</v>
      </c>
      <c r="K376">
        <v>369</v>
      </c>
    </row>
    <row r="377" spans="5:11" x14ac:dyDescent="0.25">
      <c r="E377">
        <v>1404</v>
      </c>
      <c r="F377" s="7">
        <v>45468</v>
      </c>
      <c r="G377" t="s">
        <v>9</v>
      </c>
      <c r="H377">
        <v>63</v>
      </c>
      <c r="I377" t="s">
        <v>11</v>
      </c>
      <c r="J377">
        <v>7</v>
      </c>
      <c r="K377">
        <v>190</v>
      </c>
    </row>
    <row r="378" spans="5:11" x14ac:dyDescent="0.25">
      <c r="E378">
        <v>1452</v>
      </c>
      <c r="F378" s="7">
        <v>45474</v>
      </c>
      <c r="G378" t="s">
        <v>7</v>
      </c>
      <c r="H378">
        <v>26</v>
      </c>
      <c r="I378" t="s">
        <v>11</v>
      </c>
      <c r="J378">
        <v>3</v>
      </c>
      <c r="K378">
        <v>339</v>
      </c>
    </row>
    <row r="379" spans="5:11" x14ac:dyDescent="0.25">
      <c r="E379">
        <v>1836</v>
      </c>
      <c r="F379" s="7">
        <v>45436</v>
      </c>
      <c r="G379" t="s">
        <v>7</v>
      </c>
      <c r="H379">
        <v>58</v>
      </c>
      <c r="I379" t="s">
        <v>10</v>
      </c>
      <c r="J379">
        <v>6</v>
      </c>
      <c r="K379">
        <v>457</v>
      </c>
    </row>
    <row r="380" spans="5:11" x14ac:dyDescent="0.25">
      <c r="E380">
        <v>656</v>
      </c>
      <c r="F380" s="7">
        <v>44997</v>
      </c>
      <c r="G380" t="s">
        <v>7</v>
      </c>
      <c r="H380">
        <v>59</v>
      </c>
      <c r="I380" t="s">
        <v>10</v>
      </c>
      <c r="J380">
        <v>1</v>
      </c>
      <c r="K380">
        <v>25</v>
      </c>
    </row>
    <row r="381" spans="5:11" x14ac:dyDescent="0.25">
      <c r="E381">
        <v>1947</v>
      </c>
      <c r="F381" s="7">
        <v>45598</v>
      </c>
      <c r="G381" t="s">
        <v>7</v>
      </c>
      <c r="H381">
        <v>44</v>
      </c>
      <c r="I381" t="s">
        <v>8</v>
      </c>
      <c r="J381">
        <v>7</v>
      </c>
      <c r="K381">
        <v>249</v>
      </c>
    </row>
    <row r="382" spans="5:11" x14ac:dyDescent="0.25">
      <c r="E382">
        <v>1024</v>
      </c>
      <c r="F382" s="7">
        <v>45572</v>
      </c>
      <c r="G382" t="s">
        <v>9</v>
      </c>
      <c r="H382">
        <v>63</v>
      </c>
      <c r="I382" t="s">
        <v>11</v>
      </c>
      <c r="J382">
        <v>5</v>
      </c>
      <c r="K382">
        <v>98</v>
      </c>
    </row>
    <row r="383" spans="5:11" x14ac:dyDescent="0.25">
      <c r="E383">
        <v>1800</v>
      </c>
      <c r="F383" s="7">
        <v>45528</v>
      </c>
      <c r="G383" t="s">
        <v>7</v>
      </c>
      <c r="H383">
        <v>22</v>
      </c>
      <c r="I383" t="s">
        <v>11</v>
      </c>
      <c r="J383">
        <v>7</v>
      </c>
      <c r="K383">
        <v>242</v>
      </c>
    </row>
    <row r="384" spans="5:11" x14ac:dyDescent="0.25">
      <c r="E384">
        <v>82</v>
      </c>
      <c r="F384" s="7">
        <v>45286</v>
      </c>
      <c r="G384" t="s">
        <v>9</v>
      </c>
      <c r="H384">
        <v>32</v>
      </c>
      <c r="I384" t="s">
        <v>8</v>
      </c>
      <c r="J384">
        <v>4</v>
      </c>
      <c r="K384">
        <v>50</v>
      </c>
    </row>
    <row r="385" spans="5:11" x14ac:dyDescent="0.25">
      <c r="E385">
        <v>1288</v>
      </c>
      <c r="F385" s="7">
        <v>45299</v>
      </c>
      <c r="G385" t="s">
        <v>7</v>
      </c>
      <c r="H385">
        <v>55</v>
      </c>
      <c r="I385" t="s">
        <v>10</v>
      </c>
      <c r="J385">
        <v>4</v>
      </c>
      <c r="K385">
        <v>446</v>
      </c>
    </row>
    <row r="386" spans="5:11" x14ac:dyDescent="0.25">
      <c r="E386">
        <v>763</v>
      </c>
      <c r="F386" s="7">
        <v>45086</v>
      </c>
      <c r="G386" t="s">
        <v>7</v>
      </c>
      <c r="H386">
        <v>43</v>
      </c>
      <c r="I386" t="s">
        <v>10</v>
      </c>
      <c r="J386">
        <v>4</v>
      </c>
      <c r="K386">
        <v>50</v>
      </c>
    </row>
    <row r="387" spans="5:11" x14ac:dyDescent="0.25">
      <c r="E387">
        <v>46</v>
      </c>
      <c r="F387" s="7">
        <v>45103</v>
      </c>
      <c r="G387" t="s">
        <v>9</v>
      </c>
      <c r="H387">
        <v>20</v>
      </c>
      <c r="I387" t="s">
        <v>11</v>
      </c>
      <c r="J387">
        <v>4</v>
      </c>
      <c r="K387">
        <v>300</v>
      </c>
    </row>
    <row r="388" spans="5:11" x14ac:dyDescent="0.25">
      <c r="E388">
        <v>957</v>
      </c>
      <c r="F388" s="7">
        <v>45228</v>
      </c>
      <c r="G388" t="s">
        <v>9</v>
      </c>
      <c r="H388">
        <v>42</v>
      </c>
      <c r="I388" t="s">
        <v>11</v>
      </c>
      <c r="J388">
        <v>2</v>
      </c>
      <c r="K388">
        <v>30</v>
      </c>
    </row>
    <row r="389" spans="5:11" x14ac:dyDescent="0.25">
      <c r="E389">
        <v>1969</v>
      </c>
      <c r="F389" s="7">
        <v>45373</v>
      </c>
      <c r="G389" t="s">
        <v>7</v>
      </c>
      <c r="H389">
        <v>58</v>
      </c>
      <c r="I389" t="s">
        <v>10</v>
      </c>
      <c r="J389">
        <v>7</v>
      </c>
      <c r="K389">
        <v>281</v>
      </c>
    </row>
    <row r="390" spans="5:11" x14ac:dyDescent="0.25">
      <c r="E390">
        <v>464</v>
      </c>
      <c r="F390" s="7">
        <v>45018</v>
      </c>
      <c r="G390" t="s">
        <v>9</v>
      </c>
      <c r="H390">
        <v>43</v>
      </c>
      <c r="I390" t="s">
        <v>11</v>
      </c>
      <c r="J390">
        <v>3</v>
      </c>
      <c r="K390">
        <v>50</v>
      </c>
    </row>
    <row r="391" spans="5:11" x14ac:dyDescent="0.25">
      <c r="E391">
        <v>1046</v>
      </c>
      <c r="F391" s="7">
        <v>45428</v>
      </c>
      <c r="G391" t="s">
        <v>7</v>
      </c>
      <c r="H391">
        <v>21</v>
      </c>
      <c r="I391" t="s">
        <v>11</v>
      </c>
      <c r="J391">
        <v>2</v>
      </c>
      <c r="K391">
        <v>110</v>
      </c>
    </row>
    <row r="392" spans="5:11" x14ac:dyDescent="0.25">
      <c r="E392">
        <v>1987</v>
      </c>
      <c r="F392" s="7">
        <v>45652</v>
      </c>
      <c r="G392" t="s">
        <v>9</v>
      </c>
      <c r="H392">
        <v>59</v>
      </c>
      <c r="I392" t="s">
        <v>10</v>
      </c>
      <c r="J392">
        <v>7</v>
      </c>
      <c r="K392">
        <v>418</v>
      </c>
    </row>
    <row r="393" spans="5:11" x14ac:dyDescent="0.25">
      <c r="E393">
        <v>876</v>
      </c>
      <c r="F393" s="7">
        <v>45107</v>
      </c>
      <c r="G393" t="s">
        <v>9</v>
      </c>
      <c r="H393">
        <v>20</v>
      </c>
      <c r="I393" t="s">
        <v>10</v>
      </c>
      <c r="J393">
        <v>1</v>
      </c>
      <c r="K393">
        <v>30</v>
      </c>
    </row>
    <row r="394" spans="5:11" x14ac:dyDescent="0.25">
      <c r="E394">
        <v>1171</v>
      </c>
      <c r="F394" s="7">
        <v>45604</v>
      </c>
      <c r="G394" t="s">
        <v>7</v>
      </c>
      <c r="H394">
        <v>18</v>
      </c>
      <c r="I394" t="s">
        <v>11</v>
      </c>
      <c r="J394">
        <v>4</v>
      </c>
      <c r="K394">
        <v>339</v>
      </c>
    </row>
    <row r="395" spans="5:11" x14ac:dyDescent="0.25">
      <c r="E395">
        <v>1874</v>
      </c>
      <c r="F395" s="7">
        <v>45473</v>
      </c>
      <c r="G395" t="s">
        <v>9</v>
      </c>
      <c r="H395">
        <v>62</v>
      </c>
      <c r="I395" t="s">
        <v>10</v>
      </c>
      <c r="J395">
        <v>3</v>
      </c>
      <c r="K395">
        <v>339</v>
      </c>
    </row>
    <row r="396" spans="5:11" x14ac:dyDescent="0.25">
      <c r="E396">
        <v>997</v>
      </c>
      <c r="F396" s="7">
        <v>45265</v>
      </c>
      <c r="G396" t="s">
        <v>9</v>
      </c>
      <c r="H396">
        <v>36</v>
      </c>
      <c r="I396" t="s">
        <v>11</v>
      </c>
      <c r="J396">
        <v>3</v>
      </c>
      <c r="K396">
        <v>50</v>
      </c>
    </row>
    <row r="397" spans="5:11" x14ac:dyDescent="0.25">
      <c r="E397">
        <v>1705</v>
      </c>
      <c r="F397" s="7">
        <v>45494</v>
      </c>
      <c r="G397" t="s">
        <v>9</v>
      </c>
      <c r="H397">
        <v>41</v>
      </c>
      <c r="I397" t="s">
        <v>11</v>
      </c>
      <c r="J397">
        <v>4</v>
      </c>
      <c r="K397">
        <v>78</v>
      </c>
    </row>
    <row r="398" spans="5:11" x14ac:dyDescent="0.25">
      <c r="E398">
        <v>1286</v>
      </c>
      <c r="F398" s="7">
        <v>45626</v>
      </c>
      <c r="G398" t="s">
        <v>7</v>
      </c>
      <c r="H398">
        <v>51</v>
      </c>
      <c r="I398" t="s">
        <v>11</v>
      </c>
      <c r="J398">
        <v>1</v>
      </c>
      <c r="K398">
        <v>432</v>
      </c>
    </row>
    <row r="399" spans="5:11" x14ac:dyDescent="0.25">
      <c r="E399">
        <v>550</v>
      </c>
      <c r="F399" s="7">
        <v>45121</v>
      </c>
      <c r="G399" t="s">
        <v>7</v>
      </c>
      <c r="H399">
        <v>45</v>
      </c>
      <c r="I399" t="s">
        <v>11</v>
      </c>
      <c r="J399">
        <v>3</v>
      </c>
      <c r="K399">
        <v>300</v>
      </c>
    </row>
    <row r="400" spans="5:11" x14ac:dyDescent="0.25">
      <c r="E400">
        <v>1766</v>
      </c>
      <c r="F400" s="7">
        <v>45587</v>
      </c>
      <c r="G400" t="s">
        <v>7</v>
      </c>
      <c r="H400">
        <v>65</v>
      </c>
      <c r="I400" t="s">
        <v>10</v>
      </c>
      <c r="J400">
        <v>1</v>
      </c>
      <c r="K400">
        <v>469</v>
      </c>
    </row>
    <row r="401" spans="5:11" x14ac:dyDescent="0.25">
      <c r="E401">
        <v>1304</v>
      </c>
      <c r="F401" s="7">
        <v>45439</v>
      </c>
      <c r="G401" t="s">
        <v>9</v>
      </c>
      <c r="H401">
        <v>42</v>
      </c>
      <c r="I401" t="s">
        <v>11</v>
      </c>
      <c r="J401">
        <v>2</v>
      </c>
      <c r="K401">
        <v>407</v>
      </c>
    </row>
    <row r="402" spans="5:11" x14ac:dyDescent="0.25">
      <c r="E402">
        <v>1934</v>
      </c>
      <c r="F402" s="7">
        <v>45615</v>
      </c>
      <c r="G402" t="s">
        <v>7</v>
      </c>
      <c r="H402">
        <v>42</v>
      </c>
      <c r="I402" t="s">
        <v>10</v>
      </c>
      <c r="J402">
        <v>6</v>
      </c>
      <c r="K402">
        <v>310</v>
      </c>
    </row>
    <row r="403" spans="5:11" x14ac:dyDescent="0.25">
      <c r="E403">
        <v>1823</v>
      </c>
      <c r="F403" s="7">
        <v>45605</v>
      </c>
      <c r="G403" t="s">
        <v>7</v>
      </c>
      <c r="H403">
        <v>18</v>
      </c>
      <c r="I403" t="s">
        <v>8</v>
      </c>
      <c r="J403">
        <v>7</v>
      </c>
      <c r="K403">
        <v>271</v>
      </c>
    </row>
    <row r="404" spans="5:11" x14ac:dyDescent="0.25">
      <c r="E404">
        <v>1035</v>
      </c>
      <c r="F404" s="7">
        <v>45435</v>
      </c>
      <c r="G404" t="s">
        <v>9</v>
      </c>
      <c r="H404">
        <v>55</v>
      </c>
      <c r="I404" t="s">
        <v>8</v>
      </c>
      <c r="J404">
        <v>7</v>
      </c>
      <c r="K404">
        <v>477</v>
      </c>
    </row>
    <row r="405" spans="5:11" x14ac:dyDescent="0.25">
      <c r="E405">
        <v>1034</v>
      </c>
      <c r="F405" s="7">
        <v>45467</v>
      </c>
      <c r="G405" t="s">
        <v>7</v>
      </c>
      <c r="H405">
        <v>58</v>
      </c>
      <c r="I405" t="s">
        <v>8</v>
      </c>
      <c r="J405">
        <v>4</v>
      </c>
      <c r="K405">
        <v>395</v>
      </c>
    </row>
    <row r="406" spans="5:11" x14ac:dyDescent="0.25">
      <c r="E406">
        <v>425</v>
      </c>
      <c r="F406" s="7">
        <v>45009</v>
      </c>
      <c r="G406" t="s">
        <v>7</v>
      </c>
      <c r="H406">
        <v>23</v>
      </c>
      <c r="I406" t="s">
        <v>11</v>
      </c>
      <c r="J406">
        <v>3</v>
      </c>
      <c r="K406">
        <v>50</v>
      </c>
    </row>
    <row r="407" spans="5:11" x14ac:dyDescent="0.25">
      <c r="E407">
        <v>1134</v>
      </c>
      <c r="F407" s="7">
        <v>45371</v>
      </c>
      <c r="G407" t="s">
        <v>7</v>
      </c>
      <c r="H407">
        <v>37</v>
      </c>
      <c r="I407" t="s">
        <v>11</v>
      </c>
      <c r="J407">
        <v>1</v>
      </c>
      <c r="K407">
        <v>197</v>
      </c>
    </row>
    <row r="408" spans="5:11" x14ac:dyDescent="0.25">
      <c r="E408">
        <v>613</v>
      </c>
      <c r="F408" s="7">
        <v>45017</v>
      </c>
      <c r="G408" t="s">
        <v>9</v>
      </c>
      <c r="H408">
        <v>39</v>
      </c>
      <c r="I408" t="s">
        <v>8</v>
      </c>
      <c r="J408">
        <v>4</v>
      </c>
      <c r="K408">
        <v>300</v>
      </c>
    </row>
    <row r="409" spans="5:11" x14ac:dyDescent="0.25">
      <c r="E409">
        <v>1521</v>
      </c>
      <c r="F409" s="7">
        <v>45568</v>
      </c>
      <c r="G409" t="s">
        <v>7</v>
      </c>
      <c r="H409">
        <v>59</v>
      </c>
      <c r="I409" t="s">
        <v>8</v>
      </c>
      <c r="J409">
        <v>1</v>
      </c>
      <c r="K409">
        <v>98</v>
      </c>
    </row>
    <row r="410" spans="5:11" x14ac:dyDescent="0.25">
      <c r="E410">
        <v>1208</v>
      </c>
      <c r="F410" s="7">
        <v>45395</v>
      </c>
      <c r="G410" t="s">
        <v>7</v>
      </c>
      <c r="H410">
        <v>22</v>
      </c>
      <c r="I410" t="s">
        <v>11</v>
      </c>
      <c r="J410">
        <v>1</v>
      </c>
      <c r="K410">
        <v>88</v>
      </c>
    </row>
    <row r="411" spans="5:11" x14ac:dyDescent="0.25">
      <c r="E411">
        <v>1914</v>
      </c>
      <c r="F411" s="7">
        <v>45619</v>
      </c>
      <c r="G411" t="s">
        <v>9</v>
      </c>
      <c r="H411">
        <v>59</v>
      </c>
      <c r="I411" t="s">
        <v>11</v>
      </c>
      <c r="J411">
        <v>3</v>
      </c>
      <c r="K411">
        <v>81</v>
      </c>
    </row>
    <row r="412" spans="5:11" x14ac:dyDescent="0.25">
      <c r="E412">
        <v>913</v>
      </c>
      <c r="F412" s="7">
        <v>45076</v>
      </c>
      <c r="G412" t="s">
        <v>9</v>
      </c>
      <c r="H412">
        <v>26</v>
      </c>
      <c r="I412" t="s">
        <v>8</v>
      </c>
      <c r="J412">
        <v>3</v>
      </c>
      <c r="K412">
        <v>30</v>
      </c>
    </row>
    <row r="413" spans="5:11" x14ac:dyDescent="0.25">
      <c r="E413">
        <v>1563</v>
      </c>
      <c r="F413" s="7">
        <v>45628</v>
      </c>
      <c r="G413" t="s">
        <v>9</v>
      </c>
      <c r="H413">
        <v>30</v>
      </c>
      <c r="I413" t="s">
        <v>10</v>
      </c>
      <c r="J413">
        <v>6</v>
      </c>
      <c r="K413">
        <v>203</v>
      </c>
    </row>
    <row r="414" spans="5:11" x14ac:dyDescent="0.25">
      <c r="E414">
        <v>187</v>
      </c>
      <c r="F414" s="7">
        <v>45084</v>
      </c>
      <c r="G414" t="s">
        <v>9</v>
      </c>
      <c r="H414">
        <v>64</v>
      </c>
      <c r="I414" t="s">
        <v>10</v>
      </c>
      <c r="J414">
        <v>2</v>
      </c>
      <c r="K414">
        <v>50</v>
      </c>
    </row>
    <row r="415" spans="5:11" x14ac:dyDescent="0.25">
      <c r="E415">
        <v>702</v>
      </c>
      <c r="F415" s="7">
        <v>45166</v>
      </c>
      <c r="G415" t="s">
        <v>9</v>
      </c>
      <c r="H415">
        <v>62</v>
      </c>
      <c r="I415" t="s">
        <v>10</v>
      </c>
      <c r="J415">
        <v>3</v>
      </c>
      <c r="K415">
        <v>30</v>
      </c>
    </row>
    <row r="416" spans="5:11" x14ac:dyDescent="0.25">
      <c r="E416">
        <v>756</v>
      </c>
      <c r="F416" s="7">
        <v>45058</v>
      </c>
      <c r="G416" t="s">
        <v>7</v>
      </c>
      <c r="H416">
        <v>64</v>
      </c>
      <c r="I416" t="s">
        <v>10</v>
      </c>
      <c r="J416">
        <v>4</v>
      </c>
      <c r="K416">
        <v>25</v>
      </c>
    </row>
    <row r="417" spans="5:11" x14ac:dyDescent="0.25">
      <c r="E417">
        <v>316</v>
      </c>
      <c r="F417" s="7">
        <v>44956</v>
      </c>
      <c r="G417" t="s">
        <v>7</v>
      </c>
      <c r="H417">
        <v>22</v>
      </c>
      <c r="I417" t="s">
        <v>11</v>
      </c>
      <c r="J417">
        <v>3</v>
      </c>
      <c r="K417">
        <v>30</v>
      </c>
    </row>
    <row r="418" spans="5:11" x14ac:dyDescent="0.25">
      <c r="E418">
        <v>949</v>
      </c>
      <c r="F418" s="7">
        <v>45232</v>
      </c>
      <c r="G418" t="s">
        <v>7</v>
      </c>
      <c r="H418">
        <v>33</v>
      </c>
      <c r="I418" t="s">
        <v>8</v>
      </c>
      <c r="J418">
        <v>2</v>
      </c>
      <c r="K418">
        <v>50</v>
      </c>
    </row>
    <row r="419" spans="5:11" x14ac:dyDescent="0.25">
      <c r="E419">
        <v>1155</v>
      </c>
      <c r="F419" s="7">
        <v>45467</v>
      </c>
      <c r="G419" t="s">
        <v>7</v>
      </c>
      <c r="H419">
        <v>53</v>
      </c>
      <c r="I419" t="s">
        <v>11</v>
      </c>
      <c r="J419">
        <v>6</v>
      </c>
      <c r="K419">
        <v>59</v>
      </c>
    </row>
    <row r="420" spans="5:11" x14ac:dyDescent="0.25">
      <c r="E420">
        <v>362</v>
      </c>
      <c r="F420" s="7">
        <v>45080</v>
      </c>
      <c r="G420" t="s">
        <v>7</v>
      </c>
      <c r="H420">
        <v>64</v>
      </c>
      <c r="I420" t="s">
        <v>8</v>
      </c>
      <c r="J420">
        <v>1</v>
      </c>
      <c r="K420">
        <v>25</v>
      </c>
    </row>
    <row r="421" spans="5:11" x14ac:dyDescent="0.25">
      <c r="E421">
        <v>1242</v>
      </c>
      <c r="F421" s="7">
        <v>45541</v>
      </c>
      <c r="G421" t="s">
        <v>7</v>
      </c>
      <c r="H421">
        <v>39</v>
      </c>
      <c r="I421" t="s">
        <v>10</v>
      </c>
      <c r="J421">
        <v>1</v>
      </c>
      <c r="K421">
        <v>41</v>
      </c>
    </row>
    <row r="422" spans="5:11" x14ac:dyDescent="0.25">
      <c r="E422">
        <v>1340</v>
      </c>
      <c r="F422" s="7">
        <v>45597</v>
      </c>
      <c r="G422" t="s">
        <v>7</v>
      </c>
      <c r="H422">
        <v>47</v>
      </c>
      <c r="I422" t="s">
        <v>11</v>
      </c>
      <c r="J422">
        <v>6</v>
      </c>
      <c r="K422">
        <v>16</v>
      </c>
    </row>
    <row r="423" spans="5:11" x14ac:dyDescent="0.25">
      <c r="E423">
        <v>1022</v>
      </c>
      <c r="F423" s="7">
        <v>45625</v>
      </c>
      <c r="G423" t="s">
        <v>9</v>
      </c>
      <c r="H423">
        <v>61</v>
      </c>
      <c r="I423" t="s">
        <v>10</v>
      </c>
      <c r="J423">
        <v>7</v>
      </c>
      <c r="K423">
        <v>465</v>
      </c>
    </row>
    <row r="424" spans="5:11" x14ac:dyDescent="0.25">
      <c r="E424">
        <v>996</v>
      </c>
      <c r="F424" s="7">
        <v>45228</v>
      </c>
      <c r="G424" t="s">
        <v>9</v>
      </c>
      <c r="H424">
        <v>23</v>
      </c>
      <c r="I424" t="s">
        <v>8</v>
      </c>
      <c r="J424">
        <v>4</v>
      </c>
      <c r="K424">
        <v>25</v>
      </c>
    </row>
    <row r="425" spans="5:11" x14ac:dyDescent="0.25">
      <c r="E425">
        <v>1357</v>
      </c>
      <c r="F425" s="7">
        <v>45360</v>
      </c>
      <c r="G425" t="s">
        <v>7</v>
      </c>
      <c r="H425">
        <v>61</v>
      </c>
      <c r="I425" t="s">
        <v>10</v>
      </c>
      <c r="J425">
        <v>5</v>
      </c>
      <c r="K425">
        <v>167</v>
      </c>
    </row>
    <row r="426" spans="5:11" x14ac:dyDescent="0.25">
      <c r="E426">
        <v>1860</v>
      </c>
      <c r="F426" s="7">
        <v>45500</v>
      </c>
      <c r="G426" t="s">
        <v>9</v>
      </c>
      <c r="H426">
        <v>22</v>
      </c>
      <c r="I426" t="s">
        <v>11</v>
      </c>
      <c r="J426">
        <v>4</v>
      </c>
      <c r="K426">
        <v>159</v>
      </c>
    </row>
    <row r="427" spans="5:11" x14ac:dyDescent="0.25">
      <c r="E427">
        <v>1185</v>
      </c>
      <c r="F427" s="7">
        <v>45450</v>
      </c>
      <c r="G427" t="s">
        <v>9</v>
      </c>
      <c r="H427">
        <v>59</v>
      </c>
      <c r="I427" t="s">
        <v>10</v>
      </c>
      <c r="J427">
        <v>5</v>
      </c>
      <c r="K427">
        <v>51</v>
      </c>
    </row>
    <row r="428" spans="5:11" x14ac:dyDescent="0.25">
      <c r="E428">
        <v>233</v>
      </c>
      <c r="F428" s="7">
        <v>45250</v>
      </c>
      <c r="G428" t="s">
        <v>9</v>
      </c>
      <c r="H428">
        <v>62</v>
      </c>
      <c r="I428" t="s">
        <v>11</v>
      </c>
      <c r="J428">
        <v>2</v>
      </c>
      <c r="K428">
        <v>25</v>
      </c>
    </row>
    <row r="429" spans="5:11" x14ac:dyDescent="0.25">
      <c r="E429">
        <v>1506</v>
      </c>
      <c r="F429" s="7">
        <v>45469</v>
      </c>
      <c r="G429" t="s">
        <v>9</v>
      </c>
      <c r="H429">
        <v>60</v>
      </c>
      <c r="I429" t="s">
        <v>11</v>
      </c>
      <c r="J429">
        <v>1</v>
      </c>
      <c r="K429">
        <v>153</v>
      </c>
    </row>
    <row r="430" spans="5:11" x14ac:dyDescent="0.25">
      <c r="E430">
        <v>1958</v>
      </c>
      <c r="F430" s="7">
        <v>45584</v>
      </c>
      <c r="G430" t="s">
        <v>7</v>
      </c>
      <c r="H430">
        <v>36</v>
      </c>
      <c r="I430" t="s">
        <v>10</v>
      </c>
      <c r="J430">
        <v>5</v>
      </c>
      <c r="K430">
        <v>339</v>
      </c>
    </row>
    <row r="431" spans="5:11" x14ac:dyDescent="0.25">
      <c r="E431">
        <v>389</v>
      </c>
      <c r="F431" s="7">
        <v>45197</v>
      </c>
      <c r="G431" t="s">
        <v>7</v>
      </c>
      <c r="H431">
        <v>39</v>
      </c>
      <c r="I431" t="s">
        <v>11</v>
      </c>
      <c r="J431">
        <v>2</v>
      </c>
      <c r="K431">
        <v>50</v>
      </c>
    </row>
    <row r="432" spans="5:11" x14ac:dyDescent="0.25">
      <c r="E432">
        <v>88</v>
      </c>
      <c r="F432" s="7">
        <v>45014</v>
      </c>
      <c r="G432" t="s">
        <v>7</v>
      </c>
      <c r="H432">
        <v>56</v>
      </c>
      <c r="I432" t="s">
        <v>10</v>
      </c>
      <c r="J432">
        <v>1</v>
      </c>
      <c r="K432">
        <v>500</v>
      </c>
    </row>
    <row r="433" spans="5:11" x14ac:dyDescent="0.25">
      <c r="E433">
        <v>1441</v>
      </c>
      <c r="F433" s="7">
        <v>45358</v>
      </c>
      <c r="G433" t="s">
        <v>9</v>
      </c>
      <c r="H433">
        <v>39</v>
      </c>
      <c r="I433" t="s">
        <v>10</v>
      </c>
      <c r="J433">
        <v>1</v>
      </c>
      <c r="K433">
        <v>290</v>
      </c>
    </row>
    <row r="434" spans="5:11" x14ac:dyDescent="0.25">
      <c r="E434">
        <v>475</v>
      </c>
      <c r="F434" s="7">
        <v>45167</v>
      </c>
      <c r="G434" t="s">
        <v>9</v>
      </c>
      <c r="H434">
        <v>27</v>
      </c>
      <c r="I434" t="s">
        <v>10</v>
      </c>
      <c r="J434">
        <v>4</v>
      </c>
      <c r="K434">
        <v>500</v>
      </c>
    </row>
    <row r="435" spans="5:11" x14ac:dyDescent="0.25">
      <c r="E435">
        <v>933</v>
      </c>
      <c r="F435" s="7">
        <v>45178</v>
      </c>
      <c r="G435" t="s">
        <v>9</v>
      </c>
      <c r="H435">
        <v>34</v>
      </c>
      <c r="I435" t="s">
        <v>8</v>
      </c>
      <c r="J435">
        <v>1</v>
      </c>
      <c r="K435">
        <v>50</v>
      </c>
    </row>
    <row r="436" spans="5:11" x14ac:dyDescent="0.25">
      <c r="E436">
        <v>1051</v>
      </c>
      <c r="F436" s="7">
        <v>45486</v>
      </c>
      <c r="G436" t="s">
        <v>7</v>
      </c>
      <c r="H436">
        <v>51</v>
      </c>
      <c r="I436" t="s">
        <v>11</v>
      </c>
      <c r="J436">
        <v>2</v>
      </c>
      <c r="K436">
        <v>160</v>
      </c>
    </row>
    <row r="437" spans="5:11" x14ac:dyDescent="0.25">
      <c r="E437">
        <v>397</v>
      </c>
      <c r="F437" s="7">
        <v>45062</v>
      </c>
      <c r="G437" t="s">
        <v>9</v>
      </c>
      <c r="H437">
        <v>48</v>
      </c>
      <c r="I437" t="s">
        <v>10</v>
      </c>
      <c r="J437">
        <v>2</v>
      </c>
      <c r="K437">
        <v>300</v>
      </c>
    </row>
    <row r="438" spans="5:11" x14ac:dyDescent="0.25">
      <c r="E438">
        <v>1676</v>
      </c>
      <c r="F438" s="7">
        <v>45587</v>
      </c>
      <c r="G438" t="s">
        <v>9</v>
      </c>
      <c r="H438">
        <v>18</v>
      </c>
      <c r="I438" t="s">
        <v>10</v>
      </c>
      <c r="J438">
        <v>4</v>
      </c>
      <c r="K438">
        <v>297</v>
      </c>
    </row>
    <row r="439" spans="5:11" x14ac:dyDescent="0.25">
      <c r="E439">
        <v>1275</v>
      </c>
      <c r="F439" s="7">
        <v>45364</v>
      </c>
      <c r="G439" t="s">
        <v>9</v>
      </c>
      <c r="H439">
        <v>65</v>
      </c>
      <c r="I439" t="s">
        <v>10</v>
      </c>
      <c r="J439">
        <v>3</v>
      </c>
      <c r="K439">
        <v>166</v>
      </c>
    </row>
    <row r="440" spans="5:11" x14ac:dyDescent="0.25">
      <c r="E440">
        <v>1765</v>
      </c>
      <c r="F440" s="7">
        <v>45452</v>
      </c>
      <c r="G440" t="s">
        <v>9</v>
      </c>
      <c r="H440">
        <v>20</v>
      </c>
      <c r="I440" t="s">
        <v>11</v>
      </c>
      <c r="J440">
        <v>1</v>
      </c>
      <c r="K440">
        <v>118</v>
      </c>
    </row>
    <row r="441" spans="5:11" x14ac:dyDescent="0.25">
      <c r="E441">
        <v>1582</v>
      </c>
      <c r="F441" s="7">
        <v>45413</v>
      </c>
      <c r="G441" t="s">
        <v>9</v>
      </c>
      <c r="H441">
        <v>23</v>
      </c>
      <c r="I441" t="s">
        <v>10</v>
      </c>
      <c r="J441">
        <v>3</v>
      </c>
      <c r="K441">
        <v>217</v>
      </c>
    </row>
    <row r="442" spans="5:11" x14ac:dyDescent="0.25">
      <c r="E442">
        <v>578</v>
      </c>
      <c r="F442" s="7">
        <v>45190</v>
      </c>
      <c r="G442" t="s">
        <v>9</v>
      </c>
      <c r="H442">
        <v>38</v>
      </c>
      <c r="I442" t="s">
        <v>11</v>
      </c>
      <c r="J442">
        <v>1</v>
      </c>
      <c r="K442">
        <v>30</v>
      </c>
    </row>
    <row r="443" spans="5:11" x14ac:dyDescent="0.25">
      <c r="E443">
        <v>1406</v>
      </c>
      <c r="F443" s="7">
        <v>45644</v>
      </c>
      <c r="G443" t="s">
        <v>9</v>
      </c>
      <c r="H443">
        <v>52</v>
      </c>
      <c r="I443" t="s">
        <v>11</v>
      </c>
      <c r="J443">
        <v>5</v>
      </c>
      <c r="K443">
        <v>155</v>
      </c>
    </row>
    <row r="444" spans="5:11" x14ac:dyDescent="0.25">
      <c r="E444">
        <v>774</v>
      </c>
      <c r="F444" s="7">
        <v>45230</v>
      </c>
      <c r="G444" t="s">
        <v>7</v>
      </c>
      <c r="H444">
        <v>35</v>
      </c>
      <c r="I444" t="s">
        <v>10</v>
      </c>
      <c r="J444">
        <v>3</v>
      </c>
      <c r="K444">
        <v>30</v>
      </c>
    </row>
    <row r="445" spans="5:11" x14ac:dyDescent="0.25">
      <c r="E445">
        <v>1534</v>
      </c>
      <c r="F445" s="7">
        <v>45446</v>
      </c>
      <c r="G445" t="s">
        <v>9</v>
      </c>
      <c r="H445">
        <v>22</v>
      </c>
      <c r="I445" t="s">
        <v>8</v>
      </c>
      <c r="J445">
        <v>5</v>
      </c>
      <c r="K445">
        <v>442</v>
      </c>
    </row>
    <row r="446" spans="5:11" x14ac:dyDescent="0.25">
      <c r="E446">
        <v>322</v>
      </c>
      <c r="F446" s="7">
        <v>44952</v>
      </c>
      <c r="G446" t="s">
        <v>9</v>
      </c>
      <c r="H446">
        <v>29</v>
      </c>
      <c r="I446" t="s">
        <v>8</v>
      </c>
      <c r="J446">
        <v>3</v>
      </c>
      <c r="K446">
        <v>300</v>
      </c>
    </row>
    <row r="447" spans="5:11" x14ac:dyDescent="0.25">
      <c r="E447">
        <v>1111</v>
      </c>
      <c r="F447" s="7">
        <v>45548</v>
      </c>
      <c r="G447" t="s">
        <v>9</v>
      </c>
      <c r="H447">
        <v>46</v>
      </c>
      <c r="I447" t="s">
        <v>11</v>
      </c>
      <c r="J447">
        <v>4</v>
      </c>
      <c r="K447">
        <v>485</v>
      </c>
    </row>
    <row r="448" spans="5:11" x14ac:dyDescent="0.25">
      <c r="E448">
        <v>864</v>
      </c>
      <c r="F448" s="7">
        <v>45051</v>
      </c>
      <c r="G448" t="s">
        <v>7</v>
      </c>
      <c r="H448">
        <v>24</v>
      </c>
      <c r="I448" t="s">
        <v>11</v>
      </c>
      <c r="J448">
        <v>1</v>
      </c>
      <c r="K448">
        <v>50</v>
      </c>
    </row>
    <row r="449" spans="5:11" x14ac:dyDescent="0.25">
      <c r="E449">
        <v>934</v>
      </c>
      <c r="F449" s="7">
        <v>44964</v>
      </c>
      <c r="G449" t="s">
        <v>7</v>
      </c>
      <c r="H449">
        <v>57</v>
      </c>
      <c r="I449" t="s">
        <v>8</v>
      </c>
      <c r="J449">
        <v>4</v>
      </c>
      <c r="K449">
        <v>50</v>
      </c>
    </row>
    <row r="450" spans="5:11" x14ac:dyDescent="0.25">
      <c r="E450">
        <v>1509</v>
      </c>
      <c r="F450" s="7">
        <v>45603</v>
      </c>
      <c r="G450" t="s">
        <v>9</v>
      </c>
      <c r="H450">
        <v>50</v>
      </c>
      <c r="I450" t="s">
        <v>8</v>
      </c>
      <c r="J450">
        <v>7</v>
      </c>
      <c r="K450">
        <v>129</v>
      </c>
    </row>
    <row r="451" spans="5:11" x14ac:dyDescent="0.25">
      <c r="E451">
        <v>1604</v>
      </c>
      <c r="F451" s="7">
        <v>45368</v>
      </c>
      <c r="G451" t="s">
        <v>7</v>
      </c>
      <c r="H451">
        <v>38</v>
      </c>
      <c r="I451" t="s">
        <v>10</v>
      </c>
      <c r="J451">
        <v>1</v>
      </c>
      <c r="K451">
        <v>422</v>
      </c>
    </row>
    <row r="452" spans="5:11" x14ac:dyDescent="0.25">
      <c r="E452">
        <v>671</v>
      </c>
      <c r="F452" s="7">
        <v>44958</v>
      </c>
      <c r="G452" t="s">
        <v>9</v>
      </c>
      <c r="H452">
        <v>43</v>
      </c>
      <c r="I452" t="s">
        <v>10</v>
      </c>
      <c r="J452">
        <v>3</v>
      </c>
      <c r="K452">
        <v>500</v>
      </c>
    </row>
    <row r="453" spans="5:11" x14ac:dyDescent="0.25">
      <c r="E453">
        <v>1745</v>
      </c>
      <c r="F453" s="7">
        <v>45415</v>
      </c>
      <c r="G453" t="s">
        <v>7</v>
      </c>
      <c r="H453">
        <v>38</v>
      </c>
      <c r="I453" t="s">
        <v>8</v>
      </c>
      <c r="J453">
        <v>7</v>
      </c>
      <c r="K453">
        <v>69</v>
      </c>
    </row>
    <row r="454" spans="5:11" x14ac:dyDescent="0.25">
      <c r="E454">
        <v>1963</v>
      </c>
      <c r="F454" s="7">
        <v>45399</v>
      </c>
      <c r="G454" t="s">
        <v>7</v>
      </c>
      <c r="H454">
        <v>50</v>
      </c>
      <c r="I454" t="s">
        <v>8</v>
      </c>
      <c r="J454">
        <v>3</v>
      </c>
      <c r="K454">
        <v>139</v>
      </c>
    </row>
    <row r="455" spans="5:11" x14ac:dyDescent="0.25">
      <c r="E455">
        <v>39</v>
      </c>
      <c r="F455" s="7">
        <v>45037</v>
      </c>
      <c r="G455" t="s">
        <v>7</v>
      </c>
      <c r="H455">
        <v>23</v>
      </c>
      <c r="I455" t="s">
        <v>10</v>
      </c>
      <c r="J455">
        <v>4</v>
      </c>
      <c r="K455">
        <v>30</v>
      </c>
    </row>
    <row r="456" spans="5:11" x14ac:dyDescent="0.25">
      <c r="E456">
        <v>401</v>
      </c>
      <c r="F456" s="7">
        <v>45006</v>
      </c>
      <c r="G456" t="s">
        <v>9</v>
      </c>
      <c r="H456">
        <v>41</v>
      </c>
      <c r="I456" t="s">
        <v>10</v>
      </c>
      <c r="J456">
        <v>2</v>
      </c>
      <c r="K456">
        <v>300</v>
      </c>
    </row>
    <row r="457" spans="5:11" x14ac:dyDescent="0.25">
      <c r="E457">
        <v>1683</v>
      </c>
      <c r="F457" s="7">
        <v>45507</v>
      </c>
      <c r="G457" t="s">
        <v>9</v>
      </c>
      <c r="H457">
        <v>30</v>
      </c>
      <c r="I457" t="s">
        <v>11</v>
      </c>
      <c r="J457">
        <v>5</v>
      </c>
      <c r="K457">
        <v>328</v>
      </c>
    </row>
    <row r="458" spans="5:11" x14ac:dyDescent="0.25">
      <c r="E458">
        <v>1301</v>
      </c>
      <c r="F458" s="7">
        <v>45492</v>
      </c>
      <c r="G458" t="s">
        <v>9</v>
      </c>
      <c r="H458">
        <v>26</v>
      </c>
      <c r="I458" t="s">
        <v>11</v>
      </c>
      <c r="J458">
        <v>6</v>
      </c>
      <c r="K458">
        <v>297</v>
      </c>
    </row>
    <row r="459" spans="5:11" x14ac:dyDescent="0.25">
      <c r="E459">
        <v>1593</v>
      </c>
      <c r="F459" s="7">
        <v>45329</v>
      </c>
      <c r="G459" t="s">
        <v>9</v>
      </c>
      <c r="H459">
        <v>62</v>
      </c>
      <c r="I459" t="s">
        <v>11</v>
      </c>
      <c r="J459">
        <v>5</v>
      </c>
      <c r="K459">
        <v>458</v>
      </c>
    </row>
    <row r="460" spans="5:11" x14ac:dyDescent="0.25">
      <c r="E460">
        <v>1221</v>
      </c>
      <c r="F460" s="7">
        <v>45466</v>
      </c>
      <c r="G460" t="s">
        <v>9</v>
      </c>
      <c r="H460">
        <v>18</v>
      </c>
      <c r="I460" t="s">
        <v>10</v>
      </c>
      <c r="J460">
        <v>3</v>
      </c>
      <c r="K460">
        <v>184</v>
      </c>
    </row>
    <row r="461" spans="5:11" x14ac:dyDescent="0.25">
      <c r="E461">
        <v>1475</v>
      </c>
      <c r="F461" s="7">
        <v>45395</v>
      </c>
      <c r="G461" t="s">
        <v>9</v>
      </c>
      <c r="H461">
        <v>56</v>
      </c>
      <c r="I461" t="s">
        <v>10</v>
      </c>
      <c r="J461">
        <v>7</v>
      </c>
      <c r="K461">
        <v>146</v>
      </c>
    </row>
    <row r="462" spans="5:11" x14ac:dyDescent="0.25">
      <c r="E462">
        <v>823</v>
      </c>
      <c r="F462" s="7">
        <v>45164</v>
      </c>
      <c r="G462" t="s">
        <v>9</v>
      </c>
      <c r="H462">
        <v>46</v>
      </c>
      <c r="I462" t="s">
        <v>8</v>
      </c>
      <c r="J462">
        <v>1</v>
      </c>
      <c r="K462">
        <v>25</v>
      </c>
    </row>
    <row r="463" spans="5:11" x14ac:dyDescent="0.25">
      <c r="E463">
        <v>1978</v>
      </c>
      <c r="F463" s="7">
        <v>45645</v>
      </c>
      <c r="G463" t="s">
        <v>9</v>
      </c>
      <c r="H463">
        <v>19</v>
      </c>
      <c r="I463" t="s">
        <v>8</v>
      </c>
      <c r="J463">
        <v>7</v>
      </c>
      <c r="K463">
        <v>29</v>
      </c>
    </row>
    <row r="464" spans="5:11" x14ac:dyDescent="0.25">
      <c r="E464">
        <v>1418</v>
      </c>
      <c r="F464" s="7">
        <v>45293</v>
      </c>
      <c r="G464" t="s">
        <v>9</v>
      </c>
      <c r="H464">
        <v>41</v>
      </c>
      <c r="I464" t="s">
        <v>10</v>
      </c>
      <c r="J464">
        <v>6</v>
      </c>
      <c r="K464">
        <v>127</v>
      </c>
    </row>
    <row r="465" spans="5:11" x14ac:dyDescent="0.25">
      <c r="E465">
        <v>641</v>
      </c>
      <c r="F465" s="7">
        <v>45068</v>
      </c>
      <c r="G465" t="s">
        <v>9</v>
      </c>
      <c r="H465">
        <v>54</v>
      </c>
      <c r="I465" t="s">
        <v>10</v>
      </c>
      <c r="J465">
        <v>4</v>
      </c>
      <c r="K465">
        <v>25</v>
      </c>
    </row>
    <row r="466" spans="5:11" x14ac:dyDescent="0.25">
      <c r="E466">
        <v>336</v>
      </c>
      <c r="F466" s="7">
        <v>45047</v>
      </c>
      <c r="G466" t="s">
        <v>7</v>
      </c>
      <c r="H466">
        <v>38</v>
      </c>
      <c r="I466" t="s">
        <v>10</v>
      </c>
      <c r="J466">
        <v>1</v>
      </c>
      <c r="K466">
        <v>500</v>
      </c>
    </row>
    <row r="467" spans="5:11" x14ac:dyDescent="0.25">
      <c r="E467">
        <v>576</v>
      </c>
      <c r="F467" s="7">
        <v>44970</v>
      </c>
      <c r="G467" t="s">
        <v>7</v>
      </c>
      <c r="H467">
        <v>21</v>
      </c>
      <c r="I467" t="s">
        <v>8</v>
      </c>
      <c r="J467">
        <v>4</v>
      </c>
      <c r="K467">
        <v>500</v>
      </c>
    </row>
    <row r="468" spans="5:11" x14ac:dyDescent="0.25">
      <c r="E468">
        <v>1854</v>
      </c>
      <c r="F468" s="7">
        <v>45544</v>
      </c>
      <c r="G468" t="s">
        <v>7</v>
      </c>
      <c r="H468">
        <v>64</v>
      </c>
      <c r="I468" t="s">
        <v>11</v>
      </c>
      <c r="J468">
        <v>5</v>
      </c>
      <c r="K468">
        <v>329</v>
      </c>
    </row>
    <row r="469" spans="5:11" x14ac:dyDescent="0.25">
      <c r="E469">
        <v>767</v>
      </c>
      <c r="F469" s="7">
        <v>45086</v>
      </c>
      <c r="G469" t="s">
        <v>9</v>
      </c>
      <c r="H469">
        <v>31</v>
      </c>
      <c r="I469" t="s">
        <v>11</v>
      </c>
      <c r="J469">
        <v>4</v>
      </c>
      <c r="K469">
        <v>30</v>
      </c>
    </row>
    <row r="470" spans="5:11" x14ac:dyDescent="0.25">
      <c r="E470">
        <v>174</v>
      </c>
      <c r="F470" s="7">
        <v>45028</v>
      </c>
      <c r="G470" t="s">
        <v>9</v>
      </c>
      <c r="H470">
        <v>39</v>
      </c>
      <c r="I470" t="s">
        <v>8</v>
      </c>
      <c r="J470">
        <v>1</v>
      </c>
      <c r="K470">
        <v>300</v>
      </c>
    </row>
    <row r="471" spans="5:11" x14ac:dyDescent="0.25">
      <c r="E471">
        <v>1606</v>
      </c>
      <c r="F471" s="7">
        <v>45645</v>
      </c>
      <c r="G471" t="s">
        <v>9</v>
      </c>
      <c r="H471">
        <v>35</v>
      </c>
      <c r="I471" t="s">
        <v>10</v>
      </c>
      <c r="J471">
        <v>5</v>
      </c>
      <c r="K471">
        <v>236</v>
      </c>
    </row>
    <row r="472" spans="5:11" x14ac:dyDescent="0.25">
      <c r="E472">
        <v>1599</v>
      </c>
      <c r="F472" s="7">
        <v>45649</v>
      </c>
      <c r="G472" t="s">
        <v>9</v>
      </c>
      <c r="H472">
        <v>42</v>
      </c>
      <c r="I472" t="s">
        <v>11</v>
      </c>
      <c r="J472">
        <v>1</v>
      </c>
      <c r="K472">
        <v>53</v>
      </c>
    </row>
    <row r="473" spans="5:11" x14ac:dyDescent="0.25">
      <c r="E473">
        <v>521</v>
      </c>
      <c r="F473" s="7">
        <v>44927</v>
      </c>
      <c r="G473" t="s">
        <v>7</v>
      </c>
      <c r="H473">
        <v>46</v>
      </c>
      <c r="I473" t="s">
        <v>8</v>
      </c>
      <c r="J473">
        <v>3</v>
      </c>
      <c r="K473">
        <v>500</v>
      </c>
    </row>
    <row r="474" spans="5:11" x14ac:dyDescent="0.25">
      <c r="E474">
        <v>666</v>
      </c>
      <c r="F474" s="7">
        <v>45135</v>
      </c>
      <c r="G474" t="s">
        <v>9</v>
      </c>
      <c r="H474">
        <v>62</v>
      </c>
      <c r="I474" t="s">
        <v>11</v>
      </c>
      <c r="J474">
        <v>3</v>
      </c>
      <c r="K474">
        <v>50</v>
      </c>
    </row>
    <row r="475" spans="5:11" x14ac:dyDescent="0.25">
      <c r="E475">
        <v>1073</v>
      </c>
      <c r="F475" s="7">
        <v>45479</v>
      </c>
      <c r="G475" t="s">
        <v>7</v>
      </c>
      <c r="H475">
        <v>23</v>
      </c>
      <c r="I475" t="s">
        <v>8</v>
      </c>
      <c r="J475">
        <v>3</v>
      </c>
      <c r="K475">
        <v>247</v>
      </c>
    </row>
    <row r="476" spans="5:11" x14ac:dyDescent="0.25">
      <c r="E476">
        <v>1873</v>
      </c>
      <c r="F476" s="7">
        <v>45462</v>
      </c>
      <c r="G476" t="s">
        <v>9</v>
      </c>
      <c r="H476">
        <v>20</v>
      </c>
      <c r="I476" t="s">
        <v>10</v>
      </c>
      <c r="J476">
        <v>5</v>
      </c>
      <c r="K476">
        <v>75</v>
      </c>
    </row>
    <row r="477" spans="5:11" x14ac:dyDescent="0.25">
      <c r="E477">
        <v>948</v>
      </c>
      <c r="F477" s="7">
        <v>45237</v>
      </c>
      <c r="G477" t="s">
        <v>7</v>
      </c>
      <c r="H477">
        <v>36</v>
      </c>
      <c r="I477" t="s">
        <v>10</v>
      </c>
      <c r="J477">
        <v>3</v>
      </c>
      <c r="K477">
        <v>300</v>
      </c>
    </row>
    <row r="478" spans="5:11" x14ac:dyDescent="0.25">
      <c r="E478">
        <v>121</v>
      </c>
      <c r="F478" s="7">
        <v>45214</v>
      </c>
      <c r="G478" t="s">
        <v>9</v>
      </c>
      <c r="H478">
        <v>28</v>
      </c>
      <c r="I478" t="s">
        <v>11</v>
      </c>
      <c r="J478">
        <v>4</v>
      </c>
      <c r="K478">
        <v>50</v>
      </c>
    </row>
    <row r="479" spans="5:11" x14ac:dyDescent="0.25">
      <c r="E479">
        <v>1003</v>
      </c>
      <c r="F479" s="7">
        <v>45418</v>
      </c>
      <c r="G479" t="s">
        <v>7</v>
      </c>
      <c r="H479">
        <v>46</v>
      </c>
      <c r="I479" t="s">
        <v>8</v>
      </c>
      <c r="J479">
        <v>2</v>
      </c>
      <c r="K479">
        <v>385</v>
      </c>
    </row>
    <row r="480" spans="5:11" x14ac:dyDescent="0.25">
      <c r="E480">
        <v>1188</v>
      </c>
      <c r="F480" s="7">
        <v>45416</v>
      </c>
      <c r="G480" t="s">
        <v>9</v>
      </c>
      <c r="H480">
        <v>28</v>
      </c>
      <c r="I480" t="s">
        <v>8</v>
      </c>
      <c r="J480">
        <v>5</v>
      </c>
      <c r="K480">
        <v>430</v>
      </c>
    </row>
    <row r="481" spans="5:11" x14ac:dyDescent="0.25">
      <c r="E481">
        <v>583</v>
      </c>
      <c r="F481" s="7">
        <v>44974</v>
      </c>
      <c r="G481" t="s">
        <v>9</v>
      </c>
      <c r="H481">
        <v>27</v>
      </c>
      <c r="I481" t="s">
        <v>8</v>
      </c>
      <c r="J481">
        <v>4</v>
      </c>
      <c r="K481">
        <v>50</v>
      </c>
    </row>
    <row r="482" spans="5:11" x14ac:dyDescent="0.25">
      <c r="E482">
        <v>1737</v>
      </c>
      <c r="F482" s="7">
        <v>45626</v>
      </c>
      <c r="G482" t="s">
        <v>7</v>
      </c>
      <c r="H482">
        <v>30</v>
      </c>
      <c r="I482" t="s">
        <v>10</v>
      </c>
      <c r="J482">
        <v>7</v>
      </c>
      <c r="K482">
        <v>374</v>
      </c>
    </row>
    <row r="483" spans="5:11" x14ac:dyDescent="0.25">
      <c r="E483">
        <v>1517</v>
      </c>
      <c r="F483" s="7">
        <v>45655</v>
      </c>
      <c r="G483" t="s">
        <v>9</v>
      </c>
      <c r="H483">
        <v>28</v>
      </c>
      <c r="I483" t="s">
        <v>11</v>
      </c>
      <c r="J483">
        <v>7</v>
      </c>
      <c r="K483">
        <v>324</v>
      </c>
    </row>
    <row r="484" spans="5:11" x14ac:dyDescent="0.25">
      <c r="E484">
        <v>1624</v>
      </c>
      <c r="F484" s="7">
        <v>45579</v>
      </c>
      <c r="G484" t="s">
        <v>7</v>
      </c>
      <c r="H484">
        <v>25</v>
      </c>
      <c r="I484" t="s">
        <v>10</v>
      </c>
      <c r="J484">
        <v>4</v>
      </c>
      <c r="K484">
        <v>352</v>
      </c>
    </row>
    <row r="485" spans="5:11" x14ac:dyDescent="0.25">
      <c r="E485">
        <v>668</v>
      </c>
      <c r="F485" s="7">
        <v>45204</v>
      </c>
      <c r="G485" t="s">
        <v>7</v>
      </c>
      <c r="H485">
        <v>27</v>
      </c>
      <c r="I485" t="s">
        <v>8</v>
      </c>
      <c r="J485">
        <v>1</v>
      </c>
      <c r="K485">
        <v>30</v>
      </c>
    </row>
    <row r="486" spans="5:11" x14ac:dyDescent="0.25">
      <c r="E486">
        <v>272</v>
      </c>
      <c r="F486" s="7">
        <v>45054</v>
      </c>
      <c r="G486" t="s">
        <v>9</v>
      </c>
      <c r="H486">
        <v>22</v>
      </c>
      <c r="I486" t="s">
        <v>8</v>
      </c>
      <c r="J486">
        <v>1</v>
      </c>
      <c r="K486">
        <v>50</v>
      </c>
    </row>
    <row r="487" spans="5:11" x14ac:dyDescent="0.25">
      <c r="E487">
        <v>1925</v>
      </c>
      <c r="F487" s="7">
        <v>45318</v>
      </c>
      <c r="G487" t="s">
        <v>9</v>
      </c>
      <c r="H487">
        <v>51</v>
      </c>
      <c r="I487" t="s">
        <v>8</v>
      </c>
      <c r="J487">
        <v>5</v>
      </c>
      <c r="K487">
        <v>350</v>
      </c>
    </row>
    <row r="488" spans="5:11" x14ac:dyDescent="0.25">
      <c r="E488">
        <v>267</v>
      </c>
      <c r="F488" s="7">
        <v>44977</v>
      </c>
      <c r="G488" t="s">
        <v>9</v>
      </c>
      <c r="H488">
        <v>28</v>
      </c>
      <c r="I488" t="s">
        <v>11</v>
      </c>
      <c r="J488">
        <v>1</v>
      </c>
      <c r="K488">
        <v>30</v>
      </c>
    </row>
    <row r="489" spans="5:11" x14ac:dyDescent="0.25">
      <c r="E489">
        <v>1298</v>
      </c>
      <c r="F489" s="7">
        <v>45377</v>
      </c>
      <c r="G489" t="s">
        <v>7</v>
      </c>
      <c r="H489">
        <v>42</v>
      </c>
      <c r="I489" t="s">
        <v>10</v>
      </c>
      <c r="J489">
        <v>4</v>
      </c>
      <c r="K489">
        <v>187</v>
      </c>
    </row>
    <row r="490" spans="5:11" x14ac:dyDescent="0.25">
      <c r="E490">
        <v>1240</v>
      </c>
      <c r="F490" s="7">
        <v>45435</v>
      </c>
      <c r="G490" t="s">
        <v>9</v>
      </c>
      <c r="H490">
        <v>23</v>
      </c>
      <c r="I490" t="s">
        <v>11</v>
      </c>
      <c r="J490">
        <v>7</v>
      </c>
      <c r="K490">
        <v>268</v>
      </c>
    </row>
    <row r="491" spans="5:11" x14ac:dyDescent="0.25">
      <c r="E491">
        <v>242</v>
      </c>
      <c r="F491" s="7">
        <v>45069</v>
      </c>
      <c r="G491" t="s">
        <v>9</v>
      </c>
      <c r="H491">
        <v>47</v>
      </c>
      <c r="I491" t="s">
        <v>11</v>
      </c>
      <c r="J491">
        <v>3</v>
      </c>
      <c r="K491">
        <v>300</v>
      </c>
    </row>
    <row r="492" spans="5:11" x14ac:dyDescent="0.25">
      <c r="E492">
        <v>572</v>
      </c>
      <c r="F492" s="7">
        <v>45188</v>
      </c>
      <c r="G492" t="s">
        <v>7</v>
      </c>
      <c r="H492">
        <v>49</v>
      </c>
      <c r="I492" t="s">
        <v>8</v>
      </c>
      <c r="J492">
        <v>2</v>
      </c>
      <c r="K492">
        <v>30</v>
      </c>
    </row>
    <row r="493" spans="5:11" x14ac:dyDescent="0.25">
      <c r="E493">
        <v>1309</v>
      </c>
      <c r="F493" s="7">
        <v>45542</v>
      </c>
      <c r="G493" t="s">
        <v>7</v>
      </c>
      <c r="H493">
        <v>61</v>
      </c>
      <c r="I493" t="s">
        <v>10</v>
      </c>
      <c r="J493">
        <v>3</v>
      </c>
      <c r="K493">
        <v>253</v>
      </c>
    </row>
    <row r="494" spans="5:11" x14ac:dyDescent="0.25">
      <c r="E494">
        <v>1673</v>
      </c>
      <c r="F494" s="7">
        <v>45592</v>
      </c>
      <c r="G494" t="s">
        <v>9</v>
      </c>
      <c r="H494">
        <v>39</v>
      </c>
      <c r="I494" t="s">
        <v>8</v>
      </c>
      <c r="J494">
        <v>7</v>
      </c>
      <c r="K494">
        <v>255</v>
      </c>
    </row>
    <row r="495" spans="5:11" x14ac:dyDescent="0.25">
      <c r="E495">
        <v>1341</v>
      </c>
      <c r="F495" s="7">
        <v>45312</v>
      </c>
      <c r="G495" t="s">
        <v>9</v>
      </c>
      <c r="H495">
        <v>37</v>
      </c>
      <c r="I495" t="s">
        <v>8</v>
      </c>
      <c r="J495">
        <v>6</v>
      </c>
      <c r="K495">
        <v>370</v>
      </c>
    </row>
    <row r="496" spans="5:11" x14ac:dyDescent="0.25">
      <c r="E496">
        <v>41</v>
      </c>
      <c r="F496" s="7">
        <v>44979</v>
      </c>
      <c r="G496" t="s">
        <v>7</v>
      </c>
      <c r="H496">
        <v>34</v>
      </c>
      <c r="I496" t="s">
        <v>10</v>
      </c>
      <c r="J496">
        <v>2</v>
      </c>
      <c r="K496">
        <v>25</v>
      </c>
    </row>
    <row r="497" spans="5:11" x14ac:dyDescent="0.25">
      <c r="E497">
        <v>1343</v>
      </c>
      <c r="F497" s="7">
        <v>45333</v>
      </c>
      <c r="G497" t="s">
        <v>7</v>
      </c>
      <c r="H497">
        <v>32</v>
      </c>
      <c r="I497" t="s">
        <v>10</v>
      </c>
      <c r="J497">
        <v>1</v>
      </c>
      <c r="K497">
        <v>311</v>
      </c>
    </row>
    <row r="498" spans="5:11" x14ac:dyDescent="0.25">
      <c r="E498">
        <v>1372</v>
      </c>
      <c r="F498" s="7">
        <v>45552</v>
      </c>
      <c r="G498" t="s">
        <v>7</v>
      </c>
      <c r="H498">
        <v>47</v>
      </c>
      <c r="I498" t="s">
        <v>10</v>
      </c>
      <c r="J498">
        <v>6</v>
      </c>
      <c r="K498">
        <v>121</v>
      </c>
    </row>
    <row r="499" spans="5:11" x14ac:dyDescent="0.25">
      <c r="E499">
        <v>218</v>
      </c>
      <c r="F499" s="7">
        <v>45158</v>
      </c>
      <c r="G499" t="s">
        <v>9</v>
      </c>
      <c r="H499">
        <v>53</v>
      </c>
      <c r="I499" t="s">
        <v>11</v>
      </c>
      <c r="J499">
        <v>3</v>
      </c>
      <c r="K499">
        <v>30</v>
      </c>
    </row>
    <row r="500" spans="5:11" x14ac:dyDescent="0.25">
      <c r="E500">
        <v>1435</v>
      </c>
      <c r="F500" s="7">
        <v>45310</v>
      </c>
      <c r="G500" t="s">
        <v>9</v>
      </c>
      <c r="H500">
        <v>28</v>
      </c>
      <c r="I500" t="s">
        <v>10</v>
      </c>
      <c r="J500">
        <v>7</v>
      </c>
      <c r="K500">
        <v>231</v>
      </c>
    </row>
    <row r="501" spans="5:11" x14ac:dyDescent="0.25">
      <c r="E501">
        <v>784</v>
      </c>
      <c r="F501" s="7">
        <v>45216</v>
      </c>
      <c r="G501" t="s">
        <v>7</v>
      </c>
      <c r="H501">
        <v>48</v>
      </c>
      <c r="I501" t="s">
        <v>10</v>
      </c>
      <c r="J501">
        <v>4</v>
      </c>
      <c r="K501">
        <v>25</v>
      </c>
    </row>
    <row r="502" spans="5:11" x14ac:dyDescent="0.25">
      <c r="E502">
        <v>1377</v>
      </c>
      <c r="F502" s="7">
        <v>45418</v>
      </c>
      <c r="G502" t="s">
        <v>7</v>
      </c>
      <c r="H502">
        <v>43</v>
      </c>
      <c r="I502" t="s">
        <v>11</v>
      </c>
      <c r="J502">
        <v>3</v>
      </c>
      <c r="K502">
        <v>222</v>
      </c>
    </row>
    <row r="503" spans="5:11" x14ac:dyDescent="0.25">
      <c r="E503">
        <v>1977</v>
      </c>
      <c r="F503" s="7">
        <v>45523</v>
      </c>
      <c r="G503" t="s">
        <v>9</v>
      </c>
      <c r="H503">
        <v>26</v>
      </c>
      <c r="I503" t="s">
        <v>11</v>
      </c>
      <c r="J503">
        <v>5</v>
      </c>
      <c r="K503">
        <v>11</v>
      </c>
    </row>
    <row r="504" spans="5:11" x14ac:dyDescent="0.25">
      <c r="E504">
        <v>470</v>
      </c>
      <c r="F504" s="7">
        <v>45008</v>
      </c>
      <c r="G504" t="s">
        <v>7</v>
      </c>
      <c r="H504">
        <v>32</v>
      </c>
      <c r="I504" t="s">
        <v>10</v>
      </c>
      <c r="J504">
        <v>3</v>
      </c>
      <c r="K504">
        <v>50</v>
      </c>
    </row>
    <row r="505" spans="5:11" x14ac:dyDescent="0.25">
      <c r="E505">
        <v>1067</v>
      </c>
      <c r="F505" s="7">
        <v>45412</v>
      </c>
      <c r="G505" t="s">
        <v>9</v>
      </c>
      <c r="H505">
        <v>49</v>
      </c>
      <c r="I505" t="s">
        <v>8</v>
      </c>
      <c r="J505">
        <v>2</v>
      </c>
      <c r="K505">
        <v>448</v>
      </c>
    </row>
    <row r="506" spans="5:11" x14ac:dyDescent="0.25">
      <c r="E506">
        <v>94</v>
      </c>
      <c r="F506" s="7">
        <v>45065</v>
      </c>
      <c r="G506" t="s">
        <v>9</v>
      </c>
      <c r="H506">
        <v>47</v>
      </c>
      <c r="I506" t="s">
        <v>8</v>
      </c>
      <c r="J506">
        <v>2</v>
      </c>
      <c r="K506">
        <v>500</v>
      </c>
    </row>
    <row r="507" spans="5:11" x14ac:dyDescent="0.25">
      <c r="E507">
        <v>1371</v>
      </c>
      <c r="F507" s="7">
        <v>45402</v>
      </c>
      <c r="G507" t="s">
        <v>9</v>
      </c>
      <c r="H507">
        <v>48</v>
      </c>
      <c r="I507" t="s">
        <v>8</v>
      </c>
      <c r="J507">
        <v>3</v>
      </c>
      <c r="K507">
        <v>469</v>
      </c>
    </row>
    <row r="508" spans="5:11" x14ac:dyDescent="0.25">
      <c r="E508">
        <v>1938</v>
      </c>
      <c r="F508" s="7">
        <v>45369</v>
      </c>
      <c r="G508" t="s">
        <v>7</v>
      </c>
      <c r="H508">
        <v>31</v>
      </c>
      <c r="I508" t="s">
        <v>10</v>
      </c>
      <c r="J508">
        <v>2</v>
      </c>
      <c r="K508">
        <v>485</v>
      </c>
    </row>
    <row r="509" spans="5:11" x14ac:dyDescent="0.25">
      <c r="E509">
        <v>1696</v>
      </c>
      <c r="F509" s="7">
        <v>45635</v>
      </c>
      <c r="G509" t="s">
        <v>7</v>
      </c>
      <c r="H509">
        <v>20</v>
      </c>
      <c r="I509" t="s">
        <v>11</v>
      </c>
      <c r="J509">
        <v>6</v>
      </c>
      <c r="K509">
        <v>435</v>
      </c>
    </row>
    <row r="510" spans="5:11" x14ac:dyDescent="0.25">
      <c r="E510">
        <v>981</v>
      </c>
      <c r="F510" s="7">
        <v>45231</v>
      </c>
      <c r="G510" t="s">
        <v>9</v>
      </c>
      <c r="H510">
        <v>29</v>
      </c>
      <c r="I510" t="s">
        <v>10</v>
      </c>
      <c r="J510">
        <v>1</v>
      </c>
      <c r="K510">
        <v>300</v>
      </c>
    </row>
    <row r="511" spans="5:11" x14ac:dyDescent="0.25">
      <c r="E511">
        <v>244</v>
      </c>
      <c r="F511" s="7">
        <v>45175</v>
      </c>
      <c r="G511" t="s">
        <v>7</v>
      </c>
      <c r="H511">
        <v>47</v>
      </c>
      <c r="I511" t="s">
        <v>10</v>
      </c>
      <c r="J511">
        <v>3</v>
      </c>
      <c r="K511">
        <v>30</v>
      </c>
    </row>
    <row r="512" spans="5:11" x14ac:dyDescent="0.25">
      <c r="E512">
        <v>1852</v>
      </c>
      <c r="F512" s="7">
        <v>45623</v>
      </c>
      <c r="G512" t="s">
        <v>7</v>
      </c>
      <c r="H512">
        <v>26</v>
      </c>
      <c r="I512" t="s">
        <v>11</v>
      </c>
      <c r="J512">
        <v>1</v>
      </c>
      <c r="K512">
        <v>378</v>
      </c>
    </row>
    <row r="513" spans="5:11" x14ac:dyDescent="0.25">
      <c r="E513">
        <v>678</v>
      </c>
      <c r="F513" s="7">
        <v>45221</v>
      </c>
      <c r="G513" t="s">
        <v>9</v>
      </c>
      <c r="H513">
        <v>53</v>
      </c>
      <c r="I513" t="s">
        <v>10</v>
      </c>
      <c r="J513">
        <v>3</v>
      </c>
      <c r="K513">
        <v>300</v>
      </c>
    </row>
    <row r="514" spans="5:11" x14ac:dyDescent="0.25">
      <c r="E514">
        <v>60</v>
      </c>
      <c r="F514" s="7">
        <v>45222</v>
      </c>
      <c r="G514" t="s">
        <v>7</v>
      </c>
      <c r="H514">
        <v>30</v>
      </c>
      <c r="I514" t="s">
        <v>8</v>
      </c>
      <c r="J514">
        <v>3</v>
      </c>
      <c r="K514">
        <v>50</v>
      </c>
    </row>
    <row r="515" spans="5:11" x14ac:dyDescent="0.25">
      <c r="E515">
        <v>1820</v>
      </c>
      <c r="F515" s="7">
        <v>45417</v>
      </c>
      <c r="G515" t="s">
        <v>7</v>
      </c>
      <c r="H515">
        <v>22</v>
      </c>
      <c r="I515" t="s">
        <v>10</v>
      </c>
      <c r="J515">
        <v>4</v>
      </c>
      <c r="K515">
        <v>101</v>
      </c>
    </row>
    <row r="516" spans="5:11" x14ac:dyDescent="0.25">
      <c r="E516">
        <v>519</v>
      </c>
      <c r="F516" s="7">
        <v>45289</v>
      </c>
      <c r="G516" t="s">
        <v>9</v>
      </c>
      <c r="H516">
        <v>49</v>
      </c>
      <c r="I516" t="s">
        <v>11</v>
      </c>
      <c r="J516">
        <v>4</v>
      </c>
      <c r="K516">
        <v>25</v>
      </c>
    </row>
    <row r="517" spans="5:11" x14ac:dyDescent="0.25">
      <c r="E517">
        <v>1795</v>
      </c>
      <c r="F517" s="7">
        <v>45543</v>
      </c>
      <c r="G517" t="s">
        <v>7</v>
      </c>
      <c r="H517">
        <v>25</v>
      </c>
      <c r="I517" t="s">
        <v>11</v>
      </c>
      <c r="J517">
        <v>1</v>
      </c>
      <c r="K517">
        <v>273</v>
      </c>
    </row>
    <row r="518" spans="5:11" x14ac:dyDescent="0.25">
      <c r="E518">
        <v>809</v>
      </c>
      <c r="F518" s="7">
        <v>45065</v>
      </c>
      <c r="G518" t="s">
        <v>7</v>
      </c>
      <c r="H518">
        <v>61</v>
      </c>
      <c r="I518" t="s">
        <v>8</v>
      </c>
      <c r="J518">
        <v>2</v>
      </c>
      <c r="K518">
        <v>25</v>
      </c>
    </row>
    <row r="519" spans="5:11" x14ac:dyDescent="0.25">
      <c r="E519">
        <v>941</v>
      </c>
      <c r="F519" s="7">
        <v>45215</v>
      </c>
      <c r="G519" t="s">
        <v>9</v>
      </c>
      <c r="H519">
        <v>57</v>
      </c>
      <c r="I519" t="s">
        <v>10</v>
      </c>
      <c r="J519">
        <v>4</v>
      </c>
      <c r="K519">
        <v>300</v>
      </c>
    </row>
    <row r="520" spans="5:11" x14ac:dyDescent="0.25">
      <c r="E520">
        <v>1483</v>
      </c>
      <c r="F520" s="7">
        <v>45391</v>
      </c>
      <c r="G520" t="s">
        <v>9</v>
      </c>
      <c r="H520">
        <v>55</v>
      </c>
      <c r="I520" t="s">
        <v>11</v>
      </c>
      <c r="J520">
        <v>7</v>
      </c>
      <c r="K520">
        <v>243</v>
      </c>
    </row>
    <row r="521" spans="5:11" x14ac:dyDescent="0.25">
      <c r="E521">
        <v>1319</v>
      </c>
      <c r="F521" s="7">
        <v>45321</v>
      </c>
      <c r="G521" t="s">
        <v>7</v>
      </c>
      <c r="H521">
        <v>46</v>
      </c>
      <c r="I521" t="s">
        <v>11</v>
      </c>
      <c r="J521">
        <v>3</v>
      </c>
      <c r="K521">
        <v>88</v>
      </c>
    </row>
    <row r="522" spans="5:11" x14ac:dyDescent="0.25">
      <c r="E522">
        <v>1792</v>
      </c>
      <c r="F522" s="7">
        <v>45467</v>
      </c>
      <c r="G522" t="s">
        <v>7</v>
      </c>
      <c r="H522">
        <v>47</v>
      </c>
      <c r="I522" t="s">
        <v>8</v>
      </c>
      <c r="J522">
        <v>2</v>
      </c>
      <c r="K522">
        <v>340</v>
      </c>
    </row>
    <row r="523" spans="5:11" x14ac:dyDescent="0.25">
      <c r="E523">
        <v>1125</v>
      </c>
      <c r="F523" s="7">
        <v>45497</v>
      </c>
      <c r="G523" t="s">
        <v>9</v>
      </c>
      <c r="H523">
        <v>34</v>
      </c>
      <c r="I523" t="s">
        <v>10</v>
      </c>
      <c r="J523">
        <v>7</v>
      </c>
      <c r="K523">
        <v>466</v>
      </c>
    </row>
    <row r="524" spans="5:11" x14ac:dyDescent="0.25">
      <c r="E524">
        <v>1382</v>
      </c>
      <c r="F524" s="7">
        <v>45571</v>
      </c>
      <c r="G524" t="s">
        <v>7</v>
      </c>
      <c r="H524">
        <v>19</v>
      </c>
      <c r="I524" t="s">
        <v>11</v>
      </c>
      <c r="J524">
        <v>1</v>
      </c>
      <c r="K524">
        <v>366</v>
      </c>
    </row>
    <row r="525" spans="5:11" x14ac:dyDescent="0.25">
      <c r="E525">
        <v>1203</v>
      </c>
      <c r="F525" s="7">
        <v>45603</v>
      </c>
      <c r="G525" t="s">
        <v>9</v>
      </c>
      <c r="H525">
        <v>55</v>
      </c>
      <c r="I525" t="s">
        <v>10</v>
      </c>
      <c r="J525">
        <v>1</v>
      </c>
      <c r="K525">
        <v>238</v>
      </c>
    </row>
    <row r="526" spans="5:11" x14ac:dyDescent="0.25">
      <c r="E526">
        <v>562</v>
      </c>
      <c r="F526" s="7">
        <v>45147</v>
      </c>
      <c r="G526" t="s">
        <v>7</v>
      </c>
      <c r="H526">
        <v>20</v>
      </c>
      <c r="I526" t="s">
        <v>10</v>
      </c>
      <c r="J526">
        <v>2</v>
      </c>
      <c r="K526">
        <v>30</v>
      </c>
    </row>
    <row r="527" spans="5:11" x14ac:dyDescent="0.25">
      <c r="E527">
        <v>852</v>
      </c>
      <c r="F527" s="7">
        <v>45280</v>
      </c>
      <c r="G527" t="s">
        <v>7</v>
      </c>
      <c r="H527">
        <v>29</v>
      </c>
      <c r="I527" t="s">
        <v>10</v>
      </c>
      <c r="J527">
        <v>1</v>
      </c>
      <c r="K527">
        <v>50</v>
      </c>
    </row>
    <row r="528" spans="5:11" x14ac:dyDescent="0.25">
      <c r="E528">
        <v>1897</v>
      </c>
      <c r="F528" s="7">
        <v>45392</v>
      </c>
      <c r="G528" t="s">
        <v>7</v>
      </c>
      <c r="H528">
        <v>55</v>
      </c>
      <c r="I528" t="s">
        <v>11</v>
      </c>
      <c r="J528">
        <v>4</v>
      </c>
      <c r="K528">
        <v>286</v>
      </c>
    </row>
    <row r="529" spans="5:11" x14ac:dyDescent="0.25">
      <c r="E529">
        <v>1362</v>
      </c>
      <c r="F529" s="7">
        <v>45454</v>
      </c>
      <c r="G529" t="s">
        <v>7</v>
      </c>
      <c r="H529">
        <v>51</v>
      </c>
      <c r="I529" t="s">
        <v>10</v>
      </c>
      <c r="J529">
        <v>5</v>
      </c>
      <c r="K529">
        <v>406</v>
      </c>
    </row>
    <row r="530" spans="5:11" x14ac:dyDescent="0.25">
      <c r="E530">
        <v>556</v>
      </c>
      <c r="F530" s="7">
        <v>45134</v>
      </c>
      <c r="G530" t="s">
        <v>9</v>
      </c>
      <c r="H530">
        <v>20</v>
      </c>
      <c r="I530" t="s">
        <v>8</v>
      </c>
      <c r="J530">
        <v>3</v>
      </c>
      <c r="K530">
        <v>30</v>
      </c>
    </row>
    <row r="531" spans="5:11" x14ac:dyDescent="0.25">
      <c r="E531">
        <v>1961</v>
      </c>
      <c r="F531" s="7">
        <v>45605</v>
      </c>
      <c r="G531" t="s">
        <v>7</v>
      </c>
      <c r="H531">
        <v>34</v>
      </c>
      <c r="I531" t="s">
        <v>10</v>
      </c>
      <c r="J531">
        <v>7</v>
      </c>
      <c r="K531">
        <v>496</v>
      </c>
    </row>
    <row r="532" spans="5:11" x14ac:dyDescent="0.25">
      <c r="E532">
        <v>258</v>
      </c>
      <c r="F532" s="7">
        <v>45147</v>
      </c>
      <c r="G532" t="s">
        <v>9</v>
      </c>
      <c r="H532">
        <v>45</v>
      </c>
      <c r="I532" t="s">
        <v>10</v>
      </c>
      <c r="J532">
        <v>4</v>
      </c>
      <c r="K532">
        <v>50</v>
      </c>
    </row>
    <row r="533" spans="5:11" x14ac:dyDescent="0.25">
      <c r="E533">
        <v>988</v>
      </c>
      <c r="F533" s="7">
        <v>45071</v>
      </c>
      <c r="G533" t="s">
        <v>9</v>
      </c>
      <c r="H533">
        <v>58</v>
      </c>
      <c r="I533" t="s">
        <v>8</v>
      </c>
      <c r="J533">
        <v>2</v>
      </c>
      <c r="K533">
        <v>500</v>
      </c>
    </row>
    <row r="534" spans="5:11" x14ac:dyDescent="0.25">
      <c r="E534">
        <v>1671</v>
      </c>
      <c r="F534" s="7">
        <v>45508</v>
      </c>
      <c r="G534" t="s">
        <v>9</v>
      </c>
      <c r="H534">
        <v>20</v>
      </c>
      <c r="I534" t="s">
        <v>10</v>
      </c>
      <c r="J534">
        <v>6</v>
      </c>
      <c r="K534">
        <v>93</v>
      </c>
    </row>
    <row r="535" spans="5:11" x14ac:dyDescent="0.25">
      <c r="E535">
        <v>1633</v>
      </c>
      <c r="F535" s="7">
        <v>45374</v>
      </c>
      <c r="G535" t="s">
        <v>9</v>
      </c>
      <c r="H535">
        <v>56</v>
      </c>
      <c r="I535" t="s">
        <v>8</v>
      </c>
      <c r="J535">
        <v>2</v>
      </c>
      <c r="K535">
        <v>384</v>
      </c>
    </row>
    <row r="536" spans="5:11" x14ac:dyDescent="0.25">
      <c r="E536">
        <v>308</v>
      </c>
      <c r="F536" s="7">
        <v>45283</v>
      </c>
      <c r="G536" t="s">
        <v>9</v>
      </c>
      <c r="H536">
        <v>26</v>
      </c>
      <c r="I536" t="s">
        <v>8</v>
      </c>
      <c r="J536">
        <v>1</v>
      </c>
      <c r="K536">
        <v>25</v>
      </c>
    </row>
    <row r="537" spans="5:11" x14ac:dyDescent="0.25">
      <c r="E537">
        <v>681</v>
      </c>
      <c r="F537" s="7">
        <v>44930</v>
      </c>
      <c r="G537" t="s">
        <v>7</v>
      </c>
      <c r="H537">
        <v>38</v>
      </c>
      <c r="I537" t="s">
        <v>8</v>
      </c>
      <c r="J537">
        <v>2</v>
      </c>
      <c r="K537">
        <v>500</v>
      </c>
    </row>
    <row r="538" spans="5:11" x14ac:dyDescent="0.25">
      <c r="E538">
        <v>1570</v>
      </c>
      <c r="F538" s="7">
        <v>45554</v>
      </c>
      <c r="G538" t="s">
        <v>7</v>
      </c>
      <c r="H538">
        <v>23</v>
      </c>
      <c r="I538" t="s">
        <v>8</v>
      </c>
      <c r="J538">
        <v>4</v>
      </c>
      <c r="K538">
        <v>403</v>
      </c>
    </row>
    <row r="539" spans="5:11" x14ac:dyDescent="0.25">
      <c r="E539">
        <v>1810</v>
      </c>
      <c r="F539" s="7">
        <v>45540</v>
      </c>
      <c r="G539" t="s">
        <v>9</v>
      </c>
      <c r="H539">
        <v>55</v>
      </c>
      <c r="I539" t="s">
        <v>10</v>
      </c>
      <c r="J539">
        <v>2</v>
      </c>
      <c r="K539">
        <v>113</v>
      </c>
    </row>
    <row r="540" spans="5:11" x14ac:dyDescent="0.25">
      <c r="E540">
        <v>897</v>
      </c>
      <c r="F540" s="7">
        <v>45071</v>
      </c>
      <c r="G540" t="s">
        <v>7</v>
      </c>
      <c r="H540">
        <v>26</v>
      </c>
      <c r="I540" t="s">
        <v>10</v>
      </c>
      <c r="J540">
        <v>2</v>
      </c>
      <c r="K540">
        <v>300</v>
      </c>
    </row>
    <row r="541" spans="5:11" x14ac:dyDescent="0.25">
      <c r="E541">
        <v>1044</v>
      </c>
      <c r="F541" s="7">
        <v>45469</v>
      </c>
      <c r="G541" t="s">
        <v>9</v>
      </c>
      <c r="H541">
        <v>34</v>
      </c>
      <c r="I541" t="s">
        <v>11</v>
      </c>
      <c r="J541">
        <v>7</v>
      </c>
      <c r="K541">
        <v>370</v>
      </c>
    </row>
    <row r="542" spans="5:11" x14ac:dyDescent="0.25">
      <c r="E542">
        <v>953</v>
      </c>
      <c r="F542" s="7">
        <v>45121</v>
      </c>
      <c r="G542" t="s">
        <v>7</v>
      </c>
      <c r="H542">
        <v>58</v>
      </c>
      <c r="I542" t="s">
        <v>10</v>
      </c>
      <c r="J542">
        <v>1</v>
      </c>
      <c r="K542">
        <v>25</v>
      </c>
    </row>
    <row r="543" spans="5:11" x14ac:dyDescent="0.25">
      <c r="E543">
        <v>787</v>
      </c>
      <c r="F543" s="7">
        <v>45199</v>
      </c>
      <c r="G543" t="s">
        <v>9</v>
      </c>
      <c r="H543">
        <v>61</v>
      </c>
      <c r="I543" t="s">
        <v>10</v>
      </c>
      <c r="J543">
        <v>4</v>
      </c>
      <c r="K543">
        <v>500</v>
      </c>
    </row>
    <row r="544" spans="5:11" x14ac:dyDescent="0.25">
      <c r="E544">
        <v>1895</v>
      </c>
      <c r="F544" s="7">
        <v>45437</v>
      </c>
      <c r="G544" t="s">
        <v>7</v>
      </c>
      <c r="H544">
        <v>25</v>
      </c>
      <c r="I544" t="s">
        <v>10</v>
      </c>
      <c r="J544">
        <v>4</v>
      </c>
      <c r="K544">
        <v>473</v>
      </c>
    </row>
    <row r="545" spans="5:11" x14ac:dyDescent="0.25">
      <c r="E545">
        <v>573</v>
      </c>
      <c r="F545" s="7">
        <v>45169</v>
      </c>
      <c r="G545" t="s">
        <v>9</v>
      </c>
      <c r="H545">
        <v>63</v>
      </c>
      <c r="I545" t="s">
        <v>11</v>
      </c>
      <c r="J545">
        <v>2</v>
      </c>
      <c r="K545">
        <v>25</v>
      </c>
    </row>
    <row r="546" spans="5:11" x14ac:dyDescent="0.25">
      <c r="E546">
        <v>887</v>
      </c>
      <c r="F546" s="7">
        <v>45201</v>
      </c>
      <c r="G546" t="s">
        <v>9</v>
      </c>
      <c r="H546">
        <v>35</v>
      </c>
      <c r="I546" t="s">
        <v>11</v>
      </c>
      <c r="J546">
        <v>1</v>
      </c>
      <c r="K546">
        <v>50</v>
      </c>
    </row>
    <row r="547" spans="5:11" x14ac:dyDescent="0.25">
      <c r="E547">
        <v>1246</v>
      </c>
      <c r="F547" s="7">
        <v>45585</v>
      </c>
      <c r="G547" t="s">
        <v>7</v>
      </c>
      <c r="H547">
        <v>63</v>
      </c>
      <c r="I547" t="s">
        <v>10</v>
      </c>
      <c r="J547">
        <v>5</v>
      </c>
      <c r="K547">
        <v>38</v>
      </c>
    </row>
    <row r="548" spans="5:11" x14ac:dyDescent="0.25">
      <c r="E548">
        <v>1422</v>
      </c>
      <c r="F548" s="7">
        <v>45427</v>
      </c>
      <c r="G548" t="s">
        <v>9</v>
      </c>
      <c r="H548">
        <v>42</v>
      </c>
      <c r="I548" t="s">
        <v>11</v>
      </c>
      <c r="J548">
        <v>2</v>
      </c>
      <c r="K548">
        <v>446</v>
      </c>
    </row>
    <row r="549" spans="5:11" x14ac:dyDescent="0.25">
      <c r="E549">
        <v>1153</v>
      </c>
      <c r="F549" s="7">
        <v>45429</v>
      </c>
      <c r="G549" t="s">
        <v>7</v>
      </c>
      <c r="H549">
        <v>19</v>
      </c>
      <c r="I549" t="s">
        <v>11</v>
      </c>
      <c r="J549">
        <v>1</v>
      </c>
      <c r="K549">
        <v>28</v>
      </c>
    </row>
    <row r="550" spans="5:11" x14ac:dyDescent="0.25">
      <c r="E550">
        <v>268</v>
      </c>
      <c r="F550" s="7">
        <v>44958</v>
      </c>
      <c r="G550" t="s">
        <v>7</v>
      </c>
      <c r="H550">
        <v>25</v>
      </c>
      <c r="I550" t="s">
        <v>10</v>
      </c>
      <c r="J550">
        <v>4</v>
      </c>
      <c r="K550">
        <v>500</v>
      </c>
    </row>
    <row r="551" spans="5:11" x14ac:dyDescent="0.25">
      <c r="E551">
        <v>939</v>
      </c>
      <c r="F551" s="7">
        <v>45004</v>
      </c>
      <c r="G551" t="s">
        <v>9</v>
      </c>
      <c r="H551">
        <v>57</v>
      </c>
      <c r="I551" t="s">
        <v>10</v>
      </c>
      <c r="J551">
        <v>2</v>
      </c>
      <c r="K551">
        <v>25</v>
      </c>
    </row>
    <row r="552" spans="5:11" x14ac:dyDescent="0.25">
      <c r="E552">
        <v>1754</v>
      </c>
      <c r="F552" s="7">
        <v>45424</v>
      </c>
      <c r="G552" t="s">
        <v>7</v>
      </c>
      <c r="H552">
        <v>62</v>
      </c>
      <c r="I552" t="s">
        <v>10</v>
      </c>
      <c r="J552">
        <v>5</v>
      </c>
      <c r="K552">
        <v>373</v>
      </c>
    </row>
    <row r="553" spans="5:11" x14ac:dyDescent="0.25">
      <c r="E553">
        <v>1321</v>
      </c>
      <c r="F553" s="7">
        <v>45592</v>
      </c>
      <c r="G553" t="s">
        <v>9</v>
      </c>
      <c r="H553">
        <v>27</v>
      </c>
      <c r="I553" t="s">
        <v>11</v>
      </c>
      <c r="J553">
        <v>5</v>
      </c>
      <c r="K553">
        <v>395</v>
      </c>
    </row>
    <row r="554" spans="5:11" x14ac:dyDescent="0.25">
      <c r="E554">
        <v>151</v>
      </c>
      <c r="F554" s="7">
        <v>45275</v>
      </c>
      <c r="G554" t="s">
        <v>7</v>
      </c>
      <c r="H554">
        <v>29</v>
      </c>
      <c r="I554" t="s">
        <v>10</v>
      </c>
      <c r="J554">
        <v>1</v>
      </c>
      <c r="K554">
        <v>50</v>
      </c>
    </row>
    <row r="555" spans="5:11" x14ac:dyDescent="0.25">
      <c r="E555">
        <v>713</v>
      </c>
      <c r="F555" s="7">
        <v>45256</v>
      </c>
      <c r="G555" t="s">
        <v>9</v>
      </c>
      <c r="H555">
        <v>42</v>
      </c>
      <c r="I555" t="s">
        <v>8</v>
      </c>
      <c r="J555">
        <v>4</v>
      </c>
      <c r="K555">
        <v>25</v>
      </c>
    </row>
    <row r="556" spans="5:11" x14ac:dyDescent="0.25">
      <c r="E556">
        <v>812</v>
      </c>
      <c r="F556" s="7">
        <v>45174</v>
      </c>
      <c r="G556" t="s">
        <v>9</v>
      </c>
      <c r="H556">
        <v>59</v>
      </c>
      <c r="I556" t="s">
        <v>10</v>
      </c>
      <c r="J556">
        <v>1</v>
      </c>
      <c r="K556">
        <v>500</v>
      </c>
    </row>
    <row r="557" spans="5:11" x14ac:dyDescent="0.25">
      <c r="E557">
        <v>221</v>
      </c>
      <c r="F557" s="7">
        <v>45042</v>
      </c>
      <c r="G557" t="s">
        <v>7</v>
      </c>
      <c r="H557">
        <v>51</v>
      </c>
      <c r="I557" t="s">
        <v>10</v>
      </c>
      <c r="J557">
        <v>4</v>
      </c>
      <c r="K557">
        <v>30</v>
      </c>
    </row>
    <row r="558" spans="5:11" x14ac:dyDescent="0.25">
      <c r="E558">
        <v>1459</v>
      </c>
      <c r="F558" s="7">
        <v>45383</v>
      </c>
      <c r="G558" t="s">
        <v>7</v>
      </c>
      <c r="H558">
        <v>25</v>
      </c>
      <c r="I558" t="s">
        <v>11</v>
      </c>
      <c r="J558">
        <v>6</v>
      </c>
      <c r="K558">
        <v>162</v>
      </c>
    </row>
    <row r="559" spans="5:11" x14ac:dyDescent="0.25">
      <c r="E559">
        <v>664</v>
      </c>
      <c r="F559" s="7">
        <v>44959</v>
      </c>
      <c r="G559" t="s">
        <v>7</v>
      </c>
      <c r="H559">
        <v>51</v>
      </c>
      <c r="I559" t="s">
        <v>11</v>
      </c>
      <c r="J559">
        <v>3</v>
      </c>
      <c r="K559">
        <v>50</v>
      </c>
    </row>
    <row r="560" spans="5:11" x14ac:dyDescent="0.25">
      <c r="E560">
        <v>442</v>
      </c>
      <c r="F560" s="7">
        <v>45147</v>
      </c>
      <c r="G560" t="s">
        <v>7</v>
      </c>
      <c r="H560">
        <v>29</v>
      </c>
      <c r="I560" t="s">
        <v>10</v>
      </c>
      <c r="J560">
        <v>2</v>
      </c>
      <c r="K560">
        <v>300</v>
      </c>
    </row>
    <row r="561" spans="5:11" x14ac:dyDescent="0.25">
      <c r="E561">
        <v>430</v>
      </c>
      <c r="F561" s="7">
        <v>45214</v>
      </c>
      <c r="G561" t="s">
        <v>7</v>
      </c>
      <c r="H561">
        <v>63</v>
      </c>
      <c r="I561" t="s">
        <v>11</v>
      </c>
      <c r="J561">
        <v>4</v>
      </c>
      <c r="K561">
        <v>300</v>
      </c>
    </row>
    <row r="562" spans="5:11" x14ac:dyDescent="0.25">
      <c r="E562">
        <v>1595</v>
      </c>
      <c r="F562" s="7">
        <v>45505</v>
      </c>
      <c r="G562" t="s">
        <v>7</v>
      </c>
      <c r="H562">
        <v>55</v>
      </c>
      <c r="I562" t="s">
        <v>8</v>
      </c>
      <c r="J562">
        <v>6</v>
      </c>
      <c r="K562">
        <v>128</v>
      </c>
    </row>
    <row r="563" spans="5:11" x14ac:dyDescent="0.25">
      <c r="E563">
        <v>1099</v>
      </c>
      <c r="F563" s="7">
        <v>45320</v>
      </c>
      <c r="G563" t="s">
        <v>7</v>
      </c>
      <c r="H563">
        <v>45</v>
      </c>
      <c r="I563" t="s">
        <v>10</v>
      </c>
      <c r="J563">
        <v>7</v>
      </c>
      <c r="K563">
        <v>395</v>
      </c>
    </row>
    <row r="564" spans="5:11" x14ac:dyDescent="0.25">
      <c r="E564">
        <v>1515</v>
      </c>
      <c r="F564" s="7">
        <v>45423</v>
      </c>
      <c r="G564" t="s">
        <v>9</v>
      </c>
      <c r="H564">
        <v>48</v>
      </c>
      <c r="I564" t="s">
        <v>10</v>
      </c>
      <c r="J564">
        <v>2</v>
      </c>
      <c r="K564">
        <v>185</v>
      </c>
    </row>
    <row r="565" spans="5:11" x14ac:dyDescent="0.25">
      <c r="E565">
        <v>1135</v>
      </c>
      <c r="F565" s="7">
        <v>45614</v>
      </c>
      <c r="G565" t="s">
        <v>7</v>
      </c>
      <c r="H565">
        <v>33</v>
      </c>
      <c r="I565" t="s">
        <v>8</v>
      </c>
      <c r="J565">
        <v>2</v>
      </c>
      <c r="K565">
        <v>293</v>
      </c>
    </row>
    <row r="566" spans="5:11" x14ac:dyDescent="0.25">
      <c r="E566">
        <v>593</v>
      </c>
      <c r="F566" s="7">
        <v>45170</v>
      </c>
      <c r="G566" t="s">
        <v>9</v>
      </c>
      <c r="H566">
        <v>19</v>
      </c>
      <c r="I566" t="s">
        <v>11</v>
      </c>
      <c r="J566">
        <v>2</v>
      </c>
      <c r="K566">
        <v>300</v>
      </c>
    </row>
    <row r="567" spans="5:11" x14ac:dyDescent="0.25">
      <c r="E567">
        <v>484</v>
      </c>
      <c r="F567" s="7">
        <v>45264</v>
      </c>
      <c r="G567" t="s">
        <v>7</v>
      </c>
      <c r="H567">
        <v>24</v>
      </c>
      <c r="I567" t="s">
        <v>11</v>
      </c>
      <c r="J567">
        <v>1</v>
      </c>
      <c r="K567">
        <v>30</v>
      </c>
    </row>
    <row r="568" spans="5:11" x14ac:dyDescent="0.25">
      <c r="E568">
        <v>493</v>
      </c>
      <c r="F568" s="7">
        <v>45187</v>
      </c>
      <c r="G568" t="s">
        <v>9</v>
      </c>
      <c r="H568">
        <v>42</v>
      </c>
      <c r="I568" t="s">
        <v>8</v>
      </c>
      <c r="J568">
        <v>4</v>
      </c>
      <c r="K568">
        <v>50</v>
      </c>
    </row>
    <row r="569" spans="5:11" x14ac:dyDescent="0.25">
      <c r="E569">
        <v>356</v>
      </c>
      <c r="F569" s="7">
        <v>45049</v>
      </c>
      <c r="G569" t="s">
        <v>9</v>
      </c>
      <c r="H569">
        <v>40</v>
      </c>
      <c r="I569" t="s">
        <v>11</v>
      </c>
      <c r="J569">
        <v>3</v>
      </c>
      <c r="K569">
        <v>25</v>
      </c>
    </row>
    <row r="570" spans="5:11" x14ac:dyDescent="0.25">
      <c r="E570">
        <v>1663</v>
      </c>
      <c r="F570" s="7">
        <v>45505</v>
      </c>
      <c r="G570" t="s">
        <v>9</v>
      </c>
      <c r="H570">
        <v>27</v>
      </c>
      <c r="I570" t="s">
        <v>11</v>
      </c>
      <c r="J570">
        <v>3</v>
      </c>
      <c r="K570">
        <v>349</v>
      </c>
    </row>
    <row r="571" spans="5:11" x14ac:dyDescent="0.25">
      <c r="E571">
        <v>1138</v>
      </c>
      <c r="F571" s="7">
        <v>45509</v>
      </c>
      <c r="G571" t="s">
        <v>7</v>
      </c>
      <c r="H571">
        <v>24</v>
      </c>
      <c r="I571" t="s">
        <v>11</v>
      </c>
      <c r="J571">
        <v>3</v>
      </c>
      <c r="K571">
        <v>191</v>
      </c>
    </row>
    <row r="572" spans="5:11" x14ac:dyDescent="0.25">
      <c r="E572">
        <v>542</v>
      </c>
      <c r="F572" s="7">
        <v>45133</v>
      </c>
      <c r="G572" t="s">
        <v>7</v>
      </c>
      <c r="H572">
        <v>49</v>
      </c>
      <c r="I572" t="s">
        <v>8</v>
      </c>
      <c r="J572">
        <v>2</v>
      </c>
      <c r="K572">
        <v>300</v>
      </c>
    </row>
    <row r="573" spans="5:11" x14ac:dyDescent="0.25">
      <c r="E573">
        <v>1445</v>
      </c>
      <c r="F573" s="7">
        <v>45312</v>
      </c>
      <c r="G573" t="s">
        <v>9</v>
      </c>
      <c r="H573">
        <v>34</v>
      </c>
      <c r="I573" t="s">
        <v>8</v>
      </c>
      <c r="J573">
        <v>6</v>
      </c>
      <c r="K573">
        <v>260</v>
      </c>
    </row>
    <row r="574" spans="5:11" x14ac:dyDescent="0.25">
      <c r="E574">
        <v>1470</v>
      </c>
      <c r="F574" s="7">
        <v>45347</v>
      </c>
      <c r="G574" t="s">
        <v>7</v>
      </c>
      <c r="H574">
        <v>55</v>
      </c>
      <c r="I574" t="s">
        <v>8</v>
      </c>
      <c r="J574">
        <v>1</v>
      </c>
      <c r="K574">
        <v>121</v>
      </c>
    </row>
    <row r="575" spans="5:11" x14ac:dyDescent="0.25">
      <c r="E575">
        <v>1167</v>
      </c>
      <c r="F575" s="7">
        <v>45613</v>
      </c>
      <c r="G575" t="s">
        <v>7</v>
      </c>
      <c r="H575">
        <v>64</v>
      </c>
      <c r="I575" t="s">
        <v>8</v>
      </c>
      <c r="J575">
        <v>6</v>
      </c>
      <c r="K575">
        <v>140</v>
      </c>
    </row>
    <row r="576" spans="5:11" x14ac:dyDescent="0.25">
      <c r="E576">
        <v>1118</v>
      </c>
      <c r="F576" s="7">
        <v>45419</v>
      </c>
      <c r="G576" t="s">
        <v>7</v>
      </c>
      <c r="H576">
        <v>18</v>
      </c>
      <c r="I576" t="s">
        <v>8</v>
      </c>
      <c r="J576">
        <v>6</v>
      </c>
      <c r="K576">
        <v>318</v>
      </c>
    </row>
    <row r="577" spans="5:11" x14ac:dyDescent="0.25">
      <c r="E577">
        <v>785</v>
      </c>
      <c r="F577" s="7">
        <v>44948</v>
      </c>
      <c r="G577" t="s">
        <v>7</v>
      </c>
      <c r="H577">
        <v>41</v>
      </c>
      <c r="I577" t="s">
        <v>11</v>
      </c>
      <c r="J577">
        <v>1</v>
      </c>
      <c r="K577">
        <v>25</v>
      </c>
    </row>
    <row r="578" spans="5:11" x14ac:dyDescent="0.25">
      <c r="E578">
        <v>1450</v>
      </c>
      <c r="F578" s="7">
        <v>45634</v>
      </c>
      <c r="G578" t="s">
        <v>9</v>
      </c>
      <c r="H578">
        <v>18</v>
      </c>
      <c r="I578" t="s">
        <v>10</v>
      </c>
      <c r="J578">
        <v>3</v>
      </c>
      <c r="K578">
        <v>27</v>
      </c>
    </row>
    <row r="579" spans="5:11" x14ac:dyDescent="0.25">
      <c r="E579">
        <v>579</v>
      </c>
      <c r="F579" s="7">
        <v>45266</v>
      </c>
      <c r="G579" t="s">
        <v>9</v>
      </c>
      <c r="H579">
        <v>31</v>
      </c>
      <c r="I579" t="s">
        <v>10</v>
      </c>
      <c r="J579">
        <v>3</v>
      </c>
      <c r="K579">
        <v>500</v>
      </c>
    </row>
    <row r="580" spans="5:11" x14ac:dyDescent="0.25">
      <c r="E580">
        <v>1713</v>
      </c>
      <c r="F580" s="7">
        <v>45362</v>
      </c>
      <c r="G580" t="s">
        <v>7</v>
      </c>
      <c r="H580">
        <v>31</v>
      </c>
      <c r="I580" t="s">
        <v>10</v>
      </c>
      <c r="J580">
        <v>2</v>
      </c>
      <c r="K580">
        <v>346</v>
      </c>
    </row>
    <row r="581" spans="5:11" x14ac:dyDescent="0.25">
      <c r="E581">
        <v>1260</v>
      </c>
      <c r="F581" s="7">
        <v>45532</v>
      </c>
      <c r="G581" t="s">
        <v>7</v>
      </c>
      <c r="H581">
        <v>64</v>
      </c>
      <c r="I581" t="s">
        <v>8</v>
      </c>
      <c r="J581">
        <v>2</v>
      </c>
      <c r="K581">
        <v>308</v>
      </c>
    </row>
    <row r="582" spans="5:11" x14ac:dyDescent="0.25">
      <c r="E582">
        <v>454</v>
      </c>
      <c r="F582" s="7">
        <v>45108</v>
      </c>
      <c r="G582" t="s">
        <v>7</v>
      </c>
      <c r="H582">
        <v>31</v>
      </c>
      <c r="I582" t="s">
        <v>11</v>
      </c>
      <c r="J582">
        <v>4</v>
      </c>
      <c r="K582">
        <v>25</v>
      </c>
    </row>
    <row r="583" spans="5:11" x14ac:dyDescent="0.25">
      <c r="E583">
        <v>1376</v>
      </c>
      <c r="F583" s="7">
        <v>45327</v>
      </c>
      <c r="G583" t="s">
        <v>9</v>
      </c>
      <c r="H583">
        <v>50</v>
      </c>
      <c r="I583" t="s">
        <v>10</v>
      </c>
      <c r="J583">
        <v>6</v>
      </c>
      <c r="K583">
        <v>33</v>
      </c>
    </row>
    <row r="584" spans="5:11" x14ac:dyDescent="0.25">
      <c r="E584">
        <v>1050</v>
      </c>
      <c r="F584" s="7">
        <v>45356</v>
      </c>
      <c r="G584" t="s">
        <v>9</v>
      </c>
      <c r="H584">
        <v>57</v>
      </c>
      <c r="I584" t="s">
        <v>8</v>
      </c>
      <c r="J584">
        <v>1</v>
      </c>
      <c r="K584">
        <v>423</v>
      </c>
    </row>
    <row r="585" spans="5:11" x14ac:dyDescent="0.25">
      <c r="E585">
        <v>1568</v>
      </c>
      <c r="F585" s="7">
        <v>45638</v>
      </c>
      <c r="G585" t="s">
        <v>9</v>
      </c>
      <c r="H585">
        <v>43</v>
      </c>
      <c r="I585" t="s">
        <v>11</v>
      </c>
      <c r="J585">
        <v>5</v>
      </c>
      <c r="K585">
        <v>288</v>
      </c>
    </row>
    <row r="586" spans="5:11" x14ac:dyDescent="0.25">
      <c r="E586">
        <v>148</v>
      </c>
      <c r="F586" s="7">
        <v>45055</v>
      </c>
      <c r="G586" t="s">
        <v>7</v>
      </c>
      <c r="H586">
        <v>18</v>
      </c>
      <c r="I586" t="s">
        <v>10</v>
      </c>
      <c r="J586">
        <v>2</v>
      </c>
      <c r="K586">
        <v>30</v>
      </c>
    </row>
    <row r="587" spans="5:11" x14ac:dyDescent="0.25">
      <c r="E587">
        <v>863</v>
      </c>
      <c r="F587" s="7">
        <v>45281</v>
      </c>
      <c r="G587" t="s">
        <v>9</v>
      </c>
      <c r="H587">
        <v>42</v>
      </c>
      <c r="I587" t="s">
        <v>10</v>
      </c>
      <c r="J587">
        <v>1</v>
      </c>
      <c r="K587">
        <v>300</v>
      </c>
    </row>
    <row r="588" spans="5:11" x14ac:dyDescent="0.25">
      <c r="E588">
        <v>1202</v>
      </c>
      <c r="F588" s="7">
        <v>45563</v>
      </c>
      <c r="G588" t="s">
        <v>7</v>
      </c>
      <c r="H588">
        <v>51</v>
      </c>
      <c r="I588" t="s">
        <v>8</v>
      </c>
      <c r="J588">
        <v>2</v>
      </c>
      <c r="K588">
        <v>486</v>
      </c>
    </row>
    <row r="589" spans="5:11" x14ac:dyDescent="0.25">
      <c r="E589">
        <v>1522</v>
      </c>
      <c r="F589" s="7">
        <v>45644</v>
      </c>
      <c r="G589" t="s">
        <v>9</v>
      </c>
      <c r="H589">
        <v>20</v>
      </c>
      <c r="I589" t="s">
        <v>8</v>
      </c>
      <c r="J589">
        <v>6</v>
      </c>
      <c r="K589">
        <v>482</v>
      </c>
    </row>
    <row r="590" spans="5:11" x14ac:dyDescent="0.25">
      <c r="E590">
        <v>604</v>
      </c>
      <c r="F590" s="7">
        <v>45131</v>
      </c>
      <c r="G590" t="s">
        <v>7</v>
      </c>
      <c r="H590">
        <v>37</v>
      </c>
      <c r="I590" t="s">
        <v>11</v>
      </c>
      <c r="J590">
        <v>2</v>
      </c>
      <c r="K590">
        <v>500</v>
      </c>
    </row>
    <row r="591" spans="5:11" x14ac:dyDescent="0.25">
      <c r="E591">
        <v>1675</v>
      </c>
      <c r="F591" s="7">
        <v>45302</v>
      </c>
      <c r="G591" t="s">
        <v>9</v>
      </c>
      <c r="H591">
        <v>33</v>
      </c>
      <c r="I591" t="s">
        <v>8</v>
      </c>
      <c r="J591">
        <v>3</v>
      </c>
      <c r="K591">
        <v>290</v>
      </c>
    </row>
    <row r="592" spans="5:11" x14ac:dyDescent="0.25">
      <c r="E592">
        <v>363</v>
      </c>
      <c r="F592" s="7">
        <v>45161</v>
      </c>
      <c r="G592" t="s">
        <v>9</v>
      </c>
      <c r="H592">
        <v>19</v>
      </c>
      <c r="I592" t="s">
        <v>8</v>
      </c>
      <c r="J592">
        <v>1</v>
      </c>
      <c r="K592">
        <v>500</v>
      </c>
    </row>
    <row r="593" spans="5:11" x14ac:dyDescent="0.25">
      <c r="E593">
        <v>1692</v>
      </c>
      <c r="F593" s="7">
        <v>45541</v>
      </c>
      <c r="G593" t="s">
        <v>9</v>
      </c>
      <c r="H593">
        <v>61</v>
      </c>
      <c r="I593" t="s">
        <v>10</v>
      </c>
      <c r="J593">
        <v>2</v>
      </c>
      <c r="K593">
        <v>230</v>
      </c>
    </row>
    <row r="594" spans="5:11" x14ac:dyDescent="0.25">
      <c r="E594">
        <v>1911</v>
      </c>
      <c r="F594" s="7">
        <v>45442</v>
      </c>
      <c r="G594" t="s">
        <v>9</v>
      </c>
      <c r="H594">
        <v>64</v>
      </c>
      <c r="I594" t="s">
        <v>8</v>
      </c>
      <c r="J594">
        <v>6</v>
      </c>
      <c r="K594">
        <v>101</v>
      </c>
    </row>
    <row r="595" spans="5:11" x14ac:dyDescent="0.25">
      <c r="E595">
        <v>700</v>
      </c>
      <c r="F595" s="7">
        <v>45134</v>
      </c>
      <c r="G595" t="s">
        <v>9</v>
      </c>
      <c r="H595">
        <v>60</v>
      </c>
      <c r="I595" t="s">
        <v>10</v>
      </c>
      <c r="J595">
        <v>2</v>
      </c>
      <c r="K595">
        <v>300</v>
      </c>
    </row>
    <row r="596" spans="5:11" x14ac:dyDescent="0.25">
      <c r="E596">
        <v>1367</v>
      </c>
      <c r="F596" s="7">
        <v>45581</v>
      </c>
      <c r="G596" t="s">
        <v>7</v>
      </c>
      <c r="H596">
        <v>47</v>
      </c>
      <c r="I596" t="s">
        <v>11</v>
      </c>
      <c r="J596">
        <v>7</v>
      </c>
      <c r="K596">
        <v>340</v>
      </c>
    </row>
    <row r="597" spans="5:11" x14ac:dyDescent="0.25">
      <c r="E597">
        <v>643</v>
      </c>
      <c r="F597" s="7">
        <v>45175</v>
      </c>
      <c r="G597" t="s">
        <v>7</v>
      </c>
      <c r="H597">
        <v>23</v>
      </c>
      <c r="I597" t="s">
        <v>8</v>
      </c>
      <c r="J597">
        <v>3</v>
      </c>
      <c r="K597">
        <v>25</v>
      </c>
    </row>
    <row r="598" spans="5:11" x14ac:dyDescent="0.25">
      <c r="E598">
        <v>1348</v>
      </c>
      <c r="F598" s="7">
        <v>45560</v>
      </c>
      <c r="G598" t="s">
        <v>9</v>
      </c>
      <c r="H598">
        <v>38</v>
      </c>
      <c r="I598" t="s">
        <v>10</v>
      </c>
      <c r="J598">
        <v>1</v>
      </c>
      <c r="K598">
        <v>239</v>
      </c>
    </row>
    <row r="599" spans="5:11" x14ac:dyDescent="0.25">
      <c r="E599">
        <v>795</v>
      </c>
      <c r="F599" s="7">
        <v>44933</v>
      </c>
      <c r="G599" t="s">
        <v>7</v>
      </c>
      <c r="H599">
        <v>40</v>
      </c>
      <c r="I599" t="s">
        <v>10</v>
      </c>
      <c r="J599">
        <v>3</v>
      </c>
      <c r="K599">
        <v>25</v>
      </c>
    </row>
    <row r="600" spans="5:11" x14ac:dyDescent="0.25">
      <c r="E600">
        <v>577</v>
      </c>
      <c r="F600" s="7">
        <v>45072</v>
      </c>
      <c r="G600" t="s">
        <v>9</v>
      </c>
      <c r="H600">
        <v>54</v>
      </c>
      <c r="I600" t="s">
        <v>10</v>
      </c>
      <c r="J600">
        <v>4</v>
      </c>
      <c r="K600">
        <v>30</v>
      </c>
    </row>
    <row r="601" spans="5:11" x14ac:dyDescent="0.25">
      <c r="E601">
        <v>1499</v>
      </c>
      <c r="F601" s="7">
        <v>45384</v>
      </c>
      <c r="G601" t="s">
        <v>7</v>
      </c>
      <c r="H601">
        <v>53</v>
      </c>
      <c r="I601" t="s">
        <v>11</v>
      </c>
      <c r="J601">
        <v>1</v>
      </c>
      <c r="K601">
        <v>309</v>
      </c>
    </row>
    <row r="602" spans="5:11" x14ac:dyDescent="0.25">
      <c r="E602">
        <v>1291</v>
      </c>
      <c r="F602" s="7">
        <v>45378</v>
      </c>
      <c r="G602" t="s">
        <v>9</v>
      </c>
      <c r="H602">
        <v>40</v>
      </c>
      <c r="I602" t="s">
        <v>10</v>
      </c>
      <c r="J602">
        <v>1</v>
      </c>
      <c r="K602">
        <v>173</v>
      </c>
    </row>
    <row r="603" spans="5:11" x14ac:dyDescent="0.25">
      <c r="E603">
        <v>1702</v>
      </c>
      <c r="F603" s="7">
        <v>45611</v>
      </c>
      <c r="G603" t="s">
        <v>7</v>
      </c>
      <c r="H603">
        <v>54</v>
      </c>
      <c r="I603" t="s">
        <v>11</v>
      </c>
      <c r="J603">
        <v>7</v>
      </c>
      <c r="K603">
        <v>295</v>
      </c>
    </row>
    <row r="604" spans="5:11" x14ac:dyDescent="0.25">
      <c r="E604">
        <v>439</v>
      </c>
      <c r="F604" s="7">
        <v>45225</v>
      </c>
      <c r="G604" t="s">
        <v>7</v>
      </c>
      <c r="H604">
        <v>64</v>
      </c>
      <c r="I604" t="s">
        <v>10</v>
      </c>
      <c r="J604">
        <v>2</v>
      </c>
      <c r="K604">
        <v>300</v>
      </c>
    </row>
    <row r="605" spans="5:11" x14ac:dyDescent="0.25">
      <c r="E605">
        <v>1013</v>
      </c>
      <c r="F605" s="7">
        <v>45307</v>
      </c>
      <c r="G605" t="s">
        <v>9</v>
      </c>
      <c r="H605">
        <v>25</v>
      </c>
      <c r="I605" t="s">
        <v>11</v>
      </c>
      <c r="J605">
        <v>7</v>
      </c>
      <c r="K605">
        <v>311</v>
      </c>
    </row>
    <row r="606" spans="5:11" x14ac:dyDescent="0.25">
      <c r="E606">
        <v>616</v>
      </c>
      <c r="F606" s="7">
        <v>45164</v>
      </c>
      <c r="G606" t="s">
        <v>7</v>
      </c>
      <c r="H606">
        <v>34</v>
      </c>
      <c r="I606" t="s">
        <v>11</v>
      </c>
      <c r="J606">
        <v>1</v>
      </c>
      <c r="K606">
        <v>30</v>
      </c>
    </row>
    <row r="607" spans="5:11" x14ac:dyDescent="0.25">
      <c r="E607">
        <v>1465</v>
      </c>
      <c r="F607" s="7">
        <v>45635</v>
      </c>
      <c r="G607" t="s">
        <v>7</v>
      </c>
      <c r="H607">
        <v>34</v>
      </c>
      <c r="I607" t="s">
        <v>11</v>
      </c>
      <c r="J607">
        <v>6</v>
      </c>
      <c r="K607">
        <v>363</v>
      </c>
    </row>
    <row r="608" spans="5:11" x14ac:dyDescent="0.25">
      <c r="E608">
        <v>1982</v>
      </c>
      <c r="F608" s="7">
        <v>45308</v>
      </c>
      <c r="G608" t="s">
        <v>9</v>
      </c>
      <c r="H608">
        <v>27</v>
      </c>
      <c r="I608" t="s">
        <v>10</v>
      </c>
      <c r="J608">
        <v>6</v>
      </c>
      <c r="K608">
        <v>406</v>
      </c>
    </row>
    <row r="609" spans="5:11" x14ac:dyDescent="0.25">
      <c r="E609">
        <v>1142</v>
      </c>
      <c r="F609" s="7">
        <v>45488</v>
      </c>
      <c r="G609" t="s">
        <v>9</v>
      </c>
      <c r="H609">
        <v>41</v>
      </c>
      <c r="I609" t="s">
        <v>8</v>
      </c>
      <c r="J609">
        <v>2</v>
      </c>
      <c r="K609">
        <v>436</v>
      </c>
    </row>
    <row r="610" spans="5:11" x14ac:dyDescent="0.25">
      <c r="E610">
        <v>621</v>
      </c>
      <c r="F610" s="7">
        <v>45160</v>
      </c>
      <c r="G610" t="s">
        <v>9</v>
      </c>
      <c r="H610">
        <v>49</v>
      </c>
      <c r="I610" t="s">
        <v>8</v>
      </c>
      <c r="J610">
        <v>3</v>
      </c>
      <c r="K610">
        <v>25</v>
      </c>
    </row>
    <row r="611" spans="5:11" x14ac:dyDescent="0.25">
      <c r="E611">
        <v>1271</v>
      </c>
      <c r="F611" s="7">
        <v>45391</v>
      </c>
      <c r="G611" t="s">
        <v>9</v>
      </c>
      <c r="H611">
        <v>55</v>
      </c>
      <c r="I611" t="s">
        <v>10</v>
      </c>
      <c r="J611">
        <v>4</v>
      </c>
      <c r="K611">
        <v>415</v>
      </c>
    </row>
    <row r="612" spans="5:11" x14ac:dyDescent="0.25">
      <c r="E612">
        <v>1868</v>
      </c>
      <c r="F612" s="7">
        <v>45576</v>
      </c>
      <c r="G612" t="s">
        <v>9</v>
      </c>
      <c r="H612">
        <v>42</v>
      </c>
      <c r="I612" t="s">
        <v>8</v>
      </c>
      <c r="J612">
        <v>3</v>
      </c>
      <c r="K612">
        <v>352</v>
      </c>
    </row>
    <row r="613" spans="5:11" x14ac:dyDescent="0.25">
      <c r="E613">
        <v>1259</v>
      </c>
      <c r="F613" s="7">
        <v>45503</v>
      </c>
      <c r="G613" t="s">
        <v>9</v>
      </c>
      <c r="H613">
        <v>42</v>
      </c>
      <c r="I613" t="s">
        <v>8</v>
      </c>
      <c r="J613">
        <v>5</v>
      </c>
      <c r="K613">
        <v>55</v>
      </c>
    </row>
    <row r="614" spans="5:11" x14ac:dyDescent="0.25">
      <c r="E614">
        <v>448</v>
      </c>
      <c r="F614" s="7">
        <v>45110</v>
      </c>
      <c r="G614" t="s">
        <v>7</v>
      </c>
      <c r="H614">
        <v>25</v>
      </c>
      <c r="I614" t="s">
        <v>11</v>
      </c>
      <c r="J614">
        <v>4</v>
      </c>
      <c r="K614">
        <v>50</v>
      </c>
    </row>
    <row r="615" spans="5:11" x14ac:dyDescent="0.25">
      <c r="E615">
        <v>1743</v>
      </c>
      <c r="F615" s="7">
        <v>45611</v>
      </c>
      <c r="G615" t="s">
        <v>7</v>
      </c>
      <c r="H615">
        <v>50</v>
      </c>
      <c r="I615" t="s">
        <v>8</v>
      </c>
      <c r="J615">
        <v>3</v>
      </c>
      <c r="K615">
        <v>224</v>
      </c>
    </row>
    <row r="616" spans="5:11" x14ac:dyDescent="0.25">
      <c r="E616">
        <v>612</v>
      </c>
      <c r="F616" s="7">
        <v>45039</v>
      </c>
      <c r="G616" t="s">
        <v>9</v>
      </c>
      <c r="H616">
        <v>52</v>
      </c>
      <c r="I616" t="s">
        <v>10</v>
      </c>
      <c r="J616">
        <v>3</v>
      </c>
      <c r="K616">
        <v>30</v>
      </c>
    </row>
    <row r="617" spans="5:11" x14ac:dyDescent="0.25">
      <c r="E617">
        <v>333</v>
      </c>
      <c r="F617" s="7">
        <v>45231</v>
      </c>
      <c r="G617" t="s">
        <v>7</v>
      </c>
      <c r="H617">
        <v>31</v>
      </c>
      <c r="I617" t="s">
        <v>11</v>
      </c>
      <c r="J617">
        <v>3</v>
      </c>
      <c r="K617">
        <v>300</v>
      </c>
    </row>
    <row r="618" spans="5:11" x14ac:dyDescent="0.25">
      <c r="E618">
        <v>1335</v>
      </c>
      <c r="F618" s="7">
        <v>45499</v>
      </c>
      <c r="G618" t="s">
        <v>7</v>
      </c>
      <c r="H618">
        <v>43</v>
      </c>
      <c r="I618" t="s">
        <v>8</v>
      </c>
      <c r="J618">
        <v>6</v>
      </c>
      <c r="K618">
        <v>20</v>
      </c>
    </row>
    <row r="619" spans="5:11" x14ac:dyDescent="0.25">
      <c r="E619">
        <v>460</v>
      </c>
      <c r="F619" s="7">
        <v>45010</v>
      </c>
      <c r="G619" t="s">
        <v>9</v>
      </c>
      <c r="H619">
        <v>18</v>
      </c>
      <c r="I619" t="s">
        <v>8</v>
      </c>
      <c r="J619">
        <v>2</v>
      </c>
      <c r="K619">
        <v>500</v>
      </c>
    </row>
    <row r="620" spans="5:11" x14ac:dyDescent="0.25">
      <c r="E620">
        <v>1326</v>
      </c>
      <c r="F620" s="7">
        <v>45321</v>
      </c>
      <c r="G620" t="s">
        <v>9</v>
      </c>
      <c r="H620">
        <v>26</v>
      </c>
      <c r="I620" t="s">
        <v>11</v>
      </c>
      <c r="J620">
        <v>3</v>
      </c>
      <c r="K620">
        <v>460</v>
      </c>
    </row>
    <row r="621" spans="5:11" x14ac:dyDescent="0.25">
      <c r="E621">
        <v>998</v>
      </c>
      <c r="F621" s="7">
        <v>45028</v>
      </c>
      <c r="G621" t="s">
        <v>7</v>
      </c>
      <c r="H621">
        <v>47</v>
      </c>
      <c r="I621" t="s">
        <v>11</v>
      </c>
      <c r="J621">
        <v>4</v>
      </c>
      <c r="K621">
        <v>30</v>
      </c>
    </row>
    <row r="622" spans="5:11" x14ac:dyDescent="0.25">
      <c r="E622">
        <v>332</v>
      </c>
      <c r="F622" s="7">
        <v>44962</v>
      </c>
      <c r="G622" t="s">
        <v>9</v>
      </c>
      <c r="H622">
        <v>54</v>
      </c>
      <c r="I622" t="s">
        <v>11</v>
      </c>
      <c r="J622">
        <v>4</v>
      </c>
      <c r="K622">
        <v>300</v>
      </c>
    </row>
    <row r="623" spans="5:11" x14ac:dyDescent="0.25">
      <c r="E623">
        <v>87</v>
      </c>
      <c r="F623" s="7">
        <v>45252</v>
      </c>
      <c r="G623" t="s">
        <v>9</v>
      </c>
      <c r="H623">
        <v>28</v>
      </c>
      <c r="I623" t="s">
        <v>8</v>
      </c>
      <c r="J623">
        <v>2</v>
      </c>
      <c r="K623">
        <v>50</v>
      </c>
    </row>
    <row r="624" spans="5:11" x14ac:dyDescent="0.25">
      <c r="E624">
        <v>533</v>
      </c>
      <c r="F624" s="7">
        <v>45087</v>
      </c>
      <c r="G624" t="s">
        <v>7</v>
      </c>
      <c r="H624">
        <v>45</v>
      </c>
      <c r="I624" t="s">
        <v>10</v>
      </c>
      <c r="J624">
        <v>2</v>
      </c>
      <c r="K624">
        <v>500</v>
      </c>
    </row>
    <row r="625" spans="5:11" x14ac:dyDescent="0.25">
      <c r="E625">
        <v>645</v>
      </c>
      <c r="F625" s="7">
        <v>45049</v>
      </c>
      <c r="G625" t="s">
        <v>7</v>
      </c>
      <c r="H625">
        <v>38</v>
      </c>
      <c r="I625" t="s">
        <v>10</v>
      </c>
      <c r="J625">
        <v>3</v>
      </c>
      <c r="K625">
        <v>30</v>
      </c>
    </row>
    <row r="626" spans="5:11" x14ac:dyDescent="0.25">
      <c r="E626">
        <v>90</v>
      </c>
      <c r="F626" s="7">
        <v>45052</v>
      </c>
      <c r="G626" t="s">
        <v>9</v>
      </c>
      <c r="H626">
        <v>51</v>
      </c>
      <c r="I626" t="s">
        <v>11</v>
      </c>
      <c r="J626">
        <v>1</v>
      </c>
      <c r="K626">
        <v>30</v>
      </c>
    </row>
    <row r="627" spans="5:11" x14ac:dyDescent="0.25">
      <c r="E627">
        <v>1217</v>
      </c>
      <c r="F627" s="7">
        <v>45354</v>
      </c>
      <c r="G627" t="s">
        <v>7</v>
      </c>
      <c r="H627">
        <v>24</v>
      </c>
      <c r="I627" t="s">
        <v>8</v>
      </c>
      <c r="J627">
        <v>2</v>
      </c>
      <c r="K627">
        <v>131</v>
      </c>
    </row>
    <row r="628" spans="5:11" x14ac:dyDescent="0.25">
      <c r="E628">
        <v>193</v>
      </c>
      <c r="F628" s="7">
        <v>44970</v>
      </c>
      <c r="G628" t="s">
        <v>7</v>
      </c>
      <c r="H628">
        <v>35</v>
      </c>
      <c r="I628" t="s">
        <v>8</v>
      </c>
      <c r="J628">
        <v>3</v>
      </c>
      <c r="K628">
        <v>500</v>
      </c>
    </row>
    <row r="629" spans="5:11" x14ac:dyDescent="0.25">
      <c r="E629">
        <v>1124</v>
      </c>
      <c r="F629" s="7">
        <v>45591</v>
      </c>
      <c r="G629" t="s">
        <v>9</v>
      </c>
      <c r="H629">
        <v>26</v>
      </c>
      <c r="I629" t="s">
        <v>10</v>
      </c>
      <c r="J629">
        <v>7</v>
      </c>
      <c r="K629">
        <v>238</v>
      </c>
    </row>
    <row r="630" spans="5:11" x14ac:dyDescent="0.25">
      <c r="E630">
        <v>104</v>
      </c>
      <c r="F630" s="7">
        <v>45088</v>
      </c>
      <c r="G630" t="s">
        <v>9</v>
      </c>
      <c r="H630">
        <v>34</v>
      </c>
      <c r="I630" t="s">
        <v>8</v>
      </c>
      <c r="J630">
        <v>2</v>
      </c>
      <c r="K630">
        <v>500</v>
      </c>
    </row>
    <row r="631" spans="5:11" x14ac:dyDescent="0.25">
      <c r="E631">
        <v>495</v>
      </c>
      <c r="F631" s="7">
        <v>45274</v>
      </c>
      <c r="G631" t="s">
        <v>7</v>
      </c>
      <c r="H631">
        <v>23</v>
      </c>
      <c r="I631" t="s">
        <v>10</v>
      </c>
      <c r="J631">
        <v>2</v>
      </c>
      <c r="K631">
        <v>300</v>
      </c>
    </row>
    <row r="632" spans="5:11" x14ac:dyDescent="0.25">
      <c r="E632">
        <v>1975</v>
      </c>
      <c r="F632" s="7">
        <v>45293</v>
      </c>
      <c r="G632" t="s">
        <v>9</v>
      </c>
      <c r="H632">
        <v>51</v>
      </c>
      <c r="I632" t="s">
        <v>8</v>
      </c>
      <c r="J632">
        <v>7</v>
      </c>
      <c r="K632">
        <v>143</v>
      </c>
    </row>
    <row r="633" spans="5:11" x14ac:dyDescent="0.25">
      <c r="E633">
        <v>1247</v>
      </c>
      <c r="F633" s="7">
        <v>45588</v>
      </c>
      <c r="G633" t="s">
        <v>7</v>
      </c>
      <c r="H633">
        <v>49</v>
      </c>
      <c r="I633" t="s">
        <v>11</v>
      </c>
      <c r="J633">
        <v>7</v>
      </c>
      <c r="K633">
        <v>382</v>
      </c>
    </row>
    <row r="634" spans="5:11" x14ac:dyDescent="0.25">
      <c r="E634">
        <v>1839</v>
      </c>
      <c r="F634" s="7">
        <v>45434</v>
      </c>
      <c r="G634" t="s">
        <v>7</v>
      </c>
      <c r="H634">
        <v>43</v>
      </c>
      <c r="I634" t="s">
        <v>8</v>
      </c>
      <c r="J634">
        <v>4</v>
      </c>
      <c r="K634">
        <v>308</v>
      </c>
    </row>
    <row r="635" spans="5:11" x14ac:dyDescent="0.25">
      <c r="E635">
        <v>1243</v>
      </c>
      <c r="F635" s="7">
        <v>45402</v>
      </c>
      <c r="G635" t="s">
        <v>9</v>
      </c>
      <c r="H635">
        <v>47</v>
      </c>
      <c r="I635" t="s">
        <v>11</v>
      </c>
      <c r="J635">
        <v>3</v>
      </c>
      <c r="K635">
        <v>469</v>
      </c>
    </row>
    <row r="636" spans="5:11" x14ac:dyDescent="0.25">
      <c r="E636">
        <v>45</v>
      </c>
      <c r="F636" s="7">
        <v>45110</v>
      </c>
      <c r="G636" t="s">
        <v>9</v>
      </c>
      <c r="H636">
        <v>55</v>
      </c>
      <c r="I636" t="s">
        <v>11</v>
      </c>
      <c r="J636">
        <v>1</v>
      </c>
      <c r="K636">
        <v>30</v>
      </c>
    </row>
    <row r="637" spans="5:11" x14ac:dyDescent="0.25">
      <c r="E637">
        <v>1742</v>
      </c>
      <c r="F637" s="7">
        <v>45302</v>
      </c>
      <c r="G637" t="s">
        <v>9</v>
      </c>
      <c r="H637">
        <v>58</v>
      </c>
      <c r="I637" t="s">
        <v>10</v>
      </c>
      <c r="J637">
        <v>3</v>
      </c>
      <c r="K637">
        <v>337</v>
      </c>
    </row>
    <row r="638" spans="5:11" x14ac:dyDescent="0.25">
      <c r="E638">
        <v>1011</v>
      </c>
      <c r="F638" s="7">
        <v>45509</v>
      </c>
      <c r="G638" t="s">
        <v>7</v>
      </c>
      <c r="H638">
        <v>34</v>
      </c>
      <c r="I638" t="s">
        <v>11</v>
      </c>
      <c r="J638">
        <v>5</v>
      </c>
      <c r="K638">
        <v>299</v>
      </c>
    </row>
    <row r="639" spans="5:11" x14ac:dyDescent="0.25">
      <c r="E639">
        <v>1154</v>
      </c>
      <c r="F639" s="7">
        <v>45621</v>
      </c>
      <c r="G639" t="s">
        <v>9</v>
      </c>
      <c r="H639">
        <v>37</v>
      </c>
      <c r="I639" t="s">
        <v>10</v>
      </c>
      <c r="J639">
        <v>5</v>
      </c>
      <c r="K639">
        <v>498</v>
      </c>
    </row>
    <row r="640" spans="5:11" x14ac:dyDescent="0.25">
      <c r="E640">
        <v>1670</v>
      </c>
      <c r="F640" s="7">
        <v>45398</v>
      </c>
      <c r="G640" t="s">
        <v>9</v>
      </c>
      <c r="H640">
        <v>33</v>
      </c>
      <c r="I640" t="s">
        <v>10</v>
      </c>
      <c r="J640">
        <v>4</v>
      </c>
      <c r="K640">
        <v>198</v>
      </c>
    </row>
    <row r="641" spans="5:11" x14ac:dyDescent="0.25">
      <c r="E641">
        <v>776</v>
      </c>
      <c r="F641" s="7">
        <v>45248</v>
      </c>
      <c r="G641" t="s">
        <v>9</v>
      </c>
      <c r="H641">
        <v>47</v>
      </c>
      <c r="I641" t="s">
        <v>8</v>
      </c>
      <c r="J641">
        <v>4</v>
      </c>
      <c r="K641">
        <v>25</v>
      </c>
    </row>
    <row r="642" spans="5:11" x14ac:dyDescent="0.25">
      <c r="E642">
        <v>1490</v>
      </c>
      <c r="F642" s="7">
        <v>45621</v>
      </c>
      <c r="G642" t="s">
        <v>7</v>
      </c>
      <c r="H642">
        <v>49</v>
      </c>
      <c r="I642" t="s">
        <v>8</v>
      </c>
      <c r="J642">
        <v>7</v>
      </c>
      <c r="K642">
        <v>314</v>
      </c>
    </row>
    <row r="643" spans="5:11" x14ac:dyDescent="0.25">
      <c r="E643">
        <v>339</v>
      </c>
      <c r="F643" s="7">
        <v>45218</v>
      </c>
      <c r="G643" t="s">
        <v>9</v>
      </c>
      <c r="H643">
        <v>36</v>
      </c>
      <c r="I643" t="s">
        <v>10</v>
      </c>
      <c r="J643">
        <v>4</v>
      </c>
      <c r="K643">
        <v>300</v>
      </c>
    </row>
    <row r="644" spans="5:11" x14ac:dyDescent="0.25">
      <c r="E644">
        <v>449</v>
      </c>
      <c r="F644" s="7">
        <v>45034</v>
      </c>
      <c r="G644" t="s">
        <v>9</v>
      </c>
      <c r="H644">
        <v>59</v>
      </c>
      <c r="I644" t="s">
        <v>8</v>
      </c>
      <c r="J644">
        <v>2</v>
      </c>
      <c r="K644">
        <v>25</v>
      </c>
    </row>
    <row r="645" spans="5:11" x14ac:dyDescent="0.25">
      <c r="E645">
        <v>1733</v>
      </c>
      <c r="F645" s="7">
        <v>45472</v>
      </c>
      <c r="G645" t="s">
        <v>9</v>
      </c>
      <c r="H645">
        <v>18</v>
      </c>
      <c r="I645" t="s">
        <v>10</v>
      </c>
      <c r="J645">
        <v>4</v>
      </c>
      <c r="K645">
        <v>292</v>
      </c>
    </row>
    <row r="646" spans="5:11" x14ac:dyDescent="0.25">
      <c r="E646">
        <v>340</v>
      </c>
      <c r="F646" s="7">
        <v>45053</v>
      </c>
      <c r="G646" t="s">
        <v>7</v>
      </c>
      <c r="H646">
        <v>31</v>
      </c>
      <c r="I646" t="s">
        <v>10</v>
      </c>
      <c r="J646">
        <v>4</v>
      </c>
      <c r="K646">
        <v>50</v>
      </c>
    </row>
    <row r="647" spans="5:11" x14ac:dyDescent="0.25">
      <c r="E647">
        <v>5</v>
      </c>
      <c r="F647" s="7">
        <v>45052</v>
      </c>
      <c r="G647" t="s">
        <v>7</v>
      </c>
      <c r="H647">
        <v>30</v>
      </c>
      <c r="I647" t="s">
        <v>8</v>
      </c>
      <c r="J647">
        <v>2</v>
      </c>
      <c r="K647">
        <v>50</v>
      </c>
    </row>
    <row r="648" spans="5:11" x14ac:dyDescent="0.25">
      <c r="E648">
        <v>1038</v>
      </c>
      <c r="F648" s="7">
        <v>45465</v>
      </c>
      <c r="G648" t="s">
        <v>7</v>
      </c>
      <c r="H648">
        <v>22</v>
      </c>
      <c r="I648" t="s">
        <v>8</v>
      </c>
      <c r="J648">
        <v>7</v>
      </c>
      <c r="K648">
        <v>55</v>
      </c>
    </row>
    <row r="649" spans="5:11" x14ac:dyDescent="0.25">
      <c r="E649">
        <v>86</v>
      </c>
      <c r="F649" s="7">
        <v>45238</v>
      </c>
      <c r="G649" t="s">
        <v>7</v>
      </c>
      <c r="H649">
        <v>19</v>
      </c>
      <c r="I649" t="s">
        <v>8</v>
      </c>
      <c r="J649">
        <v>3</v>
      </c>
      <c r="K649">
        <v>30</v>
      </c>
    </row>
    <row r="650" spans="5:11" x14ac:dyDescent="0.25">
      <c r="E650">
        <v>1813</v>
      </c>
      <c r="F650" s="7">
        <v>45596</v>
      </c>
      <c r="G650" t="s">
        <v>7</v>
      </c>
      <c r="H650">
        <v>65</v>
      </c>
      <c r="I650" t="s">
        <v>8</v>
      </c>
      <c r="J650">
        <v>6</v>
      </c>
      <c r="K650">
        <v>398</v>
      </c>
    </row>
    <row r="651" spans="5:11" x14ac:dyDescent="0.25">
      <c r="E651">
        <v>1917</v>
      </c>
      <c r="F651" s="7">
        <v>45298</v>
      </c>
      <c r="G651" t="s">
        <v>7</v>
      </c>
      <c r="H651">
        <v>30</v>
      </c>
      <c r="I651" t="s">
        <v>11</v>
      </c>
      <c r="J651">
        <v>6</v>
      </c>
      <c r="K651">
        <v>489</v>
      </c>
    </row>
    <row r="652" spans="5:11" x14ac:dyDescent="0.25">
      <c r="E652">
        <v>1550</v>
      </c>
      <c r="F652" s="7">
        <v>45382</v>
      </c>
      <c r="G652" t="s">
        <v>7</v>
      </c>
      <c r="H652">
        <v>53</v>
      </c>
      <c r="I652" t="s">
        <v>10</v>
      </c>
      <c r="J652">
        <v>4</v>
      </c>
      <c r="K652">
        <v>268</v>
      </c>
    </row>
    <row r="653" spans="5:11" x14ac:dyDescent="0.25">
      <c r="E653">
        <v>262</v>
      </c>
      <c r="F653" s="7">
        <v>45166</v>
      </c>
      <c r="G653" t="s">
        <v>7</v>
      </c>
      <c r="H653">
        <v>23</v>
      </c>
      <c r="I653" t="s">
        <v>8</v>
      </c>
      <c r="J653">
        <v>2</v>
      </c>
      <c r="K653">
        <v>30</v>
      </c>
    </row>
    <row r="654" spans="5:11" x14ac:dyDescent="0.25">
      <c r="E654">
        <v>1583</v>
      </c>
      <c r="F654" s="7">
        <v>45637</v>
      </c>
      <c r="G654" t="s">
        <v>7</v>
      </c>
      <c r="H654">
        <v>25</v>
      </c>
      <c r="I654" t="s">
        <v>11</v>
      </c>
      <c r="J654">
        <v>3</v>
      </c>
      <c r="K654">
        <v>115</v>
      </c>
    </row>
    <row r="655" spans="5:11" x14ac:dyDescent="0.25">
      <c r="E655">
        <v>815</v>
      </c>
      <c r="F655" s="7">
        <v>45230</v>
      </c>
      <c r="G655" t="s">
        <v>7</v>
      </c>
      <c r="H655">
        <v>30</v>
      </c>
      <c r="I655" t="s">
        <v>8</v>
      </c>
      <c r="J655">
        <v>4</v>
      </c>
      <c r="K655">
        <v>50</v>
      </c>
    </row>
    <row r="656" spans="5:11" x14ac:dyDescent="0.25">
      <c r="E656">
        <v>1115</v>
      </c>
      <c r="F656" s="7">
        <v>45366</v>
      </c>
      <c r="G656" t="s">
        <v>7</v>
      </c>
      <c r="H656">
        <v>38</v>
      </c>
      <c r="I656" t="s">
        <v>11</v>
      </c>
      <c r="J656">
        <v>4</v>
      </c>
      <c r="K656">
        <v>43</v>
      </c>
    </row>
    <row r="657" spans="5:11" x14ac:dyDescent="0.25">
      <c r="E657">
        <v>995</v>
      </c>
      <c r="F657" s="7">
        <v>45247</v>
      </c>
      <c r="G657" t="s">
        <v>7</v>
      </c>
      <c r="H657">
        <v>52</v>
      </c>
      <c r="I657" t="s">
        <v>8</v>
      </c>
      <c r="J657">
        <v>3</v>
      </c>
      <c r="K657">
        <v>30</v>
      </c>
    </row>
    <row r="658" spans="5:11" x14ac:dyDescent="0.25">
      <c r="E658">
        <v>899</v>
      </c>
      <c r="F658" s="7">
        <v>45026</v>
      </c>
      <c r="G658" t="s">
        <v>7</v>
      </c>
      <c r="H658">
        <v>31</v>
      </c>
      <c r="I658" t="s">
        <v>11</v>
      </c>
      <c r="J658">
        <v>1</v>
      </c>
      <c r="K658">
        <v>30</v>
      </c>
    </row>
    <row r="659" spans="5:11" x14ac:dyDescent="0.25">
      <c r="E659">
        <v>1591</v>
      </c>
      <c r="F659" s="7">
        <v>45536</v>
      </c>
      <c r="G659" t="s">
        <v>9</v>
      </c>
      <c r="H659">
        <v>26</v>
      </c>
      <c r="I659" t="s">
        <v>11</v>
      </c>
      <c r="J659">
        <v>5</v>
      </c>
      <c r="K659">
        <v>211</v>
      </c>
    </row>
    <row r="660" spans="5:11" x14ac:dyDescent="0.25">
      <c r="E660">
        <v>345</v>
      </c>
      <c r="F660" s="7">
        <v>44968</v>
      </c>
      <c r="G660" t="s">
        <v>7</v>
      </c>
      <c r="H660">
        <v>59</v>
      </c>
      <c r="I660" t="s">
        <v>10</v>
      </c>
      <c r="J660">
        <v>2</v>
      </c>
      <c r="K660">
        <v>500</v>
      </c>
    </row>
    <row r="661" spans="5:11" x14ac:dyDescent="0.25">
      <c r="E661">
        <v>1652</v>
      </c>
      <c r="F661" s="7">
        <v>45569</v>
      </c>
      <c r="G661" t="s">
        <v>7</v>
      </c>
      <c r="H661">
        <v>36</v>
      </c>
      <c r="I661" t="s">
        <v>8</v>
      </c>
      <c r="J661">
        <v>4</v>
      </c>
      <c r="K661">
        <v>495</v>
      </c>
    </row>
    <row r="662" spans="5:11" x14ac:dyDescent="0.25">
      <c r="E662">
        <v>883</v>
      </c>
      <c r="F662" s="7">
        <v>44988</v>
      </c>
      <c r="G662" t="s">
        <v>9</v>
      </c>
      <c r="H662">
        <v>52</v>
      </c>
      <c r="I662" t="s">
        <v>10</v>
      </c>
      <c r="J662">
        <v>4</v>
      </c>
      <c r="K662">
        <v>30</v>
      </c>
    </row>
    <row r="663" spans="5:11" x14ac:dyDescent="0.25">
      <c r="E663">
        <v>1287</v>
      </c>
      <c r="F663" s="7">
        <v>45569</v>
      </c>
      <c r="G663" t="s">
        <v>9</v>
      </c>
      <c r="H663">
        <v>45</v>
      </c>
      <c r="I663" t="s">
        <v>8</v>
      </c>
      <c r="J663">
        <v>1</v>
      </c>
      <c r="K663">
        <v>260</v>
      </c>
    </row>
    <row r="664" spans="5:11" x14ac:dyDescent="0.25">
      <c r="E664">
        <v>1228</v>
      </c>
      <c r="F664" s="7">
        <v>45295</v>
      </c>
      <c r="G664" t="s">
        <v>9</v>
      </c>
      <c r="H664">
        <v>27</v>
      </c>
      <c r="I664" t="s">
        <v>10</v>
      </c>
      <c r="J664">
        <v>1</v>
      </c>
      <c r="K664">
        <v>247</v>
      </c>
    </row>
    <row r="665" spans="5:11" x14ac:dyDescent="0.25">
      <c r="E665">
        <v>915</v>
      </c>
      <c r="F665" s="7">
        <v>44991</v>
      </c>
      <c r="G665" t="s">
        <v>9</v>
      </c>
      <c r="H665">
        <v>57</v>
      </c>
      <c r="I665" t="s">
        <v>11</v>
      </c>
      <c r="J665">
        <v>4</v>
      </c>
      <c r="K665">
        <v>50</v>
      </c>
    </row>
    <row r="666" spans="5:11" x14ac:dyDescent="0.25">
      <c r="E666">
        <v>185</v>
      </c>
      <c r="F666" s="7">
        <v>44984</v>
      </c>
      <c r="G666" t="s">
        <v>7</v>
      </c>
      <c r="H666">
        <v>24</v>
      </c>
      <c r="I666" t="s">
        <v>10</v>
      </c>
      <c r="J666">
        <v>1</v>
      </c>
      <c r="K666">
        <v>25</v>
      </c>
    </row>
    <row r="667" spans="5:11" x14ac:dyDescent="0.25">
      <c r="E667">
        <v>615</v>
      </c>
      <c r="F667" s="7">
        <v>45192</v>
      </c>
      <c r="G667" t="s">
        <v>7</v>
      </c>
      <c r="H667">
        <v>41</v>
      </c>
      <c r="I667" t="s">
        <v>10</v>
      </c>
      <c r="J667">
        <v>2</v>
      </c>
      <c r="K667">
        <v>50</v>
      </c>
    </row>
    <row r="668" spans="5:11" x14ac:dyDescent="0.25">
      <c r="E668">
        <v>1019</v>
      </c>
      <c r="F668" s="7">
        <v>45305</v>
      </c>
      <c r="G668" t="s">
        <v>9</v>
      </c>
      <c r="H668">
        <v>49</v>
      </c>
      <c r="I668" t="s">
        <v>8</v>
      </c>
      <c r="J668">
        <v>2</v>
      </c>
      <c r="K668">
        <v>150</v>
      </c>
    </row>
    <row r="669" spans="5:11" x14ac:dyDescent="0.25">
      <c r="E669">
        <v>969</v>
      </c>
      <c r="F669" s="7">
        <v>45265</v>
      </c>
      <c r="G669" t="s">
        <v>9</v>
      </c>
      <c r="H669">
        <v>27</v>
      </c>
      <c r="I669" t="s">
        <v>11</v>
      </c>
      <c r="J669">
        <v>4</v>
      </c>
      <c r="K669">
        <v>50</v>
      </c>
    </row>
    <row r="670" spans="5:11" x14ac:dyDescent="0.25">
      <c r="E670">
        <v>238</v>
      </c>
      <c r="F670" s="7">
        <v>45096</v>
      </c>
      <c r="G670" t="s">
        <v>7</v>
      </c>
      <c r="H670">
        <v>38</v>
      </c>
      <c r="I670" t="s">
        <v>11</v>
      </c>
      <c r="J670">
        <v>3</v>
      </c>
      <c r="K670">
        <v>500</v>
      </c>
    </row>
    <row r="671" spans="5:11" x14ac:dyDescent="0.25">
      <c r="E671">
        <v>252</v>
      </c>
      <c r="F671" s="7">
        <v>45169</v>
      </c>
      <c r="G671" t="s">
        <v>9</v>
      </c>
      <c r="H671">
        <v>53</v>
      </c>
      <c r="I671" t="s">
        <v>10</v>
      </c>
      <c r="J671">
        <v>4</v>
      </c>
      <c r="K671">
        <v>500</v>
      </c>
    </row>
    <row r="672" spans="5:11" x14ac:dyDescent="0.25">
      <c r="E672">
        <v>534</v>
      </c>
      <c r="F672" s="7">
        <v>45266</v>
      </c>
      <c r="G672" t="s">
        <v>7</v>
      </c>
      <c r="H672">
        <v>47</v>
      </c>
      <c r="I672" t="s">
        <v>8</v>
      </c>
      <c r="J672">
        <v>3</v>
      </c>
      <c r="K672">
        <v>30</v>
      </c>
    </row>
    <row r="673" spans="5:11" x14ac:dyDescent="0.25">
      <c r="E673">
        <v>1510</v>
      </c>
      <c r="F673" s="7">
        <v>45554</v>
      </c>
      <c r="G673" t="s">
        <v>7</v>
      </c>
      <c r="H673">
        <v>45</v>
      </c>
      <c r="I673" t="s">
        <v>11</v>
      </c>
      <c r="J673">
        <v>2</v>
      </c>
      <c r="K673">
        <v>330</v>
      </c>
    </row>
    <row r="674" spans="5:11" x14ac:dyDescent="0.25">
      <c r="E674">
        <v>1322</v>
      </c>
      <c r="F674" s="7">
        <v>45537</v>
      </c>
      <c r="G674" t="s">
        <v>9</v>
      </c>
      <c r="H674">
        <v>63</v>
      </c>
      <c r="I674" t="s">
        <v>11</v>
      </c>
      <c r="J674">
        <v>6</v>
      </c>
      <c r="K674">
        <v>77</v>
      </c>
    </row>
    <row r="675" spans="5:11" x14ac:dyDescent="0.25">
      <c r="E675">
        <v>1941</v>
      </c>
      <c r="F675" s="7">
        <v>45335</v>
      </c>
      <c r="G675" t="s">
        <v>7</v>
      </c>
      <c r="H675">
        <v>61</v>
      </c>
      <c r="I675" t="s">
        <v>8</v>
      </c>
      <c r="J675">
        <v>6</v>
      </c>
      <c r="K675">
        <v>448</v>
      </c>
    </row>
    <row r="676" spans="5:11" x14ac:dyDescent="0.25">
      <c r="E676">
        <v>1192</v>
      </c>
      <c r="F676" s="7">
        <v>45541</v>
      </c>
      <c r="G676" t="s">
        <v>7</v>
      </c>
      <c r="H676">
        <v>26</v>
      </c>
      <c r="I676" t="s">
        <v>10</v>
      </c>
      <c r="J676">
        <v>5</v>
      </c>
      <c r="K676">
        <v>328</v>
      </c>
    </row>
    <row r="677" spans="5:11" x14ac:dyDescent="0.25">
      <c r="E677">
        <v>126</v>
      </c>
      <c r="F677" s="7">
        <v>45225</v>
      </c>
      <c r="G677" t="s">
        <v>9</v>
      </c>
      <c r="H677">
        <v>28</v>
      </c>
      <c r="I677" t="s">
        <v>10</v>
      </c>
      <c r="J677">
        <v>3</v>
      </c>
      <c r="K677">
        <v>30</v>
      </c>
    </row>
    <row r="678" spans="5:11" x14ac:dyDescent="0.25">
      <c r="E678">
        <v>1031</v>
      </c>
      <c r="F678" s="7">
        <v>45374</v>
      </c>
      <c r="G678" t="s">
        <v>9</v>
      </c>
      <c r="H678">
        <v>31</v>
      </c>
      <c r="I678" t="s">
        <v>11</v>
      </c>
      <c r="J678">
        <v>1</v>
      </c>
      <c r="K678">
        <v>296</v>
      </c>
    </row>
    <row r="679" spans="5:11" x14ac:dyDescent="0.25">
      <c r="E679">
        <v>388</v>
      </c>
      <c r="F679" s="7">
        <v>45261</v>
      </c>
      <c r="G679" t="s">
        <v>7</v>
      </c>
      <c r="H679">
        <v>21</v>
      </c>
      <c r="I679" t="s">
        <v>10</v>
      </c>
      <c r="J679">
        <v>2</v>
      </c>
      <c r="K679">
        <v>25</v>
      </c>
    </row>
    <row r="680" spans="5:11" x14ac:dyDescent="0.25">
      <c r="E680">
        <v>1359</v>
      </c>
      <c r="F680" s="7">
        <v>45623</v>
      </c>
      <c r="G680" t="s">
        <v>7</v>
      </c>
      <c r="H680">
        <v>51</v>
      </c>
      <c r="I680" t="s">
        <v>10</v>
      </c>
      <c r="J680">
        <v>4</v>
      </c>
      <c r="K680">
        <v>53</v>
      </c>
    </row>
    <row r="681" spans="5:11" x14ac:dyDescent="0.25">
      <c r="E681">
        <v>1132</v>
      </c>
      <c r="F681" s="7">
        <v>45316</v>
      </c>
      <c r="G681" t="s">
        <v>7</v>
      </c>
      <c r="H681">
        <v>30</v>
      </c>
      <c r="I681" t="s">
        <v>11</v>
      </c>
      <c r="J681">
        <v>5</v>
      </c>
      <c r="K681">
        <v>450</v>
      </c>
    </row>
    <row r="682" spans="5:11" x14ac:dyDescent="0.25">
      <c r="E682">
        <v>1580</v>
      </c>
      <c r="F682" s="7">
        <v>45464</v>
      </c>
      <c r="G682" t="s">
        <v>9</v>
      </c>
      <c r="H682">
        <v>56</v>
      </c>
      <c r="I682" t="s">
        <v>11</v>
      </c>
      <c r="J682">
        <v>5</v>
      </c>
      <c r="K682">
        <v>431</v>
      </c>
    </row>
    <row r="683" spans="5:11" x14ac:dyDescent="0.25">
      <c r="E683">
        <v>833</v>
      </c>
      <c r="F683" s="7">
        <v>45176</v>
      </c>
      <c r="G683" t="s">
        <v>7</v>
      </c>
      <c r="H683">
        <v>37</v>
      </c>
      <c r="I683" t="s">
        <v>10</v>
      </c>
      <c r="J683">
        <v>4</v>
      </c>
      <c r="K683">
        <v>50</v>
      </c>
    </row>
    <row r="684" spans="5:11" x14ac:dyDescent="0.25">
      <c r="E684">
        <v>182</v>
      </c>
      <c r="F684" s="7">
        <v>45092</v>
      </c>
      <c r="G684" t="s">
        <v>7</v>
      </c>
      <c r="H684">
        <v>62</v>
      </c>
      <c r="I684" t="s">
        <v>8</v>
      </c>
      <c r="J684">
        <v>4</v>
      </c>
      <c r="K684">
        <v>30</v>
      </c>
    </row>
    <row r="685" spans="5:11" x14ac:dyDescent="0.25">
      <c r="E685">
        <v>1323</v>
      </c>
      <c r="F685" s="7">
        <v>45550</v>
      </c>
      <c r="G685" t="s">
        <v>9</v>
      </c>
      <c r="H685">
        <v>53</v>
      </c>
      <c r="I685" t="s">
        <v>10</v>
      </c>
      <c r="J685">
        <v>6</v>
      </c>
      <c r="K685">
        <v>205</v>
      </c>
    </row>
    <row r="686" spans="5:11" x14ac:dyDescent="0.25">
      <c r="E686">
        <v>158</v>
      </c>
      <c r="F686" s="7">
        <v>44984</v>
      </c>
      <c r="G686" t="s">
        <v>9</v>
      </c>
      <c r="H686">
        <v>44</v>
      </c>
      <c r="I686" t="s">
        <v>11</v>
      </c>
      <c r="J686">
        <v>2</v>
      </c>
      <c r="K686">
        <v>300</v>
      </c>
    </row>
    <row r="687" spans="5:11" x14ac:dyDescent="0.25">
      <c r="E687">
        <v>1157</v>
      </c>
      <c r="F687" s="7">
        <v>45443</v>
      </c>
      <c r="G687" t="s">
        <v>7</v>
      </c>
      <c r="H687">
        <v>23</v>
      </c>
      <c r="I687" t="s">
        <v>10</v>
      </c>
      <c r="J687">
        <v>3</v>
      </c>
      <c r="K687">
        <v>239</v>
      </c>
    </row>
    <row r="688" spans="5:11" x14ac:dyDescent="0.25">
      <c r="E688">
        <v>1764</v>
      </c>
      <c r="F688" s="7">
        <v>45305</v>
      </c>
      <c r="G688" t="s">
        <v>9</v>
      </c>
      <c r="H688">
        <v>44</v>
      </c>
      <c r="I688" t="s">
        <v>8</v>
      </c>
      <c r="J688">
        <v>1</v>
      </c>
      <c r="K688">
        <v>499</v>
      </c>
    </row>
    <row r="689" spans="5:11" x14ac:dyDescent="0.25">
      <c r="E689">
        <v>1690</v>
      </c>
      <c r="F689" s="7">
        <v>45432</v>
      </c>
      <c r="G689" t="s">
        <v>9</v>
      </c>
      <c r="H689">
        <v>27</v>
      </c>
      <c r="I689" t="s">
        <v>11</v>
      </c>
      <c r="J689">
        <v>7</v>
      </c>
      <c r="K689">
        <v>144</v>
      </c>
    </row>
    <row r="690" spans="5:11" x14ac:dyDescent="0.25">
      <c r="E690">
        <v>805</v>
      </c>
      <c r="F690" s="7">
        <v>45149</v>
      </c>
      <c r="G690" t="s">
        <v>9</v>
      </c>
      <c r="H690">
        <v>50</v>
      </c>
      <c r="I690" t="s">
        <v>11</v>
      </c>
      <c r="J690">
        <v>4</v>
      </c>
      <c r="K690">
        <v>50</v>
      </c>
    </row>
    <row r="691" spans="5:11" x14ac:dyDescent="0.25">
      <c r="E691">
        <v>1597</v>
      </c>
      <c r="F691" s="7">
        <v>45587</v>
      </c>
      <c r="G691" t="s">
        <v>9</v>
      </c>
      <c r="H691">
        <v>59</v>
      </c>
      <c r="I691" t="s">
        <v>8</v>
      </c>
      <c r="J691">
        <v>6</v>
      </c>
      <c r="K691">
        <v>500</v>
      </c>
    </row>
    <row r="692" spans="5:11" x14ac:dyDescent="0.25">
      <c r="E692">
        <v>769</v>
      </c>
      <c r="F692" s="7">
        <v>45273</v>
      </c>
      <c r="G692" t="s">
        <v>7</v>
      </c>
      <c r="H692">
        <v>24</v>
      </c>
      <c r="I692" t="s">
        <v>11</v>
      </c>
      <c r="J692">
        <v>2</v>
      </c>
      <c r="K692">
        <v>25</v>
      </c>
    </row>
    <row r="693" spans="5:11" x14ac:dyDescent="0.25">
      <c r="E693">
        <v>1497</v>
      </c>
      <c r="F693" s="7">
        <v>45352</v>
      </c>
      <c r="G693" t="s">
        <v>9</v>
      </c>
      <c r="H693">
        <v>18</v>
      </c>
      <c r="I693" t="s">
        <v>8</v>
      </c>
      <c r="J693">
        <v>2</v>
      </c>
      <c r="K693">
        <v>449</v>
      </c>
    </row>
    <row r="694" spans="5:11" x14ac:dyDescent="0.25">
      <c r="E694">
        <v>1097</v>
      </c>
      <c r="F694" s="7">
        <v>45643</v>
      </c>
      <c r="G694" t="s">
        <v>9</v>
      </c>
      <c r="H694">
        <v>27</v>
      </c>
      <c r="I694" t="s">
        <v>11</v>
      </c>
      <c r="J694">
        <v>6</v>
      </c>
      <c r="K694">
        <v>319</v>
      </c>
    </row>
    <row r="695" spans="5:11" x14ac:dyDescent="0.25">
      <c r="E695">
        <v>916</v>
      </c>
      <c r="F695" s="7">
        <v>45253</v>
      </c>
      <c r="G695" t="s">
        <v>9</v>
      </c>
      <c r="H695">
        <v>42</v>
      </c>
      <c r="I695" t="s">
        <v>11</v>
      </c>
      <c r="J695">
        <v>3</v>
      </c>
      <c r="K695">
        <v>30</v>
      </c>
    </row>
    <row r="696" spans="5:11" x14ac:dyDescent="0.25">
      <c r="E696">
        <v>742</v>
      </c>
      <c r="F696" s="7">
        <v>45053</v>
      </c>
      <c r="G696" t="s">
        <v>7</v>
      </c>
      <c r="H696">
        <v>40</v>
      </c>
      <c r="I696" t="s">
        <v>11</v>
      </c>
      <c r="J696">
        <v>1</v>
      </c>
      <c r="K696">
        <v>25</v>
      </c>
    </row>
    <row r="697" spans="5:11" x14ac:dyDescent="0.25">
      <c r="E697">
        <v>1281</v>
      </c>
      <c r="F697" s="7">
        <v>45330</v>
      </c>
      <c r="G697" t="s">
        <v>7</v>
      </c>
      <c r="H697">
        <v>24</v>
      </c>
      <c r="I697" t="s">
        <v>10</v>
      </c>
      <c r="J697">
        <v>5</v>
      </c>
      <c r="K697">
        <v>261</v>
      </c>
    </row>
    <row r="698" spans="5:11" x14ac:dyDescent="0.25">
      <c r="E698">
        <v>827</v>
      </c>
      <c r="F698" s="7">
        <v>45121</v>
      </c>
      <c r="G698" t="s">
        <v>7</v>
      </c>
      <c r="H698">
        <v>61</v>
      </c>
      <c r="I698" t="s">
        <v>8</v>
      </c>
      <c r="J698">
        <v>3</v>
      </c>
      <c r="K698">
        <v>30</v>
      </c>
    </row>
    <row r="699" spans="5:11" x14ac:dyDescent="0.25">
      <c r="E699">
        <v>1746</v>
      </c>
      <c r="F699" s="7">
        <v>45357</v>
      </c>
      <c r="G699" t="s">
        <v>9</v>
      </c>
      <c r="H699">
        <v>38</v>
      </c>
      <c r="I699" t="s">
        <v>10</v>
      </c>
      <c r="J699">
        <v>5</v>
      </c>
      <c r="K699">
        <v>340</v>
      </c>
    </row>
    <row r="700" spans="5:11" x14ac:dyDescent="0.25">
      <c r="E700">
        <v>1285</v>
      </c>
      <c r="F700" s="7">
        <v>45317</v>
      </c>
      <c r="G700" t="s">
        <v>7</v>
      </c>
      <c r="H700">
        <v>61</v>
      </c>
      <c r="I700" t="s">
        <v>10</v>
      </c>
      <c r="J700">
        <v>6</v>
      </c>
      <c r="K700">
        <v>289</v>
      </c>
    </row>
    <row r="701" spans="5:11" x14ac:dyDescent="0.25">
      <c r="E701">
        <v>455</v>
      </c>
      <c r="F701" s="7">
        <v>45213</v>
      </c>
      <c r="G701" t="s">
        <v>7</v>
      </c>
      <c r="H701">
        <v>57</v>
      </c>
      <c r="I701" t="s">
        <v>11</v>
      </c>
      <c r="J701">
        <v>2</v>
      </c>
      <c r="K701">
        <v>30</v>
      </c>
    </row>
    <row r="702" spans="5:11" x14ac:dyDescent="0.25">
      <c r="E702">
        <v>1573</v>
      </c>
      <c r="F702" s="7">
        <v>45630</v>
      </c>
      <c r="G702" t="s">
        <v>9</v>
      </c>
      <c r="H702">
        <v>31</v>
      </c>
      <c r="I702" t="s">
        <v>8</v>
      </c>
      <c r="J702">
        <v>6</v>
      </c>
      <c r="K702">
        <v>250</v>
      </c>
    </row>
    <row r="703" spans="5:11" x14ac:dyDescent="0.25">
      <c r="E703">
        <v>1169</v>
      </c>
      <c r="F703" s="7">
        <v>45620</v>
      </c>
      <c r="G703" t="s">
        <v>9</v>
      </c>
      <c r="H703">
        <v>57</v>
      </c>
      <c r="I703" t="s">
        <v>10</v>
      </c>
      <c r="J703">
        <v>7</v>
      </c>
      <c r="K703">
        <v>217</v>
      </c>
    </row>
    <row r="704" spans="5:11" x14ac:dyDescent="0.25">
      <c r="E704">
        <v>184</v>
      </c>
      <c r="F704" s="7">
        <v>44936</v>
      </c>
      <c r="G704" t="s">
        <v>7</v>
      </c>
      <c r="H704">
        <v>31</v>
      </c>
      <c r="I704" t="s">
        <v>11</v>
      </c>
      <c r="J704">
        <v>4</v>
      </c>
      <c r="K704">
        <v>50</v>
      </c>
    </row>
    <row r="705" spans="5:11" x14ac:dyDescent="0.25">
      <c r="E705">
        <v>67</v>
      </c>
      <c r="F705" s="7">
        <v>45075</v>
      </c>
      <c r="G705" t="s">
        <v>9</v>
      </c>
      <c r="H705">
        <v>48</v>
      </c>
      <c r="I705" t="s">
        <v>8</v>
      </c>
      <c r="J705">
        <v>4</v>
      </c>
      <c r="K705">
        <v>300</v>
      </c>
    </row>
    <row r="706" spans="5:11" x14ac:dyDescent="0.25">
      <c r="E706">
        <v>618</v>
      </c>
      <c r="F706" s="7">
        <v>45212</v>
      </c>
      <c r="G706" t="s">
        <v>7</v>
      </c>
      <c r="H706">
        <v>47</v>
      </c>
      <c r="I706" t="s">
        <v>11</v>
      </c>
      <c r="J706">
        <v>4</v>
      </c>
      <c r="K706">
        <v>25</v>
      </c>
    </row>
    <row r="707" spans="5:11" x14ac:dyDescent="0.25">
      <c r="E707">
        <v>1220</v>
      </c>
      <c r="F707" s="7">
        <v>45324</v>
      </c>
      <c r="G707" t="s">
        <v>9</v>
      </c>
      <c r="H707">
        <v>31</v>
      </c>
      <c r="I707" t="s">
        <v>10</v>
      </c>
      <c r="J707">
        <v>4</v>
      </c>
      <c r="K707">
        <v>281</v>
      </c>
    </row>
    <row r="708" spans="5:11" x14ac:dyDescent="0.25">
      <c r="E708">
        <v>1579</v>
      </c>
      <c r="F708" s="7">
        <v>45610</v>
      </c>
      <c r="G708" t="s">
        <v>7</v>
      </c>
      <c r="H708">
        <v>41</v>
      </c>
      <c r="I708" t="s">
        <v>10</v>
      </c>
      <c r="J708">
        <v>4</v>
      </c>
      <c r="K708">
        <v>248</v>
      </c>
    </row>
    <row r="709" spans="5:11" x14ac:dyDescent="0.25">
      <c r="E709">
        <v>1993</v>
      </c>
      <c r="F709" s="7">
        <v>45613</v>
      </c>
      <c r="G709" t="s">
        <v>7</v>
      </c>
      <c r="H709">
        <v>56</v>
      </c>
      <c r="I709" t="s">
        <v>8</v>
      </c>
      <c r="J709">
        <v>3</v>
      </c>
      <c r="K709">
        <v>417</v>
      </c>
    </row>
    <row r="710" spans="5:11" x14ac:dyDescent="0.25">
      <c r="E710">
        <v>687</v>
      </c>
      <c r="F710" s="7">
        <v>45206</v>
      </c>
      <c r="G710" t="s">
        <v>7</v>
      </c>
      <c r="H710">
        <v>57</v>
      </c>
      <c r="I710" t="s">
        <v>11</v>
      </c>
      <c r="J710">
        <v>2</v>
      </c>
      <c r="K710">
        <v>50</v>
      </c>
    </row>
    <row r="711" spans="5:11" x14ac:dyDescent="0.25">
      <c r="E711">
        <v>396</v>
      </c>
      <c r="F711" s="7">
        <v>44995</v>
      </c>
      <c r="G711" t="s">
        <v>9</v>
      </c>
      <c r="H711">
        <v>30</v>
      </c>
      <c r="I711" t="s">
        <v>8</v>
      </c>
      <c r="J711">
        <v>1</v>
      </c>
      <c r="K711">
        <v>25</v>
      </c>
    </row>
    <row r="712" spans="5:11" x14ac:dyDescent="0.25">
      <c r="E712">
        <v>911</v>
      </c>
      <c r="F712" s="7">
        <v>44954</v>
      </c>
      <c r="G712" t="s">
        <v>7</v>
      </c>
      <c r="H712">
        <v>29</v>
      </c>
      <c r="I712" t="s">
        <v>11</v>
      </c>
      <c r="J712">
        <v>3</v>
      </c>
      <c r="K712">
        <v>30</v>
      </c>
    </row>
    <row r="713" spans="5:11" x14ac:dyDescent="0.25">
      <c r="E713">
        <v>461</v>
      </c>
      <c r="F713" s="7">
        <v>45017</v>
      </c>
      <c r="G713" t="s">
        <v>7</v>
      </c>
      <c r="H713">
        <v>63</v>
      </c>
      <c r="I713" t="s">
        <v>11</v>
      </c>
      <c r="J713">
        <v>4</v>
      </c>
      <c r="K713">
        <v>300</v>
      </c>
    </row>
    <row r="714" spans="5:11" x14ac:dyDescent="0.25">
      <c r="E714">
        <v>155</v>
      </c>
      <c r="F714" s="7">
        <v>45063</v>
      </c>
      <c r="G714" t="s">
        <v>7</v>
      </c>
      <c r="H714">
        <v>31</v>
      </c>
      <c r="I714" t="s">
        <v>11</v>
      </c>
      <c r="J714">
        <v>4</v>
      </c>
      <c r="K714">
        <v>500</v>
      </c>
    </row>
    <row r="715" spans="5:11" x14ac:dyDescent="0.25">
      <c r="E715">
        <v>693</v>
      </c>
      <c r="F715" s="7">
        <v>45150</v>
      </c>
      <c r="G715" t="s">
        <v>9</v>
      </c>
      <c r="H715">
        <v>22</v>
      </c>
      <c r="I715" t="s">
        <v>11</v>
      </c>
      <c r="J715">
        <v>3</v>
      </c>
      <c r="K715">
        <v>50</v>
      </c>
    </row>
    <row r="716" spans="5:11" x14ac:dyDescent="0.25">
      <c r="E716">
        <v>1744</v>
      </c>
      <c r="F716" s="7">
        <v>45371</v>
      </c>
      <c r="G716" t="s">
        <v>7</v>
      </c>
      <c r="H716">
        <v>52</v>
      </c>
      <c r="I716" t="s">
        <v>10</v>
      </c>
      <c r="J716">
        <v>4</v>
      </c>
      <c r="K716">
        <v>96</v>
      </c>
    </row>
    <row r="717" spans="5:11" x14ac:dyDescent="0.25">
      <c r="E717">
        <v>307</v>
      </c>
      <c r="F717" s="7">
        <v>45143</v>
      </c>
      <c r="G717" t="s">
        <v>9</v>
      </c>
      <c r="H717">
        <v>34</v>
      </c>
      <c r="I717" t="s">
        <v>8</v>
      </c>
      <c r="J717">
        <v>4</v>
      </c>
      <c r="K717">
        <v>300</v>
      </c>
    </row>
    <row r="718" spans="5:11" x14ac:dyDescent="0.25">
      <c r="E718">
        <v>813</v>
      </c>
      <c r="F718" s="7">
        <v>45165</v>
      </c>
      <c r="G718" t="s">
        <v>9</v>
      </c>
      <c r="H718">
        <v>51</v>
      </c>
      <c r="I718" t="s">
        <v>10</v>
      </c>
      <c r="J718">
        <v>3</v>
      </c>
      <c r="K718">
        <v>25</v>
      </c>
    </row>
    <row r="719" spans="5:11" x14ac:dyDescent="0.25">
      <c r="E719">
        <v>1036</v>
      </c>
      <c r="F719" s="7">
        <v>45372</v>
      </c>
      <c r="G719" t="s">
        <v>7</v>
      </c>
      <c r="H719">
        <v>46</v>
      </c>
      <c r="I719" t="s">
        <v>8</v>
      </c>
      <c r="J719">
        <v>7</v>
      </c>
      <c r="K719">
        <v>419</v>
      </c>
    </row>
    <row r="720" spans="5:11" x14ac:dyDescent="0.25">
      <c r="E720">
        <v>1942</v>
      </c>
      <c r="F720" s="7">
        <v>45420</v>
      </c>
      <c r="G720" t="s">
        <v>7</v>
      </c>
      <c r="H720">
        <v>48</v>
      </c>
      <c r="I720" t="s">
        <v>11</v>
      </c>
      <c r="J720">
        <v>5</v>
      </c>
      <c r="K720">
        <v>374</v>
      </c>
    </row>
    <row r="721" spans="5:11" x14ac:dyDescent="0.25">
      <c r="E721">
        <v>777</v>
      </c>
      <c r="F721" s="7">
        <v>45051</v>
      </c>
      <c r="G721" t="s">
        <v>9</v>
      </c>
      <c r="H721">
        <v>56</v>
      </c>
      <c r="I721" t="s">
        <v>11</v>
      </c>
      <c r="J721">
        <v>2</v>
      </c>
      <c r="K721">
        <v>500</v>
      </c>
    </row>
    <row r="722" spans="5:11" x14ac:dyDescent="0.25">
      <c r="E722">
        <v>639</v>
      </c>
      <c r="F722" s="7">
        <v>45053</v>
      </c>
      <c r="G722" t="s">
        <v>9</v>
      </c>
      <c r="H722">
        <v>51</v>
      </c>
      <c r="I722" t="s">
        <v>11</v>
      </c>
      <c r="J722">
        <v>4</v>
      </c>
      <c r="K722">
        <v>30</v>
      </c>
    </row>
    <row r="723" spans="5:11" x14ac:dyDescent="0.25">
      <c r="E723">
        <v>704</v>
      </c>
      <c r="F723" s="7">
        <v>45245</v>
      </c>
      <c r="G723" t="s">
        <v>7</v>
      </c>
      <c r="H723">
        <v>51</v>
      </c>
      <c r="I723" t="s">
        <v>11</v>
      </c>
      <c r="J723">
        <v>4</v>
      </c>
      <c r="K723">
        <v>25</v>
      </c>
    </row>
    <row r="724" spans="5:11" x14ac:dyDescent="0.25">
      <c r="E724">
        <v>1355</v>
      </c>
      <c r="F724" s="7">
        <v>45428</v>
      </c>
      <c r="G724" t="s">
        <v>9</v>
      </c>
      <c r="H724">
        <v>60</v>
      </c>
      <c r="I724" t="s">
        <v>8</v>
      </c>
      <c r="J724">
        <v>4</v>
      </c>
      <c r="K724">
        <v>322</v>
      </c>
    </row>
    <row r="725" spans="5:11" x14ac:dyDescent="0.25">
      <c r="E725">
        <v>1611</v>
      </c>
      <c r="F725" s="7">
        <v>45383</v>
      </c>
      <c r="G725" t="s">
        <v>9</v>
      </c>
      <c r="H725">
        <v>20</v>
      </c>
      <c r="I725" t="s">
        <v>8</v>
      </c>
      <c r="J725">
        <v>3</v>
      </c>
      <c r="K725">
        <v>426</v>
      </c>
    </row>
    <row r="726" spans="5:11" x14ac:dyDescent="0.25">
      <c r="E726">
        <v>1316</v>
      </c>
      <c r="F726" s="7">
        <v>45570</v>
      </c>
      <c r="G726" t="s">
        <v>7</v>
      </c>
      <c r="H726">
        <v>44</v>
      </c>
      <c r="I726" t="s">
        <v>10</v>
      </c>
      <c r="J726">
        <v>7</v>
      </c>
      <c r="K726">
        <v>380</v>
      </c>
    </row>
    <row r="727" spans="5:11" x14ac:dyDescent="0.25">
      <c r="E727">
        <v>1437</v>
      </c>
      <c r="F727" s="7">
        <v>45591</v>
      </c>
      <c r="G727" t="s">
        <v>7</v>
      </c>
      <c r="H727">
        <v>43</v>
      </c>
      <c r="I727" t="s">
        <v>10</v>
      </c>
      <c r="J727">
        <v>7</v>
      </c>
      <c r="K727">
        <v>13</v>
      </c>
    </row>
    <row r="728" spans="5:11" x14ac:dyDescent="0.25">
      <c r="E728">
        <v>902</v>
      </c>
      <c r="F728" s="7">
        <v>45111</v>
      </c>
      <c r="G728" t="s">
        <v>7</v>
      </c>
      <c r="H728">
        <v>28</v>
      </c>
      <c r="I728" t="s">
        <v>10</v>
      </c>
      <c r="J728">
        <v>1</v>
      </c>
      <c r="K728">
        <v>500</v>
      </c>
    </row>
    <row r="729" spans="5:11" x14ac:dyDescent="0.25">
      <c r="E729">
        <v>929</v>
      </c>
      <c r="F729" s="7">
        <v>45171</v>
      </c>
      <c r="G729" t="s">
        <v>7</v>
      </c>
      <c r="H729">
        <v>30</v>
      </c>
      <c r="I729" t="s">
        <v>8</v>
      </c>
      <c r="J729">
        <v>4</v>
      </c>
      <c r="K729">
        <v>30</v>
      </c>
    </row>
    <row r="730" spans="5:11" x14ac:dyDescent="0.25">
      <c r="E730">
        <v>1857</v>
      </c>
      <c r="F730" s="7">
        <v>45339</v>
      </c>
      <c r="G730" t="s">
        <v>9</v>
      </c>
      <c r="H730">
        <v>54</v>
      </c>
      <c r="I730" t="s">
        <v>10</v>
      </c>
      <c r="J730">
        <v>1</v>
      </c>
      <c r="K730">
        <v>453</v>
      </c>
    </row>
    <row r="731" spans="5:11" x14ac:dyDescent="0.25">
      <c r="E731">
        <v>61</v>
      </c>
      <c r="F731" s="7">
        <v>45025</v>
      </c>
      <c r="G731" t="s">
        <v>7</v>
      </c>
      <c r="H731">
        <v>21</v>
      </c>
      <c r="I731" t="s">
        <v>8</v>
      </c>
      <c r="J731">
        <v>4</v>
      </c>
      <c r="K731">
        <v>50</v>
      </c>
    </row>
    <row r="732" spans="5:11" x14ac:dyDescent="0.25">
      <c r="E732">
        <v>1584</v>
      </c>
      <c r="F732" s="7">
        <v>45451</v>
      </c>
      <c r="G732" t="s">
        <v>9</v>
      </c>
      <c r="H732">
        <v>27</v>
      </c>
      <c r="I732" t="s">
        <v>8</v>
      </c>
      <c r="J732">
        <v>4</v>
      </c>
      <c r="K732">
        <v>101</v>
      </c>
    </row>
    <row r="733" spans="5:11" x14ac:dyDescent="0.25">
      <c r="E733">
        <v>830</v>
      </c>
      <c r="F733" s="7">
        <v>45180</v>
      </c>
      <c r="G733" t="s">
        <v>7</v>
      </c>
      <c r="H733">
        <v>47</v>
      </c>
      <c r="I733" t="s">
        <v>8</v>
      </c>
      <c r="J733">
        <v>4</v>
      </c>
      <c r="K733">
        <v>500</v>
      </c>
    </row>
    <row r="734" spans="5:11" x14ac:dyDescent="0.25">
      <c r="E734">
        <v>1448</v>
      </c>
      <c r="F734" s="7">
        <v>45642</v>
      </c>
      <c r="G734" t="s">
        <v>9</v>
      </c>
      <c r="H734">
        <v>38</v>
      </c>
      <c r="I734" t="s">
        <v>11</v>
      </c>
      <c r="J734">
        <v>2</v>
      </c>
      <c r="K734">
        <v>29</v>
      </c>
    </row>
    <row r="735" spans="5:11" x14ac:dyDescent="0.25">
      <c r="E735">
        <v>1244</v>
      </c>
      <c r="F735" s="7">
        <v>45569</v>
      </c>
      <c r="G735" t="s">
        <v>7</v>
      </c>
      <c r="H735">
        <v>24</v>
      </c>
      <c r="I735" t="s">
        <v>11</v>
      </c>
      <c r="J735">
        <v>3</v>
      </c>
      <c r="K735">
        <v>284</v>
      </c>
    </row>
    <row r="736" spans="5:11" x14ac:dyDescent="0.25">
      <c r="E736">
        <v>1009</v>
      </c>
      <c r="F736" s="7">
        <v>45336</v>
      </c>
      <c r="G736" t="s">
        <v>7</v>
      </c>
      <c r="H736">
        <v>52</v>
      </c>
      <c r="I736" t="s">
        <v>10</v>
      </c>
      <c r="J736">
        <v>4</v>
      </c>
      <c r="K736">
        <v>321</v>
      </c>
    </row>
    <row r="737" spans="5:11" x14ac:dyDescent="0.25">
      <c r="E737">
        <v>918</v>
      </c>
      <c r="F737" s="7">
        <v>44979</v>
      </c>
      <c r="G737" t="s">
        <v>9</v>
      </c>
      <c r="H737">
        <v>28</v>
      </c>
      <c r="I737" t="s">
        <v>8</v>
      </c>
      <c r="J737">
        <v>3</v>
      </c>
      <c r="K737">
        <v>25</v>
      </c>
    </row>
    <row r="738" spans="5:11" x14ac:dyDescent="0.25">
      <c r="E738">
        <v>1896</v>
      </c>
      <c r="F738" s="7">
        <v>45343</v>
      </c>
      <c r="G738" t="s">
        <v>7</v>
      </c>
      <c r="H738">
        <v>35</v>
      </c>
      <c r="I738" t="s">
        <v>10</v>
      </c>
      <c r="J738">
        <v>1</v>
      </c>
      <c r="K738">
        <v>333</v>
      </c>
    </row>
    <row r="739" spans="5:11" x14ac:dyDescent="0.25">
      <c r="E739">
        <v>1529</v>
      </c>
      <c r="F739" s="7">
        <v>45462</v>
      </c>
      <c r="G739" t="s">
        <v>9</v>
      </c>
      <c r="H739">
        <v>46</v>
      </c>
      <c r="I739" t="s">
        <v>10</v>
      </c>
      <c r="J739">
        <v>5</v>
      </c>
      <c r="K739">
        <v>429</v>
      </c>
    </row>
    <row r="740" spans="5:11" x14ac:dyDescent="0.25">
      <c r="E740">
        <v>1753</v>
      </c>
      <c r="F740" s="7">
        <v>45651</v>
      </c>
      <c r="G740" t="s">
        <v>9</v>
      </c>
      <c r="H740">
        <v>64</v>
      </c>
      <c r="I740" t="s">
        <v>11</v>
      </c>
      <c r="J740">
        <v>1</v>
      </c>
      <c r="K740">
        <v>377</v>
      </c>
    </row>
    <row r="741" spans="5:11" x14ac:dyDescent="0.25">
      <c r="E741">
        <v>1040</v>
      </c>
      <c r="F741" s="7">
        <v>45339</v>
      </c>
      <c r="G741" t="s">
        <v>7</v>
      </c>
      <c r="H741">
        <v>49</v>
      </c>
      <c r="I741" t="s">
        <v>10</v>
      </c>
      <c r="J741">
        <v>1</v>
      </c>
      <c r="K741">
        <v>496</v>
      </c>
    </row>
    <row r="742" spans="5:11" x14ac:dyDescent="0.25">
      <c r="E742">
        <v>890</v>
      </c>
      <c r="F742" s="7">
        <v>45025</v>
      </c>
      <c r="G742" t="s">
        <v>7</v>
      </c>
      <c r="H742">
        <v>20</v>
      </c>
      <c r="I742" t="s">
        <v>11</v>
      </c>
      <c r="J742">
        <v>1</v>
      </c>
      <c r="K742">
        <v>50</v>
      </c>
    </row>
    <row r="743" spans="5:11" x14ac:dyDescent="0.25">
      <c r="E743">
        <v>435</v>
      </c>
      <c r="F743" s="7">
        <v>45003</v>
      </c>
      <c r="G743" t="s">
        <v>9</v>
      </c>
      <c r="H743">
        <v>57</v>
      </c>
      <c r="I743" t="s">
        <v>10</v>
      </c>
      <c r="J743">
        <v>4</v>
      </c>
      <c r="K743">
        <v>30</v>
      </c>
    </row>
    <row r="744" spans="5:11" x14ac:dyDescent="0.25">
      <c r="E744">
        <v>1181</v>
      </c>
      <c r="F744" s="7">
        <v>45543</v>
      </c>
      <c r="G744" t="s">
        <v>9</v>
      </c>
      <c r="H744">
        <v>21</v>
      </c>
      <c r="I744" t="s">
        <v>8</v>
      </c>
      <c r="J744">
        <v>4</v>
      </c>
      <c r="K744">
        <v>188</v>
      </c>
    </row>
    <row r="745" spans="5:11" x14ac:dyDescent="0.25">
      <c r="E745">
        <v>1921</v>
      </c>
      <c r="F745" s="7">
        <v>45538</v>
      </c>
      <c r="G745" t="s">
        <v>7</v>
      </c>
      <c r="H745">
        <v>20</v>
      </c>
      <c r="I745" t="s">
        <v>11</v>
      </c>
      <c r="J745">
        <v>7</v>
      </c>
      <c r="K745">
        <v>249</v>
      </c>
    </row>
    <row r="746" spans="5:11" x14ac:dyDescent="0.25">
      <c r="E746">
        <v>1094</v>
      </c>
      <c r="F746" s="7">
        <v>45645</v>
      </c>
      <c r="G746" t="s">
        <v>9</v>
      </c>
      <c r="H746">
        <v>40</v>
      </c>
      <c r="I746" t="s">
        <v>10</v>
      </c>
      <c r="J746">
        <v>2</v>
      </c>
      <c r="K746">
        <v>243</v>
      </c>
    </row>
    <row r="747" spans="5:11" x14ac:dyDescent="0.25">
      <c r="E747">
        <v>1053</v>
      </c>
      <c r="F747" s="7">
        <v>45575</v>
      </c>
      <c r="G747" t="s">
        <v>7</v>
      </c>
      <c r="H747">
        <v>43</v>
      </c>
      <c r="I747" t="s">
        <v>8</v>
      </c>
      <c r="J747">
        <v>6</v>
      </c>
      <c r="K747">
        <v>55</v>
      </c>
    </row>
    <row r="748" spans="5:11" x14ac:dyDescent="0.25">
      <c r="E748">
        <v>1168</v>
      </c>
      <c r="F748" s="7">
        <v>45445</v>
      </c>
      <c r="G748" t="s">
        <v>9</v>
      </c>
      <c r="H748">
        <v>22</v>
      </c>
      <c r="I748" t="s">
        <v>10</v>
      </c>
      <c r="J748">
        <v>4</v>
      </c>
      <c r="K748">
        <v>206</v>
      </c>
    </row>
    <row r="749" spans="5:11" x14ac:dyDescent="0.25">
      <c r="E749">
        <v>213</v>
      </c>
      <c r="F749" s="7">
        <v>45270</v>
      </c>
      <c r="G749" t="s">
        <v>7</v>
      </c>
      <c r="H749">
        <v>20</v>
      </c>
      <c r="I749" t="s">
        <v>8</v>
      </c>
      <c r="J749">
        <v>2</v>
      </c>
      <c r="K749">
        <v>30</v>
      </c>
    </row>
    <row r="750" spans="5:11" x14ac:dyDescent="0.25">
      <c r="E750">
        <v>1447</v>
      </c>
      <c r="F750" s="7">
        <v>45400</v>
      </c>
      <c r="G750" t="s">
        <v>9</v>
      </c>
      <c r="H750">
        <v>55</v>
      </c>
      <c r="I750" t="s">
        <v>8</v>
      </c>
      <c r="J750">
        <v>2</v>
      </c>
      <c r="K750">
        <v>85</v>
      </c>
    </row>
    <row r="751" spans="5:11" x14ac:dyDescent="0.25">
      <c r="E751">
        <v>1270</v>
      </c>
      <c r="F751" s="7">
        <v>45420</v>
      </c>
      <c r="G751" t="s">
        <v>9</v>
      </c>
      <c r="H751">
        <v>44</v>
      </c>
      <c r="I751" t="s">
        <v>8</v>
      </c>
      <c r="J751">
        <v>3</v>
      </c>
      <c r="K751">
        <v>433</v>
      </c>
    </row>
    <row r="752" spans="5:11" x14ac:dyDescent="0.25">
      <c r="E752">
        <v>1788</v>
      </c>
      <c r="F752" s="7">
        <v>45482</v>
      </c>
      <c r="G752" t="s">
        <v>9</v>
      </c>
      <c r="H752">
        <v>25</v>
      </c>
      <c r="I752" t="s">
        <v>8</v>
      </c>
      <c r="J752">
        <v>1</v>
      </c>
      <c r="K752">
        <v>145</v>
      </c>
    </row>
    <row r="753" spans="5:11" x14ac:dyDescent="0.25">
      <c r="E753">
        <v>1107</v>
      </c>
      <c r="F753" s="7">
        <v>45583</v>
      </c>
      <c r="G753" t="s">
        <v>9</v>
      </c>
      <c r="H753">
        <v>39</v>
      </c>
      <c r="I753" t="s">
        <v>11</v>
      </c>
      <c r="J753">
        <v>4</v>
      </c>
      <c r="K753">
        <v>281</v>
      </c>
    </row>
    <row r="754" spans="5:11" x14ac:dyDescent="0.25">
      <c r="E754">
        <v>1136</v>
      </c>
      <c r="F754" s="7">
        <v>45374</v>
      </c>
      <c r="G754" t="s">
        <v>7</v>
      </c>
      <c r="H754">
        <v>20</v>
      </c>
      <c r="I754" t="s">
        <v>10</v>
      </c>
      <c r="J754">
        <v>4</v>
      </c>
      <c r="K754">
        <v>166</v>
      </c>
    </row>
    <row r="755" spans="5:11" x14ac:dyDescent="0.25">
      <c r="E755">
        <v>1476</v>
      </c>
      <c r="F755" s="7">
        <v>45528</v>
      </c>
      <c r="G755" t="s">
        <v>7</v>
      </c>
      <c r="H755">
        <v>26</v>
      </c>
      <c r="I755" t="s">
        <v>11</v>
      </c>
      <c r="J755">
        <v>1</v>
      </c>
      <c r="K755">
        <v>23</v>
      </c>
    </row>
    <row r="756" spans="5:11" x14ac:dyDescent="0.25">
      <c r="E756">
        <v>391</v>
      </c>
      <c r="F756" s="7">
        <v>45268</v>
      </c>
      <c r="G756" t="s">
        <v>7</v>
      </c>
      <c r="H756">
        <v>27</v>
      </c>
      <c r="I756" t="s">
        <v>10</v>
      </c>
      <c r="J756">
        <v>2</v>
      </c>
      <c r="K756">
        <v>300</v>
      </c>
    </row>
    <row r="757" spans="5:11" x14ac:dyDescent="0.25">
      <c r="E757">
        <v>164</v>
      </c>
      <c r="F757" s="7">
        <v>45061</v>
      </c>
      <c r="G757" t="s">
        <v>9</v>
      </c>
      <c r="H757">
        <v>47</v>
      </c>
      <c r="I757" t="s">
        <v>8</v>
      </c>
      <c r="J757">
        <v>3</v>
      </c>
      <c r="K757">
        <v>500</v>
      </c>
    </row>
    <row r="758" spans="5:11" x14ac:dyDescent="0.25">
      <c r="E758">
        <v>1253</v>
      </c>
      <c r="F758" s="7">
        <v>45340</v>
      </c>
      <c r="G758" t="s">
        <v>7</v>
      </c>
      <c r="H758">
        <v>27</v>
      </c>
      <c r="I758" t="s">
        <v>10</v>
      </c>
      <c r="J758">
        <v>1</v>
      </c>
      <c r="K758">
        <v>153</v>
      </c>
    </row>
    <row r="759" spans="5:11" x14ac:dyDescent="0.25">
      <c r="E759">
        <v>1859</v>
      </c>
      <c r="F759" s="7">
        <v>45406</v>
      </c>
      <c r="G759" t="s">
        <v>9</v>
      </c>
      <c r="H759">
        <v>45</v>
      </c>
      <c r="I759" t="s">
        <v>11</v>
      </c>
      <c r="J759">
        <v>5</v>
      </c>
      <c r="K759">
        <v>116</v>
      </c>
    </row>
    <row r="760" spans="5:11" x14ac:dyDescent="0.25">
      <c r="E760">
        <v>1785</v>
      </c>
      <c r="F760" s="7">
        <v>45565</v>
      </c>
      <c r="G760" t="s">
        <v>9</v>
      </c>
      <c r="H760">
        <v>32</v>
      </c>
      <c r="I760" t="s">
        <v>10</v>
      </c>
      <c r="J760">
        <v>3</v>
      </c>
      <c r="K760">
        <v>10</v>
      </c>
    </row>
    <row r="761" spans="5:11" x14ac:dyDescent="0.25">
      <c r="E761">
        <v>1325</v>
      </c>
      <c r="F761" s="7">
        <v>45373</v>
      </c>
      <c r="G761" t="s">
        <v>7</v>
      </c>
      <c r="H761">
        <v>22</v>
      </c>
      <c r="I761" t="s">
        <v>8</v>
      </c>
      <c r="J761">
        <v>6</v>
      </c>
      <c r="K761">
        <v>26</v>
      </c>
    </row>
    <row r="762" spans="5:11" x14ac:dyDescent="0.25">
      <c r="E762">
        <v>1062</v>
      </c>
      <c r="F762" s="7">
        <v>45315</v>
      </c>
      <c r="G762" t="s">
        <v>7</v>
      </c>
      <c r="H762">
        <v>32</v>
      </c>
      <c r="I762" t="s">
        <v>10</v>
      </c>
      <c r="J762">
        <v>2</v>
      </c>
      <c r="K762">
        <v>209</v>
      </c>
    </row>
    <row r="763" spans="5:11" x14ac:dyDescent="0.25">
      <c r="E763">
        <v>596</v>
      </c>
      <c r="F763" s="7">
        <v>45160</v>
      </c>
      <c r="G763" t="s">
        <v>7</v>
      </c>
      <c r="H763">
        <v>22</v>
      </c>
      <c r="I763" t="s">
        <v>8</v>
      </c>
      <c r="J763">
        <v>4</v>
      </c>
      <c r="K763">
        <v>300</v>
      </c>
    </row>
    <row r="764" spans="5:11" x14ac:dyDescent="0.25">
      <c r="E764">
        <v>1954</v>
      </c>
      <c r="F764" s="7">
        <v>45445</v>
      </c>
      <c r="G764" t="s">
        <v>7</v>
      </c>
      <c r="H764">
        <v>46</v>
      </c>
      <c r="I764" t="s">
        <v>11</v>
      </c>
      <c r="J764">
        <v>5</v>
      </c>
      <c r="K764">
        <v>261</v>
      </c>
    </row>
    <row r="765" spans="5:11" x14ac:dyDescent="0.25">
      <c r="E765">
        <v>1945</v>
      </c>
      <c r="F765" s="7">
        <v>45506</v>
      </c>
      <c r="G765" t="s">
        <v>9</v>
      </c>
      <c r="H765">
        <v>54</v>
      </c>
      <c r="I765" t="s">
        <v>11</v>
      </c>
      <c r="J765">
        <v>7</v>
      </c>
      <c r="K765">
        <v>397</v>
      </c>
    </row>
    <row r="766" spans="5:11" x14ac:dyDescent="0.25">
      <c r="E766">
        <v>994</v>
      </c>
      <c r="F766" s="7">
        <v>45062</v>
      </c>
      <c r="G766" t="s">
        <v>7</v>
      </c>
      <c r="H766">
        <v>62</v>
      </c>
      <c r="I766" t="s">
        <v>10</v>
      </c>
      <c r="J766">
        <v>1</v>
      </c>
      <c r="K766">
        <v>50</v>
      </c>
    </row>
    <row r="767" spans="5:11" x14ac:dyDescent="0.25">
      <c r="E767">
        <v>1429</v>
      </c>
      <c r="F767" s="7">
        <v>45296</v>
      </c>
      <c r="G767" t="s">
        <v>9</v>
      </c>
      <c r="H767">
        <v>57</v>
      </c>
      <c r="I767" t="s">
        <v>11</v>
      </c>
      <c r="J767">
        <v>4</v>
      </c>
      <c r="K767">
        <v>216</v>
      </c>
    </row>
    <row r="768" spans="5:11" x14ac:dyDescent="0.25">
      <c r="E768">
        <v>350</v>
      </c>
      <c r="F768" s="7">
        <v>45194</v>
      </c>
      <c r="G768" t="s">
        <v>9</v>
      </c>
      <c r="H768">
        <v>56</v>
      </c>
      <c r="I768" t="s">
        <v>10</v>
      </c>
      <c r="J768">
        <v>3</v>
      </c>
      <c r="K768">
        <v>30</v>
      </c>
    </row>
    <row r="769" spans="5:11" x14ac:dyDescent="0.25">
      <c r="E769">
        <v>557</v>
      </c>
      <c r="F769" s="7">
        <v>45207</v>
      </c>
      <c r="G769" t="s">
        <v>9</v>
      </c>
      <c r="H769">
        <v>41</v>
      </c>
      <c r="I769" t="s">
        <v>10</v>
      </c>
      <c r="J769">
        <v>1</v>
      </c>
      <c r="K769">
        <v>25</v>
      </c>
    </row>
    <row r="770" spans="5:11" x14ac:dyDescent="0.25">
      <c r="E770">
        <v>131</v>
      </c>
      <c r="F770" s="7">
        <v>45187</v>
      </c>
      <c r="G770" t="s">
        <v>9</v>
      </c>
      <c r="H770">
        <v>21</v>
      </c>
      <c r="I770" t="s">
        <v>8</v>
      </c>
      <c r="J770">
        <v>2</v>
      </c>
      <c r="K770">
        <v>300</v>
      </c>
    </row>
    <row r="771" spans="5:11" x14ac:dyDescent="0.25">
      <c r="E771">
        <v>1834</v>
      </c>
      <c r="F771" s="7">
        <v>45425</v>
      </c>
      <c r="G771" t="s">
        <v>7</v>
      </c>
      <c r="H771">
        <v>36</v>
      </c>
      <c r="I771" t="s">
        <v>11</v>
      </c>
      <c r="J771">
        <v>2</v>
      </c>
      <c r="K771">
        <v>268</v>
      </c>
    </row>
    <row r="772" spans="5:11" x14ac:dyDescent="0.25">
      <c r="E772">
        <v>1995</v>
      </c>
      <c r="F772" s="7">
        <v>45631</v>
      </c>
      <c r="G772" t="s">
        <v>9</v>
      </c>
      <c r="H772">
        <v>56</v>
      </c>
      <c r="I772" t="s">
        <v>11</v>
      </c>
      <c r="J772">
        <v>7</v>
      </c>
      <c r="K772">
        <v>379</v>
      </c>
    </row>
    <row r="773" spans="5:11" x14ac:dyDescent="0.25">
      <c r="E773">
        <v>1424</v>
      </c>
      <c r="F773" s="7">
        <v>45519</v>
      </c>
      <c r="G773" t="s">
        <v>7</v>
      </c>
      <c r="H773">
        <v>60</v>
      </c>
      <c r="I773" t="s">
        <v>11</v>
      </c>
      <c r="J773">
        <v>1</v>
      </c>
      <c r="K773">
        <v>163</v>
      </c>
    </row>
    <row r="774" spans="5:11" x14ac:dyDescent="0.25">
      <c r="E774">
        <v>1363</v>
      </c>
      <c r="F774" s="7">
        <v>45329</v>
      </c>
      <c r="G774" t="s">
        <v>7</v>
      </c>
      <c r="H774">
        <v>63</v>
      </c>
      <c r="I774" t="s">
        <v>10</v>
      </c>
      <c r="J774">
        <v>7</v>
      </c>
      <c r="K774">
        <v>335</v>
      </c>
    </row>
    <row r="775" spans="5:11" x14ac:dyDescent="0.25">
      <c r="E775">
        <v>1041</v>
      </c>
      <c r="F775" s="7">
        <v>45487</v>
      </c>
      <c r="G775" t="s">
        <v>9</v>
      </c>
      <c r="H775">
        <v>54</v>
      </c>
      <c r="I775" t="s">
        <v>10</v>
      </c>
      <c r="J775">
        <v>5</v>
      </c>
      <c r="K775">
        <v>340</v>
      </c>
    </row>
    <row r="776" spans="5:11" x14ac:dyDescent="0.25">
      <c r="E776">
        <v>1724</v>
      </c>
      <c r="F776" s="7">
        <v>45487</v>
      </c>
      <c r="G776" t="s">
        <v>7</v>
      </c>
      <c r="H776">
        <v>41</v>
      </c>
      <c r="I776" t="s">
        <v>11</v>
      </c>
      <c r="J776">
        <v>6</v>
      </c>
      <c r="K776">
        <v>184</v>
      </c>
    </row>
    <row r="777" spans="5:11" x14ac:dyDescent="0.25">
      <c r="E777">
        <v>125</v>
      </c>
      <c r="F777" s="7">
        <v>45146</v>
      </c>
      <c r="G777" t="s">
        <v>7</v>
      </c>
      <c r="H777">
        <v>48</v>
      </c>
      <c r="I777" t="s">
        <v>10</v>
      </c>
      <c r="J777">
        <v>2</v>
      </c>
      <c r="K777">
        <v>50</v>
      </c>
    </row>
    <row r="778" spans="5:11" x14ac:dyDescent="0.25">
      <c r="E778">
        <v>672</v>
      </c>
      <c r="F778" s="7">
        <v>45032</v>
      </c>
      <c r="G778" t="s">
        <v>9</v>
      </c>
      <c r="H778">
        <v>38</v>
      </c>
      <c r="I778" t="s">
        <v>10</v>
      </c>
      <c r="J778">
        <v>1</v>
      </c>
      <c r="K778">
        <v>300</v>
      </c>
    </row>
    <row r="779" spans="5:11" x14ac:dyDescent="0.25">
      <c r="E779">
        <v>390</v>
      </c>
      <c r="F779" s="7">
        <v>44931</v>
      </c>
      <c r="G779" t="s">
        <v>7</v>
      </c>
      <c r="H779">
        <v>19</v>
      </c>
      <c r="I779" t="s">
        <v>8</v>
      </c>
      <c r="J779">
        <v>2</v>
      </c>
      <c r="K779">
        <v>25</v>
      </c>
    </row>
    <row r="780" spans="5:11" x14ac:dyDescent="0.25">
      <c r="E780">
        <v>1420</v>
      </c>
      <c r="F780" s="7">
        <v>45359</v>
      </c>
      <c r="G780" t="s">
        <v>9</v>
      </c>
      <c r="H780">
        <v>23</v>
      </c>
      <c r="I780" t="s">
        <v>10</v>
      </c>
      <c r="J780">
        <v>7</v>
      </c>
      <c r="K780">
        <v>127</v>
      </c>
    </row>
    <row r="781" spans="5:11" x14ac:dyDescent="0.25">
      <c r="E781">
        <v>1255</v>
      </c>
      <c r="F781" s="7">
        <v>45630</v>
      </c>
      <c r="G781" t="s">
        <v>9</v>
      </c>
      <c r="H781">
        <v>48</v>
      </c>
      <c r="I781" t="s">
        <v>10</v>
      </c>
      <c r="J781">
        <v>1</v>
      </c>
      <c r="K781">
        <v>29</v>
      </c>
    </row>
    <row r="782" spans="5:11" x14ac:dyDescent="0.25">
      <c r="E782">
        <v>848</v>
      </c>
      <c r="F782" s="7">
        <v>45135</v>
      </c>
      <c r="G782" t="s">
        <v>9</v>
      </c>
      <c r="H782">
        <v>26</v>
      </c>
      <c r="I782" t="s">
        <v>8</v>
      </c>
      <c r="J782">
        <v>2</v>
      </c>
      <c r="K782">
        <v>500</v>
      </c>
    </row>
    <row r="783" spans="5:11" x14ac:dyDescent="0.25">
      <c r="E783">
        <v>1193</v>
      </c>
      <c r="F783" s="7">
        <v>45327</v>
      </c>
      <c r="G783" t="s">
        <v>7</v>
      </c>
      <c r="H783">
        <v>57</v>
      </c>
      <c r="I783" t="s">
        <v>10</v>
      </c>
      <c r="J783">
        <v>1</v>
      </c>
      <c r="K783">
        <v>259</v>
      </c>
    </row>
    <row r="784" spans="5:11" x14ac:dyDescent="0.25">
      <c r="E784">
        <v>633</v>
      </c>
      <c r="F784" s="7">
        <v>45207</v>
      </c>
      <c r="G784" t="s">
        <v>7</v>
      </c>
      <c r="H784">
        <v>60</v>
      </c>
      <c r="I784" t="s">
        <v>11</v>
      </c>
      <c r="J784">
        <v>4</v>
      </c>
      <c r="K784">
        <v>500</v>
      </c>
    </row>
    <row r="785" spans="5:11" x14ac:dyDescent="0.25">
      <c r="E785">
        <v>511</v>
      </c>
      <c r="F785" s="7">
        <v>45237</v>
      </c>
      <c r="G785" t="s">
        <v>9</v>
      </c>
      <c r="H785">
        <v>57</v>
      </c>
      <c r="I785" t="s">
        <v>8</v>
      </c>
      <c r="J785">
        <v>1</v>
      </c>
      <c r="K785">
        <v>25</v>
      </c>
    </row>
    <row r="786" spans="5:11" x14ac:dyDescent="0.25">
      <c r="E786">
        <v>839</v>
      </c>
      <c r="F786" s="7">
        <v>45232</v>
      </c>
      <c r="G786" t="s">
        <v>7</v>
      </c>
      <c r="H786">
        <v>31</v>
      </c>
      <c r="I786" t="s">
        <v>11</v>
      </c>
      <c r="J786">
        <v>4</v>
      </c>
      <c r="K786">
        <v>25</v>
      </c>
    </row>
    <row r="787" spans="5:11" x14ac:dyDescent="0.25">
      <c r="E787">
        <v>1674</v>
      </c>
      <c r="F787" s="7">
        <v>45649</v>
      </c>
      <c r="G787" t="s">
        <v>9</v>
      </c>
      <c r="H787">
        <v>58</v>
      </c>
      <c r="I787" t="s">
        <v>11</v>
      </c>
      <c r="J787">
        <v>6</v>
      </c>
      <c r="K787">
        <v>83</v>
      </c>
    </row>
    <row r="788" spans="5:11" x14ac:dyDescent="0.25">
      <c r="E788">
        <v>420</v>
      </c>
      <c r="F788" s="7">
        <v>44928</v>
      </c>
      <c r="G788" t="s">
        <v>9</v>
      </c>
      <c r="H788">
        <v>37</v>
      </c>
      <c r="I788" t="s">
        <v>10</v>
      </c>
      <c r="J788">
        <v>3</v>
      </c>
      <c r="K788">
        <v>500</v>
      </c>
    </row>
    <row r="789" spans="5:11" x14ac:dyDescent="0.25">
      <c r="E789">
        <v>27</v>
      </c>
      <c r="F789" s="7">
        <v>45141</v>
      </c>
      <c r="G789" t="s">
        <v>9</v>
      </c>
      <c r="H789">
        <v>38</v>
      </c>
      <c r="I789" t="s">
        <v>8</v>
      </c>
      <c r="J789">
        <v>2</v>
      </c>
      <c r="K789">
        <v>25</v>
      </c>
    </row>
    <row r="790" spans="5:11" x14ac:dyDescent="0.25">
      <c r="E790">
        <v>1567</v>
      </c>
      <c r="F790" s="7">
        <v>45519</v>
      </c>
      <c r="G790" t="s">
        <v>7</v>
      </c>
      <c r="H790">
        <v>47</v>
      </c>
      <c r="I790" t="s">
        <v>10</v>
      </c>
      <c r="J790">
        <v>7</v>
      </c>
      <c r="K790">
        <v>373</v>
      </c>
    </row>
    <row r="791" spans="5:11" x14ac:dyDescent="0.25">
      <c r="E791">
        <v>1466</v>
      </c>
      <c r="F791" s="7">
        <v>45420</v>
      </c>
      <c r="G791" t="s">
        <v>7</v>
      </c>
      <c r="H791">
        <v>65</v>
      </c>
      <c r="I791" t="s">
        <v>8</v>
      </c>
      <c r="J791">
        <v>6</v>
      </c>
      <c r="K791">
        <v>19</v>
      </c>
    </row>
    <row r="792" spans="5:11" x14ac:dyDescent="0.25">
      <c r="E792">
        <v>1214</v>
      </c>
      <c r="F792" s="7">
        <v>45517</v>
      </c>
      <c r="G792" t="s">
        <v>9</v>
      </c>
      <c r="H792">
        <v>31</v>
      </c>
      <c r="I792" t="s">
        <v>11</v>
      </c>
      <c r="J792">
        <v>1</v>
      </c>
      <c r="K792">
        <v>495</v>
      </c>
    </row>
    <row r="793" spans="5:11" x14ac:dyDescent="0.25">
      <c r="E793">
        <v>1658</v>
      </c>
      <c r="F793" s="7">
        <v>45648</v>
      </c>
      <c r="G793" t="s">
        <v>7</v>
      </c>
      <c r="H793">
        <v>36</v>
      </c>
      <c r="I793" t="s">
        <v>8</v>
      </c>
      <c r="J793">
        <v>3</v>
      </c>
      <c r="K793">
        <v>234</v>
      </c>
    </row>
    <row r="794" spans="5:11" x14ac:dyDescent="0.25">
      <c r="E794">
        <v>765</v>
      </c>
      <c r="F794" s="7">
        <v>45223</v>
      </c>
      <c r="G794" t="s">
        <v>7</v>
      </c>
      <c r="H794">
        <v>39</v>
      </c>
      <c r="I794" t="s">
        <v>8</v>
      </c>
      <c r="J794">
        <v>3</v>
      </c>
      <c r="K794">
        <v>25</v>
      </c>
    </row>
    <row r="795" spans="5:11" x14ac:dyDescent="0.25">
      <c r="E795">
        <v>1738</v>
      </c>
      <c r="F795" s="7">
        <v>45312</v>
      </c>
      <c r="G795" t="s">
        <v>9</v>
      </c>
      <c r="H795">
        <v>42</v>
      </c>
      <c r="I795" t="s">
        <v>11</v>
      </c>
      <c r="J795">
        <v>5</v>
      </c>
      <c r="K795">
        <v>242</v>
      </c>
    </row>
    <row r="796" spans="5:11" x14ac:dyDescent="0.25">
      <c r="E796">
        <v>276</v>
      </c>
      <c r="F796" s="7">
        <v>45156</v>
      </c>
      <c r="G796" t="s">
        <v>7</v>
      </c>
      <c r="H796">
        <v>36</v>
      </c>
      <c r="I796" t="s">
        <v>10</v>
      </c>
      <c r="J796">
        <v>4</v>
      </c>
      <c r="K796">
        <v>25</v>
      </c>
    </row>
    <row r="797" spans="5:11" x14ac:dyDescent="0.25">
      <c r="E797">
        <v>79</v>
      </c>
      <c r="F797" s="7">
        <v>45034</v>
      </c>
      <c r="G797" t="s">
        <v>7</v>
      </c>
      <c r="H797">
        <v>34</v>
      </c>
      <c r="I797" t="s">
        <v>8</v>
      </c>
      <c r="J797">
        <v>1</v>
      </c>
      <c r="K797">
        <v>300</v>
      </c>
    </row>
    <row r="798" spans="5:11" x14ac:dyDescent="0.25">
      <c r="E798">
        <v>910</v>
      </c>
      <c r="F798" s="7">
        <v>44950</v>
      </c>
      <c r="G798" t="s">
        <v>7</v>
      </c>
      <c r="H798">
        <v>51</v>
      </c>
      <c r="I798" t="s">
        <v>8</v>
      </c>
      <c r="J798">
        <v>3</v>
      </c>
      <c r="K798">
        <v>50</v>
      </c>
    </row>
    <row r="799" spans="5:11" x14ac:dyDescent="0.25">
      <c r="E799">
        <v>273</v>
      </c>
      <c r="F799" s="7">
        <v>45025</v>
      </c>
      <c r="G799" t="s">
        <v>9</v>
      </c>
      <c r="H799">
        <v>23</v>
      </c>
      <c r="I799" t="s">
        <v>10</v>
      </c>
      <c r="J799">
        <v>2</v>
      </c>
      <c r="K799">
        <v>500</v>
      </c>
    </row>
    <row r="800" spans="5:11" x14ac:dyDescent="0.25">
      <c r="E800">
        <v>1923</v>
      </c>
      <c r="F800" s="7">
        <v>45467</v>
      </c>
      <c r="G800" t="s">
        <v>7</v>
      </c>
      <c r="H800">
        <v>35</v>
      </c>
      <c r="I800" t="s">
        <v>11</v>
      </c>
      <c r="J800">
        <v>7</v>
      </c>
      <c r="K800">
        <v>460</v>
      </c>
    </row>
    <row r="801" spans="5:11" x14ac:dyDescent="0.25">
      <c r="E801">
        <v>510</v>
      </c>
      <c r="F801" s="7">
        <v>45150</v>
      </c>
      <c r="G801" t="s">
        <v>7</v>
      </c>
      <c r="H801">
        <v>45</v>
      </c>
      <c r="I801" t="s">
        <v>8</v>
      </c>
      <c r="J801">
        <v>2</v>
      </c>
      <c r="K801">
        <v>50</v>
      </c>
    </row>
    <row r="802" spans="5:11" x14ac:dyDescent="0.25">
      <c r="E802">
        <v>191</v>
      </c>
      <c r="F802" s="7">
        <v>45217</v>
      </c>
      <c r="G802" t="s">
        <v>7</v>
      </c>
      <c r="H802">
        <v>64</v>
      </c>
      <c r="I802" t="s">
        <v>8</v>
      </c>
      <c r="J802">
        <v>1</v>
      </c>
      <c r="K802">
        <v>25</v>
      </c>
    </row>
    <row r="803" spans="5:11" x14ac:dyDescent="0.25">
      <c r="E803">
        <v>1302</v>
      </c>
      <c r="F803" s="7">
        <v>45428</v>
      </c>
      <c r="G803" t="s">
        <v>9</v>
      </c>
      <c r="H803">
        <v>19</v>
      </c>
      <c r="I803" t="s">
        <v>8</v>
      </c>
      <c r="J803">
        <v>1</v>
      </c>
      <c r="K803">
        <v>99</v>
      </c>
    </row>
    <row r="804" spans="5:11" x14ac:dyDescent="0.25">
      <c r="E804">
        <v>1908</v>
      </c>
      <c r="F804" s="7">
        <v>45315</v>
      </c>
      <c r="G804" t="s">
        <v>7</v>
      </c>
      <c r="H804">
        <v>58</v>
      </c>
      <c r="I804" t="s">
        <v>8</v>
      </c>
      <c r="J804">
        <v>5</v>
      </c>
      <c r="K804">
        <v>95</v>
      </c>
    </row>
    <row r="805" spans="5:11" x14ac:dyDescent="0.25">
      <c r="E805">
        <v>838</v>
      </c>
      <c r="F805" s="7">
        <v>45070</v>
      </c>
      <c r="G805" t="s">
        <v>7</v>
      </c>
      <c r="H805">
        <v>62</v>
      </c>
      <c r="I805" t="s">
        <v>10</v>
      </c>
      <c r="J805">
        <v>2</v>
      </c>
      <c r="K805">
        <v>25</v>
      </c>
    </row>
    <row r="806" spans="5:11" x14ac:dyDescent="0.25">
      <c r="E806">
        <v>1400</v>
      </c>
      <c r="F806" s="7">
        <v>45432</v>
      </c>
      <c r="G806" t="s">
        <v>7</v>
      </c>
      <c r="H806">
        <v>52</v>
      </c>
      <c r="I806" t="s">
        <v>10</v>
      </c>
      <c r="J806">
        <v>6</v>
      </c>
      <c r="K806">
        <v>299</v>
      </c>
    </row>
    <row r="807" spans="5:11" x14ac:dyDescent="0.25">
      <c r="E807">
        <v>1469</v>
      </c>
      <c r="F807" s="7">
        <v>45652</v>
      </c>
      <c r="G807" t="s">
        <v>9</v>
      </c>
      <c r="H807">
        <v>36</v>
      </c>
      <c r="I807" t="s">
        <v>8</v>
      </c>
      <c r="J807">
        <v>2</v>
      </c>
      <c r="K807">
        <v>330</v>
      </c>
    </row>
    <row r="808" spans="5:11" x14ac:dyDescent="0.25">
      <c r="E808">
        <v>1662</v>
      </c>
      <c r="F808" s="7">
        <v>45324</v>
      </c>
      <c r="G808" t="s">
        <v>7</v>
      </c>
      <c r="H808">
        <v>61</v>
      </c>
      <c r="I808" t="s">
        <v>11</v>
      </c>
      <c r="J808">
        <v>4</v>
      </c>
      <c r="K808">
        <v>354</v>
      </c>
    </row>
    <row r="809" spans="5:11" x14ac:dyDescent="0.25">
      <c r="E809">
        <v>759</v>
      </c>
      <c r="F809" s="7">
        <v>45237</v>
      </c>
      <c r="G809" t="s">
        <v>9</v>
      </c>
      <c r="H809">
        <v>33</v>
      </c>
      <c r="I809" t="s">
        <v>10</v>
      </c>
      <c r="J809">
        <v>1</v>
      </c>
      <c r="K809">
        <v>500</v>
      </c>
    </row>
    <row r="810" spans="5:11" x14ac:dyDescent="0.25">
      <c r="E810">
        <v>357</v>
      </c>
      <c r="F810" s="7">
        <v>45062</v>
      </c>
      <c r="G810" t="s">
        <v>9</v>
      </c>
      <c r="H810">
        <v>32</v>
      </c>
      <c r="I810" t="s">
        <v>8</v>
      </c>
      <c r="J810">
        <v>1</v>
      </c>
      <c r="K810">
        <v>300</v>
      </c>
    </row>
    <row r="811" spans="5:11" x14ac:dyDescent="0.25">
      <c r="E811">
        <v>1088</v>
      </c>
      <c r="F811" s="7">
        <v>45418</v>
      </c>
      <c r="G811" t="s">
        <v>9</v>
      </c>
      <c r="H811">
        <v>22</v>
      </c>
      <c r="I811" t="s">
        <v>11</v>
      </c>
      <c r="J811">
        <v>4</v>
      </c>
      <c r="K811">
        <v>391</v>
      </c>
    </row>
    <row r="812" spans="5:11" x14ac:dyDescent="0.25">
      <c r="E812">
        <v>178</v>
      </c>
      <c r="F812" s="7">
        <v>45203</v>
      </c>
      <c r="G812" t="s">
        <v>7</v>
      </c>
      <c r="H812">
        <v>40</v>
      </c>
      <c r="I812" t="s">
        <v>10</v>
      </c>
      <c r="J812">
        <v>2</v>
      </c>
      <c r="K812">
        <v>30</v>
      </c>
    </row>
    <row r="813" spans="5:11" x14ac:dyDescent="0.25">
      <c r="E813">
        <v>1781</v>
      </c>
      <c r="F813" s="7">
        <v>45354</v>
      </c>
      <c r="G813" t="s">
        <v>9</v>
      </c>
      <c r="H813">
        <v>45</v>
      </c>
      <c r="I813" t="s">
        <v>8</v>
      </c>
      <c r="J813">
        <v>6</v>
      </c>
      <c r="K813">
        <v>88</v>
      </c>
    </row>
    <row r="814" spans="5:11" x14ac:dyDescent="0.25">
      <c r="E814">
        <v>1487</v>
      </c>
      <c r="F814" s="7">
        <v>45327</v>
      </c>
      <c r="G814" t="s">
        <v>7</v>
      </c>
      <c r="H814">
        <v>57</v>
      </c>
      <c r="I814" t="s">
        <v>10</v>
      </c>
      <c r="J814">
        <v>1</v>
      </c>
      <c r="K814">
        <v>175</v>
      </c>
    </row>
    <row r="815" spans="5:11" x14ac:dyDescent="0.25">
      <c r="E815">
        <v>315</v>
      </c>
      <c r="F815" s="7">
        <v>45038</v>
      </c>
      <c r="G815" t="s">
        <v>9</v>
      </c>
      <c r="H815">
        <v>48</v>
      </c>
      <c r="I815" t="s">
        <v>10</v>
      </c>
      <c r="J815">
        <v>2</v>
      </c>
      <c r="K815">
        <v>25</v>
      </c>
    </row>
    <row r="816" spans="5:11" x14ac:dyDescent="0.25">
      <c r="E816">
        <v>1635</v>
      </c>
      <c r="F816" s="7">
        <v>45523</v>
      </c>
      <c r="G816" t="s">
        <v>7</v>
      </c>
      <c r="H816">
        <v>60</v>
      </c>
      <c r="I816" t="s">
        <v>11</v>
      </c>
      <c r="J816">
        <v>2</v>
      </c>
      <c r="K816">
        <v>463</v>
      </c>
    </row>
    <row r="817" spans="5:11" x14ac:dyDescent="0.25">
      <c r="E817">
        <v>1940</v>
      </c>
      <c r="F817" s="7">
        <v>45448</v>
      </c>
      <c r="G817" t="s">
        <v>7</v>
      </c>
      <c r="H817">
        <v>51</v>
      </c>
      <c r="I817" t="s">
        <v>10</v>
      </c>
      <c r="J817">
        <v>6</v>
      </c>
      <c r="K817">
        <v>84</v>
      </c>
    </row>
    <row r="818" spans="5:11" x14ac:dyDescent="0.25">
      <c r="E818">
        <v>1892</v>
      </c>
      <c r="F818" s="7">
        <v>45594</v>
      </c>
      <c r="G818" t="s">
        <v>9</v>
      </c>
      <c r="H818">
        <v>58</v>
      </c>
      <c r="I818" t="s">
        <v>11</v>
      </c>
      <c r="J818">
        <v>2</v>
      </c>
      <c r="K818">
        <v>112</v>
      </c>
    </row>
    <row r="819" spans="5:11" x14ac:dyDescent="0.25">
      <c r="E819">
        <v>1151</v>
      </c>
      <c r="F819" s="7">
        <v>45642</v>
      </c>
      <c r="G819" t="s">
        <v>7</v>
      </c>
      <c r="H819">
        <v>56</v>
      </c>
      <c r="I819" t="s">
        <v>11</v>
      </c>
      <c r="J819">
        <v>6</v>
      </c>
      <c r="K819">
        <v>176</v>
      </c>
    </row>
    <row r="820" spans="5:11" x14ac:dyDescent="0.25">
      <c r="E820">
        <v>1541</v>
      </c>
      <c r="F820" s="7">
        <v>45649</v>
      </c>
      <c r="G820" t="s">
        <v>9</v>
      </c>
      <c r="H820">
        <v>52</v>
      </c>
      <c r="I820" t="s">
        <v>11</v>
      </c>
      <c r="J820">
        <v>7</v>
      </c>
      <c r="K820">
        <v>42</v>
      </c>
    </row>
    <row r="821" spans="5:11" x14ac:dyDescent="0.25">
      <c r="E821">
        <v>395</v>
      </c>
      <c r="F821" s="7">
        <v>44980</v>
      </c>
      <c r="G821" t="s">
        <v>9</v>
      </c>
      <c r="H821">
        <v>55</v>
      </c>
      <c r="I821" t="s">
        <v>8</v>
      </c>
      <c r="J821">
        <v>1</v>
      </c>
      <c r="K821">
        <v>30</v>
      </c>
    </row>
    <row r="822" spans="5:11" x14ac:dyDescent="0.25">
      <c r="E822">
        <v>1095</v>
      </c>
      <c r="F822" s="7">
        <v>45578</v>
      </c>
      <c r="G822" t="s">
        <v>9</v>
      </c>
      <c r="H822">
        <v>47</v>
      </c>
      <c r="I822" t="s">
        <v>8</v>
      </c>
      <c r="J822">
        <v>4</v>
      </c>
      <c r="K822">
        <v>404</v>
      </c>
    </row>
    <row r="823" spans="5:11" x14ac:dyDescent="0.25">
      <c r="E823">
        <v>553</v>
      </c>
      <c r="F823" s="7">
        <v>45242</v>
      </c>
      <c r="G823" t="s">
        <v>9</v>
      </c>
      <c r="H823">
        <v>46</v>
      </c>
      <c r="I823" t="s">
        <v>8</v>
      </c>
      <c r="J823">
        <v>3</v>
      </c>
      <c r="K823">
        <v>50</v>
      </c>
    </row>
    <row r="824" spans="5:11" x14ac:dyDescent="0.25">
      <c r="E824">
        <v>481</v>
      </c>
      <c r="F824" s="7">
        <v>45043</v>
      </c>
      <c r="G824" t="s">
        <v>9</v>
      </c>
      <c r="H824">
        <v>28</v>
      </c>
      <c r="I824" t="s">
        <v>10</v>
      </c>
      <c r="J824">
        <v>4</v>
      </c>
      <c r="K824">
        <v>300</v>
      </c>
    </row>
    <row r="825" spans="5:11" x14ac:dyDescent="0.25">
      <c r="E825">
        <v>680</v>
      </c>
      <c r="F825" s="7">
        <v>45171</v>
      </c>
      <c r="G825" t="s">
        <v>7</v>
      </c>
      <c r="H825">
        <v>46</v>
      </c>
      <c r="I825" t="s">
        <v>8</v>
      </c>
      <c r="J825">
        <v>4</v>
      </c>
      <c r="K825">
        <v>300</v>
      </c>
    </row>
    <row r="826" spans="5:11" x14ac:dyDescent="0.25">
      <c r="E826">
        <v>1423</v>
      </c>
      <c r="F826" s="7">
        <v>45375</v>
      </c>
      <c r="G826" t="s">
        <v>7</v>
      </c>
      <c r="H826">
        <v>37</v>
      </c>
      <c r="I826" t="s">
        <v>11</v>
      </c>
      <c r="J826">
        <v>2</v>
      </c>
      <c r="K826">
        <v>476</v>
      </c>
    </row>
    <row r="827" spans="5:11" x14ac:dyDescent="0.25">
      <c r="E827">
        <v>1703</v>
      </c>
      <c r="F827" s="7">
        <v>45566</v>
      </c>
      <c r="G827" t="s">
        <v>9</v>
      </c>
      <c r="H827">
        <v>32</v>
      </c>
      <c r="I827" t="s">
        <v>10</v>
      </c>
      <c r="J827">
        <v>6</v>
      </c>
      <c r="K827">
        <v>211</v>
      </c>
    </row>
    <row r="828" spans="5:11" x14ac:dyDescent="0.25">
      <c r="E828">
        <v>924</v>
      </c>
      <c r="F828" s="7">
        <v>45152</v>
      </c>
      <c r="G828" t="s">
        <v>7</v>
      </c>
      <c r="H828">
        <v>22</v>
      </c>
      <c r="I828" t="s">
        <v>11</v>
      </c>
      <c r="J828">
        <v>1</v>
      </c>
      <c r="K828">
        <v>30</v>
      </c>
    </row>
    <row r="829" spans="5:11" x14ac:dyDescent="0.25">
      <c r="E829">
        <v>1653</v>
      </c>
      <c r="F829" s="7">
        <v>45333</v>
      </c>
      <c r="G829" t="s">
        <v>7</v>
      </c>
      <c r="H829">
        <v>32</v>
      </c>
      <c r="I829" t="s">
        <v>10</v>
      </c>
      <c r="J829">
        <v>6</v>
      </c>
      <c r="K829">
        <v>258</v>
      </c>
    </row>
    <row r="830" spans="5:11" x14ac:dyDescent="0.25">
      <c r="E830">
        <v>706</v>
      </c>
      <c r="F830" s="7">
        <v>44940</v>
      </c>
      <c r="G830" t="s">
        <v>9</v>
      </c>
      <c r="H830">
        <v>43</v>
      </c>
      <c r="I830" t="s">
        <v>8</v>
      </c>
      <c r="J830">
        <v>3</v>
      </c>
      <c r="K830">
        <v>300</v>
      </c>
    </row>
    <row r="831" spans="5:11" x14ac:dyDescent="0.25">
      <c r="E831">
        <v>504</v>
      </c>
      <c r="F831" s="7">
        <v>44946</v>
      </c>
      <c r="G831" t="s">
        <v>7</v>
      </c>
      <c r="H831">
        <v>24</v>
      </c>
      <c r="I831" t="s">
        <v>8</v>
      </c>
      <c r="J831">
        <v>1</v>
      </c>
      <c r="K831">
        <v>50</v>
      </c>
    </row>
    <row r="832" spans="5:11" x14ac:dyDescent="0.25">
      <c r="E832">
        <v>1707</v>
      </c>
      <c r="F832" s="7">
        <v>45581</v>
      </c>
      <c r="G832" t="s">
        <v>7</v>
      </c>
      <c r="H832">
        <v>49</v>
      </c>
      <c r="I832" t="s">
        <v>11</v>
      </c>
      <c r="J832">
        <v>5</v>
      </c>
      <c r="K832">
        <v>193</v>
      </c>
    </row>
    <row r="833" spans="5:11" x14ac:dyDescent="0.25">
      <c r="E833">
        <v>507</v>
      </c>
      <c r="F833" s="7">
        <v>45149</v>
      </c>
      <c r="G833" t="s">
        <v>7</v>
      </c>
      <c r="H833">
        <v>58</v>
      </c>
      <c r="I833" t="s">
        <v>8</v>
      </c>
      <c r="J833">
        <v>2</v>
      </c>
      <c r="K833">
        <v>300</v>
      </c>
    </row>
    <row r="834" spans="5:11" x14ac:dyDescent="0.25">
      <c r="E834">
        <v>1311</v>
      </c>
      <c r="F834" s="7">
        <v>45390</v>
      </c>
      <c r="G834" t="s">
        <v>7</v>
      </c>
      <c r="H834">
        <v>65</v>
      </c>
      <c r="I834" t="s">
        <v>10</v>
      </c>
      <c r="J834">
        <v>6</v>
      </c>
      <c r="K834">
        <v>135</v>
      </c>
    </row>
    <row r="835" spans="5:11" x14ac:dyDescent="0.25">
      <c r="E835">
        <v>1851</v>
      </c>
      <c r="F835" s="7">
        <v>45536</v>
      </c>
      <c r="G835" t="s">
        <v>7</v>
      </c>
      <c r="H835">
        <v>20</v>
      </c>
      <c r="I835" t="s">
        <v>8</v>
      </c>
      <c r="J835">
        <v>3</v>
      </c>
      <c r="K835">
        <v>492</v>
      </c>
    </row>
    <row r="836" spans="5:11" x14ac:dyDescent="0.25">
      <c r="E836">
        <v>751</v>
      </c>
      <c r="F836" s="7">
        <v>44985</v>
      </c>
      <c r="G836" t="s">
        <v>9</v>
      </c>
      <c r="H836">
        <v>32</v>
      </c>
      <c r="I836" t="s">
        <v>10</v>
      </c>
      <c r="J836">
        <v>1</v>
      </c>
      <c r="K836">
        <v>30</v>
      </c>
    </row>
    <row r="837" spans="5:11" x14ac:dyDescent="0.25">
      <c r="E837">
        <v>1176</v>
      </c>
      <c r="F837" s="7">
        <v>45569</v>
      </c>
      <c r="G837" t="s">
        <v>7</v>
      </c>
      <c r="H837">
        <v>47</v>
      </c>
      <c r="I837" t="s">
        <v>10</v>
      </c>
      <c r="J837">
        <v>2</v>
      </c>
      <c r="K837">
        <v>54</v>
      </c>
    </row>
    <row r="838" spans="5:11" x14ac:dyDescent="0.25">
      <c r="E838">
        <v>1749</v>
      </c>
      <c r="F838" s="7">
        <v>45350</v>
      </c>
      <c r="G838" t="s">
        <v>9</v>
      </c>
      <c r="H838">
        <v>55</v>
      </c>
      <c r="I838" t="s">
        <v>10</v>
      </c>
      <c r="J838">
        <v>6</v>
      </c>
      <c r="K838">
        <v>158</v>
      </c>
    </row>
    <row r="839" spans="5:11" x14ac:dyDescent="0.25">
      <c r="E839">
        <v>1416</v>
      </c>
      <c r="F839" s="7">
        <v>45434</v>
      </c>
      <c r="G839" t="s">
        <v>9</v>
      </c>
      <c r="H839">
        <v>46</v>
      </c>
      <c r="I839" t="s">
        <v>10</v>
      </c>
      <c r="J839">
        <v>7</v>
      </c>
      <c r="K839">
        <v>72</v>
      </c>
    </row>
    <row r="840" spans="5:11" x14ac:dyDescent="0.25">
      <c r="E840">
        <v>146</v>
      </c>
      <c r="F840" s="7">
        <v>45166</v>
      </c>
      <c r="G840" t="s">
        <v>7</v>
      </c>
      <c r="H840">
        <v>38</v>
      </c>
      <c r="I840" t="s">
        <v>10</v>
      </c>
      <c r="J840">
        <v>4</v>
      </c>
      <c r="K840">
        <v>50</v>
      </c>
    </row>
    <row r="841" spans="5:11" x14ac:dyDescent="0.25">
      <c r="E841">
        <v>908</v>
      </c>
      <c r="F841" s="7">
        <v>44991</v>
      </c>
      <c r="G841" t="s">
        <v>9</v>
      </c>
      <c r="H841">
        <v>20</v>
      </c>
      <c r="I841" t="s">
        <v>8</v>
      </c>
      <c r="J841">
        <v>3</v>
      </c>
      <c r="K841">
        <v>50</v>
      </c>
    </row>
    <row r="842" spans="5:11" x14ac:dyDescent="0.25">
      <c r="E842">
        <v>1719</v>
      </c>
      <c r="F842" s="7">
        <v>45460</v>
      </c>
      <c r="G842" t="s">
        <v>9</v>
      </c>
      <c r="H842">
        <v>43</v>
      </c>
      <c r="I842" t="s">
        <v>8</v>
      </c>
      <c r="J842">
        <v>5</v>
      </c>
      <c r="K842">
        <v>110</v>
      </c>
    </row>
    <row r="843" spans="5:11" x14ac:dyDescent="0.25">
      <c r="E843">
        <v>1460</v>
      </c>
      <c r="F843" s="7">
        <v>45504</v>
      </c>
      <c r="G843" t="s">
        <v>9</v>
      </c>
      <c r="H843">
        <v>54</v>
      </c>
      <c r="I843" t="s">
        <v>8</v>
      </c>
      <c r="J843">
        <v>4</v>
      </c>
      <c r="K843">
        <v>415</v>
      </c>
    </row>
    <row r="844" spans="5:11" x14ac:dyDescent="0.25">
      <c r="E844">
        <v>1920</v>
      </c>
      <c r="F844" s="7">
        <v>45533</v>
      </c>
      <c r="G844" t="s">
        <v>7</v>
      </c>
      <c r="H844">
        <v>19</v>
      </c>
      <c r="I844" t="s">
        <v>8</v>
      </c>
      <c r="J844">
        <v>4</v>
      </c>
      <c r="K844">
        <v>35</v>
      </c>
    </row>
    <row r="845" spans="5:11" x14ac:dyDescent="0.25">
      <c r="E845">
        <v>1615</v>
      </c>
      <c r="F845" s="7">
        <v>45317</v>
      </c>
      <c r="G845" t="s">
        <v>9</v>
      </c>
      <c r="H845">
        <v>24</v>
      </c>
      <c r="I845" t="s">
        <v>8</v>
      </c>
      <c r="J845">
        <v>6</v>
      </c>
      <c r="K845">
        <v>293</v>
      </c>
    </row>
    <row r="846" spans="5:11" x14ac:dyDescent="0.25">
      <c r="E846">
        <v>1283</v>
      </c>
      <c r="F846" s="7">
        <v>45574</v>
      </c>
      <c r="G846" t="s">
        <v>7</v>
      </c>
      <c r="H846">
        <v>39</v>
      </c>
      <c r="I846" t="s">
        <v>11</v>
      </c>
      <c r="J846">
        <v>2</v>
      </c>
      <c r="K846">
        <v>211</v>
      </c>
    </row>
    <row r="847" spans="5:11" x14ac:dyDescent="0.25">
      <c r="E847">
        <v>1200</v>
      </c>
      <c r="F847" s="7">
        <v>45377</v>
      </c>
      <c r="G847" t="s">
        <v>9</v>
      </c>
      <c r="H847">
        <v>49</v>
      </c>
      <c r="I847" t="s">
        <v>10</v>
      </c>
      <c r="J847">
        <v>3</v>
      </c>
      <c r="K847">
        <v>467</v>
      </c>
    </row>
    <row r="848" spans="5:11" x14ac:dyDescent="0.25">
      <c r="E848">
        <v>1872</v>
      </c>
      <c r="F848" s="7">
        <v>45574</v>
      </c>
      <c r="G848" t="s">
        <v>7</v>
      </c>
      <c r="H848">
        <v>38</v>
      </c>
      <c r="I848" t="s">
        <v>10</v>
      </c>
      <c r="J848">
        <v>5</v>
      </c>
      <c r="K848">
        <v>408</v>
      </c>
    </row>
    <row r="849" spans="5:11" x14ac:dyDescent="0.25">
      <c r="E849">
        <v>1187</v>
      </c>
      <c r="F849" s="7">
        <v>45321</v>
      </c>
      <c r="G849" t="s">
        <v>7</v>
      </c>
      <c r="H849">
        <v>43</v>
      </c>
      <c r="I849" t="s">
        <v>8</v>
      </c>
      <c r="J849">
        <v>5</v>
      </c>
      <c r="K849">
        <v>440</v>
      </c>
    </row>
    <row r="850" spans="5:11" x14ac:dyDescent="0.25">
      <c r="E850">
        <v>1639</v>
      </c>
      <c r="F850" s="7">
        <v>45434</v>
      </c>
      <c r="G850" t="s">
        <v>9</v>
      </c>
      <c r="H850">
        <v>65</v>
      </c>
      <c r="I850" t="s">
        <v>10</v>
      </c>
      <c r="J850">
        <v>7</v>
      </c>
      <c r="K850">
        <v>206</v>
      </c>
    </row>
    <row r="851" spans="5:11" x14ac:dyDescent="0.25">
      <c r="E851">
        <v>874</v>
      </c>
      <c r="F851" s="7">
        <v>45208</v>
      </c>
      <c r="G851" t="s">
        <v>7</v>
      </c>
      <c r="H851">
        <v>43</v>
      </c>
      <c r="I851" t="s">
        <v>10</v>
      </c>
      <c r="J851">
        <v>4</v>
      </c>
      <c r="K851">
        <v>30</v>
      </c>
    </row>
    <row r="852" spans="5:11" x14ac:dyDescent="0.25">
      <c r="E852">
        <v>629</v>
      </c>
      <c r="F852" s="7">
        <v>45153</v>
      </c>
      <c r="G852" t="s">
        <v>7</v>
      </c>
      <c r="H852">
        <v>42</v>
      </c>
      <c r="I852" t="s">
        <v>10</v>
      </c>
      <c r="J852">
        <v>2</v>
      </c>
      <c r="K852">
        <v>50</v>
      </c>
    </row>
    <row r="853" spans="5:11" x14ac:dyDescent="0.25">
      <c r="E853">
        <v>1393</v>
      </c>
      <c r="F853" s="7">
        <v>45345</v>
      </c>
      <c r="G853" t="s">
        <v>9</v>
      </c>
      <c r="H853">
        <v>62</v>
      </c>
      <c r="I853" t="s">
        <v>8</v>
      </c>
      <c r="J853">
        <v>4</v>
      </c>
      <c r="K853">
        <v>13</v>
      </c>
    </row>
    <row r="854" spans="5:11" x14ac:dyDescent="0.25">
      <c r="E854">
        <v>650</v>
      </c>
      <c r="F854" s="7">
        <v>45047</v>
      </c>
      <c r="G854" t="s">
        <v>9</v>
      </c>
      <c r="H854">
        <v>34</v>
      </c>
      <c r="I854" t="s">
        <v>8</v>
      </c>
      <c r="J854">
        <v>2</v>
      </c>
      <c r="K854">
        <v>50</v>
      </c>
    </row>
    <row r="855" spans="5:11" x14ac:dyDescent="0.25">
      <c r="E855">
        <v>1841</v>
      </c>
      <c r="F855" s="7">
        <v>45297</v>
      </c>
      <c r="G855" t="s">
        <v>7</v>
      </c>
      <c r="H855">
        <v>54</v>
      </c>
      <c r="I855" t="s">
        <v>10</v>
      </c>
      <c r="J855">
        <v>6</v>
      </c>
      <c r="K855">
        <v>465</v>
      </c>
    </row>
    <row r="856" spans="5:11" x14ac:dyDescent="0.25">
      <c r="E856">
        <v>265</v>
      </c>
      <c r="F856" s="7">
        <v>45261</v>
      </c>
      <c r="G856" t="s">
        <v>9</v>
      </c>
      <c r="H856">
        <v>19</v>
      </c>
      <c r="I856" t="s">
        <v>11</v>
      </c>
      <c r="J856">
        <v>2</v>
      </c>
      <c r="K856">
        <v>30</v>
      </c>
    </row>
    <row r="857" spans="5:11" x14ac:dyDescent="0.25">
      <c r="E857">
        <v>229</v>
      </c>
      <c r="F857" s="7">
        <v>45039</v>
      </c>
      <c r="G857" t="s">
        <v>7</v>
      </c>
      <c r="H857">
        <v>54</v>
      </c>
      <c r="I857" t="s">
        <v>8</v>
      </c>
      <c r="J857">
        <v>1</v>
      </c>
      <c r="K857">
        <v>25</v>
      </c>
    </row>
    <row r="858" spans="5:11" x14ac:dyDescent="0.25">
      <c r="E858">
        <v>219</v>
      </c>
      <c r="F858" s="7">
        <v>44988</v>
      </c>
      <c r="G858" t="s">
        <v>7</v>
      </c>
      <c r="H858">
        <v>64</v>
      </c>
      <c r="I858" t="s">
        <v>8</v>
      </c>
      <c r="J858">
        <v>1</v>
      </c>
      <c r="K858">
        <v>500</v>
      </c>
    </row>
    <row r="859" spans="5:11" x14ac:dyDescent="0.25">
      <c r="E859">
        <v>611</v>
      </c>
      <c r="F859" s="7">
        <v>45144</v>
      </c>
      <c r="G859" t="s">
        <v>9</v>
      </c>
      <c r="H859">
        <v>61</v>
      </c>
      <c r="I859" t="s">
        <v>11</v>
      </c>
      <c r="J859">
        <v>1</v>
      </c>
      <c r="K859">
        <v>500</v>
      </c>
    </row>
    <row r="860" spans="5:11" x14ac:dyDescent="0.25">
      <c r="E860">
        <v>778</v>
      </c>
      <c r="F860" s="7">
        <v>44979</v>
      </c>
      <c r="G860" t="s">
        <v>7</v>
      </c>
      <c r="H860">
        <v>52</v>
      </c>
      <c r="I860" t="s">
        <v>11</v>
      </c>
      <c r="J860">
        <v>2</v>
      </c>
      <c r="K860">
        <v>25</v>
      </c>
    </row>
    <row r="861" spans="5:11" x14ac:dyDescent="0.25">
      <c r="E861">
        <v>16</v>
      </c>
      <c r="F861" s="7">
        <v>44974</v>
      </c>
      <c r="G861" t="s">
        <v>7</v>
      </c>
      <c r="H861">
        <v>19</v>
      </c>
      <c r="I861" t="s">
        <v>10</v>
      </c>
      <c r="J861">
        <v>3</v>
      </c>
      <c r="K861">
        <v>500</v>
      </c>
    </row>
    <row r="862" spans="5:11" x14ac:dyDescent="0.25">
      <c r="E862">
        <v>1728</v>
      </c>
      <c r="F862" s="7">
        <v>45333</v>
      </c>
      <c r="G862" t="s">
        <v>7</v>
      </c>
      <c r="H862">
        <v>49</v>
      </c>
      <c r="I862" t="s">
        <v>11</v>
      </c>
      <c r="J862">
        <v>2</v>
      </c>
      <c r="K862">
        <v>322</v>
      </c>
    </row>
    <row r="863" spans="5:11" x14ac:dyDescent="0.25">
      <c r="E863">
        <v>4</v>
      </c>
      <c r="F863" s="7">
        <v>45067</v>
      </c>
      <c r="G863" t="s">
        <v>7</v>
      </c>
      <c r="H863">
        <v>37</v>
      </c>
      <c r="I863" t="s">
        <v>10</v>
      </c>
      <c r="J863">
        <v>1</v>
      </c>
      <c r="K863">
        <v>500</v>
      </c>
    </row>
    <row r="864" spans="5:11" x14ac:dyDescent="0.25">
      <c r="E864">
        <v>559</v>
      </c>
      <c r="F864" s="7">
        <v>45082</v>
      </c>
      <c r="G864" t="s">
        <v>9</v>
      </c>
      <c r="H864">
        <v>25</v>
      </c>
      <c r="I864" t="s">
        <v>11</v>
      </c>
      <c r="J864">
        <v>1</v>
      </c>
      <c r="K864">
        <v>50</v>
      </c>
    </row>
    <row r="865" spans="5:11" x14ac:dyDescent="0.25">
      <c r="E865">
        <v>1577</v>
      </c>
      <c r="F865" s="7">
        <v>45632</v>
      </c>
      <c r="G865" t="s">
        <v>9</v>
      </c>
      <c r="H865">
        <v>53</v>
      </c>
      <c r="I865" t="s">
        <v>10</v>
      </c>
      <c r="J865">
        <v>7</v>
      </c>
      <c r="K865">
        <v>307</v>
      </c>
    </row>
    <row r="866" spans="5:11" x14ac:dyDescent="0.25">
      <c r="E866">
        <v>1640</v>
      </c>
      <c r="F866" s="7">
        <v>45559</v>
      </c>
      <c r="G866" t="s">
        <v>9</v>
      </c>
      <c r="H866">
        <v>37</v>
      </c>
      <c r="I866" t="s">
        <v>11</v>
      </c>
      <c r="J866">
        <v>7</v>
      </c>
      <c r="K866">
        <v>339</v>
      </c>
    </row>
    <row r="867" spans="5:11" x14ac:dyDescent="0.25">
      <c r="E867">
        <v>1717</v>
      </c>
      <c r="F867" s="7">
        <v>45426</v>
      </c>
      <c r="G867" t="s">
        <v>9</v>
      </c>
      <c r="H867">
        <v>32</v>
      </c>
      <c r="I867" t="s">
        <v>10</v>
      </c>
      <c r="J867">
        <v>1</v>
      </c>
      <c r="K867">
        <v>29</v>
      </c>
    </row>
    <row r="868" spans="5:11" x14ac:dyDescent="0.25">
      <c r="E868">
        <v>1965</v>
      </c>
      <c r="F868" s="7">
        <v>45401</v>
      </c>
      <c r="G868" t="s">
        <v>9</v>
      </c>
      <c r="H868">
        <v>21</v>
      </c>
      <c r="I868" t="s">
        <v>10</v>
      </c>
      <c r="J868">
        <v>2</v>
      </c>
      <c r="K868">
        <v>333</v>
      </c>
    </row>
    <row r="869" spans="5:11" x14ac:dyDescent="0.25">
      <c r="E869">
        <v>263</v>
      </c>
      <c r="F869" s="7">
        <v>44954</v>
      </c>
      <c r="G869" t="s">
        <v>7</v>
      </c>
      <c r="H869">
        <v>47</v>
      </c>
      <c r="I869" t="s">
        <v>10</v>
      </c>
      <c r="J869">
        <v>3</v>
      </c>
      <c r="K869">
        <v>300</v>
      </c>
    </row>
    <row r="870" spans="5:11" x14ac:dyDescent="0.25">
      <c r="E870">
        <v>1916</v>
      </c>
      <c r="F870" s="7">
        <v>45344</v>
      </c>
      <c r="G870" t="s">
        <v>9</v>
      </c>
      <c r="H870">
        <v>40</v>
      </c>
      <c r="I870" t="s">
        <v>8</v>
      </c>
      <c r="J870">
        <v>3</v>
      </c>
      <c r="K870">
        <v>228</v>
      </c>
    </row>
    <row r="871" spans="5:11" x14ac:dyDescent="0.25">
      <c r="E871">
        <v>288</v>
      </c>
      <c r="F871" s="7">
        <v>45260</v>
      </c>
      <c r="G871" t="s">
        <v>7</v>
      </c>
      <c r="H871">
        <v>53</v>
      </c>
      <c r="I871" t="s">
        <v>11</v>
      </c>
      <c r="J871">
        <v>2</v>
      </c>
      <c r="K871">
        <v>30</v>
      </c>
    </row>
    <row r="872" spans="5:11" x14ac:dyDescent="0.25">
      <c r="E872">
        <v>311</v>
      </c>
      <c r="F872" s="7">
        <v>45176</v>
      </c>
      <c r="G872" t="s">
        <v>7</v>
      </c>
      <c r="H872">
        <v>41</v>
      </c>
      <c r="I872" t="s">
        <v>10</v>
      </c>
      <c r="J872">
        <v>4</v>
      </c>
      <c r="K872">
        <v>30</v>
      </c>
    </row>
    <row r="873" spans="5:11" x14ac:dyDescent="0.25">
      <c r="E873">
        <v>1756</v>
      </c>
      <c r="F873" s="7">
        <v>45378</v>
      </c>
      <c r="G873" t="s">
        <v>7</v>
      </c>
      <c r="H873">
        <v>49</v>
      </c>
      <c r="I873" t="s">
        <v>8</v>
      </c>
      <c r="J873">
        <v>5</v>
      </c>
      <c r="K873">
        <v>107</v>
      </c>
    </row>
    <row r="874" spans="5:11" x14ac:dyDescent="0.25">
      <c r="E874">
        <v>192</v>
      </c>
      <c r="F874" s="7">
        <v>44967</v>
      </c>
      <c r="G874" t="s">
        <v>7</v>
      </c>
      <c r="H874">
        <v>62</v>
      </c>
      <c r="I874" t="s">
        <v>8</v>
      </c>
      <c r="J874">
        <v>2</v>
      </c>
      <c r="K874">
        <v>50</v>
      </c>
    </row>
    <row r="875" spans="5:11" x14ac:dyDescent="0.25">
      <c r="E875">
        <v>1502</v>
      </c>
      <c r="F875" s="7">
        <v>45311</v>
      </c>
      <c r="G875" t="s">
        <v>7</v>
      </c>
      <c r="H875">
        <v>23</v>
      </c>
      <c r="I875" t="s">
        <v>8</v>
      </c>
      <c r="J875">
        <v>6</v>
      </c>
      <c r="K875">
        <v>367</v>
      </c>
    </row>
    <row r="876" spans="5:11" x14ac:dyDescent="0.25">
      <c r="E876">
        <v>1039</v>
      </c>
      <c r="F876" s="7">
        <v>45344</v>
      </c>
      <c r="G876" t="s">
        <v>7</v>
      </c>
      <c r="H876">
        <v>37</v>
      </c>
      <c r="I876" t="s">
        <v>10</v>
      </c>
      <c r="J876">
        <v>6</v>
      </c>
      <c r="K876">
        <v>278</v>
      </c>
    </row>
    <row r="877" spans="5:11" x14ac:dyDescent="0.25">
      <c r="E877">
        <v>372</v>
      </c>
      <c r="F877" s="7">
        <v>45202</v>
      </c>
      <c r="G877" t="s">
        <v>9</v>
      </c>
      <c r="H877">
        <v>25</v>
      </c>
      <c r="I877" t="s">
        <v>8</v>
      </c>
      <c r="J877">
        <v>2</v>
      </c>
      <c r="K877">
        <v>300</v>
      </c>
    </row>
    <row r="878" spans="5:11" x14ac:dyDescent="0.25">
      <c r="E878">
        <v>1007</v>
      </c>
      <c r="F878" s="7">
        <v>45639</v>
      </c>
      <c r="G878" t="s">
        <v>7</v>
      </c>
      <c r="H878">
        <v>65</v>
      </c>
      <c r="I878" t="s">
        <v>11</v>
      </c>
      <c r="J878">
        <v>2</v>
      </c>
      <c r="K878">
        <v>444</v>
      </c>
    </row>
    <row r="879" spans="5:11" x14ac:dyDescent="0.25">
      <c r="E879">
        <v>1245</v>
      </c>
      <c r="F879" s="7">
        <v>45360</v>
      </c>
      <c r="G879" t="s">
        <v>7</v>
      </c>
      <c r="H879">
        <v>61</v>
      </c>
      <c r="I879" t="s">
        <v>10</v>
      </c>
      <c r="J879">
        <v>4</v>
      </c>
      <c r="K879">
        <v>392</v>
      </c>
    </row>
    <row r="880" spans="5:11" x14ac:dyDescent="0.25">
      <c r="E880">
        <v>349</v>
      </c>
      <c r="F880" s="7">
        <v>45216</v>
      </c>
      <c r="G880" t="s">
        <v>7</v>
      </c>
      <c r="H880">
        <v>25</v>
      </c>
      <c r="I880" t="s">
        <v>8</v>
      </c>
      <c r="J880">
        <v>3</v>
      </c>
      <c r="K880">
        <v>25</v>
      </c>
    </row>
    <row r="881" spans="5:11" x14ac:dyDescent="0.25">
      <c r="E881">
        <v>1641</v>
      </c>
      <c r="F881" s="7">
        <v>45541</v>
      </c>
      <c r="G881" t="s">
        <v>7</v>
      </c>
      <c r="H881">
        <v>39</v>
      </c>
      <c r="I881" t="s">
        <v>8</v>
      </c>
      <c r="J881">
        <v>2</v>
      </c>
      <c r="K881">
        <v>436</v>
      </c>
    </row>
    <row r="882" spans="5:11" x14ac:dyDescent="0.25">
      <c r="E882">
        <v>1686</v>
      </c>
      <c r="F882" s="7">
        <v>45601</v>
      </c>
      <c r="G882" t="s">
        <v>9</v>
      </c>
      <c r="H882">
        <v>43</v>
      </c>
      <c r="I882" t="s">
        <v>10</v>
      </c>
      <c r="J882">
        <v>2</v>
      </c>
      <c r="K882">
        <v>234</v>
      </c>
    </row>
    <row r="883" spans="5:11" x14ac:dyDescent="0.25">
      <c r="E883">
        <v>1449</v>
      </c>
      <c r="F883" s="7">
        <v>45420</v>
      </c>
      <c r="G883" t="s">
        <v>9</v>
      </c>
      <c r="H883">
        <v>22</v>
      </c>
      <c r="I883" t="s">
        <v>10</v>
      </c>
      <c r="J883">
        <v>2</v>
      </c>
      <c r="K883">
        <v>182</v>
      </c>
    </row>
    <row r="884" spans="5:11" x14ac:dyDescent="0.25">
      <c r="E884">
        <v>552</v>
      </c>
      <c r="F884" s="7">
        <v>45016</v>
      </c>
      <c r="G884" t="s">
        <v>7</v>
      </c>
      <c r="H884">
        <v>24</v>
      </c>
      <c r="I884" t="s">
        <v>10</v>
      </c>
      <c r="J884">
        <v>4</v>
      </c>
      <c r="K884">
        <v>300</v>
      </c>
    </row>
    <row r="885" spans="5:11" x14ac:dyDescent="0.25">
      <c r="E885">
        <v>1131</v>
      </c>
      <c r="F885" s="7">
        <v>45338</v>
      </c>
      <c r="G885" t="s">
        <v>7</v>
      </c>
      <c r="H885">
        <v>58</v>
      </c>
      <c r="I885" t="s">
        <v>11</v>
      </c>
      <c r="J885">
        <v>7</v>
      </c>
      <c r="K885">
        <v>93</v>
      </c>
    </row>
    <row r="886" spans="5:11" x14ac:dyDescent="0.25">
      <c r="E886">
        <v>750</v>
      </c>
      <c r="F886" s="7">
        <v>45269</v>
      </c>
      <c r="G886" t="s">
        <v>7</v>
      </c>
      <c r="H886">
        <v>29</v>
      </c>
      <c r="I886" t="s">
        <v>10</v>
      </c>
      <c r="J886">
        <v>2</v>
      </c>
      <c r="K886">
        <v>50</v>
      </c>
    </row>
    <row r="887" spans="5:11" x14ac:dyDescent="0.25">
      <c r="E887">
        <v>270</v>
      </c>
      <c r="F887" s="7">
        <v>45100</v>
      </c>
      <c r="G887" t="s">
        <v>9</v>
      </c>
      <c r="H887">
        <v>62</v>
      </c>
      <c r="I887" t="s">
        <v>8</v>
      </c>
      <c r="J887">
        <v>4</v>
      </c>
      <c r="K887">
        <v>30</v>
      </c>
    </row>
    <row r="888" spans="5:11" x14ac:dyDescent="0.25">
      <c r="E888">
        <v>1159</v>
      </c>
      <c r="F888" s="7">
        <v>45373</v>
      </c>
      <c r="G888" t="s">
        <v>7</v>
      </c>
      <c r="H888">
        <v>42</v>
      </c>
      <c r="I888" t="s">
        <v>8</v>
      </c>
      <c r="J888">
        <v>6</v>
      </c>
      <c r="K888">
        <v>151</v>
      </c>
    </row>
    <row r="889" spans="5:11" x14ac:dyDescent="0.25">
      <c r="E889">
        <v>1043</v>
      </c>
      <c r="F889" s="7">
        <v>45476</v>
      </c>
      <c r="G889" t="s">
        <v>9</v>
      </c>
      <c r="H889">
        <v>36</v>
      </c>
      <c r="I889" t="s">
        <v>11</v>
      </c>
      <c r="J889">
        <v>6</v>
      </c>
      <c r="K889">
        <v>39</v>
      </c>
    </row>
    <row r="890" spans="5:11" x14ac:dyDescent="0.25">
      <c r="E890">
        <v>1821</v>
      </c>
      <c r="F890" s="7">
        <v>45530</v>
      </c>
      <c r="G890" t="s">
        <v>9</v>
      </c>
      <c r="H890">
        <v>39</v>
      </c>
      <c r="I890" t="s">
        <v>8</v>
      </c>
      <c r="J890">
        <v>2</v>
      </c>
      <c r="K890">
        <v>257</v>
      </c>
    </row>
    <row r="891" spans="5:11" x14ac:dyDescent="0.25">
      <c r="E891">
        <v>1730</v>
      </c>
      <c r="F891" s="7">
        <v>45301</v>
      </c>
      <c r="G891" t="s">
        <v>9</v>
      </c>
      <c r="H891">
        <v>50</v>
      </c>
      <c r="I891" t="s">
        <v>10</v>
      </c>
      <c r="J891">
        <v>3</v>
      </c>
      <c r="K891">
        <v>127</v>
      </c>
    </row>
    <row r="892" spans="5:11" x14ac:dyDescent="0.25">
      <c r="E892">
        <v>370</v>
      </c>
      <c r="F892" s="7">
        <v>44978</v>
      </c>
      <c r="G892" t="s">
        <v>9</v>
      </c>
      <c r="H892">
        <v>20</v>
      </c>
      <c r="I892" t="s">
        <v>8</v>
      </c>
      <c r="J892">
        <v>1</v>
      </c>
      <c r="K892">
        <v>25</v>
      </c>
    </row>
    <row r="893" spans="5:11" x14ac:dyDescent="0.25">
      <c r="E893">
        <v>862</v>
      </c>
      <c r="F893" s="7">
        <v>45134</v>
      </c>
      <c r="G893" t="s">
        <v>9</v>
      </c>
      <c r="H893">
        <v>51</v>
      </c>
      <c r="I893" t="s">
        <v>11</v>
      </c>
      <c r="J893">
        <v>1</v>
      </c>
      <c r="K893">
        <v>500</v>
      </c>
    </row>
    <row r="894" spans="5:11" x14ac:dyDescent="0.25">
      <c r="E894">
        <v>824</v>
      </c>
      <c r="F894" s="7">
        <v>45218</v>
      </c>
      <c r="G894" t="s">
        <v>9</v>
      </c>
      <c r="H894">
        <v>46</v>
      </c>
      <c r="I894" t="s">
        <v>10</v>
      </c>
      <c r="J894">
        <v>1</v>
      </c>
      <c r="K894">
        <v>300</v>
      </c>
    </row>
    <row r="895" spans="5:11" x14ac:dyDescent="0.25">
      <c r="E895">
        <v>40</v>
      </c>
      <c r="F895" s="7">
        <v>45099</v>
      </c>
      <c r="G895" t="s">
        <v>7</v>
      </c>
      <c r="H895">
        <v>45</v>
      </c>
      <c r="I895" t="s">
        <v>8</v>
      </c>
      <c r="J895">
        <v>1</v>
      </c>
      <c r="K895">
        <v>50</v>
      </c>
    </row>
    <row r="896" spans="5:11" x14ac:dyDescent="0.25">
      <c r="E896">
        <v>483</v>
      </c>
      <c r="F896" s="7">
        <v>44939</v>
      </c>
      <c r="G896" t="s">
        <v>9</v>
      </c>
      <c r="H896">
        <v>19</v>
      </c>
      <c r="I896" t="s">
        <v>10</v>
      </c>
      <c r="J896">
        <v>4</v>
      </c>
      <c r="K896">
        <v>300</v>
      </c>
    </row>
    <row r="897" spans="5:11" x14ac:dyDescent="0.25">
      <c r="E897">
        <v>122</v>
      </c>
      <c r="F897" s="7">
        <v>45202</v>
      </c>
      <c r="G897" t="s">
        <v>7</v>
      </c>
      <c r="H897">
        <v>64</v>
      </c>
      <c r="I897" t="s">
        <v>11</v>
      </c>
      <c r="J897">
        <v>4</v>
      </c>
      <c r="K897">
        <v>30</v>
      </c>
    </row>
    <row r="898" spans="5:11" x14ac:dyDescent="0.25">
      <c r="E898">
        <v>490</v>
      </c>
      <c r="F898" s="7">
        <v>45069</v>
      </c>
      <c r="G898" t="s">
        <v>9</v>
      </c>
      <c r="H898">
        <v>60</v>
      </c>
      <c r="I898" t="s">
        <v>11</v>
      </c>
      <c r="J898">
        <v>3</v>
      </c>
      <c r="K898">
        <v>300</v>
      </c>
    </row>
    <row r="899" spans="5:11" x14ac:dyDescent="0.25">
      <c r="E899">
        <v>1528</v>
      </c>
      <c r="F899" s="7">
        <v>45633</v>
      </c>
      <c r="G899" t="s">
        <v>7</v>
      </c>
      <c r="H899">
        <v>58</v>
      </c>
      <c r="I899" t="s">
        <v>11</v>
      </c>
      <c r="J899">
        <v>2</v>
      </c>
      <c r="K899">
        <v>266</v>
      </c>
    </row>
    <row r="900" spans="5:11" x14ac:dyDescent="0.25">
      <c r="E900">
        <v>1250</v>
      </c>
      <c r="F900" s="7">
        <v>45535</v>
      </c>
      <c r="G900" t="s">
        <v>9</v>
      </c>
      <c r="H900">
        <v>21</v>
      </c>
      <c r="I900" t="s">
        <v>10</v>
      </c>
      <c r="J900">
        <v>6</v>
      </c>
      <c r="K900">
        <v>108</v>
      </c>
    </row>
    <row r="901" spans="5:11" x14ac:dyDescent="0.25">
      <c r="E901">
        <v>1693</v>
      </c>
      <c r="F901" s="7">
        <v>45306</v>
      </c>
      <c r="G901" t="s">
        <v>7</v>
      </c>
      <c r="H901">
        <v>33</v>
      </c>
      <c r="I901" t="s">
        <v>10</v>
      </c>
      <c r="J901">
        <v>3</v>
      </c>
      <c r="K901">
        <v>320</v>
      </c>
    </row>
    <row r="902" spans="5:11" x14ac:dyDescent="0.25">
      <c r="E902">
        <v>1774</v>
      </c>
      <c r="F902" s="7">
        <v>45614</v>
      </c>
      <c r="G902" t="s">
        <v>9</v>
      </c>
      <c r="H902">
        <v>50</v>
      </c>
      <c r="I902" t="s">
        <v>8</v>
      </c>
      <c r="J902">
        <v>2</v>
      </c>
      <c r="K902">
        <v>91</v>
      </c>
    </row>
    <row r="903" spans="5:11" x14ac:dyDescent="0.25">
      <c r="E903">
        <v>1967</v>
      </c>
      <c r="F903" s="7">
        <v>45631</v>
      </c>
      <c r="G903" t="s">
        <v>9</v>
      </c>
      <c r="H903">
        <v>60</v>
      </c>
      <c r="I903" t="s">
        <v>11</v>
      </c>
      <c r="J903">
        <v>6</v>
      </c>
      <c r="K903">
        <v>461</v>
      </c>
    </row>
    <row r="904" spans="5:11" x14ac:dyDescent="0.25">
      <c r="E904">
        <v>300</v>
      </c>
      <c r="F904" s="7">
        <v>45011</v>
      </c>
      <c r="G904" t="s">
        <v>7</v>
      </c>
      <c r="H904">
        <v>30</v>
      </c>
      <c r="I904" t="s">
        <v>10</v>
      </c>
      <c r="J904">
        <v>4</v>
      </c>
      <c r="K904">
        <v>30</v>
      </c>
    </row>
    <row r="905" spans="5:11" x14ac:dyDescent="0.25">
      <c r="E905">
        <v>1689</v>
      </c>
      <c r="F905" s="7">
        <v>45405</v>
      </c>
      <c r="G905" t="s">
        <v>7</v>
      </c>
      <c r="H905">
        <v>50</v>
      </c>
      <c r="I905" t="s">
        <v>8</v>
      </c>
      <c r="J905">
        <v>3</v>
      </c>
      <c r="K905">
        <v>425</v>
      </c>
    </row>
    <row r="906" spans="5:11" x14ac:dyDescent="0.25">
      <c r="E906">
        <v>165</v>
      </c>
      <c r="F906" s="7">
        <v>45183</v>
      </c>
      <c r="G906" t="s">
        <v>9</v>
      </c>
      <c r="H906">
        <v>60</v>
      </c>
      <c r="I906" t="s">
        <v>10</v>
      </c>
      <c r="J906">
        <v>4</v>
      </c>
      <c r="K906">
        <v>300</v>
      </c>
    </row>
    <row r="907" spans="5:11" x14ac:dyDescent="0.25">
      <c r="E907">
        <v>385</v>
      </c>
      <c r="F907" s="7">
        <v>45287</v>
      </c>
      <c r="G907" t="s">
        <v>9</v>
      </c>
      <c r="H907">
        <v>54</v>
      </c>
      <c r="I907" t="s">
        <v>11</v>
      </c>
      <c r="J907">
        <v>2</v>
      </c>
      <c r="K907">
        <v>300</v>
      </c>
    </row>
    <row r="908" spans="5:11" x14ac:dyDescent="0.25">
      <c r="E908">
        <v>206</v>
      </c>
      <c r="F908" s="7">
        <v>45143</v>
      </c>
      <c r="G908" t="s">
        <v>7</v>
      </c>
      <c r="H908">
        <v>61</v>
      </c>
      <c r="I908" t="s">
        <v>10</v>
      </c>
      <c r="J908">
        <v>1</v>
      </c>
      <c r="K908">
        <v>25</v>
      </c>
    </row>
    <row r="909" spans="5:11" x14ac:dyDescent="0.25">
      <c r="E909">
        <v>1759</v>
      </c>
      <c r="F909" s="7">
        <v>45350</v>
      </c>
      <c r="G909" t="s">
        <v>7</v>
      </c>
      <c r="H909">
        <v>43</v>
      </c>
      <c r="I909" t="s">
        <v>10</v>
      </c>
      <c r="J909">
        <v>5</v>
      </c>
      <c r="K909">
        <v>322</v>
      </c>
    </row>
    <row r="910" spans="5:11" x14ac:dyDescent="0.25">
      <c r="E910">
        <v>241</v>
      </c>
      <c r="F910" s="7">
        <v>45048</v>
      </c>
      <c r="G910" t="s">
        <v>7</v>
      </c>
      <c r="H910">
        <v>21</v>
      </c>
      <c r="I910" t="s">
        <v>10</v>
      </c>
      <c r="J910">
        <v>1</v>
      </c>
      <c r="K910">
        <v>25</v>
      </c>
    </row>
    <row r="911" spans="5:11" x14ac:dyDescent="0.25">
      <c r="E911">
        <v>230</v>
      </c>
      <c r="F911" s="7">
        <v>44930</v>
      </c>
      <c r="G911" t="s">
        <v>9</v>
      </c>
      <c r="H911">
        <v>23</v>
      </c>
      <c r="I911" t="s">
        <v>10</v>
      </c>
      <c r="J911">
        <v>3</v>
      </c>
      <c r="K911">
        <v>50</v>
      </c>
    </row>
    <row r="912" spans="5:11" x14ac:dyDescent="0.25">
      <c r="E912">
        <v>433</v>
      </c>
      <c r="F912" s="7">
        <v>44965</v>
      </c>
      <c r="G912" t="s">
        <v>9</v>
      </c>
      <c r="H912">
        <v>43</v>
      </c>
      <c r="I912" t="s">
        <v>11</v>
      </c>
      <c r="J912">
        <v>2</v>
      </c>
      <c r="K912">
        <v>25</v>
      </c>
    </row>
    <row r="913" spans="5:11" x14ac:dyDescent="0.25">
      <c r="E913">
        <v>1116</v>
      </c>
      <c r="F913" s="7">
        <v>45428</v>
      </c>
      <c r="G913" t="s">
        <v>9</v>
      </c>
      <c r="H913">
        <v>49</v>
      </c>
      <c r="I913" t="s">
        <v>11</v>
      </c>
      <c r="J913">
        <v>1</v>
      </c>
      <c r="K913">
        <v>44</v>
      </c>
    </row>
    <row r="914" spans="5:11" x14ac:dyDescent="0.25">
      <c r="E914">
        <v>1354</v>
      </c>
      <c r="F914" s="7">
        <v>45415</v>
      </c>
      <c r="G914" t="s">
        <v>9</v>
      </c>
      <c r="H914">
        <v>29</v>
      </c>
      <c r="I914" t="s">
        <v>11</v>
      </c>
      <c r="J914">
        <v>1</v>
      </c>
      <c r="K914">
        <v>72</v>
      </c>
    </row>
    <row r="915" spans="5:11" x14ac:dyDescent="0.25">
      <c r="E915">
        <v>1552</v>
      </c>
      <c r="F915" s="7">
        <v>45584</v>
      </c>
      <c r="G915" t="s">
        <v>7</v>
      </c>
      <c r="H915">
        <v>53</v>
      </c>
      <c r="I915" t="s">
        <v>8</v>
      </c>
      <c r="J915">
        <v>1</v>
      </c>
      <c r="K915">
        <v>20</v>
      </c>
    </row>
    <row r="916" spans="5:11" x14ac:dyDescent="0.25">
      <c r="E916">
        <v>1284</v>
      </c>
      <c r="F916" s="7">
        <v>45342</v>
      </c>
      <c r="G916" t="s">
        <v>7</v>
      </c>
      <c r="H916">
        <v>53</v>
      </c>
      <c r="I916" t="s">
        <v>10</v>
      </c>
      <c r="J916">
        <v>1</v>
      </c>
      <c r="K916">
        <v>446</v>
      </c>
    </row>
    <row r="917" spans="5:11" x14ac:dyDescent="0.25">
      <c r="E917">
        <v>257</v>
      </c>
      <c r="F917" s="7">
        <v>45264</v>
      </c>
      <c r="G917" t="s">
        <v>9</v>
      </c>
      <c r="H917">
        <v>37</v>
      </c>
      <c r="I917" t="s">
        <v>10</v>
      </c>
      <c r="J917">
        <v>1</v>
      </c>
      <c r="K917">
        <v>50</v>
      </c>
    </row>
    <row r="918" spans="5:11" x14ac:dyDescent="0.25">
      <c r="E918">
        <v>1542</v>
      </c>
      <c r="F918" s="7">
        <v>45444</v>
      </c>
      <c r="G918" t="s">
        <v>7</v>
      </c>
      <c r="H918">
        <v>20</v>
      </c>
      <c r="I918" t="s">
        <v>10</v>
      </c>
      <c r="J918">
        <v>3</v>
      </c>
      <c r="K918">
        <v>332</v>
      </c>
    </row>
    <row r="919" spans="5:11" x14ac:dyDescent="0.25">
      <c r="E919">
        <v>1906</v>
      </c>
      <c r="F919" s="7">
        <v>45357</v>
      </c>
      <c r="G919" t="s">
        <v>9</v>
      </c>
      <c r="H919">
        <v>19</v>
      </c>
      <c r="I919" t="s">
        <v>8</v>
      </c>
      <c r="J919">
        <v>7</v>
      </c>
      <c r="K919">
        <v>396</v>
      </c>
    </row>
    <row r="920" spans="5:11" x14ac:dyDescent="0.25">
      <c r="E920">
        <v>29</v>
      </c>
      <c r="F920" s="7">
        <v>45156</v>
      </c>
      <c r="G920" t="s">
        <v>9</v>
      </c>
      <c r="H920">
        <v>42</v>
      </c>
      <c r="I920" t="s">
        <v>11</v>
      </c>
      <c r="J920">
        <v>1</v>
      </c>
      <c r="K920">
        <v>30</v>
      </c>
    </row>
    <row r="921" spans="5:11" x14ac:dyDescent="0.25">
      <c r="E921">
        <v>17</v>
      </c>
      <c r="F921" s="7">
        <v>45038</v>
      </c>
      <c r="G921" t="s">
        <v>9</v>
      </c>
      <c r="H921">
        <v>27</v>
      </c>
      <c r="I921" t="s">
        <v>10</v>
      </c>
      <c r="J921">
        <v>4</v>
      </c>
      <c r="K921">
        <v>25</v>
      </c>
    </row>
    <row r="922" spans="5:11" x14ac:dyDescent="0.25">
      <c r="E922">
        <v>1102</v>
      </c>
      <c r="F922" s="7">
        <v>45454</v>
      </c>
      <c r="G922" t="s">
        <v>9</v>
      </c>
      <c r="H922">
        <v>50</v>
      </c>
      <c r="I922" t="s">
        <v>8</v>
      </c>
      <c r="J922">
        <v>1</v>
      </c>
      <c r="K922">
        <v>150</v>
      </c>
    </row>
    <row r="923" spans="5:11" x14ac:dyDescent="0.25">
      <c r="E923">
        <v>1206</v>
      </c>
      <c r="F923" s="7">
        <v>45569</v>
      </c>
      <c r="G923" t="s">
        <v>9</v>
      </c>
      <c r="H923">
        <v>53</v>
      </c>
      <c r="I923" t="s">
        <v>11</v>
      </c>
      <c r="J923">
        <v>7</v>
      </c>
      <c r="K923">
        <v>155</v>
      </c>
    </row>
    <row r="924" spans="5:11" x14ac:dyDescent="0.25">
      <c r="E924">
        <v>297</v>
      </c>
      <c r="F924" s="7">
        <v>45036</v>
      </c>
      <c r="G924" t="s">
        <v>7</v>
      </c>
      <c r="H924">
        <v>27</v>
      </c>
      <c r="I924" t="s">
        <v>8</v>
      </c>
      <c r="J924">
        <v>4</v>
      </c>
      <c r="K924">
        <v>300</v>
      </c>
    </row>
    <row r="925" spans="5:11" x14ac:dyDescent="0.25">
      <c r="E925">
        <v>1428</v>
      </c>
      <c r="F925" s="7">
        <v>45580</v>
      </c>
      <c r="G925" t="s">
        <v>7</v>
      </c>
      <c r="H925">
        <v>31</v>
      </c>
      <c r="I925" t="s">
        <v>11</v>
      </c>
      <c r="J925">
        <v>5</v>
      </c>
      <c r="K925">
        <v>83</v>
      </c>
    </row>
    <row r="926" spans="5:11" x14ac:dyDescent="0.25">
      <c r="E926">
        <v>489</v>
      </c>
      <c r="F926" s="7">
        <v>44962</v>
      </c>
      <c r="G926" t="s">
        <v>7</v>
      </c>
      <c r="H926">
        <v>34</v>
      </c>
      <c r="I926" t="s">
        <v>10</v>
      </c>
      <c r="J926">
        <v>3</v>
      </c>
      <c r="K926">
        <v>50</v>
      </c>
    </row>
    <row r="927" spans="5:11" x14ac:dyDescent="0.25">
      <c r="E927">
        <v>411</v>
      </c>
      <c r="F927" s="7">
        <v>45185</v>
      </c>
      <c r="G927" t="s">
        <v>9</v>
      </c>
      <c r="H927">
        <v>19</v>
      </c>
      <c r="I927" t="s">
        <v>11</v>
      </c>
      <c r="J927">
        <v>4</v>
      </c>
      <c r="K927">
        <v>500</v>
      </c>
    </row>
    <row r="928" spans="5:11" x14ac:dyDescent="0.25">
      <c r="E928">
        <v>137</v>
      </c>
      <c r="F928" s="7">
        <v>45248</v>
      </c>
      <c r="G928" t="s">
        <v>7</v>
      </c>
      <c r="H928">
        <v>46</v>
      </c>
      <c r="I928" t="s">
        <v>8</v>
      </c>
      <c r="J928">
        <v>2</v>
      </c>
      <c r="K928">
        <v>500</v>
      </c>
    </row>
    <row r="929" spans="5:11" x14ac:dyDescent="0.25">
      <c r="E929">
        <v>1881</v>
      </c>
      <c r="F929" s="7">
        <v>45354</v>
      </c>
      <c r="G929" t="s">
        <v>9</v>
      </c>
      <c r="H929">
        <v>32</v>
      </c>
      <c r="I929" t="s">
        <v>10</v>
      </c>
      <c r="J929">
        <v>1</v>
      </c>
      <c r="K929">
        <v>115</v>
      </c>
    </row>
    <row r="930" spans="5:11" x14ac:dyDescent="0.25">
      <c r="E930">
        <v>1818</v>
      </c>
      <c r="F930" s="7">
        <v>45435</v>
      </c>
      <c r="G930" t="s">
        <v>9</v>
      </c>
      <c r="H930">
        <v>30</v>
      </c>
      <c r="I930" t="s">
        <v>8</v>
      </c>
      <c r="J930">
        <v>2</v>
      </c>
      <c r="K930">
        <v>468</v>
      </c>
    </row>
    <row r="931" spans="5:11" x14ac:dyDescent="0.25">
      <c r="E931">
        <v>1601</v>
      </c>
      <c r="F931" s="7">
        <v>45546</v>
      </c>
      <c r="G931" t="s">
        <v>9</v>
      </c>
      <c r="H931">
        <v>43</v>
      </c>
      <c r="I931" t="s">
        <v>11</v>
      </c>
      <c r="J931">
        <v>7</v>
      </c>
      <c r="K931">
        <v>304</v>
      </c>
    </row>
    <row r="932" spans="5:11" x14ac:dyDescent="0.25">
      <c r="E932">
        <v>1989</v>
      </c>
      <c r="F932" s="7">
        <v>45328</v>
      </c>
      <c r="G932" t="s">
        <v>9</v>
      </c>
      <c r="H932">
        <v>30</v>
      </c>
      <c r="I932" t="s">
        <v>11</v>
      </c>
      <c r="J932">
        <v>7</v>
      </c>
      <c r="K932">
        <v>484</v>
      </c>
    </row>
    <row r="933" spans="5:11" x14ac:dyDescent="0.25">
      <c r="E933">
        <v>560</v>
      </c>
      <c r="F933" s="7">
        <v>45073</v>
      </c>
      <c r="G933" t="s">
        <v>9</v>
      </c>
      <c r="H933">
        <v>64</v>
      </c>
      <c r="I933" t="s">
        <v>10</v>
      </c>
      <c r="J933">
        <v>4</v>
      </c>
      <c r="K933">
        <v>500</v>
      </c>
    </row>
    <row r="934" spans="5:11" x14ac:dyDescent="0.25">
      <c r="E934">
        <v>1661</v>
      </c>
      <c r="F934" s="7">
        <v>45402</v>
      </c>
      <c r="G934" t="s">
        <v>7</v>
      </c>
      <c r="H934">
        <v>30</v>
      </c>
      <c r="I934" t="s">
        <v>10</v>
      </c>
      <c r="J934">
        <v>6</v>
      </c>
      <c r="K934">
        <v>331</v>
      </c>
    </row>
    <row r="935" spans="5:11" x14ac:dyDescent="0.25">
      <c r="E935">
        <v>1186</v>
      </c>
      <c r="F935" s="7">
        <v>45415</v>
      </c>
      <c r="G935" t="s">
        <v>7</v>
      </c>
      <c r="H935">
        <v>27</v>
      </c>
      <c r="I935" t="s">
        <v>10</v>
      </c>
      <c r="J935">
        <v>7</v>
      </c>
      <c r="K935">
        <v>87</v>
      </c>
    </row>
    <row r="936" spans="5:11" x14ac:dyDescent="0.25">
      <c r="E936">
        <v>446</v>
      </c>
      <c r="F936" s="7">
        <v>45113</v>
      </c>
      <c r="G936" t="s">
        <v>7</v>
      </c>
      <c r="H936">
        <v>22</v>
      </c>
      <c r="I936" t="s">
        <v>8</v>
      </c>
      <c r="J936">
        <v>4</v>
      </c>
      <c r="K936">
        <v>500</v>
      </c>
    </row>
    <row r="937" spans="5:11" x14ac:dyDescent="0.25">
      <c r="E937">
        <v>1477</v>
      </c>
      <c r="F937" s="7">
        <v>45472</v>
      </c>
      <c r="G937" t="s">
        <v>9</v>
      </c>
      <c r="H937">
        <v>57</v>
      </c>
      <c r="I937" t="s">
        <v>8</v>
      </c>
      <c r="J937">
        <v>7</v>
      </c>
      <c r="K937">
        <v>223</v>
      </c>
    </row>
    <row r="938" spans="5:11" x14ac:dyDescent="0.25">
      <c r="E938">
        <v>428</v>
      </c>
      <c r="F938" s="7">
        <v>45288</v>
      </c>
      <c r="G938" t="s">
        <v>7</v>
      </c>
      <c r="H938">
        <v>64</v>
      </c>
      <c r="I938" t="s">
        <v>11</v>
      </c>
      <c r="J938">
        <v>2</v>
      </c>
      <c r="K938">
        <v>25</v>
      </c>
    </row>
    <row r="939" spans="5:11" x14ac:dyDescent="0.25">
      <c r="E939">
        <v>358</v>
      </c>
      <c r="F939" s="7">
        <v>45129</v>
      </c>
      <c r="G939" t="s">
        <v>7</v>
      </c>
      <c r="H939">
        <v>50</v>
      </c>
      <c r="I939" t="s">
        <v>10</v>
      </c>
      <c r="J939">
        <v>1</v>
      </c>
      <c r="K939">
        <v>50</v>
      </c>
    </row>
    <row r="940" spans="5:11" x14ac:dyDescent="0.25">
      <c r="E940">
        <v>452</v>
      </c>
      <c r="F940" s="7">
        <v>45268</v>
      </c>
      <c r="G940" t="s">
        <v>9</v>
      </c>
      <c r="H940">
        <v>26</v>
      </c>
      <c r="I940" t="s">
        <v>10</v>
      </c>
      <c r="J940">
        <v>2</v>
      </c>
      <c r="K940">
        <v>500</v>
      </c>
    </row>
    <row r="941" spans="5:11" x14ac:dyDescent="0.25">
      <c r="E941">
        <v>1113</v>
      </c>
      <c r="F941" s="7">
        <v>45622</v>
      </c>
      <c r="G941" t="s">
        <v>7</v>
      </c>
      <c r="H941">
        <v>36</v>
      </c>
      <c r="I941" t="s">
        <v>10</v>
      </c>
      <c r="J941">
        <v>4</v>
      </c>
      <c r="K941">
        <v>164</v>
      </c>
    </row>
    <row r="942" spans="5:11" x14ac:dyDescent="0.25">
      <c r="E942">
        <v>207</v>
      </c>
      <c r="F942" s="7">
        <v>45035</v>
      </c>
      <c r="G942" t="s">
        <v>9</v>
      </c>
      <c r="H942">
        <v>42</v>
      </c>
      <c r="I942" t="s">
        <v>8</v>
      </c>
      <c r="J942">
        <v>2</v>
      </c>
      <c r="K942">
        <v>25</v>
      </c>
    </row>
    <row r="943" spans="5:11" x14ac:dyDescent="0.25">
      <c r="E943">
        <v>1994</v>
      </c>
      <c r="F943" s="7">
        <v>45594</v>
      </c>
      <c r="G943" t="s">
        <v>9</v>
      </c>
      <c r="H943">
        <v>58</v>
      </c>
      <c r="I943" t="s">
        <v>8</v>
      </c>
      <c r="J943">
        <v>1</v>
      </c>
      <c r="K943">
        <v>497</v>
      </c>
    </row>
    <row r="944" spans="5:11" x14ac:dyDescent="0.25">
      <c r="E944">
        <v>202</v>
      </c>
      <c r="F944" s="7">
        <v>45011</v>
      </c>
      <c r="G944" t="s">
        <v>9</v>
      </c>
      <c r="H944">
        <v>34</v>
      </c>
      <c r="I944" t="s">
        <v>10</v>
      </c>
      <c r="J944">
        <v>4</v>
      </c>
      <c r="K944">
        <v>300</v>
      </c>
    </row>
    <row r="945" spans="5:11" x14ac:dyDescent="0.25">
      <c r="E945">
        <v>1919</v>
      </c>
      <c r="F945" s="7">
        <v>45438</v>
      </c>
      <c r="G945" t="s">
        <v>7</v>
      </c>
      <c r="H945">
        <v>27</v>
      </c>
      <c r="I945" t="s">
        <v>8</v>
      </c>
      <c r="J945">
        <v>5</v>
      </c>
      <c r="K945">
        <v>295</v>
      </c>
    </row>
    <row r="946" spans="5:11" x14ac:dyDescent="0.25">
      <c r="E946">
        <v>686</v>
      </c>
      <c r="F946" s="7">
        <v>45202</v>
      </c>
      <c r="G946" t="s">
        <v>7</v>
      </c>
      <c r="H946">
        <v>56</v>
      </c>
      <c r="I946" t="s">
        <v>10</v>
      </c>
      <c r="J946">
        <v>4</v>
      </c>
      <c r="K946">
        <v>25</v>
      </c>
    </row>
    <row r="947" spans="5:11" x14ac:dyDescent="0.25">
      <c r="E947">
        <v>901</v>
      </c>
      <c r="F947" s="7">
        <v>45043</v>
      </c>
      <c r="G947" t="s">
        <v>9</v>
      </c>
      <c r="H947">
        <v>51</v>
      </c>
      <c r="I947" t="s">
        <v>8</v>
      </c>
      <c r="J947">
        <v>4</v>
      </c>
      <c r="K947">
        <v>50</v>
      </c>
    </row>
    <row r="948" spans="5:11" x14ac:dyDescent="0.25">
      <c r="E948">
        <v>56</v>
      </c>
      <c r="F948" s="7">
        <v>45077</v>
      </c>
      <c r="G948" t="s">
        <v>9</v>
      </c>
      <c r="H948">
        <v>26</v>
      </c>
      <c r="I948" t="s">
        <v>10</v>
      </c>
      <c r="J948">
        <v>3</v>
      </c>
      <c r="K948">
        <v>300</v>
      </c>
    </row>
    <row r="949" spans="5:11" x14ac:dyDescent="0.25">
      <c r="E949">
        <v>1807</v>
      </c>
      <c r="F949" s="7">
        <v>45431</v>
      </c>
      <c r="G949" t="s">
        <v>7</v>
      </c>
      <c r="H949">
        <v>42</v>
      </c>
      <c r="I949" t="s">
        <v>8</v>
      </c>
      <c r="J949">
        <v>7</v>
      </c>
      <c r="K949">
        <v>389</v>
      </c>
    </row>
    <row r="950" spans="5:11" x14ac:dyDescent="0.25">
      <c r="E950">
        <v>660</v>
      </c>
      <c r="F950" s="7">
        <v>45282</v>
      </c>
      <c r="G950" t="s">
        <v>7</v>
      </c>
      <c r="H950">
        <v>48</v>
      </c>
      <c r="I950" t="s">
        <v>8</v>
      </c>
      <c r="J950">
        <v>2</v>
      </c>
      <c r="K950">
        <v>500</v>
      </c>
    </row>
    <row r="951" spans="5:11" x14ac:dyDescent="0.25">
      <c r="E951">
        <v>1806</v>
      </c>
      <c r="F951" s="7">
        <v>45626</v>
      </c>
      <c r="G951" t="s">
        <v>7</v>
      </c>
      <c r="H951">
        <v>42</v>
      </c>
      <c r="I951" t="s">
        <v>11</v>
      </c>
      <c r="J951">
        <v>3</v>
      </c>
      <c r="K951">
        <v>270</v>
      </c>
    </row>
    <row r="952" spans="5:11" x14ac:dyDescent="0.25">
      <c r="E952">
        <v>286</v>
      </c>
      <c r="F952" s="7">
        <v>44977</v>
      </c>
      <c r="G952" t="s">
        <v>7</v>
      </c>
      <c r="H952">
        <v>54</v>
      </c>
      <c r="I952" t="s">
        <v>10</v>
      </c>
      <c r="J952">
        <v>4</v>
      </c>
      <c r="K952">
        <v>25</v>
      </c>
    </row>
    <row r="953" spans="5:11" x14ac:dyDescent="0.25">
      <c r="E953">
        <v>679</v>
      </c>
      <c r="F953" s="7">
        <v>45121</v>
      </c>
      <c r="G953" t="s">
        <v>9</v>
      </c>
      <c r="H953">
        <v>43</v>
      </c>
      <c r="I953" t="s">
        <v>11</v>
      </c>
      <c r="J953">
        <v>2</v>
      </c>
      <c r="K953">
        <v>30</v>
      </c>
    </row>
    <row r="954" spans="5:11" x14ac:dyDescent="0.25">
      <c r="E954">
        <v>544</v>
      </c>
      <c r="F954" s="7">
        <v>45078</v>
      </c>
      <c r="G954" t="s">
        <v>7</v>
      </c>
      <c r="H954">
        <v>27</v>
      </c>
      <c r="I954" t="s">
        <v>10</v>
      </c>
      <c r="J954">
        <v>2</v>
      </c>
      <c r="K954">
        <v>25</v>
      </c>
    </row>
    <row r="955" spans="5:11" x14ac:dyDescent="0.25">
      <c r="E955">
        <v>626</v>
      </c>
      <c r="F955" s="7">
        <v>45213</v>
      </c>
      <c r="G955" t="s">
        <v>7</v>
      </c>
      <c r="H955">
        <v>57</v>
      </c>
      <c r="I955" t="s">
        <v>10</v>
      </c>
      <c r="J955">
        <v>1</v>
      </c>
      <c r="K955">
        <v>50</v>
      </c>
    </row>
    <row r="956" spans="5:11" x14ac:dyDescent="0.25">
      <c r="E956">
        <v>1290</v>
      </c>
      <c r="F956" s="7">
        <v>45414</v>
      </c>
      <c r="G956" t="s">
        <v>7</v>
      </c>
      <c r="H956">
        <v>41</v>
      </c>
      <c r="I956" t="s">
        <v>11</v>
      </c>
      <c r="J956">
        <v>2</v>
      </c>
      <c r="K956">
        <v>92</v>
      </c>
    </row>
    <row r="957" spans="5:11" x14ac:dyDescent="0.25">
      <c r="E957">
        <v>1824</v>
      </c>
      <c r="F957" s="7">
        <v>45635</v>
      </c>
      <c r="G957" t="s">
        <v>9</v>
      </c>
      <c r="H957">
        <v>62</v>
      </c>
      <c r="I957" t="s">
        <v>11</v>
      </c>
      <c r="J957">
        <v>2</v>
      </c>
      <c r="K957">
        <v>58</v>
      </c>
    </row>
    <row r="958" spans="5:11" x14ac:dyDescent="0.25">
      <c r="E958">
        <v>1453</v>
      </c>
      <c r="F958" s="7">
        <v>45579</v>
      </c>
      <c r="G958" t="s">
        <v>7</v>
      </c>
      <c r="H958">
        <v>59</v>
      </c>
      <c r="I958" t="s">
        <v>11</v>
      </c>
      <c r="J958">
        <v>3</v>
      </c>
      <c r="K958">
        <v>322</v>
      </c>
    </row>
    <row r="959" spans="5:11" x14ac:dyDescent="0.25">
      <c r="E959">
        <v>965</v>
      </c>
      <c r="F959" s="7">
        <v>45033</v>
      </c>
      <c r="G959" t="s">
        <v>7</v>
      </c>
      <c r="H959">
        <v>62</v>
      </c>
      <c r="I959" t="s">
        <v>8</v>
      </c>
      <c r="J959">
        <v>1</v>
      </c>
      <c r="K959">
        <v>25</v>
      </c>
    </row>
    <row r="960" spans="5:11" x14ac:dyDescent="0.25">
      <c r="E960">
        <v>720</v>
      </c>
      <c r="F960" s="7">
        <v>45121</v>
      </c>
      <c r="G960" t="s">
        <v>7</v>
      </c>
      <c r="H960">
        <v>20</v>
      </c>
      <c r="I960" t="s">
        <v>8</v>
      </c>
      <c r="J960">
        <v>3</v>
      </c>
      <c r="K960">
        <v>300</v>
      </c>
    </row>
    <row r="961" spans="5:11" x14ac:dyDescent="0.25">
      <c r="E961">
        <v>33</v>
      </c>
      <c r="F961" s="7">
        <v>45008</v>
      </c>
      <c r="G961" t="s">
        <v>9</v>
      </c>
      <c r="H961">
        <v>50</v>
      </c>
      <c r="I961" t="s">
        <v>11</v>
      </c>
      <c r="J961">
        <v>2</v>
      </c>
      <c r="K961">
        <v>50</v>
      </c>
    </row>
    <row r="962" spans="5:11" x14ac:dyDescent="0.25">
      <c r="E962">
        <v>1002</v>
      </c>
      <c r="F962" s="7">
        <v>45433</v>
      </c>
      <c r="G962" t="s">
        <v>7</v>
      </c>
      <c r="H962">
        <v>30</v>
      </c>
      <c r="I962" t="s">
        <v>10</v>
      </c>
      <c r="J962">
        <v>7</v>
      </c>
      <c r="K962">
        <v>159</v>
      </c>
    </row>
    <row r="963" spans="5:11" x14ac:dyDescent="0.25">
      <c r="E963">
        <v>1980</v>
      </c>
      <c r="F963" s="7">
        <v>45533</v>
      </c>
      <c r="G963" t="s">
        <v>7</v>
      </c>
      <c r="H963">
        <v>65</v>
      </c>
      <c r="I963" t="s">
        <v>10</v>
      </c>
      <c r="J963">
        <v>7</v>
      </c>
      <c r="K963">
        <v>93</v>
      </c>
    </row>
    <row r="964" spans="5:11" x14ac:dyDescent="0.25">
      <c r="E964">
        <v>1564</v>
      </c>
      <c r="F964" s="7">
        <v>45457</v>
      </c>
      <c r="G964" t="s">
        <v>9</v>
      </c>
      <c r="H964">
        <v>40</v>
      </c>
      <c r="I964" t="s">
        <v>10</v>
      </c>
      <c r="J964">
        <v>4</v>
      </c>
      <c r="K964">
        <v>318</v>
      </c>
    </row>
    <row r="965" spans="5:11" x14ac:dyDescent="0.25">
      <c r="E965">
        <v>458</v>
      </c>
      <c r="F965" s="7">
        <v>45006</v>
      </c>
      <c r="G965" t="s">
        <v>7</v>
      </c>
      <c r="H965">
        <v>28</v>
      </c>
      <c r="I965" t="s">
        <v>10</v>
      </c>
      <c r="J965">
        <v>4</v>
      </c>
      <c r="K965">
        <v>300</v>
      </c>
    </row>
    <row r="966" spans="5:11" x14ac:dyDescent="0.25">
      <c r="E966">
        <v>1087</v>
      </c>
      <c r="F966" s="7">
        <v>45566</v>
      </c>
      <c r="G966" t="s">
        <v>9</v>
      </c>
      <c r="H966">
        <v>50</v>
      </c>
      <c r="I966" t="s">
        <v>11</v>
      </c>
      <c r="J966">
        <v>5</v>
      </c>
      <c r="K966">
        <v>287</v>
      </c>
    </row>
    <row r="967" spans="5:11" x14ac:dyDescent="0.25">
      <c r="E967">
        <v>180</v>
      </c>
      <c r="F967" s="7">
        <v>44927</v>
      </c>
      <c r="G967" t="s">
        <v>7</v>
      </c>
      <c r="H967">
        <v>41</v>
      </c>
      <c r="I967" t="s">
        <v>10</v>
      </c>
      <c r="J967">
        <v>3</v>
      </c>
      <c r="K967">
        <v>300</v>
      </c>
    </row>
    <row r="968" spans="5:11" x14ac:dyDescent="0.25">
      <c r="E968">
        <v>661</v>
      </c>
      <c r="F968" s="7">
        <v>45005</v>
      </c>
      <c r="G968" t="s">
        <v>7</v>
      </c>
      <c r="H968">
        <v>23</v>
      </c>
      <c r="I968" t="s">
        <v>10</v>
      </c>
      <c r="J968">
        <v>4</v>
      </c>
      <c r="K968">
        <v>300</v>
      </c>
    </row>
    <row r="969" spans="5:11" x14ac:dyDescent="0.25">
      <c r="E969">
        <v>77</v>
      </c>
      <c r="F969" s="7">
        <v>45116</v>
      </c>
      <c r="G969" t="s">
        <v>9</v>
      </c>
      <c r="H969">
        <v>47</v>
      </c>
      <c r="I969" t="s">
        <v>10</v>
      </c>
      <c r="J969">
        <v>2</v>
      </c>
      <c r="K969">
        <v>50</v>
      </c>
    </row>
    <row r="970" spans="5:11" x14ac:dyDescent="0.25">
      <c r="E970">
        <v>1718</v>
      </c>
      <c r="F970" s="7">
        <v>45487</v>
      </c>
      <c r="G970" t="s">
        <v>7</v>
      </c>
      <c r="H970">
        <v>59</v>
      </c>
      <c r="I970" t="s">
        <v>8</v>
      </c>
      <c r="J970">
        <v>2</v>
      </c>
      <c r="K970">
        <v>104</v>
      </c>
    </row>
    <row r="971" spans="5:11" x14ac:dyDescent="0.25">
      <c r="E971">
        <v>1172</v>
      </c>
      <c r="F971" s="7">
        <v>45394</v>
      </c>
      <c r="G971" t="s">
        <v>9</v>
      </c>
      <c r="H971">
        <v>40</v>
      </c>
      <c r="I971" t="s">
        <v>8</v>
      </c>
      <c r="J971">
        <v>3</v>
      </c>
      <c r="K971">
        <v>183</v>
      </c>
    </row>
    <row r="972" spans="5:11" x14ac:dyDescent="0.25">
      <c r="E972">
        <v>1289</v>
      </c>
      <c r="F972" s="7">
        <v>45339</v>
      </c>
      <c r="G972" t="s">
        <v>7</v>
      </c>
      <c r="H972">
        <v>46</v>
      </c>
      <c r="I972" t="s">
        <v>8</v>
      </c>
      <c r="J972">
        <v>5</v>
      </c>
      <c r="K972">
        <v>491</v>
      </c>
    </row>
    <row r="973" spans="5:11" x14ac:dyDescent="0.25">
      <c r="E973">
        <v>368</v>
      </c>
      <c r="F973" s="7">
        <v>45245</v>
      </c>
      <c r="G973" t="s">
        <v>7</v>
      </c>
      <c r="H973">
        <v>23</v>
      </c>
      <c r="I973" t="s">
        <v>11</v>
      </c>
      <c r="J973">
        <v>3</v>
      </c>
      <c r="K973">
        <v>500</v>
      </c>
    </row>
    <row r="974" spans="5:11" x14ac:dyDescent="0.25">
      <c r="E974">
        <v>1017</v>
      </c>
      <c r="F974" s="7">
        <v>45551</v>
      </c>
      <c r="G974" t="s">
        <v>9</v>
      </c>
      <c r="H974">
        <v>36</v>
      </c>
      <c r="I974" t="s">
        <v>10</v>
      </c>
      <c r="J974">
        <v>7</v>
      </c>
      <c r="K974">
        <v>385</v>
      </c>
    </row>
    <row r="975" spans="5:11" x14ac:dyDescent="0.25">
      <c r="E975">
        <v>1741</v>
      </c>
      <c r="F975" s="7">
        <v>45395</v>
      </c>
      <c r="G975" t="s">
        <v>7</v>
      </c>
      <c r="H975">
        <v>27</v>
      </c>
      <c r="I975" t="s">
        <v>8</v>
      </c>
      <c r="J975">
        <v>1</v>
      </c>
      <c r="K975">
        <v>445</v>
      </c>
    </row>
    <row r="976" spans="5:11" x14ac:dyDescent="0.25">
      <c r="E976">
        <v>1590</v>
      </c>
      <c r="F976" s="7">
        <v>45418</v>
      </c>
      <c r="G976" t="s">
        <v>7</v>
      </c>
      <c r="H976">
        <v>63</v>
      </c>
      <c r="I976" t="s">
        <v>11</v>
      </c>
      <c r="J976">
        <v>3</v>
      </c>
      <c r="K976">
        <v>456</v>
      </c>
    </row>
    <row r="977" spans="5:11" x14ac:dyDescent="0.25">
      <c r="E977">
        <v>595</v>
      </c>
      <c r="F977" s="7">
        <v>44964</v>
      </c>
      <c r="G977" t="s">
        <v>9</v>
      </c>
      <c r="H977">
        <v>64</v>
      </c>
      <c r="I977" t="s">
        <v>11</v>
      </c>
      <c r="J977">
        <v>1</v>
      </c>
      <c r="K977">
        <v>300</v>
      </c>
    </row>
    <row r="978" spans="5:11" x14ac:dyDescent="0.25">
      <c r="E978">
        <v>264</v>
      </c>
      <c r="F978" s="7">
        <v>45271</v>
      </c>
      <c r="G978" t="s">
        <v>7</v>
      </c>
      <c r="H978">
        <v>55</v>
      </c>
      <c r="I978" t="s">
        <v>10</v>
      </c>
      <c r="J978">
        <v>3</v>
      </c>
      <c r="K978">
        <v>300</v>
      </c>
    </row>
    <row r="979" spans="5:11" x14ac:dyDescent="0.25">
      <c r="E979">
        <v>591</v>
      </c>
      <c r="F979" s="7">
        <v>44950</v>
      </c>
      <c r="G979" t="s">
        <v>9</v>
      </c>
      <c r="H979">
        <v>46</v>
      </c>
      <c r="I979" t="s">
        <v>8</v>
      </c>
      <c r="J979">
        <v>4</v>
      </c>
      <c r="K979">
        <v>500</v>
      </c>
    </row>
    <row r="980" spans="5:11" x14ac:dyDescent="0.25">
      <c r="E980">
        <v>1968</v>
      </c>
      <c r="F980" s="7">
        <v>45333</v>
      </c>
      <c r="G980" t="s">
        <v>7</v>
      </c>
      <c r="H980">
        <v>40</v>
      </c>
      <c r="I980" t="s">
        <v>8</v>
      </c>
      <c r="J980">
        <v>6</v>
      </c>
      <c r="K980">
        <v>378</v>
      </c>
    </row>
    <row r="981" spans="5:11" x14ac:dyDescent="0.25">
      <c r="E981">
        <v>392</v>
      </c>
      <c r="F981" s="7">
        <v>45210</v>
      </c>
      <c r="G981" t="s">
        <v>9</v>
      </c>
      <c r="H981">
        <v>22</v>
      </c>
      <c r="I981" t="s">
        <v>8</v>
      </c>
      <c r="J981">
        <v>2</v>
      </c>
      <c r="K981">
        <v>500</v>
      </c>
    </row>
    <row r="982" spans="5:11" x14ac:dyDescent="0.25">
      <c r="E982">
        <v>1711</v>
      </c>
      <c r="F982" s="7">
        <v>45622</v>
      </c>
      <c r="G982" t="s">
        <v>9</v>
      </c>
      <c r="H982">
        <v>61</v>
      </c>
      <c r="I982" t="s">
        <v>8</v>
      </c>
      <c r="J982">
        <v>1</v>
      </c>
      <c r="K982">
        <v>101</v>
      </c>
    </row>
    <row r="983" spans="5:11" x14ac:dyDescent="0.25">
      <c r="E983">
        <v>160</v>
      </c>
      <c r="F983" s="7">
        <v>45149</v>
      </c>
      <c r="G983" t="s">
        <v>9</v>
      </c>
      <c r="H983">
        <v>43</v>
      </c>
      <c r="I983" t="s">
        <v>10</v>
      </c>
      <c r="J983">
        <v>2</v>
      </c>
      <c r="K983">
        <v>50</v>
      </c>
    </row>
    <row r="984" spans="5:11" x14ac:dyDescent="0.25">
      <c r="E984">
        <v>854</v>
      </c>
      <c r="F984" s="7">
        <v>45257</v>
      </c>
      <c r="G984" t="s">
        <v>7</v>
      </c>
      <c r="H984">
        <v>54</v>
      </c>
      <c r="I984" t="s">
        <v>11</v>
      </c>
      <c r="J984">
        <v>4</v>
      </c>
      <c r="K984">
        <v>30</v>
      </c>
    </row>
    <row r="985" spans="5:11" x14ac:dyDescent="0.25">
      <c r="E985">
        <v>708</v>
      </c>
      <c r="F985" s="7">
        <v>45230</v>
      </c>
      <c r="G985" t="s">
        <v>9</v>
      </c>
      <c r="H985">
        <v>26</v>
      </c>
      <c r="I985" t="s">
        <v>11</v>
      </c>
      <c r="J985">
        <v>3</v>
      </c>
      <c r="K985">
        <v>500</v>
      </c>
    </row>
    <row r="986" spans="5:11" x14ac:dyDescent="0.25">
      <c r="E986">
        <v>1198</v>
      </c>
      <c r="F986" s="7">
        <v>45536</v>
      </c>
      <c r="G986" t="s">
        <v>7</v>
      </c>
      <c r="H986">
        <v>36</v>
      </c>
      <c r="I986" t="s">
        <v>8</v>
      </c>
      <c r="J986">
        <v>2</v>
      </c>
      <c r="K986">
        <v>77</v>
      </c>
    </row>
    <row r="987" spans="5:11" x14ac:dyDescent="0.25">
      <c r="E987">
        <v>2</v>
      </c>
      <c r="F987" s="7">
        <v>44984</v>
      </c>
      <c r="G987" t="s">
        <v>9</v>
      </c>
      <c r="H987">
        <v>26</v>
      </c>
      <c r="I987" t="s">
        <v>10</v>
      </c>
      <c r="J987">
        <v>2</v>
      </c>
      <c r="K987">
        <v>500</v>
      </c>
    </row>
    <row r="988" spans="5:11" x14ac:dyDescent="0.25">
      <c r="E988">
        <v>1189</v>
      </c>
      <c r="F988" s="7">
        <v>45583</v>
      </c>
      <c r="G988" t="s">
        <v>7</v>
      </c>
      <c r="H988">
        <v>20</v>
      </c>
      <c r="I988" t="s">
        <v>8</v>
      </c>
      <c r="J988">
        <v>1</v>
      </c>
      <c r="K988">
        <v>96</v>
      </c>
    </row>
    <row r="989" spans="5:11" x14ac:dyDescent="0.25">
      <c r="E989">
        <v>944</v>
      </c>
      <c r="F989" s="7">
        <v>45054</v>
      </c>
      <c r="G989" t="s">
        <v>7</v>
      </c>
      <c r="H989">
        <v>62</v>
      </c>
      <c r="I989" t="s">
        <v>11</v>
      </c>
      <c r="J989">
        <v>4</v>
      </c>
      <c r="K989">
        <v>500</v>
      </c>
    </row>
    <row r="990" spans="5:11" x14ac:dyDescent="0.25">
      <c r="E990">
        <v>733</v>
      </c>
      <c r="F990" s="7">
        <v>45203</v>
      </c>
      <c r="G990" t="s">
        <v>9</v>
      </c>
      <c r="H990">
        <v>64</v>
      </c>
      <c r="I990" t="s">
        <v>10</v>
      </c>
      <c r="J990">
        <v>4</v>
      </c>
      <c r="K990">
        <v>500</v>
      </c>
    </row>
    <row r="991" spans="5:11" x14ac:dyDescent="0.25">
      <c r="E991">
        <v>1331</v>
      </c>
      <c r="F991" s="7">
        <v>45597</v>
      </c>
      <c r="G991" t="s">
        <v>7</v>
      </c>
      <c r="H991">
        <v>37</v>
      </c>
      <c r="I991" t="s">
        <v>11</v>
      </c>
      <c r="J991">
        <v>4</v>
      </c>
      <c r="K991">
        <v>66</v>
      </c>
    </row>
    <row r="992" spans="5:11" x14ac:dyDescent="0.25">
      <c r="E992">
        <v>714</v>
      </c>
      <c r="F992" s="7">
        <v>45146</v>
      </c>
      <c r="G992" t="s">
        <v>9</v>
      </c>
      <c r="H992">
        <v>60</v>
      </c>
      <c r="I992" t="s">
        <v>10</v>
      </c>
      <c r="J992">
        <v>4</v>
      </c>
      <c r="K992">
        <v>300</v>
      </c>
    </row>
    <row r="993" spans="5:11" x14ac:dyDescent="0.25">
      <c r="E993">
        <v>373</v>
      </c>
      <c r="F993" s="7">
        <v>45036</v>
      </c>
      <c r="G993" t="s">
        <v>9</v>
      </c>
      <c r="H993">
        <v>59</v>
      </c>
      <c r="I993" t="s">
        <v>8</v>
      </c>
      <c r="J993">
        <v>3</v>
      </c>
      <c r="K993">
        <v>25</v>
      </c>
    </row>
    <row r="994" spans="5:11" x14ac:dyDescent="0.25">
      <c r="E994">
        <v>301</v>
      </c>
      <c r="F994" s="7">
        <v>45121</v>
      </c>
      <c r="G994" t="s">
        <v>7</v>
      </c>
      <c r="H994">
        <v>57</v>
      </c>
      <c r="I994" t="s">
        <v>8</v>
      </c>
      <c r="J994">
        <v>2</v>
      </c>
      <c r="K994">
        <v>300</v>
      </c>
    </row>
    <row r="995" spans="5:11" x14ac:dyDescent="0.25">
      <c r="E995">
        <v>1710</v>
      </c>
      <c r="F995" s="7">
        <v>45334</v>
      </c>
      <c r="G995" t="s">
        <v>9</v>
      </c>
      <c r="H995">
        <v>42</v>
      </c>
      <c r="I995" t="s">
        <v>10</v>
      </c>
      <c r="J995">
        <v>6</v>
      </c>
      <c r="K995">
        <v>31</v>
      </c>
    </row>
    <row r="996" spans="5:11" x14ac:dyDescent="0.25">
      <c r="E996">
        <v>488</v>
      </c>
      <c r="F996" s="7">
        <v>45069</v>
      </c>
      <c r="G996" t="s">
        <v>7</v>
      </c>
      <c r="H996">
        <v>44</v>
      </c>
      <c r="I996" t="s">
        <v>11</v>
      </c>
      <c r="J996">
        <v>1</v>
      </c>
      <c r="K996">
        <v>30</v>
      </c>
    </row>
    <row r="997" spans="5:11" x14ac:dyDescent="0.25">
      <c r="E997">
        <v>1972</v>
      </c>
      <c r="F997" s="7">
        <v>45575</v>
      </c>
      <c r="G997" t="s">
        <v>9</v>
      </c>
      <c r="H997">
        <v>59</v>
      </c>
      <c r="I997" t="s">
        <v>8</v>
      </c>
      <c r="J997">
        <v>6</v>
      </c>
      <c r="K997">
        <v>424</v>
      </c>
    </row>
    <row r="998" spans="5:11" x14ac:dyDescent="0.25">
      <c r="E998">
        <v>423</v>
      </c>
      <c r="F998" s="7">
        <v>45253</v>
      </c>
      <c r="G998" t="s">
        <v>7</v>
      </c>
      <c r="H998">
        <v>57</v>
      </c>
      <c r="I998" t="s">
        <v>8</v>
      </c>
      <c r="J998">
        <v>4</v>
      </c>
      <c r="K998">
        <v>300</v>
      </c>
    </row>
    <row r="999" spans="5:11" x14ac:dyDescent="0.25">
      <c r="E999">
        <v>1398</v>
      </c>
      <c r="F999" s="7">
        <v>45576</v>
      </c>
      <c r="G999" t="s">
        <v>9</v>
      </c>
      <c r="H999">
        <v>57</v>
      </c>
      <c r="I999" t="s">
        <v>10</v>
      </c>
      <c r="J999">
        <v>6</v>
      </c>
      <c r="K999">
        <v>27</v>
      </c>
    </row>
    <row r="1000" spans="5:11" x14ac:dyDescent="0.25">
      <c r="E1000">
        <v>906</v>
      </c>
      <c r="F1000" s="7">
        <v>45289</v>
      </c>
      <c r="G1000" t="s">
        <v>7</v>
      </c>
      <c r="H1000">
        <v>46</v>
      </c>
      <c r="I1000" t="s">
        <v>8</v>
      </c>
      <c r="J1000">
        <v>4</v>
      </c>
      <c r="K1000">
        <v>300</v>
      </c>
    </row>
    <row r="1001" spans="5:11" x14ac:dyDescent="0.25">
      <c r="E1001">
        <v>749</v>
      </c>
      <c r="F1001" s="7">
        <v>45169</v>
      </c>
      <c r="G1001" t="s">
        <v>9</v>
      </c>
      <c r="H1001">
        <v>42</v>
      </c>
      <c r="I1001" t="s">
        <v>10</v>
      </c>
      <c r="J1001">
        <v>2</v>
      </c>
      <c r="K1001">
        <v>25</v>
      </c>
    </row>
    <row r="1002" spans="5:11" x14ac:dyDescent="0.25">
      <c r="E1002">
        <v>377</v>
      </c>
      <c r="F1002" s="7">
        <v>45105</v>
      </c>
      <c r="G1002" t="s">
        <v>7</v>
      </c>
      <c r="H1002">
        <v>50</v>
      </c>
      <c r="I1002" t="s">
        <v>8</v>
      </c>
      <c r="J1002">
        <v>1</v>
      </c>
      <c r="K1002">
        <v>300</v>
      </c>
    </row>
    <row r="1003" spans="5:11" x14ac:dyDescent="0.25">
      <c r="E1003">
        <v>381</v>
      </c>
      <c r="F1003" s="7">
        <v>45072</v>
      </c>
      <c r="G1003" t="s">
        <v>9</v>
      </c>
      <c r="H1003">
        <v>53</v>
      </c>
      <c r="I1003" t="s">
        <v>10</v>
      </c>
      <c r="J1003">
        <v>2</v>
      </c>
      <c r="K1003">
        <v>500</v>
      </c>
    </row>
    <row r="1004" spans="5:11" x14ac:dyDescent="0.25">
      <c r="E1004">
        <v>1979</v>
      </c>
      <c r="F1004" s="7">
        <v>45597</v>
      </c>
      <c r="G1004" t="s">
        <v>9</v>
      </c>
      <c r="H1004">
        <v>59</v>
      </c>
      <c r="I1004" t="s">
        <v>10</v>
      </c>
      <c r="J1004">
        <v>4</v>
      </c>
      <c r="K1004">
        <v>132</v>
      </c>
    </row>
    <row r="1005" spans="5:11" x14ac:dyDescent="0.25">
      <c r="E1005">
        <v>526</v>
      </c>
      <c r="F1005" s="7">
        <v>45027</v>
      </c>
      <c r="G1005" t="s">
        <v>7</v>
      </c>
      <c r="H1005">
        <v>57</v>
      </c>
      <c r="I1005" t="s">
        <v>10</v>
      </c>
      <c r="J1005">
        <v>2</v>
      </c>
      <c r="K1005">
        <v>25</v>
      </c>
    </row>
    <row r="1006" spans="5:11" x14ac:dyDescent="0.25">
      <c r="E1006">
        <v>648</v>
      </c>
      <c r="F1006" s="7">
        <v>44966</v>
      </c>
      <c r="G1006" t="s">
        <v>9</v>
      </c>
      <c r="H1006">
        <v>58</v>
      </c>
      <c r="I1006" t="s">
        <v>10</v>
      </c>
      <c r="J1006">
        <v>2</v>
      </c>
      <c r="K1006">
        <v>300</v>
      </c>
    </row>
    <row r="1007" spans="5:11" x14ac:dyDescent="0.25">
      <c r="E1007">
        <v>1554</v>
      </c>
      <c r="F1007" s="7">
        <v>45500</v>
      </c>
      <c r="G1007" t="s">
        <v>9</v>
      </c>
      <c r="H1007">
        <v>36</v>
      </c>
      <c r="I1007" t="s">
        <v>8</v>
      </c>
      <c r="J1007">
        <v>5</v>
      </c>
      <c r="K1007">
        <v>86</v>
      </c>
    </row>
    <row r="1008" spans="5:11" x14ac:dyDescent="0.25">
      <c r="E1008">
        <v>1712</v>
      </c>
      <c r="F1008" s="7">
        <v>45512</v>
      </c>
      <c r="G1008" t="s">
        <v>9</v>
      </c>
      <c r="H1008">
        <v>49</v>
      </c>
      <c r="I1008" t="s">
        <v>10</v>
      </c>
      <c r="J1008">
        <v>3</v>
      </c>
      <c r="K1008">
        <v>161</v>
      </c>
    </row>
    <row r="1009" spans="5:11" x14ac:dyDescent="0.25">
      <c r="E1009">
        <v>1345</v>
      </c>
      <c r="F1009" s="7">
        <v>45629</v>
      </c>
      <c r="G1009" t="s">
        <v>9</v>
      </c>
      <c r="H1009">
        <v>27</v>
      </c>
      <c r="I1009" t="s">
        <v>11</v>
      </c>
      <c r="J1009">
        <v>5</v>
      </c>
      <c r="K1009">
        <v>96</v>
      </c>
    </row>
    <row r="1010" spans="5:11" x14ac:dyDescent="0.25">
      <c r="E1010">
        <v>296</v>
      </c>
      <c r="F1010" s="7">
        <v>45173</v>
      </c>
      <c r="G1010" t="s">
        <v>9</v>
      </c>
      <c r="H1010">
        <v>40</v>
      </c>
      <c r="I1010" t="s">
        <v>11</v>
      </c>
      <c r="J1010">
        <v>2</v>
      </c>
      <c r="K1010">
        <v>500</v>
      </c>
    </row>
    <row r="1011" spans="5:11" x14ac:dyDescent="0.25">
      <c r="E1011">
        <v>1438</v>
      </c>
      <c r="F1011" s="7">
        <v>45575</v>
      </c>
      <c r="G1011" t="s">
        <v>7</v>
      </c>
      <c r="H1011">
        <v>31</v>
      </c>
      <c r="I1011" t="s">
        <v>8</v>
      </c>
      <c r="J1011">
        <v>4</v>
      </c>
      <c r="K1011">
        <v>86</v>
      </c>
    </row>
    <row r="1012" spans="5:11" x14ac:dyDescent="0.25">
      <c r="E1012">
        <v>1880</v>
      </c>
      <c r="F1012" s="7">
        <v>45411</v>
      </c>
      <c r="G1012" t="s">
        <v>9</v>
      </c>
      <c r="H1012">
        <v>53</v>
      </c>
      <c r="I1012" t="s">
        <v>10</v>
      </c>
      <c r="J1012">
        <v>5</v>
      </c>
      <c r="K1012">
        <v>407</v>
      </c>
    </row>
    <row r="1013" spans="5:11" x14ac:dyDescent="0.25">
      <c r="E1013">
        <v>1602</v>
      </c>
      <c r="F1013" s="7">
        <v>45497</v>
      </c>
      <c r="G1013" t="s">
        <v>7</v>
      </c>
      <c r="H1013">
        <v>22</v>
      </c>
      <c r="I1013" t="s">
        <v>11</v>
      </c>
      <c r="J1013">
        <v>1</v>
      </c>
      <c r="K1013">
        <v>97</v>
      </c>
    </row>
    <row r="1014" spans="5:11" x14ac:dyDescent="0.25">
      <c r="E1014">
        <v>304</v>
      </c>
      <c r="F1014" s="7">
        <v>45062</v>
      </c>
      <c r="G1014" t="s">
        <v>9</v>
      </c>
      <c r="H1014">
        <v>18</v>
      </c>
      <c r="I1014" t="s">
        <v>8</v>
      </c>
      <c r="J1014">
        <v>1</v>
      </c>
      <c r="K1014">
        <v>30</v>
      </c>
    </row>
    <row r="1015" spans="5:11" x14ac:dyDescent="0.25">
      <c r="E1015">
        <v>1861</v>
      </c>
      <c r="F1015" s="7">
        <v>45647</v>
      </c>
      <c r="G1015" t="s">
        <v>9</v>
      </c>
      <c r="H1015">
        <v>35</v>
      </c>
      <c r="I1015" t="s">
        <v>10</v>
      </c>
      <c r="J1015">
        <v>3</v>
      </c>
      <c r="K1015">
        <v>228</v>
      </c>
    </row>
    <row r="1016" spans="5:11" x14ac:dyDescent="0.25">
      <c r="E1016">
        <v>512</v>
      </c>
      <c r="F1016" s="7">
        <v>45188</v>
      </c>
      <c r="G1016" t="s">
        <v>7</v>
      </c>
      <c r="H1016">
        <v>24</v>
      </c>
      <c r="I1016" t="s">
        <v>11</v>
      </c>
      <c r="J1016">
        <v>4</v>
      </c>
      <c r="K1016">
        <v>25</v>
      </c>
    </row>
    <row r="1017" spans="5:11" x14ac:dyDescent="0.25">
      <c r="E1017">
        <v>1485</v>
      </c>
      <c r="F1017" s="7">
        <v>45461</v>
      </c>
      <c r="G1017" t="s">
        <v>9</v>
      </c>
      <c r="H1017">
        <v>31</v>
      </c>
      <c r="I1017" t="s">
        <v>11</v>
      </c>
      <c r="J1017">
        <v>7</v>
      </c>
      <c r="K1017">
        <v>343</v>
      </c>
    </row>
    <row r="1018" spans="5:11" x14ac:dyDescent="0.25">
      <c r="E1018">
        <v>1252</v>
      </c>
      <c r="F1018" s="7">
        <v>45390</v>
      </c>
      <c r="G1018" t="s">
        <v>7</v>
      </c>
      <c r="H1018">
        <v>50</v>
      </c>
      <c r="I1018" t="s">
        <v>10</v>
      </c>
      <c r="J1018">
        <v>1</v>
      </c>
      <c r="K1018">
        <v>178</v>
      </c>
    </row>
    <row r="1019" spans="5:11" x14ac:dyDescent="0.25">
      <c r="E1019">
        <v>30</v>
      </c>
      <c r="F1019" s="7">
        <v>45228</v>
      </c>
      <c r="G1019" t="s">
        <v>9</v>
      </c>
      <c r="H1019">
        <v>39</v>
      </c>
      <c r="I1019" t="s">
        <v>8</v>
      </c>
      <c r="J1019">
        <v>3</v>
      </c>
      <c r="K1019">
        <v>300</v>
      </c>
    </row>
    <row r="1020" spans="5:11" x14ac:dyDescent="0.25">
      <c r="E1020">
        <v>1556</v>
      </c>
      <c r="F1020" s="7">
        <v>45292</v>
      </c>
      <c r="G1020" t="s">
        <v>9</v>
      </c>
      <c r="H1020">
        <v>52</v>
      </c>
      <c r="I1020" t="s">
        <v>10</v>
      </c>
      <c r="J1020">
        <v>7</v>
      </c>
      <c r="K1020">
        <v>363</v>
      </c>
    </row>
    <row r="1021" spans="5:11" x14ac:dyDescent="0.25">
      <c r="E1021">
        <v>463</v>
      </c>
      <c r="F1021" s="7">
        <v>44939</v>
      </c>
      <c r="G1021" t="s">
        <v>7</v>
      </c>
      <c r="H1021">
        <v>38</v>
      </c>
      <c r="I1021" t="s">
        <v>11</v>
      </c>
      <c r="J1021">
        <v>2</v>
      </c>
      <c r="K1021">
        <v>300</v>
      </c>
    </row>
    <row r="1022" spans="5:11" x14ac:dyDescent="0.25">
      <c r="E1022">
        <v>1241</v>
      </c>
      <c r="F1022" s="7">
        <v>45635</v>
      </c>
      <c r="G1022" t="s">
        <v>7</v>
      </c>
      <c r="H1022">
        <v>30</v>
      </c>
      <c r="I1022" t="s">
        <v>8</v>
      </c>
      <c r="J1022">
        <v>1</v>
      </c>
      <c r="K1022">
        <v>208</v>
      </c>
    </row>
    <row r="1023" spans="5:11" x14ac:dyDescent="0.25">
      <c r="E1023">
        <v>1865</v>
      </c>
      <c r="F1023" s="7">
        <v>45590</v>
      </c>
      <c r="G1023" t="s">
        <v>7</v>
      </c>
      <c r="H1023">
        <v>42</v>
      </c>
      <c r="I1023" t="s">
        <v>8</v>
      </c>
      <c r="J1023">
        <v>6</v>
      </c>
      <c r="K1023">
        <v>221</v>
      </c>
    </row>
    <row r="1024" spans="5:11" x14ac:dyDescent="0.25">
      <c r="E1024">
        <v>1875</v>
      </c>
      <c r="F1024" s="7">
        <v>45652</v>
      </c>
      <c r="G1024" t="s">
        <v>7</v>
      </c>
      <c r="H1024">
        <v>39</v>
      </c>
      <c r="I1024" t="s">
        <v>10</v>
      </c>
      <c r="J1024">
        <v>4</v>
      </c>
      <c r="K1024">
        <v>318</v>
      </c>
    </row>
    <row r="1025" spans="5:11" x14ac:dyDescent="0.25">
      <c r="E1025">
        <v>1082</v>
      </c>
      <c r="F1025" s="7">
        <v>45624</v>
      </c>
      <c r="G1025" t="s">
        <v>9</v>
      </c>
      <c r="H1025">
        <v>22</v>
      </c>
      <c r="I1025" t="s">
        <v>11</v>
      </c>
      <c r="J1025">
        <v>3</v>
      </c>
      <c r="K1025">
        <v>462</v>
      </c>
    </row>
    <row r="1026" spans="5:11" x14ac:dyDescent="0.25">
      <c r="E1026">
        <v>25</v>
      </c>
      <c r="F1026" s="7">
        <v>45286</v>
      </c>
      <c r="G1026" t="s">
        <v>9</v>
      </c>
      <c r="H1026">
        <v>64</v>
      </c>
      <c r="I1026" t="s">
        <v>8</v>
      </c>
      <c r="J1026">
        <v>1</v>
      </c>
      <c r="K1026">
        <v>50</v>
      </c>
    </row>
    <row r="1027" spans="5:11" x14ac:dyDescent="0.25">
      <c r="E1027">
        <v>115</v>
      </c>
      <c r="F1027" s="7">
        <v>45256</v>
      </c>
      <c r="G1027" t="s">
        <v>7</v>
      </c>
      <c r="H1027">
        <v>51</v>
      </c>
      <c r="I1027" t="s">
        <v>10</v>
      </c>
      <c r="J1027">
        <v>3</v>
      </c>
      <c r="K1027">
        <v>500</v>
      </c>
    </row>
    <row r="1028" spans="5:11" x14ac:dyDescent="0.25">
      <c r="E1028">
        <v>1068</v>
      </c>
      <c r="F1028" s="7">
        <v>45343</v>
      </c>
      <c r="G1028" t="s">
        <v>9</v>
      </c>
      <c r="H1028">
        <v>19</v>
      </c>
      <c r="I1028" t="s">
        <v>10</v>
      </c>
      <c r="J1028">
        <v>3</v>
      </c>
      <c r="K1028">
        <v>277</v>
      </c>
    </row>
    <row r="1029" spans="5:11" x14ac:dyDescent="0.25">
      <c r="E1029">
        <v>1956</v>
      </c>
      <c r="F1029" s="7">
        <v>45512</v>
      </c>
      <c r="G1029" t="s">
        <v>7</v>
      </c>
      <c r="H1029">
        <v>26</v>
      </c>
      <c r="I1029" t="s">
        <v>10</v>
      </c>
      <c r="J1029">
        <v>7</v>
      </c>
      <c r="K1029">
        <v>151</v>
      </c>
    </row>
    <row r="1030" spans="5:11" x14ac:dyDescent="0.25">
      <c r="E1030">
        <v>295</v>
      </c>
      <c r="F1030" s="7">
        <v>45175</v>
      </c>
      <c r="G1030" t="s">
        <v>9</v>
      </c>
      <c r="H1030">
        <v>22</v>
      </c>
      <c r="I1030" t="s">
        <v>10</v>
      </c>
      <c r="J1030">
        <v>4</v>
      </c>
      <c r="K1030">
        <v>300</v>
      </c>
    </row>
    <row r="1031" spans="5:11" x14ac:dyDescent="0.25">
      <c r="E1031">
        <v>237</v>
      </c>
      <c r="F1031" s="7">
        <v>44943</v>
      </c>
      <c r="G1031" t="s">
        <v>9</v>
      </c>
      <c r="H1031">
        <v>39</v>
      </c>
      <c r="I1031" t="s">
        <v>8</v>
      </c>
      <c r="J1031">
        <v>1</v>
      </c>
      <c r="K1031">
        <v>500</v>
      </c>
    </row>
    <row r="1032" spans="5:11" x14ac:dyDescent="0.25">
      <c r="E1032">
        <v>487</v>
      </c>
      <c r="F1032" s="7">
        <v>45095</v>
      </c>
      <c r="G1032" t="s">
        <v>9</v>
      </c>
      <c r="H1032">
        <v>51</v>
      </c>
      <c r="I1032" t="s">
        <v>11</v>
      </c>
      <c r="J1032">
        <v>3</v>
      </c>
      <c r="K1032">
        <v>300</v>
      </c>
    </row>
    <row r="1033" spans="5:11" x14ac:dyDescent="0.25">
      <c r="E1033">
        <v>1223</v>
      </c>
      <c r="F1033" s="7">
        <v>45594</v>
      </c>
      <c r="G1033" t="s">
        <v>9</v>
      </c>
      <c r="H1033">
        <v>37</v>
      </c>
      <c r="I1033" t="s">
        <v>10</v>
      </c>
      <c r="J1033">
        <v>5</v>
      </c>
      <c r="K1033">
        <v>325</v>
      </c>
    </row>
    <row r="1034" spans="5:11" x14ac:dyDescent="0.25">
      <c r="E1034">
        <v>201</v>
      </c>
      <c r="F1034" s="7">
        <v>45208</v>
      </c>
      <c r="G1034" t="s">
        <v>7</v>
      </c>
      <c r="H1034">
        <v>56</v>
      </c>
      <c r="I1034" t="s">
        <v>11</v>
      </c>
      <c r="J1034">
        <v>1</v>
      </c>
      <c r="K1034">
        <v>25</v>
      </c>
    </row>
    <row r="1035" spans="5:11" x14ac:dyDescent="0.25">
      <c r="E1035">
        <v>1387</v>
      </c>
      <c r="F1035" s="7">
        <v>45563</v>
      </c>
      <c r="G1035" t="s">
        <v>7</v>
      </c>
      <c r="H1035">
        <v>27</v>
      </c>
      <c r="I1035" t="s">
        <v>11</v>
      </c>
      <c r="J1035">
        <v>1</v>
      </c>
      <c r="K1035">
        <v>440</v>
      </c>
    </row>
    <row r="1036" spans="5:11" x14ac:dyDescent="0.25">
      <c r="E1036">
        <v>710</v>
      </c>
      <c r="F1036" s="7">
        <v>45266</v>
      </c>
      <c r="G1036" t="s">
        <v>9</v>
      </c>
      <c r="H1036">
        <v>57</v>
      </c>
      <c r="I1036" t="s">
        <v>8</v>
      </c>
      <c r="J1036">
        <v>2</v>
      </c>
      <c r="K1036">
        <v>25</v>
      </c>
    </row>
    <row r="1037" spans="5:11" x14ac:dyDescent="0.25">
      <c r="E1037">
        <v>1837</v>
      </c>
      <c r="F1037" s="7">
        <v>45598</v>
      </c>
      <c r="G1037" t="s">
        <v>7</v>
      </c>
      <c r="H1037">
        <v>51</v>
      </c>
      <c r="I1037" t="s">
        <v>11</v>
      </c>
      <c r="J1037">
        <v>6</v>
      </c>
      <c r="K1037">
        <v>485</v>
      </c>
    </row>
    <row r="1038" spans="5:11" x14ac:dyDescent="0.25">
      <c r="E1038">
        <v>705</v>
      </c>
      <c r="F1038" s="7">
        <v>45200</v>
      </c>
      <c r="G1038" t="s">
        <v>9</v>
      </c>
      <c r="H1038">
        <v>26</v>
      </c>
      <c r="I1038" t="s">
        <v>10</v>
      </c>
      <c r="J1038">
        <v>1</v>
      </c>
      <c r="K1038">
        <v>500</v>
      </c>
    </row>
    <row r="1039" spans="5:11" x14ac:dyDescent="0.25">
      <c r="E1039">
        <v>1293</v>
      </c>
      <c r="F1039" s="7">
        <v>45541</v>
      </c>
      <c r="G1039" t="s">
        <v>9</v>
      </c>
      <c r="H1039">
        <v>40</v>
      </c>
      <c r="I1039" t="s">
        <v>10</v>
      </c>
      <c r="J1039">
        <v>3</v>
      </c>
      <c r="K1039">
        <v>468</v>
      </c>
    </row>
    <row r="1040" spans="5:11" x14ac:dyDescent="0.25">
      <c r="E1040">
        <v>1265</v>
      </c>
      <c r="F1040" s="7">
        <v>45342</v>
      </c>
      <c r="G1040" t="s">
        <v>9</v>
      </c>
      <c r="H1040">
        <v>41</v>
      </c>
      <c r="I1040" t="s">
        <v>11</v>
      </c>
      <c r="J1040">
        <v>2</v>
      </c>
      <c r="K1040">
        <v>254</v>
      </c>
    </row>
    <row r="1041" spans="5:11" x14ac:dyDescent="0.25">
      <c r="E1041">
        <v>912</v>
      </c>
      <c r="F1041" s="7">
        <v>45210</v>
      </c>
      <c r="G1041" t="s">
        <v>9</v>
      </c>
      <c r="H1041">
        <v>59</v>
      </c>
      <c r="I1041" t="s">
        <v>11</v>
      </c>
      <c r="J1041">
        <v>1</v>
      </c>
      <c r="K1041">
        <v>500</v>
      </c>
    </row>
    <row r="1042" spans="5:11" x14ac:dyDescent="0.25">
      <c r="E1042">
        <v>224</v>
      </c>
      <c r="F1042" s="7">
        <v>44937</v>
      </c>
      <c r="G1042" t="s">
        <v>9</v>
      </c>
      <c r="H1042">
        <v>57</v>
      </c>
      <c r="I1042" t="s">
        <v>8</v>
      </c>
      <c r="J1042">
        <v>4</v>
      </c>
      <c r="K1042">
        <v>25</v>
      </c>
    </row>
    <row r="1043" spans="5:11" x14ac:dyDescent="0.25">
      <c r="E1043">
        <v>667</v>
      </c>
      <c r="F1043" s="7">
        <v>45096</v>
      </c>
      <c r="G1043" t="s">
        <v>7</v>
      </c>
      <c r="H1043">
        <v>24</v>
      </c>
      <c r="I1043" t="s">
        <v>8</v>
      </c>
      <c r="J1043">
        <v>4</v>
      </c>
      <c r="K1043">
        <v>300</v>
      </c>
    </row>
    <row r="1044" spans="5:11" x14ac:dyDescent="0.25">
      <c r="E1044">
        <v>1651</v>
      </c>
      <c r="F1044" s="7">
        <v>45456</v>
      </c>
      <c r="G1044" t="s">
        <v>9</v>
      </c>
      <c r="H1044">
        <v>40</v>
      </c>
      <c r="I1044" t="s">
        <v>10</v>
      </c>
      <c r="J1044">
        <v>3</v>
      </c>
      <c r="K1044">
        <v>29</v>
      </c>
    </row>
    <row r="1045" spans="5:11" x14ac:dyDescent="0.25">
      <c r="E1045">
        <v>729</v>
      </c>
      <c r="F1045" s="7">
        <v>45056</v>
      </c>
      <c r="G1045" t="s">
        <v>7</v>
      </c>
      <c r="H1045">
        <v>54</v>
      </c>
      <c r="I1045" t="s">
        <v>10</v>
      </c>
      <c r="J1045">
        <v>4</v>
      </c>
      <c r="K1045">
        <v>500</v>
      </c>
    </row>
    <row r="1046" spans="5:11" x14ac:dyDescent="0.25">
      <c r="E1046">
        <v>1025</v>
      </c>
      <c r="F1046" s="7">
        <v>45507</v>
      </c>
      <c r="G1046" t="s">
        <v>9</v>
      </c>
      <c r="H1046">
        <v>53</v>
      </c>
      <c r="I1046" t="s">
        <v>8</v>
      </c>
      <c r="J1046">
        <v>5</v>
      </c>
      <c r="K1046">
        <v>209</v>
      </c>
    </row>
    <row r="1047" spans="5:11" x14ac:dyDescent="0.25">
      <c r="E1047">
        <v>1361</v>
      </c>
      <c r="F1047" s="7">
        <v>45527</v>
      </c>
      <c r="G1047" t="s">
        <v>9</v>
      </c>
      <c r="H1047">
        <v>24</v>
      </c>
      <c r="I1047" t="s">
        <v>8</v>
      </c>
      <c r="J1047">
        <v>3</v>
      </c>
      <c r="K1047">
        <v>203</v>
      </c>
    </row>
    <row r="1048" spans="5:11" x14ac:dyDescent="0.25">
      <c r="E1048">
        <v>118</v>
      </c>
      <c r="F1048" s="7">
        <v>45062</v>
      </c>
      <c r="G1048" t="s">
        <v>9</v>
      </c>
      <c r="H1048">
        <v>30</v>
      </c>
      <c r="I1048" t="s">
        <v>11</v>
      </c>
      <c r="J1048">
        <v>4</v>
      </c>
      <c r="K1048">
        <v>500</v>
      </c>
    </row>
    <row r="1049" spans="5:11" x14ac:dyDescent="0.25">
      <c r="E1049">
        <v>277</v>
      </c>
      <c r="F1049" s="7">
        <v>44998</v>
      </c>
      <c r="G1049" t="s">
        <v>9</v>
      </c>
      <c r="H1049">
        <v>37</v>
      </c>
      <c r="I1049" t="s">
        <v>10</v>
      </c>
      <c r="J1049">
        <v>4</v>
      </c>
      <c r="K1049">
        <v>25</v>
      </c>
    </row>
    <row r="1050" spans="5:11" x14ac:dyDescent="0.25">
      <c r="E1050">
        <v>963</v>
      </c>
      <c r="F1050" s="7">
        <v>45239</v>
      </c>
      <c r="G1050" t="s">
        <v>7</v>
      </c>
      <c r="H1050">
        <v>22</v>
      </c>
      <c r="I1050" t="s">
        <v>10</v>
      </c>
      <c r="J1050">
        <v>4</v>
      </c>
      <c r="K1050">
        <v>50</v>
      </c>
    </row>
    <row r="1051" spans="5:11" x14ac:dyDescent="0.25">
      <c r="E1051">
        <v>299</v>
      </c>
      <c r="F1051" s="7">
        <v>44957</v>
      </c>
      <c r="G1051" t="s">
        <v>9</v>
      </c>
      <c r="H1051">
        <v>19</v>
      </c>
      <c r="I1051" t="s">
        <v>11</v>
      </c>
      <c r="J1051">
        <v>4</v>
      </c>
      <c r="K1051">
        <v>50</v>
      </c>
    </row>
    <row r="1052" spans="5:11" x14ac:dyDescent="0.25">
      <c r="E1052">
        <v>440</v>
      </c>
      <c r="F1052" s="7">
        <v>45209</v>
      </c>
      <c r="G1052" t="s">
        <v>7</v>
      </c>
      <c r="H1052">
        <v>57</v>
      </c>
      <c r="I1052" t="s">
        <v>8</v>
      </c>
      <c r="J1052">
        <v>4</v>
      </c>
      <c r="K1052">
        <v>300</v>
      </c>
    </row>
    <row r="1053" spans="5:11" x14ac:dyDescent="0.25">
      <c r="E1053">
        <v>384</v>
      </c>
      <c r="F1053" s="7">
        <v>45205</v>
      </c>
      <c r="G1053" t="s">
        <v>7</v>
      </c>
      <c r="H1053">
        <v>50</v>
      </c>
      <c r="I1053" t="s">
        <v>11</v>
      </c>
      <c r="J1053">
        <v>3</v>
      </c>
      <c r="K1053">
        <v>500</v>
      </c>
    </row>
    <row r="1054" spans="5:11" x14ac:dyDescent="0.25">
      <c r="E1054">
        <v>500</v>
      </c>
      <c r="F1054" s="7">
        <v>45060</v>
      </c>
      <c r="G1054" t="s">
        <v>7</v>
      </c>
      <c r="H1054">
        <v>39</v>
      </c>
      <c r="I1054" t="s">
        <v>11</v>
      </c>
      <c r="J1054">
        <v>2</v>
      </c>
      <c r="K1054">
        <v>30</v>
      </c>
    </row>
    <row r="1055" spans="5:11" x14ac:dyDescent="0.25">
      <c r="E1055">
        <v>419</v>
      </c>
      <c r="F1055" s="7">
        <v>44949</v>
      </c>
      <c r="G1055" t="s">
        <v>9</v>
      </c>
      <c r="H1055">
        <v>22</v>
      </c>
      <c r="I1055" t="s">
        <v>10</v>
      </c>
      <c r="J1055">
        <v>4</v>
      </c>
      <c r="K1055">
        <v>500</v>
      </c>
    </row>
    <row r="1056" spans="5:11" x14ac:dyDescent="0.25">
      <c r="E1056">
        <v>49</v>
      </c>
      <c r="F1056" s="7">
        <v>44949</v>
      </c>
      <c r="G1056" t="s">
        <v>9</v>
      </c>
      <c r="H1056">
        <v>54</v>
      </c>
      <c r="I1056" t="s">
        <v>11</v>
      </c>
      <c r="J1056">
        <v>2</v>
      </c>
      <c r="K1056">
        <v>500</v>
      </c>
    </row>
    <row r="1057" spans="5:11" x14ac:dyDescent="0.25">
      <c r="E1057">
        <v>1081</v>
      </c>
      <c r="F1057" s="7">
        <v>45642</v>
      </c>
      <c r="G1057" t="s">
        <v>7</v>
      </c>
      <c r="H1057">
        <v>64</v>
      </c>
      <c r="I1057" t="s">
        <v>11</v>
      </c>
      <c r="J1057">
        <v>4</v>
      </c>
      <c r="K1057">
        <v>43</v>
      </c>
    </row>
    <row r="1058" spans="5:11" x14ac:dyDescent="0.25">
      <c r="E1058">
        <v>975</v>
      </c>
      <c r="F1058" s="7">
        <v>44965</v>
      </c>
      <c r="G1058" t="s">
        <v>9</v>
      </c>
      <c r="H1058">
        <v>35</v>
      </c>
      <c r="I1058" t="s">
        <v>11</v>
      </c>
      <c r="J1058">
        <v>3</v>
      </c>
      <c r="K1058">
        <v>25</v>
      </c>
    </row>
    <row r="1059" spans="5:11" x14ac:dyDescent="0.25">
      <c r="E1059">
        <v>532</v>
      </c>
      <c r="F1059" s="7">
        <v>45246</v>
      </c>
      <c r="G1059" t="s">
        <v>7</v>
      </c>
      <c r="H1059">
        <v>19</v>
      </c>
      <c r="I1059" t="s">
        <v>11</v>
      </c>
      <c r="J1059">
        <v>3</v>
      </c>
      <c r="K1059">
        <v>500</v>
      </c>
    </row>
    <row r="1060" spans="5:11" x14ac:dyDescent="0.25">
      <c r="E1060">
        <v>539</v>
      </c>
      <c r="F1060" s="7">
        <v>45268</v>
      </c>
      <c r="G1060" t="s">
        <v>9</v>
      </c>
      <c r="H1060">
        <v>46</v>
      </c>
      <c r="I1060" t="s">
        <v>11</v>
      </c>
      <c r="J1060">
        <v>3</v>
      </c>
      <c r="K1060">
        <v>300</v>
      </c>
    </row>
    <row r="1061" spans="5:11" x14ac:dyDescent="0.25">
      <c r="E1061">
        <v>342</v>
      </c>
      <c r="F1061" s="7">
        <v>45231</v>
      </c>
      <c r="G1061" t="s">
        <v>7</v>
      </c>
      <c r="H1061">
        <v>21</v>
      </c>
      <c r="I1061" t="s">
        <v>11</v>
      </c>
      <c r="J1061">
        <v>2</v>
      </c>
      <c r="K1061">
        <v>25</v>
      </c>
    </row>
    <row r="1062" spans="5:11" x14ac:dyDescent="0.25">
      <c r="E1062">
        <v>846</v>
      </c>
      <c r="F1062" s="7">
        <v>44970</v>
      </c>
      <c r="G1062" t="s">
        <v>9</v>
      </c>
      <c r="H1062">
        <v>63</v>
      </c>
      <c r="I1062" t="s">
        <v>10</v>
      </c>
      <c r="J1062">
        <v>3</v>
      </c>
      <c r="K1062">
        <v>25</v>
      </c>
    </row>
    <row r="1063" spans="5:11" x14ac:dyDescent="0.25">
      <c r="E1063">
        <v>181</v>
      </c>
      <c r="F1063" s="7">
        <v>45233</v>
      </c>
      <c r="G1063" t="s">
        <v>7</v>
      </c>
      <c r="H1063">
        <v>19</v>
      </c>
      <c r="I1063" t="s">
        <v>11</v>
      </c>
      <c r="J1063">
        <v>4</v>
      </c>
      <c r="K1063">
        <v>300</v>
      </c>
    </row>
    <row r="1064" spans="5:11" x14ac:dyDescent="0.25">
      <c r="E1064">
        <v>210</v>
      </c>
      <c r="F1064" s="7">
        <v>45029</v>
      </c>
      <c r="G1064" t="s">
        <v>7</v>
      </c>
      <c r="H1064">
        <v>37</v>
      </c>
      <c r="I1064" t="s">
        <v>11</v>
      </c>
      <c r="J1064">
        <v>4</v>
      </c>
      <c r="K1064">
        <v>50</v>
      </c>
    </row>
    <row r="1065" spans="5:11" x14ac:dyDescent="0.25">
      <c r="E1065">
        <v>565</v>
      </c>
      <c r="F1065" s="7">
        <v>45262</v>
      </c>
      <c r="G1065" t="s">
        <v>9</v>
      </c>
      <c r="H1065">
        <v>64</v>
      </c>
      <c r="I1065" t="s">
        <v>10</v>
      </c>
      <c r="J1065">
        <v>1</v>
      </c>
      <c r="K1065">
        <v>30</v>
      </c>
    </row>
    <row r="1066" spans="5:11" x14ac:dyDescent="0.25">
      <c r="E1066">
        <v>124</v>
      </c>
      <c r="F1066" s="7">
        <v>45226</v>
      </c>
      <c r="G1066" t="s">
        <v>7</v>
      </c>
      <c r="H1066">
        <v>33</v>
      </c>
      <c r="I1066" t="s">
        <v>10</v>
      </c>
      <c r="J1066">
        <v>4</v>
      </c>
      <c r="K1066">
        <v>500</v>
      </c>
    </row>
    <row r="1067" spans="5:11" x14ac:dyDescent="0.25">
      <c r="E1067">
        <v>76</v>
      </c>
      <c r="F1067" s="7">
        <v>45010</v>
      </c>
      <c r="G1067" t="s">
        <v>9</v>
      </c>
      <c r="H1067">
        <v>22</v>
      </c>
      <c r="I1067" t="s">
        <v>11</v>
      </c>
      <c r="J1067">
        <v>2</v>
      </c>
      <c r="K1067">
        <v>50</v>
      </c>
    </row>
    <row r="1068" spans="5:11" x14ac:dyDescent="0.25">
      <c r="E1068">
        <v>84</v>
      </c>
      <c r="F1068" s="7">
        <v>45258</v>
      </c>
      <c r="G1068" t="s">
        <v>9</v>
      </c>
      <c r="H1068">
        <v>38</v>
      </c>
      <c r="I1068" t="s">
        <v>11</v>
      </c>
      <c r="J1068">
        <v>3</v>
      </c>
      <c r="K1068">
        <v>30</v>
      </c>
    </row>
    <row r="1069" spans="5:11" x14ac:dyDescent="0.25">
      <c r="E1069">
        <v>1768</v>
      </c>
      <c r="F1069" s="7">
        <v>45485</v>
      </c>
      <c r="G1069" t="s">
        <v>7</v>
      </c>
      <c r="H1069">
        <v>29</v>
      </c>
      <c r="I1069" t="s">
        <v>11</v>
      </c>
      <c r="J1069">
        <v>5</v>
      </c>
      <c r="K1069">
        <v>425</v>
      </c>
    </row>
    <row r="1070" spans="5:11" x14ac:dyDescent="0.25">
      <c r="E1070">
        <v>1332</v>
      </c>
      <c r="F1070" s="7">
        <v>45326</v>
      </c>
      <c r="G1070" t="s">
        <v>9</v>
      </c>
      <c r="H1070">
        <v>57</v>
      </c>
      <c r="I1070" t="s">
        <v>8</v>
      </c>
      <c r="J1070">
        <v>2</v>
      </c>
      <c r="K1070">
        <v>479</v>
      </c>
    </row>
    <row r="1071" spans="5:11" x14ac:dyDescent="0.25">
      <c r="E1071">
        <v>1396</v>
      </c>
      <c r="F1071" s="7">
        <v>45352</v>
      </c>
      <c r="G1071" t="s">
        <v>9</v>
      </c>
      <c r="H1071">
        <v>19</v>
      </c>
      <c r="I1071" t="s">
        <v>8</v>
      </c>
      <c r="J1071">
        <v>1</v>
      </c>
      <c r="K1071">
        <v>387</v>
      </c>
    </row>
    <row r="1072" spans="5:11" x14ac:dyDescent="0.25">
      <c r="E1072">
        <v>955</v>
      </c>
      <c r="F1072" s="7">
        <v>45153</v>
      </c>
      <c r="G1072" t="s">
        <v>9</v>
      </c>
      <c r="H1072">
        <v>60</v>
      </c>
      <c r="I1072" t="s">
        <v>11</v>
      </c>
      <c r="J1072">
        <v>4</v>
      </c>
      <c r="K1072">
        <v>30</v>
      </c>
    </row>
    <row r="1073" spans="5:11" x14ac:dyDescent="0.25">
      <c r="E1073">
        <v>1266</v>
      </c>
      <c r="F1073" s="7">
        <v>45323</v>
      </c>
      <c r="G1073" t="s">
        <v>7</v>
      </c>
      <c r="H1073">
        <v>59</v>
      </c>
      <c r="I1073" t="s">
        <v>10</v>
      </c>
      <c r="J1073">
        <v>3</v>
      </c>
      <c r="K1073">
        <v>423</v>
      </c>
    </row>
    <row r="1074" spans="5:11" x14ac:dyDescent="0.25">
      <c r="E1074">
        <v>1329</v>
      </c>
      <c r="F1074" s="7">
        <v>45388</v>
      </c>
      <c r="G1074" t="s">
        <v>7</v>
      </c>
      <c r="H1074">
        <v>65</v>
      </c>
      <c r="I1074" t="s">
        <v>11</v>
      </c>
      <c r="J1074">
        <v>6</v>
      </c>
      <c r="K1074">
        <v>425</v>
      </c>
    </row>
    <row r="1075" spans="5:11" x14ac:dyDescent="0.25">
      <c r="E1075">
        <v>788</v>
      </c>
      <c r="F1075" s="7">
        <v>45146</v>
      </c>
      <c r="G1075" t="s">
        <v>7</v>
      </c>
      <c r="H1075">
        <v>62</v>
      </c>
      <c r="I1075" t="s">
        <v>10</v>
      </c>
      <c r="J1075">
        <v>1</v>
      </c>
      <c r="K1075">
        <v>25</v>
      </c>
    </row>
    <row r="1076" spans="5:11" x14ac:dyDescent="0.25">
      <c r="E1076">
        <v>1042</v>
      </c>
      <c r="F1076" s="7">
        <v>45341</v>
      </c>
      <c r="G1076" t="s">
        <v>9</v>
      </c>
      <c r="H1076">
        <v>32</v>
      </c>
      <c r="I1076" t="s">
        <v>10</v>
      </c>
      <c r="J1076">
        <v>1</v>
      </c>
      <c r="K1076">
        <v>178</v>
      </c>
    </row>
    <row r="1077" spans="5:11" x14ac:dyDescent="0.25">
      <c r="E1077">
        <v>1212</v>
      </c>
      <c r="F1077" s="7">
        <v>45625</v>
      </c>
      <c r="G1077" t="s">
        <v>7</v>
      </c>
      <c r="H1077">
        <v>37</v>
      </c>
      <c r="I1077" t="s">
        <v>10</v>
      </c>
      <c r="J1077">
        <v>6</v>
      </c>
      <c r="K1077">
        <v>305</v>
      </c>
    </row>
    <row r="1078" spans="5:11" x14ac:dyDescent="0.25">
      <c r="E1078">
        <v>36</v>
      </c>
      <c r="F1078" s="7">
        <v>45101</v>
      </c>
      <c r="G1078" t="s">
        <v>7</v>
      </c>
      <c r="H1078">
        <v>52</v>
      </c>
      <c r="I1078" t="s">
        <v>8</v>
      </c>
      <c r="J1078">
        <v>3</v>
      </c>
      <c r="K1078">
        <v>300</v>
      </c>
    </row>
    <row r="1079" spans="5:11" x14ac:dyDescent="0.25">
      <c r="E1079">
        <v>670</v>
      </c>
      <c r="F1079" s="7">
        <v>45139</v>
      </c>
      <c r="G1079" t="s">
        <v>9</v>
      </c>
      <c r="H1079">
        <v>34</v>
      </c>
      <c r="I1079" t="s">
        <v>8</v>
      </c>
      <c r="J1079">
        <v>2</v>
      </c>
      <c r="K1079">
        <v>50</v>
      </c>
    </row>
    <row r="1080" spans="5:11" x14ac:dyDescent="0.25">
      <c r="E1080">
        <v>1614</v>
      </c>
      <c r="F1080" s="7">
        <v>45530</v>
      </c>
      <c r="G1080" t="s">
        <v>7</v>
      </c>
      <c r="H1080">
        <v>64</v>
      </c>
      <c r="I1080" t="s">
        <v>11</v>
      </c>
      <c r="J1080">
        <v>5</v>
      </c>
      <c r="K1080">
        <v>368</v>
      </c>
    </row>
    <row r="1081" spans="5:11" x14ac:dyDescent="0.25">
      <c r="E1081">
        <v>330</v>
      </c>
      <c r="F1081" s="7">
        <v>44968</v>
      </c>
      <c r="G1081" t="s">
        <v>7</v>
      </c>
      <c r="H1081">
        <v>28</v>
      </c>
      <c r="I1081" t="s">
        <v>11</v>
      </c>
      <c r="J1081">
        <v>3</v>
      </c>
      <c r="K1081">
        <v>30</v>
      </c>
    </row>
    <row r="1082" spans="5:11" x14ac:dyDescent="0.25">
      <c r="E1082">
        <v>1814</v>
      </c>
      <c r="F1082" s="7">
        <v>45430</v>
      </c>
      <c r="G1082" t="s">
        <v>7</v>
      </c>
      <c r="H1082">
        <v>47</v>
      </c>
      <c r="I1082" t="s">
        <v>11</v>
      </c>
      <c r="J1082">
        <v>6</v>
      </c>
      <c r="K1082">
        <v>417</v>
      </c>
    </row>
    <row r="1083" spans="5:11" x14ac:dyDescent="0.25">
      <c r="E1083">
        <v>840</v>
      </c>
      <c r="F1083" s="7">
        <v>45286</v>
      </c>
      <c r="G1083" t="s">
        <v>9</v>
      </c>
      <c r="H1083">
        <v>47</v>
      </c>
      <c r="I1083" t="s">
        <v>10</v>
      </c>
      <c r="J1083">
        <v>2</v>
      </c>
      <c r="K1083">
        <v>300</v>
      </c>
    </row>
    <row r="1084" spans="5:11" x14ac:dyDescent="0.25">
      <c r="E1084">
        <v>1838</v>
      </c>
      <c r="F1084" s="7">
        <v>45652</v>
      </c>
      <c r="G1084" t="s">
        <v>9</v>
      </c>
      <c r="H1084">
        <v>62</v>
      </c>
      <c r="I1084" t="s">
        <v>10</v>
      </c>
      <c r="J1084">
        <v>5</v>
      </c>
      <c r="K1084">
        <v>283</v>
      </c>
    </row>
    <row r="1085" spans="5:11" x14ac:dyDescent="0.25">
      <c r="E1085">
        <v>1069</v>
      </c>
      <c r="F1085" s="7">
        <v>45487</v>
      </c>
      <c r="G1085" t="s">
        <v>9</v>
      </c>
      <c r="H1085">
        <v>46</v>
      </c>
      <c r="I1085" t="s">
        <v>8</v>
      </c>
      <c r="J1085">
        <v>5</v>
      </c>
      <c r="K1085">
        <v>47</v>
      </c>
    </row>
    <row r="1086" spans="5:11" x14ac:dyDescent="0.25">
      <c r="E1086">
        <v>1665</v>
      </c>
      <c r="F1086" s="7">
        <v>45462</v>
      </c>
      <c r="G1086" t="s">
        <v>7</v>
      </c>
      <c r="H1086">
        <v>46</v>
      </c>
      <c r="I1086" t="s">
        <v>8</v>
      </c>
      <c r="J1086">
        <v>7</v>
      </c>
      <c r="K1086">
        <v>230</v>
      </c>
    </row>
    <row r="1087" spans="5:11" x14ac:dyDescent="0.25">
      <c r="E1087">
        <v>1231</v>
      </c>
      <c r="F1087" s="7">
        <v>45616</v>
      </c>
      <c r="G1087" t="s">
        <v>9</v>
      </c>
      <c r="H1087">
        <v>24</v>
      </c>
      <c r="I1087" t="s">
        <v>11</v>
      </c>
      <c r="J1087">
        <v>6</v>
      </c>
      <c r="K1087">
        <v>207</v>
      </c>
    </row>
    <row r="1088" spans="5:11" x14ac:dyDescent="0.25">
      <c r="E1088">
        <v>266</v>
      </c>
      <c r="F1088" s="7">
        <v>45257</v>
      </c>
      <c r="G1088" t="s">
        <v>9</v>
      </c>
      <c r="H1088">
        <v>32</v>
      </c>
      <c r="I1088" t="s">
        <v>8</v>
      </c>
      <c r="J1088">
        <v>3</v>
      </c>
      <c r="K1088">
        <v>30</v>
      </c>
    </row>
    <row r="1089" spans="5:11" x14ac:dyDescent="0.25">
      <c r="E1089">
        <v>68</v>
      </c>
      <c r="F1089" s="7">
        <v>44967</v>
      </c>
      <c r="G1089" t="s">
        <v>7</v>
      </c>
      <c r="H1089">
        <v>25</v>
      </c>
      <c r="I1089" t="s">
        <v>11</v>
      </c>
      <c r="J1089">
        <v>1</v>
      </c>
      <c r="K1089">
        <v>300</v>
      </c>
    </row>
    <row r="1090" spans="5:11" x14ac:dyDescent="0.25">
      <c r="E1090">
        <v>205</v>
      </c>
      <c r="F1090" s="7">
        <v>45237</v>
      </c>
      <c r="G1090" t="s">
        <v>9</v>
      </c>
      <c r="H1090">
        <v>43</v>
      </c>
      <c r="I1090" t="s">
        <v>10</v>
      </c>
      <c r="J1090">
        <v>1</v>
      </c>
      <c r="K1090">
        <v>25</v>
      </c>
    </row>
    <row r="1091" spans="5:11" x14ac:dyDescent="0.25">
      <c r="E1091">
        <v>1656</v>
      </c>
      <c r="F1091" s="7">
        <v>45411</v>
      </c>
      <c r="G1091" t="s">
        <v>9</v>
      </c>
      <c r="H1091">
        <v>55</v>
      </c>
      <c r="I1091" t="s">
        <v>8</v>
      </c>
      <c r="J1091">
        <v>7</v>
      </c>
      <c r="K1091">
        <v>355</v>
      </c>
    </row>
    <row r="1092" spans="5:11" x14ac:dyDescent="0.25">
      <c r="E1092">
        <v>1079</v>
      </c>
      <c r="F1092" s="7">
        <v>45429</v>
      </c>
      <c r="G1092" t="s">
        <v>7</v>
      </c>
      <c r="H1092">
        <v>65</v>
      </c>
      <c r="I1092" t="s">
        <v>11</v>
      </c>
      <c r="J1092">
        <v>3</v>
      </c>
      <c r="K1092">
        <v>224</v>
      </c>
    </row>
    <row r="1093" spans="5:11" x14ac:dyDescent="0.25">
      <c r="E1093">
        <v>1698</v>
      </c>
      <c r="F1093" s="7">
        <v>45500</v>
      </c>
      <c r="G1093" t="s">
        <v>9</v>
      </c>
      <c r="H1093">
        <v>46</v>
      </c>
      <c r="I1093" t="s">
        <v>10</v>
      </c>
      <c r="J1093">
        <v>3</v>
      </c>
      <c r="K1093">
        <v>160</v>
      </c>
    </row>
    <row r="1094" spans="5:11" x14ac:dyDescent="0.25">
      <c r="E1094">
        <v>54</v>
      </c>
      <c r="F1094" s="7">
        <v>44967</v>
      </c>
      <c r="G1094" t="s">
        <v>9</v>
      </c>
      <c r="H1094">
        <v>38</v>
      </c>
      <c r="I1094" t="s">
        <v>11</v>
      </c>
      <c r="J1094">
        <v>3</v>
      </c>
      <c r="K1094">
        <v>500</v>
      </c>
    </row>
    <row r="1095" spans="5:11" x14ac:dyDescent="0.25">
      <c r="E1095">
        <v>485</v>
      </c>
      <c r="F1095" s="7">
        <v>45025</v>
      </c>
      <c r="G1095" t="s">
        <v>9</v>
      </c>
      <c r="H1095">
        <v>35</v>
      </c>
      <c r="I1095" t="s">
        <v>11</v>
      </c>
      <c r="J1095">
        <v>1</v>
      </c>
      <c r="K1095">
        <v>25</v>
      </c>
    </row>
    <row r="1096" spans="5:11" x14ac:dyDescent="0.25">
      <c r="E1096">
        <v>102</v>
      </c>
      <c r="F1096" s="7">
        <v>45044</v>
      </c>
      <c r="G1096" t="s">
        <v>9</v>
      </c>
      <c r="H1096">
        <v>47</v>
      </c>
      <c r="I1096" t="s">
        <v>8</v>
      </c>
      <c r="J1096">
        <v>2</v>
      </c>
      <c r="K1096">
        <v>25</v>
      </c>
    </row>
    <row r="1097" spans="5:11" x14ac:dyDescent="0.25">
      <c r="E1097">
        <v>1413</v>
      </c>
      <c r="F1097" s="7">
        <v>45339</v>
      </c>
      <c r="G1097" t="s">
        <v>7</v>
      </c>
      <c r="H1097">
        <v>40</v>
      </c>
      <c r="I1097" t="s">
        <v>11</v>
      </c>
      <c r="J1097">
        <v>2</v>
      </c>
      <c r="K1097">
        <v>131</v>
      </c>
    </row>
    <row r="1098" spans="5:11" x14ac:dyDescent="0.25">
      <c r="E1098">
        <v>968</v>
      </c>
      <c r="F1098" s="7">
        <v>45062</v>
      </c>
      <c r="G1098" t="s">
        <v>7</v>
      </c>
      <c r="H1098">
        <v>59</v>
      </c>
      <c r="I1098" t="s">
        <v>11</v>
      </c>
      <c r="J1098">
        <v>4</v>
      </c>
      <c r="K1098">
        <v>500</v>
      </c>
    </row>
    <row r="1099" spans="5:11" x14ac:dyDescent="0.25">
      <c r="E1099">
        <v>1494</v>
      </c>
      <c r="F1099" s="7">
        <v>45567</v>
      </c>
      <c r="G1099" t="s">
        <v>7</v>
      </c>
      <c r="H1099">
        <v>36</v>
      </c>
      <c r="I1099" t="s">
        <v>10</v>
      </c>
      <c r="J1099">
        <v>5</v>
      </c>
      <c r="K1099">
        <v>37</v>
      </c>
    </row>
    <row r="1100" spans="5:11" x14ac:dyDescent="0.25">
      <c r="E1100">
        <v>354</v>
      </c>
      <c r="F1100" s="7">
        <v>45269</v>
      </c>
      <c r="G1100" t="s">
        <v>9</v>
      </c>
      <c r="H1100">
        <v>55</v>
      </c>
      <c r="I1100" t="s">
        <v>11</v>
      </c>
      <c r="J1100">
        <v>1</v>
      </c>
      <c r="K1100">
        <v>500</v>
      </c>
    </row>
    <row r="1101" spans="5:11" x14ac:dyDescent="0.25">
      <c r="E1101">
        <v>331</v>
      </c>
      <c r="F1101" s="7">
        <v>45022</v>
      </c>
      <c r="G1101" t="s">
        <v>7</v>
      </c>
      <c r="H1101">
        <v>58</v>
      </c>
      <c r="I1101" t="s">
        <v>11</v>
      </c>
      <c r="J1101">
        <v>4</v>
      </c>
      <c r="K1101">
        <v>300</v>
      </c>
    </row>
    <row r="1102" spans="5:11" x14ac:dyDescent="0.25">
      <c r="E1102">
        <v>1544</v>
      </c>
      <c r="F1102" s="7">
        <v>45358</v>
      </c>
      <c r="G1102" t="s">
        <v>7</v>
      </c>
      <c r="H1102">
        <v>26</v>
      </c>
      <c r="I1102" t="s">
        <v>10</v>
      </c>
      <c r="J1102">
        <v>7</v>
      </c>
      <c r="K1102">
        <v>372</v>
      </c>
    </row>
    <row r="1103" spans="5:11" x14ac:dyDescent="0.25">
      <c r="E1103">
        <v>1530</v>
      </c>
      <c r="F1103" s="7">
        <v>45612</v>
      </c>
      <c r="G1103" t="s">
        <v>7</v>
      </c>
      <c r="H1103">
        <v>24</v>
      </c>
      <c r="I1103" t="s">
        <v>11</v>
      </c>
      <c r="J1103">
        <v>4</v>
      </c>
      <c r="K1103">
        <v>457</v>
      </c>
    </row>
    <row r="1104" spans="5:11" x14ac:dyDescent="0.25">
      <c r="E1104">
        <v>1678</v>
      </c>
      <c r="F1104" s="7">
        <v>45537</v>
      </c>
      <c r="G1104" t="s">
        <v>7</v>
      </c>
      <c r="H1104">
        <v>28</v>
      </c>
      <c r="I1104" t="s">
        <v>8</v>
      </c>
      <c r="J1104">
        <v>7</v>
      </c>
      <c r="K1104">
        <v>204</v>
      </c>
    </row>
    <row r="1105" spans="5:11" x14ac:dyDescent="0.25">
      <c r="E1105">
        <v>1767</v>
      </c>
      <c r="F1105" s="7">
        <v>45639</v>
      </c>
      <c r="G1105" t="s">
        <v>7</v>
      </c>
      <c r="H1105">
        <v>48</v>
      </c>
      <c r="I1105" t="s">
        <v>11</v>
      </c>
      <c r="J1105">
        <v>5</v>
      </c>
      <c r="K1105">
        <v>410</v>
      </c>
    </row>
    <row r="1106" spans="5:11" x14ac:dyDescent="0.25">
      <c r="E1106">
        <v>462</v>
      </c>
      <c r="F1106" s="7">
        <v>45138</v>
      </c>
      <c r="G1106" t="s">
        <v>9</v>
      </c>
      <c r="H1106">
        <v>54</v>
      </c>
      <c r="I1106" t="s">
        <v>8</v>
      </c>
      <c r="J1106">
        <v>3</v>
      </c>
      <c r="K1106">
        <v>500</v>
      </c>
    </row>
    <row r="1107" spans="5:11" x14ac:dyDescent="0.25">
      <c r="E1107">
        <v>154</v>
      </c>
      <c r="F1107" s="7">
        <v>45201</v>
      </c>
      <c r="G1107" t="s">
        <v>7</v>
      </c>
      <c r="H1107">
        <v>51</v>
      </c>
      <c r="I1107" t="s">
        <v>11</v>
      </c>
      <c r="J1107">
        <v>3</v>
      </c>
      <c r="K1107">
        <v>300</v>
      </c>
    </row>
    <row r="1108" spans="5:11" x14ac:dyDescent="0.25">
      <c r="E1108">
        <v>317</v>
      </c>
      <c r="F1108" s="7">
        <v>45223</v>
      </c>
      <c r="G1108" t="s">
        <v>7</v>
      </c>
      <c r="H1108">
        <v>61</v>
      </c>
      <c r="I1108" t="s">
        <v>10</v>
      </c>
      <c r="J1108">
        <v>1</v>
      </c>
      <c r="K1108">
        <v>25</v>
      </c>
    </row>
    <row r="1109" spans="5:11" x14ac:dyDescent="0.25">
      <c r="E1109">
        <v>834</v>
      </c>
      <c r="F1109" s="7">
        <v>45035</v>
      </c>
      <c r="G1109" t="s">
        <v>9</v>
      </c>
      <c r="H1109">
        <v>22</v>
      </c>
      <c r="I1109" t="s">
        <v>10</v>
      </c>
      <c r="J1109">
        <v>1</v>
      </c>
      <c r="K1109">
        <v>50</v>
      </c>
    </row>
    <row r="1110" spans="5:11" x14ac:dyDescent="0.25">
      <c r="E1110">
        <v>1461</v>
      </c>
      <c r="F1110" s="7">
        <v>45304</v>
      </c>
      <c r="G1110" t="s">
        <v>7</v>
      </c>
      <c r="H1110">
        <v>45</v>
      </c>
      <c r="I1110" t="s">
        <v>11</v>
      </c>
      <c r="J1110">
        <v>2</v>
      </c>
      <c r="K1110">
        <v>333</v>
      </c>
    </row>
    <row r="1111" spans="5:11" x14ac:dyDescent="0.25">
      <c r="E1111">
        <v>895</v>
      </c>
      <c r="F1111" s="7">
        <v>45195</v>
      </c>
      <c r="G1111" t="s">
        <v>9</v>
      </c>
      <c r="H1111">
        <v>64</v>
      </c>
      <c r="I1111" t="s">
        <v>11</v>
      </c>
      <c r="J1111">
        <v>2</v>
      </c>
      <c r="K1111">
        <v>50</v>
      </c>
    </row>
    <row r="1112" spans="5:11" x14ac:dyDescent="0.25">
      <c r="E1112">
        <v>1619</v>
      </c>
      <c r="F1112" s="7">
        <v>45526</v>
      </c>
      <c r="G1112" t="s">
        <v>9</v>
      </c>
      <c r="H1112">
        <v>25</v>
      </c>
      <c r="I1112" t="s">
        <v>8</v>
      </c>
      <c r="J1112">
        <v>6</v>
      </c>
      <c r="K1112">
        <v>412</v>
      </c>
    </row>
    <row r="1113" spans="5:11" x14ac:dyDescent="0.25">
      <c r="E1113">
        <v>1886</v>
      </c>
      <c r="F1113" s="7">
        <v>45646</v>
      </c>
      <c r="G1113" t="s">
        <v>7</v>
      </c>
      <c r="H1113">
        <v>50</v>
      </c>
      <c r="I1113" t="s">
        <v>11</v>
      </c>
      <c r="J1113">
        <v>1</v>
      </c>
      <c r="K1113">
        <v>355</v>
      </c>
    </row>
    <row r="1114" spans="5:11" x14ac:dyDescent="0.25">
      <c r="E1114">
        <v>590</v>
      </c>
      <c r="F1114" s="7">
        <v>44939</v>
      </c>
      <c r="G1114" t="s">
        <v>7</v>
      </c>
      <c r="H1114">
        <v>53</v>
      </c>
      <c r="I1114" t="s">
        <v>11</v>
      </c>
      <c r="J1114">
        <v>4</v>
      </c>
      <c r="K1114">
        <v>25</v>
      </c>
    </row>
    <row r="1115" spans="5:11" x14ac:dyDescent="0.25">
      <c r="E1115">
        <v>1379</v>
      </c>
      <c r="F1115" s="7">
        <v>45438</v>
      </c>
      <c r="G1115" t="s">
        <v>9</v>
      </c>
      <c r="H1115">
        <v>59</v>
      </c>
      <c r="I1115" t="s">
        <v>10</v>
      </c>
      <c r="J1115">
        <v>6</v>
      </c>
      <c r="K1115">
        <v>121</v>
      </c>
    </row>
    <row r="1116" spans="5:11" x14ac:dyDescent="0.25">
      <c r="E1116">
        <v>566</v>
      </c>
      <c r="F1116" s="7">
        <v>45091</v>
      </c>
      <c r="G1116" t="s">
        <v>9</v>
      </c>
      <c r="H1116">
        <v>25</v>
      </c>
      <c r="I1116" t="s">
        <v>10</v>
      </c>
      <c r="J1116">
        <v>3</v>
      </c>
      <c r="K1116">
        <v>300</v>
      </c>
    </row>
    <row r="1117" spans="5:11" x14ac:dyDescent="0.25">
      <c r="E1117">
        <v>246</v>
      </c>
      <c r="F1117" s="7">
        <v>45203</v>
      </c>
      <c r="G1117" t="s">
        <v>7</v>
      </c>
      <c r="H1117">
        <v>41</v>
      </c>
      <c r="I1117" t="s">
        <v>11</v>
      </c>
      <c r="J1117">
        <v>2</v>
      </c>
      <c r="K1117">
        <v>30</v>
      </c>
    </row>
    <row r="1118" spans="5:11" x14ac:dyDescent="0.25">
      <c r="E1118">
        <v>1668</v>
      </c>
      <c r="F1118" s="7">
        <v>45505</v>
      </c>
      <c r="G1118" t="s">
        <v>9</v>
      </c>
      <c r="H1118">
        <v>28</v>
      </c>
      <c r="I1118" t="s">
        <v>8</v>
      </c>
      <c r="J1118">
        <v>3</v>
      </c>
      <c r="K1118">
        <v>435</v>
      </c>
    </row>
    <row r="1119" spans="5:11" x14ac:dyDescent="0.25">
      <c r="E1119">
        <v>1905</v>
      </c>
      <c r="F1119" s="7">
        <v>45566</v>
      </c>
      <c r="G1119" t="s">
        <v>7</v>
      </c>
      <c r="H1119">
        <v>35</v>
      </c>
      <c r="I1119" t="s">
        <v>11</v>
      </c>
      <c r="J1119">
        <v>2</v>
      </c>
      <c r="K1119">
        <v>434</v>
      </c>
    </row>
    <row r="1120" spans="5:11" x14ac:dyDescent="0.25">
      <c r="E1120">
        <v>1991</v>
      </c>
      <c r="F1120" s="7">
        <v>45412</v>
      </c>
      <c r="G1120" t="s">
        <v>9</v>
      </c>
      <c r="H1120">
        <v>26</v>
      </c>
      <c r="I1120" t="s">
        <v>10</v>
      </c>
      <c r="J1120">
        <v>6</v>
      </c>
      <c r="K1120">
        <v>294</v>
      </c>
    </row>
    <row r="1121" spans="5:11" x14ac:dyDescent="0.25">
      <c r="E1121">
        <v>674</v>
      </c>
      <c r="F1121" s="7">
        <v>45126</v>
      </c>
      <c r="G1121" t="s">
        <v>7</v>
      </c>
      <c r="H1121">
        <v>63</v>
      </c>
      <c r="I1121" t="s">
        <v>11</v>
      </c>
      <c r="J1121">
        <v>3</v>
      </c>
      <c r="K1121">
        <v>500</v>
      </c>
    </row>
    <row r="1122" spans="5:11" x14ac:dyDescent="0.25">
      <c r="E1122">
        <v>1163</v>
      </c>
      <c r="F1122" s="7">
        <v>45549</v>
      </c>
      <c r="G1122" t="s">
        <v>9</v>
      </c>
      <c r="H1122">
        <v>18</v>
      </c>
      <c r="I1122" t="s">
        <v>10</v>
      </c>
      <c r="J1122">
        <v>1</v>
      </c>
      <c r="K1122">
        <v>239</v>
      </c>
    </row>
    <row r="1123" spans="5:11" x14ac:dyDescent="0.25">
      <c r="E1123">
        <v>811</v>
      </c>
      <c r="F1123" s="7">
        <v>45202</v>
      </c>
      <c r="G1123" t="s">
        <v>7</v>
      </c>
      <c r="H1123">
        <v>52</v>
      </c>
      <c r="I1123" t="s">
        <v>11</v>
      </c>
      <c r="J1123">
        <v>3</v>
      </c>
      <c r="K1123">
        <v>50</v>
      </c>
    </row>
    <row r="1124" spans="5:11" x14ac:dyDescent="0.25">
      <c r="E1124">
        <v>1618</v>
      </c>
      <c r="F1124" s="7">
        <v>45355</v>
      </c>
      <c r="G1124" t="s">
        <v>9</v>
      </c>
      <c r="H1124">
        <v>45</v>
      </c>
      <c r="I1124" t="s">
        <v>8</v>
      </c>
      <c r="J1124">
        <v>2</v>
      </c>
      <c r="K1124">
        <v>208</v>
      </c>
    </row>
    <row r="1125" spans="5:11" x14ac:dyDescent="0.25">
      <c r="E1125">
        <v>1669</v>
      </c>
      <c r="F1125" s="7">
        <v>45323</v>
      </c>
      <c r="G1125" t="s">
        <v>9</v>
      </c>
      <c r="H1125">
        <v>34</v>
      </c>
      <c r="I1125" t="s">
        <v>10</v>
      </c>
      <c r="J1125">
        <v>1</v>
      </c>
      <c r="K1125">
        <v>43</v>
      </c>
    </row>
    <row r="1126" spans="5:11" x14ac:dyDescent="0.25">
      <c r="E1126">
        <v>888</v>
      </c>
      <c r="F1126" s="7">
        <v>45280</v>
      </c>
      <c r="G1126" t="s">
        <v>7</v>
      </c>
      <c r="H1126">
        <v>34</v>
      </c>
      <c r="I1126" t="s">
        <v>11</v>
      </c>
      <c r="J1126">
        <v>2</v>
      </c>
      <c r="K1126">
        <v>25</v>
      </c>
    </row>
    <row r="1127" spans="5:11" x14ac:dyDescent="0.25">
      <c r="E1127">
        <v>1256</v>
      </c>
      <c r="F1127" s="7">
        <v>45513</v>
      </c>
      <c r="G1127" t="s">
        <v>9</v>
      </c>
      <c r="H1127">
        <v>18</v>
      </c>
      <c r="I1127" t="s">
        <v>10</v>
      </c>
      <c r="J1127">
        <v>6</v>
      </c>
      <c r="K1127">
        <v>73</v>
      </c>
    </row>
    <row r="1128" spans="5:11" x14ac:dyDescent="0.25">
      <c r="E1128">
        <v>546</v>
      </c>
      <c r="F1128" s="7">
        <v>44992</v>
      </c>
      <c r="G1128" t="s">
        <v>7</v>
      </c>
      <c r="H1128">
        <v>63</v>
      </c>
      <c r="I1128" t="s">
        <v>10</v>
      </c>
      <c r="J1128">
        <v>4</v>
      </c>
      <c r="K1128">
        <v>500</v>
      </c>
    </row>
    <row r="1129" spans="5:11" x14ac:dyDescent="0.25">
      <c r="E1129">
        <v>770</v>
      </c>
      <c r="F1129" s="7">
        <v>45119</v>
      </c>
      <c r="G1129" t="s">
        <v>7</v>
      </c>
      <c r="H1129">
        <v>26</v>
      </c>
      <c r="I1129" t="s">
        <v>11</v>
      </c>
      <c r="J1129">
        <v>1</v>
      </c>
      <c r="K1129">
        <v>30</v>
      </c>
    </row>
    <row r="1130" spans="5:11" x14ac:dyDescent="0.25">
      <c r="E1130">
        <v>1747</v>
      </c>
      <c r="F1130" s="7">
        <v>45535</v>
      </c>
      <c r="G1130" t="s">
        <v>9</v>
      </c>
      <c r="H1130">
        <v>29</v>
      </c>
      <c r="I1130" t="s">
        <v>10</v>
      </c>
      <c r="J1130">
        <v>5</v>
      </c>
      <c r="K1130">
        <v>243</v>
      </c>
    </row>
    <row r="1131" spans="5:11" x14ac:dyDescent="0.25">
      <c r="E1131">
        <v>1373</v>
      </c>
      <c r="F1131" s="7">
        <v>45428</v>
      </c>
      <c r="G1131" t="s">
        <v>9</v>
      </c>
      <c r="H1131">
        <v>53</v>
      </c>
      <c r="I1131" t="s">
        <v>8</v>
      </c>
      <c r="J1131">
        <v>6</v>
      </c>
      <c r="K1131">
        <v>124</v>
      </c>
    </row>
    <row r="1132" spans="5:11" x14ac:dyDescent="0.25">
      <c r="E1132">
        <v>450</v>
      </c>
      <c r="F1132" s="7">
        <v>45276</v>
      </c>
      <c r="G1132" t="s">
        <v>9</v>
      </c>
      <c r="H1132">
        <v>45</v>
      </c>
      <c r="I1132" t="s">
        <v>11</v>
      </c>
      <c r="J1132">
        <v>1</v>
      </c>
      <c r="K1132">
        <v>30</v>
      </c>
    </row>
    <row r="1133" spans="5:11" x14ac:dyDescent="0.25">
      <c r="E1133">
        <v>1392</v>
      </c>
      <c r="F1133" s="7">
        <v>45632</v>
      </c>
      <c r="G1133" t="s">
        <v>7</v>
      </c>
      <c r="H1133">
        <v>44</v>
      </c>
      <c r="I1133" t="s">
        <v>11</v>
      </c>
      <c r="J1133">
        <v>2</v>
      </c>
      <c r="K1133">
        <v>25</v>
      </c>
    </row>
    <row r="1134" spans="5:11" x14ac:dyDescent="0.25">
      <c r="E1134">
        <v>567</v>
      </c>
      <c r="F1134" s="7">
        <v>45165</v>
      </c>
      <c r="G1134" t="s">
        <v>9</v>
      </c>
      <c r="H1134">
        <v>51</v>
      </c>
      <c r="I1134" t="s">
        <v>11</v>
      </c>
      <c r="J1134">
        <v>1</v>
      </c>
      <c r="K1134">
        <v>300</v>
      </c>
    </row>
    <row r="1135" spans="5:11" x14ac:dyDescent="0.25">
      <c r="E1135">
        <v>1697</v>
      </c>
      <c r="F1135" s="7">
        <v>45640</v>
      </c>
      <c r="G1135" t="s">
        <v>9</v>
      </c>
      <c r="H1135">
        <v>31</v>
      </c>
      <c r="I1135" t="s">
        <v>8</v>
      </c>
      <c r="J1135">
        <v>5</v>
      </c>
      <c r="K1135">
        <v>90</v>
      </c>
    </row>
    <row r="1136" spans="5:11" x14ac:dyDescent="0.25">
      <c r="E1136">
        <v>649</v>
      </c>
      <c r="F1136" s="7">
        <v>45073</v>
      </c>
      <c r="G1136" t="s">
        <v>7</v>
      </c>
      <c r="H1136">
        <v>51</v>
      </c>
      <c r="I1136" t="s">
        <v>10</v>
      </c>
      <c r="J1136">
        <v>3</v>
      </c>
      <c r="K1136">
        <v>50</v>
      </c>
    </row>
    <row r="1137" spans="5:11" x14ac:dyDescent="0.25">
      <c r="E1137">
        <v>806</v>
      </c>
      <c r="F1137" s="7">
        <v>45017</v>
      </c>
      <c r="G1137" t="s">
        <v>7</v>
      </c>
      <c r="H1137">
        <v>33</v>
      </c>
      <c r="I1137" t="s">
        <v>8</v>
      </c>
      <c r="J1137">
        <v>4</v>
      </c>
      <c r="K1137">
        <v>500</v>
      </c>
    </row>
    <row r="1138" spans="5:11" x14ac:dyDescent="0.25">
      <c r="E1138">
        <v>1299</v>
      </c>
      <c r="F1138" s="7">
        <v>45487</v>
      </c>
      <c r="G1138" t="s">
        <v>7</v>
      </c>
      <c r="H1138">
        <v>35</v>
      </c>
      <c r="I1138" t="s">
        <v>8</v>
      </c>
      <c r="J1138">
        <v>7</v>
      </c>
      <c r="K1138">
        <v>232</v>
      </c>
    </row>
    <row r="1139" spans="5:11" x14ac:dyDescent="0.25">
      <c r="E1139">
        <v>394</v>
      </c>
      <c r="F1139" s="7">
        <v>45266</v>
      </c>
      <c r="G1139" t="s">
        <v>7</v>
      </c>
      <c r="H1139">
        <v>50</v>
      </c>
      <c r="I1139" t="s">
        <v>11</v>
      </c>
      <c r="J1139">
        <v>2</v>
      </c>
      <c r="K1139">
        <v>500</v>
      </c>
    </row>
    <row r="1140" spans="5:11" x14ac:dyDescent="0.25">
      <c r="E1140">
        <v>1048</v>
      </c>
      <c r="F1140" s="7">
        <v>45528</v>
      </c>
      <c r="G1140" t="s">
        <v>9</v>
      </c>
      <c r="H1140">
        <v>55</v>
      </c>
      <c r="I1140" t="s">
        <v>8</v>
      </c>
      <c r="J1140">
        <v>5</v>
      </c>
      <c r="K1140">
        <v>420</v>
      </c>
    </row>
    <row r="1141" spans="5:11" x14ac:dyDescent="0.25">
      <c r="E1141">
        <v>459</v>
      </c>
      <c r="F1141" s="7">
        <v>45048</v>
      </c>
      <c r="G1141" t="s">
        <v>7</v>
      </c>
      <c r="H1141">
        <v>40</v>
      </c>
      <c r="I1141" t="s">
        <v>8</v>
      </c>
      <c r="J1141">
        <v>1</v>
      </c>
      <c r="K1141">
        <v>50</v>
      </c>
    </row>
    <row r="1142" spans="5:11" x14ac:dyDescent="0.25">
      <c r="E1142">
        <v>1926</v>
      </c>
      <c r="F1142" s="7">
        <v>45422</v>
      </c>
      <c r="G1142" t="s">
        <v>7</v>
      </c>
      <c r="H1142">
        <v>20</v>
      </c>
      <c r="I1142" t="s">
        <v>10</v>
      </c>
      <c r="J1142">
        <v>7</v>
      </c>
      <c r="K1142">
        <v>271</v>
      </c>
    </row>
    <row r="1143" spans="5:11" x14ac:dyDescent="0.25">
      <c r="E1143">
        <v>348</v>
      </c>
      <c r="F1143" s="7">
        <v>45225</v>
      </c>
      <c r="G1143" t="s">
        <v>9</v>
      </c>
      <c r="H1143">
        <v>57</v>
      </c>
      <c r="I1143" t="s">
        <v>8</v>
      </c>
      <c r="J1143">
        <v>1</v>
      </c>
      <c r="K1143">
        <v>50</v>
      </c>
    </row>
    <row r="1144" spans="5:11" x14ac:dyDescent="0.25">
      <c r="E1144">
        <v>1427</v>
      </c>
      <c r="F1144" s="7">
        <v>45511</v>
      </c>
      <c r="G1144" t="s">
        <v>9</v>
      </c>
      <c r="H1144">
        <v>65</v>
      </c>
      <c r="I1144" t="s">
        <v>11</v>
      </c>
      <c r="J1144">
        <v>7</v>
      </c>
      <c r="K1144">
        <v>300</v>
      </c>
    </row>
    <row r="1145" spans="5:11" x14ac:dyDescent="0.25">
      <c r="E1145">
        <v>754</v>
      </c>
      <c r="F1145" s="7">
        <v>45165</v>
      </c>
      <c r="G1145" t="s">
        <v>9</v>
      </c>
      <c r="H1145">
        <v>62</v>
      </c>
      <c r="I1145" t="s">
        <v>11</v>
      </c>
      <c r="J1145">
        <v>4</v>
      </c>
      <c r="K1145">
        <v>300</v>
      </c>
    </row>
    <row r="1146" spans="5:11" x14ac:dyDescent="0.25">
      <c r="E1146">
        <v>284</v>
      </c>
      <c r="F1146" s="7">
        <v>45153</v>
      </c>
      <c r="G1146" t="s">
        <v>9</v>
      </c>
      <c r="H1146">
        <v>31</v>
      </c>
      <c r="I1146" t="s">
        <v>11</v>
      </c>
      <c r="J1146">
        <v>1</v>
      </c>
      <c r="K1146">
        <v>25</v>
      </c>
    </row>
    <row r="1147" spans="5:11" x14ac:dyDescent="0.25">
      <c r="E1147">
        <v>220</v>
      </c>
      <c r="F1147" s="7">
        <v>45053</v>
      </c>
      <c r="G1147" t="s">
        <v>7</v>
      </c>
      <c r="H1147">
        <v>39</v>
      </c>
      <c r="I1147" t="s">
        <v>8</v>
      </c>
      <c r="J1147">
        <v>2</v>
      </c>
      <c r="K1147">
        <v>300</v>
      </c>
    </row>
    <row r="1148" spans="5:11" x14ac:dyDescent="0.25">
      <c r="E1148">
        <v>282</v>
      </c>
      <c r="F1148" s="7">
        <v>45054</v>
      </c>
      <c r="G1148" t="s">
        <v>9</v>
      </c>
      <c r="H1148">
        <v>18</v>
      </c>
      <c r="I1148" t="s">
        <v>11</v>
      </c>
      <c r="J1148">
        <v>1</v>
      </c>
      <c r="K1148">
        <v>500</v>
      </c>
    </row>
    <row r="1149" spans="5:11" x14ac:dyDescent="0.25">
      <c r="E1149">
        <v>524</v>
      </c>
      <c r="F1149" s="7">
        <v>45278</v>
      </c>
      <c r="G1149" t="s">
        <v>9</v>
      </c>
      <c r="H1149">
        <v>47</v>
      </c>
      <c r="I1149" t="s">
        <v>8</v>
      </c>
      <c r="J1149">
        <v>2</v>
      </c>
      <c r="K1149">
        <v>25</v>
      </c>
    </row>
    <row r="1150" spans="5:11" x14ac:dyDescent="0.25">
      <c r="E1150">
        <v>1374</v>
      </c>
      <c r="F1150" s="7">
        <v>45360</v>
      </c>
      <c r="G1150" t="s">
        <v>9</v>
      </c>
      <c r="H1150">
        <v>65</v>
      </c>
      <c r="I1150" t="s">
        <v>10</v>
      </c>
      <c r="J1150">
        <v>2</v>
      </c>
      <c r="K1150">
        <v>386</v>
      </c>
    </row>
    <row r="1151" spans="5:11" x14ac:dyDescent="0.25">
      <c r="E1151">
        <v>1158</v>
      </c>
      <c r="F1151" s="7">
        <v>45515</v>
      </c>
      <c r="G1151" t="s">
        <v>9</v>
      </c>
      <c r="H1151">
        <v>37</v>
      </c>
      <c r="I1151" t="s">
        <v>10</v>
      </c>
      <c r="J1151">
        <v>1</v>
      </c>
      <c r="K1151">
        <v>192</v>
      </c>
    </row>
    <row r="1152" spans="5:11" x14ac:dyDescent="0.25">
      <c r="E1152">
        <v>1339</v>
      </c>
      <c r="F1152" s="7">
        <v>45589</v>
      </c>
      <c r="G1152" t="s">
        <v>9</v>
      </c>
      <c r="H1152">
        <v>53</v>
      </c>
      <c r="I1152" t="s">
        <v>10</v>
      </c>
      <c r="J1152">
        <v>1</v>
      </c>
      <c r="K1152">
        <v>414</v>
      </c>
    </row>
    <row r="1153" spans="5:11" x14ac:dyDescent="0.25">
      <c r="E1153">
        <v>117</v>
      </c>
      <c r="F1153" s="7">
        <v>45000</v>
      </c>
      <c r="G1153" t="s">
        <v>7</v>
      </c>
      <c r="H1153">
        <v>19</v>
      </c>
      <c r="I1153" t="s">
        <v>11</v>
      </c>
      <c r="J1153">
        <v>2</v>
      </c>
      <c r="K1153">
        <v>500</v>
      </c>
    </row>
    <row r="1154" spans="5:11" x14ac:dyDescent="0.25">
      <c r="E1154">
        <v>441</v>
      </c>
      <c r="F1154" s="7">
        <v>45002</v>
      </c>
      <c r="G1154" t="s">
        <v>9</v>
      </c>
      <c r="H1154">
        <v>60</v>
      </c>
      <c r="I1154" t="s">
        <v>10</v>
      </c>
      <c r="J1154">
        <v>4</v>
      </c>
      <c r="K1154">
        <v>25</v>
      </c>
    </row>
    <row r="1155" spans="5:11" x14ac:dyDescent="0.25">
      <c r="E1155">
        <v>1012</v>
      </c>
      <c r="F1155" s="7">
        <v>45308</v>
      </c>
      <c r="G1155" t="s">
        <v>7</v>
      </c>
      <c r="H1155">
        <v>54</v>
      </c>
      <c r="I1155" t="s">
        <v>10</v>
      </c>
      <c r="J1155">
        <v>6</v>
      </c>
      <c r="K1155">
        <v>149</v>
      </c>
    </row>
    <row r="1156" spans="5:11" x14ac:dyDescent="0.25">
      <c r="E1156">
        <v>976</v>
      </c>
      <c r="F1156" s="7">
        <v>45007</v>
      </c>
      <c r="G1156" t="s">
        <v>9</v>
      </c>
      <c r="H1156">
        <v>53</v>
      </c>
      <c r="I1156" t="s">
        <v>10</v>
      </c>
      <c r="J1156">
        <v>3</v>
      </c>
      <c r="K1156">
        <v>50</v>
      </c>
    </row>
    <row r="1157" spans="5:11" x14ac:dyDescent="0.25">
      <c r="E1157">
        <v>1511</v>
      </c>
      <c r="F1157" s="7">
        <v>45352</v>
      </c>
      <c r="G1157" t="s">
        <v>9</v>
      </c>
      <c r="H1157">
        <v>36</v>
      </c>
      <c r="I1157" t="s">
        <v>11</v>
      </c>
      <c r="J1157">
        <v>6</v>
      </c>
      <c r="K1157">
        <v>479</v>
      </c>
    </row>
    <row r="1158" spans="5:11" x14ac:dyDescent="0.25">
      <c r="E1158">
        <v>1128</v>
      </c>
      <c r="F1158" s="7">
        <v>45363</v>
      </c>
      <c r="G1158" t="s">
        <v>9</v>
      </c>
      <c r="H1158">
        <v>40</v>
      </c>
      <c r="I1158" t="s">
        <v>10</v>
      </c>
      <c r="J1158">
        <v>3</v>
      </c>
      <c r="K1158">
        <v>20</v>
      </c>
    </row>
    <row r="1159" spans="5:11" x14ac:dyDescent="0.25">
      <c r="E1159">
        <v>849</v>
      </c>
      <c r="F1159" s="7">
        <v>45177</v>
      </c>
      <c r="G1159" t="s">
        <v>7</v>
      </c>
      <c r="H1159">
        <v>32</v>
      </c>
      <c r="I1159" t="s">
        <v>11</v>
      </c>
      <c r="J1159">
        <v>2</v>
      </c>
      <c r="K1159">
        <v>25</v>
      </c>
    </row>
    <row r="1160" spans="5:11" x14ac:dyDescent="0.25">
      <c r="E1160">
        <v>1027</v>
      </c>
      <c r="F1160" s="7">
        <v>45522</v>
      </c>
      <c r="G1160" t="s">
        <v>9</v>
      </c>
      <c r="H1160">
        <v>19</v>
      </c>
      <c r="I1160" t="s">
        <v>11</v>
      </c>
      <c r="J1160">
        <v>5</v>
      </c>
      <c r="K1160">
        <v>90</v>
      </c>
    </row>
    <row r="1161" spans="5:11" x14ac:dyDescent="0.25">
      <c r="E1161">
        <v>239</v>
      </c>
      <c r="F1161" s="7">
        <v>44963</v>
      </c>
      <c r="G1161" t="s">
        <v>9</v>
      </c>
      <c r="H1161">
        <v>23</v>
      </c>
      <c r="I1161" t="s">
        <v>8</v>
      </c>
      <c r="J1161">
        <v>1</v>
      </c>
      <c r="K1161">
        <v>300</v>
      </c>
    </row>
    <row r="1162" spans="5:11" x14ac:dyDescent="0.25">
      <c r="E1162">
        <v>1891</v>
      </c>
      <c r="F1162" s="7">
        <v>45434</v>
      </c>
      <c r="G1162" t="s">
        <v>9</v>
      </c>
      <c r="H1162">
        <v>56</v>
      </c>
      <c r="I1162" t="s">
        <v>10</v>
      </c>
      <c r="J1162">
        <v>2</v>
      </c>
      <c r="K1162">
        <v>286</v>
      </c>
    </row>
    <row r="1163" spans="5:11" x14ac:dyDescent="0.25">
      <c r="E1163">
        <v>1100</v>
      </c>
      <c r="F1163" s="7">
        <v>45410</v>
      </c>
      <c r="G1163" t="s">
        <v>9</v>
      </c>
      <c r="H1163">
        <v>65</v>
      </c>
      <c r="I1163" t="s">
        <v>8</v>
      </c>
      <c r="J1163">
        <v>5</v>
      </c>
      <c r="K1163">
        <v>46</v>
      </c>
    </row>
    <row r="1164" spans="5:11" x14ac:dyDescent="0.25">
      <c r="E1164">
        <v>1548</v>
      </c>
      <c r="F1164" s="7">
        <v>45487</v>
      </c>
      <c r="G1164" t="s">
        <v>7</v>
      </c>
      <c r="H1164">
        <v>30</v>
      </c>
      <c r="I1164" t="s">
        <v>11</v>
      </c>
      <c r="J1164">
        <v>3</v>
      </c>
      <c r="K1164">
        <v>283</v>
      </c>
    </row>
    <row r="1165" spans="5:11" x14ac:dyDescent="0.25">
      <c r="E1165">
        <v>771</v>
      </c>
      <c r="F1165" s="7">
        <v>45130</v>
      </c>
      <c r="G1165" t="s">
        <v>7</v>
      </c>
      <c r="H1165">
        <v>25</v>
      </c>
      <c r="I1165" t="s">
        <v>11</v>
      </c>
      <c r="J1165">
        <v>4</v>
      </c>
      <c r="K1165">
        <v>500</v>
      </c>
    </row>
    <row r="1166" spans="5:11" x14ac:dyDescent="0.25">
      <c r="E1166">
        <v>828</v>
      </c>
      <c r="F1166" s="7">
        <v>45099</v>
      </c>
      <c r="G1166" t="s">
        <v>9</v>
      </c>
      <c r="H1166">
        <v>64</v>
      </c>
      <c r="I1166" t="s">
        <v>10</v>
      </c>
      <c r="J1166">
        <v>3</v>
      </c>
      <c r="K1166">
        <v>50</v>
      </c>
    </row>
    <row r="1167" spans="5:11" x14ac:dyDescent="0.25">
      <c r="E1167">
        <v>451</v>
      </c>
      <c r="F1167" s="7">
        <v>45054</v>
      </c>
      <c r="G1167" t="s">
        <v>9</v>
      </c>
      <c r="H1167">
        <v>48</v>
      </c>
      <c r="I1167" t="s">
        <v>10</v>
      </c>
      <c r="J1167">
        <v>3</v>
      </c>
      <c r="K1167">
        <v>500</v>
      </c>
    </row>
    <row r="1168" spans="5:11" x14ac:dyDescent="0.25">
      <c r="E1168">
        <v>745</v>
      </c>
      <c r="F1168" s="7">
        <v>45245</v>
      </c>
      <c r="G1168" t="s">
        <v>7</v>
      </c>
      <c r="H1168">
        <v>23</v>
      </c>
      <c r="I1168" t="s">
        <v>8</v>
      </c>
      <c r="J1168">
        <v>1</v>
      </c>
      <c r="K1168">
        <v>30</v>
      </c>
    </row>
    <row r="1169" spans="5:11" x14ac:dyDescent="0.25">
      <c r="E1169">
        <v>1114</v>
      </c>
      <c r="F1169" s="7">
        <v>45527</v>
      </c>
      <c r="G1169" t="s">
        <v>9</v>
      </c>
      <c r="H1169">
        <v>18</v>
      </c>
      <c r="I1169" t="s">
        <v>10</v>
      </c>
      <c r="J1169">
        <v>4</v>
      </c>
      <c r="K1169">
        <v>267</v>
      </c>
    </row>
    <row r="1170" spans="5:11" x14ac:dyDescent="0.25">
      <c r="E1170">
        <v>15</v>
      </c>
      <c r="F1170" s="7">
        <v>44942</v>
      </c>
      <c r="G1170" t="s">
        <v>9</v>
      </c>
      <c r="H1170">
        <v>42</v>
      </c>
      <c r="I1170" t="s">
        <v>11</v>
      </c>
      <c r="J1170">
        <v>4</v>
      </c>
      <c r="K1170">
        <v>500</v>
      </c>
    </row>
    <row r="1171" spans="5:11" x14ac:dyDescent="0.25">
      <c r="E1171">
        <v>1935</v>
      </c>
      <c r="F1171" s="7">
        <v>45644</v>
      </c>
      <c r="G1171" t="s">
        <v>9</v>
      </c>
      <c r="H1171">
        <v>38</v>
      </c>
      <c r="I1171" t="s">
        <v>11</v>
      </c>
      <c r="J1171">
        <v>1</v>
      </c>
      <c r="K1171">
        <v>189</v>
      </c>
    </row>
    <row r="1172" spans="5:11" x14ac:dyDescent="0.25">
      <c r="E1172">
        <v>1620</v>
      </c>
      <c r="F1172" s="7">
        <v>45361</v>
      </c>
      <c r="G1172" t="s">
        <v>7</v>
      </c>
      <c r="H1172">
        <v>51</v>
      </c>
      <c r="I1172" t="s">
        <v>10</v>
      </c>
      <c r="J1172">
        <v>2</v>
      </c>
      <c r="K1172">
        <v>116</v>
      </c>
    </row>
    <row r="1173" spans="5:11" x14ac:dyDescent="0.25">
      <c r="E1173">
        <v>1608</v>
      </c>
      <c r="F1173" s="7">
        <v>45346</v>
      </c>
      <c r="G1173" t="s">
        <v>7</v>
      </c>
      <c r="H1173">
        <v>64</v>
      </c>
      <c r="I1173" t="s">
        <v>8</v>
      </c>
      <c r="J1173">
        <v>4</v>
      </c>
      <c r="K1173">
        <v>134</v>
      </c>
    </row>
    <row r="1174" spans="5:11" x14ac:dyDescent="0.25">
      <c r="E1174">
        <v>730</v>
      </c>
      <c r="F1174" s="7">
        <v>44968</v>
      </c>
      <c r="G1174" t="s">
        <v>7</v>
      </c>
      <c r="H1174">
        <v>61</v>
      </c>
      <c r="I1174" t="s">
        <v>11</v>
      </c>
      <c r="J1174">
        <v>2</v>
      </c>
      <c r="K1174">
        <v>500</v>
      </c>
    </row>
    <row r="1175" spans="5:11" x14ac:dyDescent="0.25">
      <c r="E1175">
        <v>781</v>
      </c>
      <c r="F1175" s="7">
        <v>45277</v>
      </c>
      <c r="G1175" t="s">
        <v>9</v>
      </c>
      <c r="H1175">
        <v>56</v>
      </c>
      <c r="I1175" t="s">
        <v>10</v>
      </c>
      <c r="J1175">
        <v>1</v>
      </c>
      <c r="K1175">
        <v>300</v>
      </c>
    </row>
    <row r="1176" spans="5:11" x14ac:dyDescent="0.25">
      <c r="E1176">
        <v>52</v>
      </c>
      <c r="F1176" s="7">
        <v>44990</v>
      </c>
      <c r="G1176" t="s">
        <v>9</v>
      </c>
      <c r="H1176">
        <v>36</v>
      </c>
      <c r="I1176" t="s">
        <v>8</v>
      </c>
      <c r="J1176">
        <v>1</v>
      </c>
      <c r="K1176">
        <v>300</v>
      </c>
    </row>
    <row r="1177" spans="5:11" x14ac:dyDescent="0.25">
      <c r="E1177">
        <v>1000</v>
      </c>
      <c r="F1177" s="7">
        <v>45349</v>
      </c>
      <c r="G1177" t="s">
        <v>9</v>
      </c>
      <c r="H1177">
        <v>61</v>
      </c>
      <c r="I1177" t="s">
        <v>10</v>
      </c>
      <c r="J1177">
        <v>1</v>
      </c>
      <c r="K1177">
        <v>328</v>
      </c>
    </row>
    <row r="1178" spans="5:11" x14ac:dyDescent="0.25">
      <c r="E1178">
        <v>886</v>
      </c>
      <c r="F1178" s="7">
        <v>44988</v>
      </c>
      <c r="G1178" t="s">
        <v>9</v>
      </c>
      <c r="H1178">
        <v>52</v>
      </c>
      <c r="I1178" t="s">
        <v>11</v>
      </c>
      <c r="J1178">
        <v>4</v>
      </c>
      <c r="K1178">
        <v>25</v>
      </c>
    </row>
    <row r="1179" spans="5:11" x14ac:dyDescent="0.25">
      <c r="E1179">
        <v>1129</v>
      </c>
      <c r="F1179" s="7">
        <v>45553</v>
      </c>
      <c r="G1179" t="s">
        <v>9</v>
      </c>
      <c r="H1179">
        <v>54</v>
      </c>
      <c r="I1179" t="s">
        <v>8</v>
      </c>
      <c r="J1179">
        <v>6</v>
      </c>
      <c r="K1179">
        <v>468</v>
      </c>
    </row>
    <row r="1180" spans="5:11" x14ac:dyDescent="0.25">
      <c r="E1180">
        <v>1863</v>
      </c>
      <c r="F1180" s="7">
        <v>45449</v>
      </c>
      <c r="G1180" t="s">
        <v>7</v>
      </c>
      <c r="H1180">
        <v>62</v>
      </c>
      <c r="I1180" t="s">
        <v>11</v>
      </c>
      <c r="J1180">
        <v>2</v>
      </c>
      <c r="K1180">
        <v>306</v>
      </c>
    </row>
    <row r="1181" spans="5:11" x14ac:dyDescent="0.25">
      <c r="E1181">
        <v>410</v>
      </c>
      <c r="F1181" s="7">
        <v>45062</v>
      </c>
      <c r="G1181" t="s">
        <v>7</v>
      </c>
      <c r="H1181">
        <v>62</v>
      </c>
      <c r="I1181" t="s">
        <v>11</v>
      </c>
      <c r="J1181">
        <v>4</v>
      </c>
      <c r="K1181">
        <v>50</v>
      </c>
    </row>
    <row r="1182" spans="5:11" x14ac:dyDescent="0.25">
      <c r="E1182">
        <v>1008</v>
      </c>
      <c r="F1182" s="7">
        <v>45572</v>
      </c>
      <c r="G1182" t="s">
        <v>9</v>
      </c>
      <c r="H1182">
        <v>48</v>
      </c>
      <c r="I1182" t="s">
        <v>10</v>
      </c>
      <c r="J1182">
        <v>6</v>
      </c>
      <c r="K1182">
        <v>417</v>
      </c>
    </row>
    <row r="1183" spans="5:11" x14ac:dyDescent="0.25">
      <c r="E1183">
        <v>312</v>
      </c>
      <c r="F1183" s="7">
        <v>45006</v>
      </c>
      <c r="G1183" t="s">
        <v>9</v>
      </c>
      <c r="H1183">
        <v>55</v>
      </c>
      <c r="I1183" t="s">
        <v>8</v>
      </c>
      <c r="J1183">
        <v>3</v>
      </c>
      <c r="K1183">
        <v>500</v>
      </c>
    </row>
    <row r="1184" spans="5:11" x14ac:dyDescent="0.25">
      <c r="E1184">
        <v>816</v>
      </c>
      <c r="F1184" s="7">
        <v>45064</v>
      </c>
      <c r="G1184" t="s">
        <v>7</v>
      </c>
      <c r="H1184">
        <v>30</v>
      </c>
      <c r="I1184" t="s">
        <v>11</v>
      </c>
      <c r="J1184">
        <v>1</v>
      </c>
      <c r="K1184">
        <v>500</v>
      </c>
    </row>
    <row r="1185" spans="5:11" x14ac:dyDescent="0.25">
      <c r="E1185">
        <v>647</v>
      </c>
      <c r="F1185" s="7">
        <v>45152</v>
      </c>
      <c r="G1185" t="s">
        <v>7</v>
      </c>
      <c r="H1185">
        <v>53</v>
      </c>
      <c r="I1185" t="s">
        <v>8</v>
      </c>
      <c r="J1185">
        <v>4</v>
      </c>
      <c r="K1185">
        <v>300</v>
      </c>
    </row>
    <row r="1186" spans="5:11" x14ac:dyDescent="0.25">
      <c r="E1186">
        <v>1655</v>
      </c>
      <c r="F1186" s="7">
        <v>45370</v>
      </c>
      <c r="G1186" t="s">
        <v>9</v>
      </c>
      <c r="H1186">
        <v>40</v>
      </c>
      <c r="I1186" t="s">
        <v>11</v>
      </c>
      <c r="J1186">
        <v>6</v>
      </c>
      <c r="K1186">
        <v>278</v>
      </c>
    </row>
    <row r="1187" spans="5:11" x14ac:dyDescent="0.25">
      <c r="E1187">
        <v>528</v>
      </c>
      <c r="F1187" s="7">
        <v>45147</v>
      </c>
      <c r="G1187" t="s">
        <v>9</v>
      </c>
      <c r="H1187">
        <v>35</v>
      </c>
      <c r="I1187" t="s">
        <v>10</v>
      </c>
      <c r="J1187">
        <v>3</v>
      </c>
      <c r="K1187">
        <v>50</v>
      </c>
    </row>
    <row r="1188" spans="5:11" x14ac:dyDescent="0.25">
      <c r="E1188">
        <v>973</v>
      </c>
      <c r="F1188" s="7">
        <v>45015</v>
      </c>
      <c r="G1188" t="s">
        <v>9</v>
      </c>
      <c r="H1188">
        <v>56</v>
      </c>
      <c r="I1188" t="s">
        <v>10</v>
      </c>
      <c r="J1188">
        <v>4</v>
      </c>
      <c r="K1188">
        <v>50</v>
      </c>
    </row>
    <row r="1189" spans="5:11" x14ac:dyDescent="0.25">
      <c r="E1189">
        <v>875</v>
      </c>
      <c r="F1189" s="7">
        <v>45096</v>
      </c>
      <c r="G1189" t="s">
        <v>9</v>
      </c>
      <c r="H1189">
        <v>58</v>
      </c>
      <c r="I1189" t="s">
        <v>10</v>
      </c>
      <c r="J1189">
        <v>1</v>
      </c>
      <c r="K1189">
        <v>25</v>
      </c>
    </row>
    <row r="1190" spans="5:11" x14ac:dyDescent="0.25">
      <c r="E1190">
        <v>945</v>
      </c>
      <c r="F1190" s="7">
        <v>44987</v>
      </c>
      <c r="G1190" t="s">
        <v>7</v>
      </c>
      <c r="H1190">
        <v>50</v>
      </c>
      <c r="I1190" t="s">
        <v>8</v>
      </c>
      <c r="J1190">
        <v>1</v>
      </c>
      <c r="K1190">
        <v>300</v>
      </c>
    </row>
    <row r="1191" spans="5:11" x14ac:dyDescent="0.25">
      <c r="E1191">
        <v>405</v>
      </c>
      <c r="F1191" s="7">
        <v>45034</v>
      </c>
      <c r="G1191" t="s">
        <v>9</v>
      </c>
      <c r="H1191">
        <v>22</v>
      </c>
      <c r="I1191" t="s">
        <v>8</v>
      </c>
      <c r="J1191">
        <v>4</v>
      </c>
      <c r="K1191">
        <v>25</v>
      </c>
    </row>
    <row r="1192" spans="5:11" x14ac:dyDescent="0.25">
      <c r="E1192">
        <v>116</v>
      </c>
      <c r="F1192" s="7">
        <v>45161</v>
      </c>
      <c r="G1192" t="s">
        <v>9</v>
      </c>
      <c r="H1192">
        <v>23</v>
      </c>
      <c r="I1192" t="s">
        <v>10</v>
      </c>
      <c r="J1192">
        <v>1</v>
      </c>
      <c r="K1192">
        <v>30</v>
      </c>
    </row>
    <row r="1193" spans="5:11" x14ac:dyDescent="0.25">
      <c r="E1193">
        <v>1699</v>
      </c>
      <c r="F1193" s="7">
        <v>45377</v>
      </c>
      <c r="G1193" t="s">
        <v>7</v>
      </c>
      <c r="H1193">
        <v>22</v>
      </c>
      <c r="I1193" t="s">
        <v>11</v>
      </c>
      <c r="J1193">
        <v>6</v>
      </c>
      <c r="K1193">
        <v>70</v>
      </c>
    </row>
    <row r="1194" spans="5:11" x14ac:dyDescent="0.25">
      <c r="E1194">
        <v>1503</v>
      </c>
      <c r="F1194" s="7">
        <v>45347</v>
      </c>
      <c r="G1194" t="s">
        <v>7</v>
      </c>
      <c r="H1194">
        <v>33</v>
      </c>
      <c r="I1194" t="s">
        <v>8</v>
      </c>
      <c r="J1194">
        <v>4</v>
      </c>
      <c r="K1194">
        <v>312</v>
      </c>
    </row>
    <row r="1195" spans="5:11" x14ac:dyDescent="0.25">
      <c r="E1195">
        <v>1306</v>
      </c>
      <c r="F1195" s="7">
        <v>45649</v>
      </c>
      <c r="G1195" t="s">
        <v>9</v>
      </c>
      <c r="H1195">
        <v>33</v>
      </c>
      <c r="I1195" t="s">
        <v>8</v>
      </c>
      <c r="J1195">
        <v>2</v>
      </c>
      <c r="K1195">
        <v>331</v>
      </c>
    </row>
    <row r="1196" spans="5:11" x14ac:dyDescent="0.25">
      <c r="E1196">
        <v>1912</v>
      </c>
      <c r="F1196" s="7">
        <v>45650</v>
      </c>
      <c r="G1196" t="s">
        <v>9</v>
      </c>
      <c r="H1196">
        <v>53</v>
      </c>
      <c r="I1196" t="s">
        <v>11</v>
      </c>
      <c r="J1196">
        <v>4</v>
      </c>
      <c r="K1196">
        <v>341</v>
      </c>
    </row>
    <row r="1197" spans="5:11" x14ac:dyDescent="0.25">
      <c r="E1197">
        <v>502</v>
      </c>
      <c r="F1197" s="7">
        <v>45224</v>
      </c>
      <c r="G1197" t="s">
        <v>7</v>
      </c>
      <c r="H1197">
        <v>45</v>
      </c>
      <c r="I1197" t="s">
        <v>8</v>
      </c>
      <c r="J1197">
        <v>4</v>
      </c>
      <c r="K1197">
        <v>500</v>
      </c>
    </row>
    <row r="1198" spans="5:11" x14ac:dyDescent="0.25">
      <c r="E1198">
        <v>1029</v>
      </c>
      <c r="F1198" s="7">
        <v>45435</v>
      </c>
      <c r="G1198" t="s">
        <v>7</v>
      </c>
      <c r="H1198">
        <v>63</v>
      </c>
      <c r="I1198" t="s">
        <v>11</v>
      </c>
      <c r="J1198">
        <v>4</v>
      </c>
      <c r="K1198">
        <v>159</v>
      </c>
    </row>
    <row r="1199" spans="5:11" x14ac:dyDescent="0.25">
      <c r="E1199">
        <v>1739</v>
      </c>
      <c r="F1199" s="7">
        <v>45307</v>
      </c>
      <c r="G1199" t="s">
        <v>9</v>
      </c>
      <c r="H1199">
        <v>57</v>
      </c>
      <c r="I1199" t="s">
        <v>8</v>
      </c>
      <c r="J1199">
        <v>2</v>
      </c>
      <c r="K1199">
        <v>489</v>
      </c>
    </row>
    <row r="1200" spans="5:11" x14ac:dyDescent="0.25">
      <c r="E1200">
        <v>107</v>
      </c>
      <c r="F1200" s="7">
        <v>44960</v>
      </c>
      <c r="G1200" t="s">
        <v>9</v>
      </c>
      <c r="H1200">
        <v>21</v>
      </c>
      <c r="I1200" t="s">
        <v>10</v>
      </c>
      <c r="J1200">
        <v>4</v>
      </c>
      <c r="K1200">
        <v>300</v>
      </c>
    </row>
    <row r="1201" spans="5:11" x14ac:dyDescent="0.25">
      <c r="E1201">
        <v>28</v>
      </c>
      <c r="F1201" s="7">
        <v>45039</v>
      </c>
      <c r="G1201" t="s">
        <v>9</v>
      </c>
      <c r="H1201">
        <v>43</v>
      </c>
      <c r="I1201" t="s">
        <v>8</v>
      </c>
      <c r="J1201">
        <v>1</v>
      </c>
      <c r="K1201">
        <v>500</v>
      </c>
    </row>
    <row r="1202" spans="5:11" x14ac:dyDescent="0.25">
      <c r="E1202">
        <v>1571</v>
      </c>
      <c r="F1202" s="7">
        <v>45535</v>
      </c>
      <c r="G1202" t="s">
        <v>9</v>
      </c>
      <c r="H1202">
        <v>21</v>
      </c>
      <c r="I1202" t="s">
        <v>11</v>
      </c>
      <c r="J1202">
        <v>5</v>
      </c>
      <c r="K1202">
        <v>148</v>
      </c>
    </row>
    <row r="1203" spans="5:11" x14ac:dyDescent="0.25">
      <c r="E1203">
        <v>1638</v>
      </c>
      <c r="F1203" s="7">
        <v>45619</v>
      </c>
      <c r="G1203" t="s">
        <v>9</v>
      </c>
      <c r="H1203">
        <v>29</v>
      </c>
      <c r="I1203" t="s">
        <v>11</v>
      </c>
      <c r="J1203">
        <v>3</v>
      </c>
      <c r="K1203">
        <v>177</v>
      </c>
    </row>
    <row r="1204" spans="5:11" x14ac:dyDescent="0.25">
      <c r="E1204">
        <v>1574</v>
      </c>
      <c r="F1204" s="7">
        <v>45335</v>
      </c>
      <c r="G1204" t="s">
        <v>7</v>
      </c>
      <c r="H1204">
        <v>65</v>
      </c>
      <c r="I1204" t="s">
        <v>8</v>
      </c>
      <c r="J1204">
        <v>3</v>
      </c>
      <c r="K1204">
        <v>348</v>
      </c>
    </row>
    <row r="1205" spans="5:11" x14ac:dyDescent="0.25">
      <c r="E1205">
        <v>947</v>
      </c>
      <c r="F1205" s="7">
        <v>45140</v>
      </c>
      <c r="G1205" t="s">
        <v>9</v>
      </c>
      <c r="H1205">
        <v>41</v>
      </c>
      <c r="I1205" t="s">
        <v>11</v>
      </c>
      <c r="J1205">
        <v>2</v>
      </c>
      <c r="K1205">
        <v>25</v>
      </c>
    </row>
    <row r="1206" spans="5:11" x14ac:dyDescent="0.25">
      <c r="E1206">
        <v>1182</v>
      </c>
      <c r="F1206" s="7">
        <v>45301</v>
      </c>
      <c r="G1206" t="s">
        <v>7</v>
      </c>
      <c r="H1206">
        <v>59</v>
      </c>
      <c r="I1206" t="s">
        <v>11</v>
      </c>
      <c r="J1206">
        <v>2</v>
      </c>
      <c r="K1206">
        <v>328</v>
      </c>
    </row>
    <row r="1207" spans="5:11" x14ac:dyDescent="0.25">
      <c r="E1207">
        <v>926</v>
      </c>
      <c r="F1207" s="7">
        <v>45021</v>
      </c>
      <c r="G1207" t="s">
        <v>9</v>
      </c>
      <c r="H1207">
        <v>35</v>
      </c>
      <c r="I1207" t="s">
        <v>10</v>
      </c>
      <c r="J1207">
        <v>4</v>
      </c>
      <c r="K1207">
        <v>300</v>
      </c>
    </row>
    <row r="1208" spans="5:11" x14ac:dyDescent="0.25">
      <c r="E1208">
        <v>987</v>
      </c>
      <c r="F1208" s="7">
        <v>45288</v>
      </c>
      <c r="G1208" t="s">
        <v>9</v>
      </c>
      <c r="H1208">
        <v>44</v>
      </c>
      <c r="I1208" t="s">
        <v>11</v>
      </c>
      <c r="J1208">
        <v>1</v>
      </c>
      <c r="K1208">
        <v>25</v>
      </c>
    </row>
    <row r="1209" spans="5:11" x14ac:dyDescent="0.25">
      <c r="E1209">
        <v>80</v>
      </c>
      <c r="F1209" s="7">
        <v>45270</v>
      </c>
      <c r="G1209" t="s">
        <v>9</v>
      </c>
      <c r="H1209">
        <v>64</v>
      </c>
      <c r="I1209" t="s">
        <v>10</v>
      </c>
      <c r="J1209">
        <v>2</v>
      </c>
      <c r="K1209">
        <v>30</v>
      </c>
    </row>
    <row r="1210" spans="5:11" x14ac:dyDescent="0.25">
      <c r="E1210">
        <v>497</v>
      </c>
      <c r="F1210" s="7">
        <v>45096</v>
      </c>
      <c r="G1210" t="s">
        <v>9</v>
      </c>
      <c r="H1210">
        <v>50</v>
      </c>
      <c r="I1210" t="s">
        <v>10</v>
      </c>
      <c r="J1210">
        <v>4</v>
      </c>
      <c r="K1210">
        <v>25</v>
      </c>
    </row>
    <row r="1211" spans="5:11" x14ac:dyDescent="0.25">
      <c r="E1211">
        <v>919</v>
      </c>
      <c r="F1211" s="7">
        <v>44933</v>
      </c>
      <c r="G1211" t="s">
        <v>7</v>
      </c>
      <c r="H1211">
        <v>51</v>
      </c>
      <c r="I1211" t="s">
        <v>11</v>
      </c>
      <c r="J1211">
        <v>3</v>
      </c>
      <c r="K1211">
        <v>25</v>
      </c>
    </row>
    <row r="1212" spans="5:11" x14ac:dyDescent="0.25">
      <c r="E1212">
        <v>1505</v>
      </c>
      <c r="F1212" s="7">
        <v>45515</v>
      </c>
      <c r="G1212" t="s">
        <v>7</v>
      </c>
      <c r="H1212">
        <v>24</v>
      </c>
      <c r="I1212" t="s">
        <v>8</v>
      </c>
      <c r="J1212">
        <v>4</v>
      </c>
      <c r="K1212">
        <v>371</v>
      </c>
    </row>
    <row r="1213" spans="5:11" x14ac:dyDescent="0.25">
      <c r="E1213">
        <v>985</v>
      </c>
      <c r="F1213" s="7">
        <v>45045</v>
      </c>
      <c r="G1213" t="s">
        <v>9</v>
      </c>
      <c r="H1213">
        <v>30</v>
      </c>
      <c r="I1213" t="s">
        <v>10</v>
      </c>
      <c r="J1213">
        <v>3</v>
      </c>
      <c r="K1213">
        <v>300</v>
      </c>
    </row>
    <row r="1214" spans="5:11" x14ac:dyDescent="0.25">
      <c r="E1214">
        <v>1074</v>
      </c>
      <c r="F1214" s="7">
        <v>45376</v>
      </c>
      <c r="G1214" t="s">
        <v>9</v>
      </c>
      <c r="H1214">
        <v>34</v>
      </c>
      <c r="I1214" t="s">
        <v>11</v>
      </c>
      <c r="J1214">
        <v>4</v>
      </c>
      <c r="K1214">
        <v>392</v>
      </c>
    </row>
    <row r="1215" spans="5:11" x14ac:dyDescent="0.25">
      <c r="E1215">
        <v>1324</v>
      </c>
      <c r="F1215" s="7">
        <v>45564</v>
      </c>
      <c r="G1215" t="s">
        <v>7</v>
      </c>
      <c r="H1215">
        <v>52</v>
      </c>
      <c r="I1215" t="s">
        <v>11</v>
      </c>
      <c r="J1215">
        <v>3</v>
      </c>
      <c r="K1215">
        <v>247</v>
      </c>
    </row>
    <row r="1216" spans="5:11" x14ac:dyDescent="0.25">
      <c r="E1216">
        <v>13</v>
      </c>
      <c r="F1216" s="7">
        <v>45143</v>
      </c>
      <c r="G1216" t="s">
        <v>7</v>
      </c>
      <c r="H1216">
        <v>22</v>
      </c>
      <c r="I1216" t="s">
        <v>11</v>
      </c>
      <c r="J1216">
        <v>3</v>
      </c>
      <c r="K1216">
        <v>500</v>
      </c>
    </row>
    <row r="1217" spans="5:11" x14ac:dyDescent="0.25">
      <c r="E1217">
        <v>1232</v>
      </c>
      <c r="F1217" s="7">
        <v>45322</v>
      </c>
      <c r="G1217" t="s">
        <v>9</v>
      </c>
      <c r="H1217">
        <v>21</v>
      </c>
      <c r="I1217" t="s">
        <v>11</v>
      </c>
      <c r="J1217">
        <v>3</v>
      </c>
      <c r="K1217">
        <v>497</v>
      </c>
    </row>
    <row r="1218" spans="5:11" x14ac:dyDescent="0.25">
      <c r="E1218">
        <v>644</v>
      </c>
      <c r="F1218" s="7">
        <v>45247</v>
      </c>
      <c r="G1218" t="s">
        <v>9</v>
      </c>
      <c r="H1218">
        <v>35</v>
      </c>
      <c r="I1218" t="s">
        <v>11</v>
      </c>
      <c r="J1218">
        <v>4</v>
      </c>
      <c r="K1218">
        <v>30</v>
      </c>
    </row>
    <row r="1219" spans="5:11" x14ac:dyDescent="0.25">
      <c r="E1219">
        <v>1184</v>
      </c>
      <c r="F1219" s="7">
        <v>45478</v>
      </c>
      <c r="G1219" t="s">
        <v>7</v>
      </c>
      <c r="H1219">
        <v>49</v>
      </c>
      <c r="I1219" t="s">
        <v>10</v>
      </c>
      <c r="J1219">
        <v>2</v>
      </c>
      <c r="K1219">
        <v>493</v>
      </c>
    </row>
    <row r="1220" spans="5:11" x14ac:dyDescent="0.25">
      <c r="E1220">
        <v>1055</v>
      </c>
      <c r="F1220" s="7">
        <v>45614</v>
      </c>
      <c r="G1220" t="s">
        <v>9</v>
      </c>
      <c r="H1220">
        <v>51</v>
      </c>
      <c r="I1220" t="s">
        <v>8</v>
      </c>
      <c r="J1220">
        <v>1</v>
      </c>
      <c r="K1220">
        <v>100</v>
      </c>
    </row>
    <row r="1221" spans="5:11" x14ac:dyDescent="0.25">
      <c r="E1221">
        <v>699</v>
      </c>
      <c r="F1221" s="7">
        <v>45274</v>
      </c>
      <c r="G1221" t="s">
        <v>9</v>
      </c>
      <c r="H1221">
        <v>52</v>
      </c>
      <c r="I1221" t="s">
        <v>8</v>
      </c>
      <c r="J1221">
        <v>2</v>
      </c>
      <c r="K1221">
        <v>30</v>
      </c>
    </row>
    <row r="1222" spans="5:11" x14ac:dyDescent="0.25">
      <c r="E1222">
        <v>857</v>
      </c>
      <c r="F1222" s="7">
        <v>45156</v>
      </c>
      <c r="G1222" t="s">
        <v>9</v>
      </c>
      <c r="H1222">
        <v>56</v>
      </c>
      <c r="I1222" t="s">
        <v>11</v>
      </c>
      <c r="J1222">
        <v>3</v>
      </c>
      <c r="K1222">
        <v>500</v>
      </c>
    </row>
    <row r="1223" spans="5:11" x14ac:dyDescent="0.25">
      <c r="E1223">
        <v>114</v>
      </c>
      <c r="F1223" s="7">
        <v>45129</v>
      </c>
      <c r="G1223" t="s">
        <v>9</v>
      </c>
      <c r="H1223">
        <v>22</v>
      </c>
      <c r="I1223" t="s">
        <v>8</v>
      </c>
      <c r="J1223">
        <v>4</v>
      </c>
      <c r="K1223">
        <v>25</v>
      </c>
    </row>
    <row r="1224" spans="5:11" x14ac:dyDescent="0.25">
      <c r="E1224">
        <v>820</v>
      </c>
      <c r="F1224" s="7">
        <v>45069</v>
      </c>
      <c r="G1224" t="s">
        <v>9</v>
      </c>
      <c r="H1224">
        <v>52</v>
      </c>
      <c r="I1224" t="s">
        <v>8</v>
      </c>
      <c r="J1224">
        <v>3</v>
      </c>
      <c r="K1224">
        <v>50</v>
      </c>
    </row>
    <row r="1225" spans="5:11" x14ac:dyDescent="0.25">
      <c r="E1225">
        <v>1904</v>
      </c>
      <c r="F1225" s="7">
        <v>45655</v>
      </c>
      <c r="G1225" t="s">
        <v>7</v>
      </c>
      <c r="H1225">
        <v>49</v>
      </c>
      <c r="I1225" t="s">
        <v>8</v>
      </c>
      <c r="J1225">
        <v>3</v>
      </c>
      <c r="K1225">
        <v>415</v>
      </c>
    </row>
    <row r="1226" spans="5:11" x14ac:dyDescent="0.25">
      <c r="E1226">
        <v>1233</v>
      </c>
      <c r="F1226" s="7">
        <v>45410</v>
      </c>
      <c r="G1226" t="s">
        <v>9</v>
      </c>
      <c r="H1226">
        <v>35</v>
      </c>
      <c r="I1226" t="s">
        <v>10</v>
      </c>
      <c r="J1226">
        <v>7</v>
      </c>
      <c r="K1226">
        <v>193</v>
      </c>
    </row>
    <row r="1227" spans="5:11" x14ac:dyDescent="0.25">
      <c r="E1227">
        <v>1976</v>
      </c>
      <c r="F1227" s="7">
        <v>45502</v>
      </c>
      <c r="G1227" t="s">
        <v>9</v>
      </c>
      <c r="H1227">
        <v>49</v>
      </c>
      <c r="I1227" t="s">
        <v>11</v>
      </c>
      <c r="J1227">
        <v>2</v>
      </c>
      <c r="K1227">
        <v>214</v>
      </c>
    </row>
    <row r="1228" spans="5:11" x14ac:dyDescent="0.25">
      <c r="E1228">
        <v>1004</v>
      </c>
      <c r="F1228" s="7">
        <v>45407</v>
      </c>
      <c r="G1228" t="s">
        <v>9</v>
      </c>
      <c r="H1228">
        <v>48</v>
      </c>
      <c r="I1228" t="s">
        <v>8</v>
      </c>
      <c r="J1228">
        <v>1</v>
      </c>
      <c r="K1228">
        <v>72</v>
      </c>
    </row>
    <row r="1229" spans="5:11" x14ac:dyDescent="0.25">
      <c r="E1229">
        <v>1704</v>
      </c>
      <c r="F1229" s="7">
        <v>45305</v>
      </c>
      <c r="G1229" t="s">
        <v>9</v>
      </c>
      <c r="H1229">
        <v>46</v>
      </c>
      <c r="I1229" t="s">
        <v>8</v>
      </c>
      <c r="J1229">
        <v>6</v>
      </c>
      <c r="K1229">
        <v>63</v>
      </c>
    </row>
    <row r="1230" spans="5:11" x14ac:dyDescent="0.25">
      <c r="E1230">
        <v>271</v>
      </c>
      <c r="F1230" s="7">
        <v>44982</v>
      </c>
      <c r="G1230" t="s">
        <v>9</v>
      </c>
      <c r="H1230">
        <v>61</v>
      </c>
      <c r="I1230" t="s">
        <v>11</v>
      </c>
      <c r="J1230">
        <v>2</v>
      </c>
      <c r="K1230">
        <v>50</v>
      </c>
    </row>
    <row r="1231" spans="5:11" x14ac:dyDescent="0.25">
      <c r="E1231">
        <v>584</v>
      </c>
      <c r="F1231" s="7">
        <v>45047</v>
      </c>
      <c r="G1231" t="s">
        <v>9</v>
      </c>
      <c r="H1231">
        <v>24</v>
      </c>
      <c r="I1231" t="s">
        <v>10</v>
      </c>
      <c r="J1231">
        <v>1</v>
      </c>
      <c r="K1231">
        <v>25</v>
      </c>
    </row>
    <row r="1232" spans="5:11" x14ac:dyDescent="0.25">
      <c r="E1232">
        <v>427</v>
      </c>
      <c r="F1232" s="7">
        <v>45209</v>
      </c>
      <c r="G1232" t="s">
        <v>9</v>
      </c>
      <c r="H1232">
        <v>40</v>
      </c>
      <c r="I1232" t="s">
        <v>11</v>
      </c>
      <c r="J1232">
        <v>4</v>
      </c>
      <c r="K1232">
        <v>50</v>
      </c>
    </row>
    <row r="1233" spans="5:11" x14ac:dyDescent="0.25">
      <c r="E1233">
        <v>1070</v>
      </c>
      <c r="F1233" s="7">
        <v>45435</v>
      </c>
      <c r="G1233" t="s">
        <v>9</v>
      </c>
      <c r="H1233">
        <v>27</v>
      </c>
      <c r="I1233" t="s">
        <v>11</v>
      </c>
      <c r="J1233">
        <v>1</v>
      </c>
      <c r="K1233">
        <v>124</v>
      </c>
    </row>
    <row r="1234" spans="5:11" x14ac:dyDescent="0.25">
      <c r="E1234">
        <v>294</v>
      </c>
      <c r="F1234" s="7">
        <v>45135</v>
      </c>
      <c r="G1234" t="s">
        <v>9</v>
      </c>
      <c r="H1234">
        <v>27</v>
      </c>
      <c r="I1234" t="s">
        <v>8</v>
      </c>
      <c r="J1234">
        <v>3</v>
      </c>
      <c r="K1234">
        <v>300</v>
      </c>
    </row>
    <row r="1235" spans="5:11" x14ac:dyDescent="0.25">
      <c r="E1235">
        <v>866</v>
      </c>
      <c r="F1235" s="7">
        <v>45266</v>
      </c>
      <c r="G1235" t="s">
        <v>9</v>
      </c>
      <c r="H1235">
        <v>25</v>
      </c>
      <c r="I1235" t="s">
        <v>11</v>
      </c>
      <c r="J1235">
        <v>1</v>
      </c>
      <c r="K1235">
        <v>300</v>
      </c>
    </row>
    <row r="1236" spans="5:11" x14ac:dyDescent="0.25">
      <c r="E1236">
        <v>367</v>
      </c>
      <c r="F1236" s="7">
        <v>45161</v>
      </c>
      <c r="G1236" t="s">
        <v>9</v>
      </c>
      <c r="H1236">
        <v>56</v>
      </c>
      <c r="I1236" t="s">
        <v>10</v>
      </c>
      <c r="J1236">
        <v>4</v>
      </c>
      <c r="K1236">
        <v>300</v>
      </c>
    </row>
    <row r="1237" spans="5:11" x14ac:dyDescent="0.25">
      <c r="E1237">
        <v>1089</v>
      </c>
      <c r="F1237" s="7">
        <v>45376</v>
      </c>
      <c r="G1237" t="s">
        <v>9</v>
      </c>
      <c r="H1237">
        <v>51</v>
      </c>
      <c r="I1237" t="s">
        <v>11</v>
      </c>
      <c r="J1237">
        <v>3</v>
      </c>
      <c r="K1237">
        <v>162</v>
      </c>
    </row>
    <row r="1238" spans="5:11" x14ac:dyDescent="0.25">
      <c r="E1238">
        <v>374</v>
      </c>
      <c r="F1238" s="7">
        <v>45186</v>
      </c>
      <c r="G1238" t="s">
        <v>7</v>
      </c>
      <c r="H1238">
        <v>32</v>
      </c>
      <c r="I1238" t="s">
        <v>10</v>
      </c>
      <c r="J1238">
        <v>1</v>
      </c>
      <c r="K1238">
        <v>50</v>
      </c>
    </row>
    <row r="1239" spans="5:11" x14ac:dyDescent="0.25">
      <c r="E1239">
        <v>453</v>
      </c>
      <c r="F1239" s="7">
        <v>44979</v>
      </c>
      <c r="G1239" t="s">
        <v>9</v>
      </c>
      <c r="H1239">
        <v>46</v>
      </c>
      <c r="I1239" t="s">
        <v>8</v>
      </c>
      <c r="J1239">
        <v>1</v>
      </c>
      <c r="K1239">
        <v>25</v>
      </c>
    </row>
    <row r="1240" spans="5:11" x14ac:dyDescent="0.25">
      <c r="E1240">
        <v>873</v>
      </c>
      <c r="F1240" s="7">
        <v>45144</v>
      </c>
      <c r="G1240" t="s">
        <v>9</v>
      </c>
      <c r="H1240">
        <v>51</v>
      </c>
      <c r="I1240" t="s">
        <v>11</v>
      </c>
      <c r="J1240">
        <v>4</v>
      </c>
      <c r="K1240">
        <v>500</v>
      </c>
    </row>
    <row r="1241" spans="5:11" x14ac:dyDescent="0.25">
      <c r="E1241">
        <v>1018</v>
      </c>
      <c r="F1241" s="7">
        <v>45601</v>
      </c>
      <c r="G1241" t="s">
        <v>7</v>
      </c>
      <c r="H1241">
        <v>19</v>
      </c>
      <c r="I1241" t="s">
        <v>10</v>
      </c>
      <c r="J1241">
        <v>7</v>
      </c>
      <c r="K1241">
        <v>114</v>
      </c>
    </row>
    <row r="1242" spans="5:11" x14ac:dyDescent="0.25">
      <c r="E1242">
        <v>359</v>
      </c>
      <c r="F1242" s="7">
        <v>44994</v>
      </c>
      <c r="G1242" t="s">
        <v>7</v>
      </c>
      <c r="H1242">
        <v>42</v>
      </c>
      <c r="I1242" t="s">
        <v>10</v>
      </c>
      <c r="J1242">
        <v>4</v>
      </c>
      <c r="K1242">
        <v>25</v>
      </c>
    </row>
    <row r="1243" spans="5:11" x14ac:dyDescent="0.25">
      <c r="E1243">
        <v>1395</v>
      </c>
      <c r="F1243" s="7">
        <v>45428</v>
      </c>
      <c r="G1243" t="s">
        <v>9</v>
      </c>
      <c r="H1243">
        <v>59</v>
      </c>
      <c r="I1243" t="s">
        <v>10</v>
      </c>
      <c r="J1243">
        <v>5</v>
      </c>
      <c r="K1243">
        <v>371</v>
      </c>
    </row>
    <row r="1244" spans="5:11" x14ac:dyDescent="0.25">
      <c r="E1244">
        <v>1971</v>
      </c>
      <c r="F1244" s="7">
        <v>45381</v>
      </c>
      <c r="G1244" t="s">
        <v>9</v>
      </c>
      <c r="H1244">
        <v>62</v>
      </c>
      <c r="I1244" t="s">
        <v>10</v>
      </c>
      <c r="J1244">
        <v>7</v>
      </c>
      <c r="K1244">
        <v>353</v>
      </c>
    </row>
    <row r="1245" spans="5:11" x14ac:dyDescent="0.25">
      <c r="E1245">
        <v>1307</v>
      </c>
      <c r="F1245" s="7">
        <v>45577</v>
      </c>
      <c r="G1245" t="s">
        <v>9</v>
      </c>
      <c r="H1245">
        <v>46</v>
      </c>
      <c r="I1245" t="s">
        <v>8</v>
      </c>
      <c r="J1245">
        <v>3</v>
      </c>
      <c r="K1245">
        <v>334</v>
      </c>
    </row>
    <row r="1246" spans="5:11" x14ac:dyDescent="0.25">
      <c r="E1246">
        <v>212</v>
      </c>
      <c r="F1246" s="7">
        <v>45131</v>
      </c>
      <c r="G1246" t="s">
        <v>7</v>
      </c>
      <c r="H1246">
        <v>27</v>
      </c>
      <c r="I1246" t="s">
        <v>8</v>
      </c>
      <c r="J1246">
        <v>3</v>
      </c>
      <c r="K1246">
        <v>500</v>
      </c>
    </row>
    <row r="1247" spans="5:11" x14ac:dyDescent="0.25">
      <c r="E1247">
        <v>1065</v>
      </c>
      <c r="F1247" s="7">
        <v>45441</v>
      </c>
      <c r="G1247" t="s">
        <v>9</v>
      </c>
      <c r="H1247">
        <v>48</v>
      </c>
      <c r="I1247" t="s">
        <v>8</v>
      </c>
      <c r="J1247">
        <v>5</v>
      </c>
      <c r="K1247">
        <v>119</v>
      </c>
    </row>
    <row r="1248" spans="5:11" x14ac:dyDescent="0.25">
      <c r="E1248">
        <v>130</v>
      </c>
      <c r="F1248" s="7">
        <v>44997</v>
      </c>
      <c r="G1248" t="s">
        <v>9</v>
      </c>
      <c r="H1248">
        <v>57</v>
      </c>
      <c r="I1248" t="s">
        <v>10</v>
      </c>
      <c r="J1248">
        <v>1</v>
      </c>
      <c r="K1248">
        <v>500</v>
      </c>
    </row>
    <row r="1249" spans="5:11" x14ac:dyDescent="0.25">
      <c r="E1249">
        <v>1933</v>
      </c>
      <c r="F1249" s="7">
        <v>45588</v>
      </c>
      <c r="G1249" t="s">
        <v>9</v>
      </c>
      <c r="H1249">
        <v>35</v>
      </c>
      <c r="I1249" t="s">
        <v>8</v>
      </c>
      <c r="J1249">
        <v>6</v>
      </c>
      <c r="K1249">
        <v>242</v>
      </c>
    </row>
    <row r="1250" spans="5:11" x14ac:dyDescent="0.25">
      <c r="E1250">
        <v>903</v>
      </c>
      <c r="F1250" s="7">
        <v>45018</v>
      </c>
      <c r="G1250" t="s">
        <v>7</v>
      </c>
      <c r="H1250">
        <v>58</v>
      </c>
      <c r="I1250" t="s">
        <v>8</v>
      </c>
      <c r="J1250">
        <v>1</v>
      </c>
      <c r="K1250">
        <v>300</v>
      </c>
    </row>
    <row r="1251" spans="5:11" x14ac:dyDescent="0.25">
      <c r="E1251">
        <v>768</v>
      </c>
      <c r="F1251" s="7">
        <v>45221</v>
      </c>
      <c r="G1251" t="s">
        <v>7</v>
      </c>
      <c r="H1251">
        <v>32</v>
      </c>
      <c r="I1251" t="s">
        <v>10</v>
      </c>
      <c r="J1251">
        <v>1</v>
      </c>
      <c r="K1251">
        <v>50</v>
      </c>
    </row>
    <row r="1252" spans="5:11" x14ac:dyDescent="0.25">
      <c r="E1252">
        <v>1254</v>
      </c>
      <c r="F1252" s="7">
        <v>45341</v>
      </c>
      <c r="G1252" t="s">
        <v>7</v>
      </c>
      <c r="H1252">
        <v>62</v>
      </c>
      <c r="I1252" t="s">
        <v>8</v>
      </c>
      <c r="J1252">
        <v>2</v>
      </c>
      <c r="K1252">
        <v>161</v>
      </c>
    </row>
    <row r="1253" spans="5:11" x14ac:dyDescent="0.25">
      <c r="E1253">
        <v>231</v>
      </c>
      <c r="F1253" s="7">
        <v>44963</v>
      </c>
      <c r="G1253" t="s">
        <v>9</v>
      </c>
      <c r="H1253">
        <v>43</v>
      </c>
      <c r="I1253" t="s">
        <v>8</v>
      </c>
      <c r="J1253">
        <v>1</v>
      </c>
      <c r="K1253">
        <v>25</v>
      </c>
    </row>
    <row r="1254" spans="5:11" x14ac:dyDescent="0.25">
      <c r="E1254">
        <v>228</v>
      </c>
      <c r="F1254" s="7">
        <v>45228</v>
      </c>
      <c r="G1254" t="s">
        <v>7</v>
      </c>
      <c r="H1254">
        <v>58</v>
      </c>
      <c r="I1254" t="s">
        <v>8</v>
      </c>
      <c r="J1254">
        <v>3</v>
      </c>
      <c r="K1254">
        <v>30</v>
      </c>
    </row>
    <row r="1255" spans="5:11" x14ac:dyDescent="0.25">
      <c r="E1255">
        <v>69</v>
      </c>
      <c r="F1255" s="7">
        <v>45046</v>
      </c>
      <c r="G1255" t="s">
        <v>9</v>
      </c>
      <c r="H1255">
        <v>56</v>
      </c>
      <c r="I1255" t="s">
        <v>8</v>
      </c>
      <c r="J1255">
        <v>3</v>
      </c>
      <c r="K1255">
        <v>25</v>
      </c>
    </row>
    <row r="1256" spans="5:11" x14ac:dyDescent="0.25">
      <c r="E1256">
        <v>747</v>
      </c>
      <c r="F1256" s="7">
        <v>45049</v>
      </c>
      <c r="G1256" t="s">
        <v>7</v>
      </c>
      <c r="H1256">
        <v>42</v>
      </c>
      <c r="I1256" t="s">
        <v>8</v>
      </c>
      <c r="J1256">
        <v>1</v>
      </c>
      <c r="K1256">
        <v>30</v>
      </c>
    </row>
    <row r="1257" spans="5:11" x14ac:dyDescent="0.25">
      <c r="E1257">
        <v>990</v>
      </c>
      <c r="F1257" s="7">
        <v>45159</v>
      </c>
      <c r="G1257" t="s">
        <v>9</v>
      </c>
      <c r="H1257">
        <v>57</v>
      </c>
      <c r="I1257" t="s">
        <v>11</v>
      </c>
      <c r="J1257">
        <v>2</v>
      </c>
      <c r="K1257">
        <v>30</v>
      </c>
    </row>
    <row r="1258" spans="5:11" x14ac:dyDescent="0.25">
      <c r="E1258">
        <v>1211</v>
      </c>
      <c r="F1258" s="7">
        <v>45636</v>
      </c>
      <c r="G1258" t="s">
        <v>7</v>
      </c>
      <c r="H1258">
        <v>27</v>
      </c>
      <c r="I1258" t="s">
        <v>8</v>
      </c>
      <c r="J1258">
        <v>5</v>
      </c>
      <c r="K1258">
        <v>203</v>
      </c>
    </row>
    <row r="1259" spans="5:11" x14ac:dyDescent="0.25">
      <c r="E1259">
        <v>517</v>
      </c>
      <c r="F1259" s="7">
        <v>45057</v>
      </c>
      <c r="G1259" t="s">
        <v>9</v>
      </c>
      <c r="H1259">
        <v>40</v>
      </c>
      <c r="I1259" t="s">
        <v>10</v>
      </c>
      <c r="J1259">
        <v>1</v>
      </c>
      <c r="K1259">
        <v>30</v>
      </c>
    </row>
    <row r="1260" spans="5:11" x14ac:dyDescent="0.25">
      <c r="E1260">
        <v>63</v>
      </c>
      <c r="F1260" s="7">
        <v>44962</v>
      </c>
      <c r="G1260" t="s">
        <v>7</v>
      </c>
      <c r="H1260">
        <v>57</v>
      </c>
      <c r="I1260" t="s">
        <v>11</v>
      </c>
      <c r="J1260">
        <v>2</v>
      </c>
      <c r="K1260">
        <v>25</v>
      </c>
    </row>
    <row r="1261" spans="5:11" x14ac:dyDescent="0.25">
      <c r="E1261">
        <v>1587</v>
      </c>
      <c r="F1261" s="7">
        <v>45368</v>
      </c>
      <c r="G1261" t="s">
        <v>7</v>
      </c>
      <c r="H1261">
        <v>59</v>
      </c>
      <c r="I1261" t="s">
        <v>10</v>
      </c>
      <c r="J1261">
        <v>2</v>
      </c>
      <c r="K1261">
        <v>89</v>
      </c>
    </row>
    <row r="1262" spans="5:11" x14ac:dyDescent="0.25">
      <c r="E1262">
        <v>1166</v>
      </c>
      <c r="F1262" s="7">
        <v>45346</v>
      </c>
      <c r="G1262" t="s">
        <v>7</v>
      </c>
      <c r="H1262">
        <v>65</v>
      </c>
      <c r="I1262" t="s">
        <v>10</v>
      </c>
      <c r="J1262">
        <v>3</v>
      </c>
      <c r="K1262">
        <v>75</v>
      </c>
    </row>
    <row r="1263" spans="5:11" x14ac:dyDescent="0.25">
      <c r="E1263">
        <v>752</v>
      </c>
      <c r="F1263" s="7">
        <v>45215</v>
      </c>
      <c r="G1263" t="s">
        <v>9</v>
      </c>
      <c r="H1263">
        <v>43</v>
      </c>
      <c r="I1263" t="s">
        <v>11</v>
      </c>
      <c r="J1263">
        <v>4</v>
      </c>
      <c r="K1263">
        <v>25</v>
      </c>
    </row>
    <row r="1264" spans="5:11" x14ac:dyDescent="0.25">
      <c r="E1264">
        <v>1531</v>
      </c>
      <c r="F1264" s="7">
        <v>45453</v>
      </c>
      <c r="G1264" t="s">
        <v>7</v>
      </c>
      <c r="H1264">
        <v>22</v>
      </c>
      <c r="I1264" t="s">
        <v>10</v>
      </c>
      <c r="J1264">
        <v>7</v>
      </c>
      <c r="K1264">
        <v>314</v>
      </c>
    </row>
    <row r="1265" spans="5:11" x14ac:dyDescent="0.25">
      <c r="E1265">
        <v>1561</v>
      </c>
      <c r="F1265" s="7">
        <v>45589</v>
      </c>
      <c r="G1265" t="s">
        <v>7</v>
      </c>
      <c r="H1265">
        <v>19</v>
      </c>
      <c r="I1265" t="s">
        <v>11</v>
      </c>
      <c r="J1265">
        <v>3</v>
      </c>
      <c r="K1265">
        <v>269</v>
      </c>
    </row>
    <row r="1266" spans="5:11" x14ac:dyDescent="0.25">
      <c r="E1266">
        <v>1840</v>
      </c>
      <c r="F1266" s="7">
        <v>45577</v>
      </c>
      <c r="G1266" t="s">
        <v>7</v>
      </c>
      <c r="H1266">
        <v>45</v>
      </c>
      <c r="I1266" t="s">
        <v>10</v>
      </c>
      <c r="J1266">
        <v>7</v>
      </c>
      <c r="K1266">
        <v>29</v>
      </c>
    </row>
    <row r="1267" spans="5:11" x14ac:dyDescent="0.25">
      <c r="E1267">
        <v>1370</v>
      </c>
      <c r="F1267" s="7">
        <v>45568</v>
      </c>
      <c r="G1267" t="s">
        <v>9</v>
      </c>
      <c r="H1267">
        <v>42</v>
      </c>
      <c r="I1267" t="s">
        <v>8</v>
      </c>
      <c r="J1267">
        <v>4</v>
      </c>
      <c r="K1267">
        <v>250</v>
      </c>
    </row>
    <row r="1268" spans="5:11" x14ac:dyDescent="0.25">
      <c r="E1268">
        <v>719</v>
      </c>
      <c r="F1268" s="7">
        <v>45060</v>
      </c>
      <c r="G1268" t="s">
        <v>9</v>
      </c>
      <c r="H1268">
        <v>52</v>
      </c>
      <c r="I1268" t="s">
        <v>10</v>
      </c>
      <c r="J1268">
        <v>1</v>
      </c>
      <c r="K1268">
        <v>500</v>
      </c>
    </row>
    <row r="1269" spans="5:11" x14ac:dyDescent="0.25">
      <c r="E1269">
        <v>986</v>
      </c>
      <c r="F1269" s="7">
        <v>45074</v>
      </c>
      <c r="G1269" t="s">
        <v>9</v>
      </c>
      <c r="H1269">
        <v>63</v>
      </c>
      <c r="I1269" t="s">
        <v>10</v>
      </c>
      <c r="J1269">
        <v>3</v>
      </c>
      <c r="K1269">
        <v>25</v>
      </c>
    </row>
    <row r="1270" spans="5:11" x14ac:dyDescent="0.25">
      <c r="E1270">
        <v>1365</v>
      </c>
      <c r="F1270" s="7">
        <v>45527</v>
      </c>
      <c r="G1270" t="s">
        <v>9</v>
      </c>
      <c r="H1270">
        <v>58</v>
      </c>
      <c r="I1270" t="s">
        <v>10</v>
      </c>
      <c r="J1270">
        <v>1</v>
      </c>
      <c r="K1270">
        <v>499</v>
      </c>
    </row>
    <row r="1271" spans="5:11" x14ac:dyDescent="0.25">
      <c r="E1271">
        <v>138</v>
      </c>
      <c r="F1271" s="7">
        <v>45008</v>
      </c>
      <c r="G1271" t="s">
        <v>7</v>
      </c>
      <c r="H1271">
        <v>49</v>
      </c>
      <c r="I1271" t="s">
        <v>10</v>
      </c>
      <c r="J1271">
        <v>4</v>
      </c>
      <c r="K1271">
        <v>50</v>
      </c>
    </row>
    <row r="1272" spans="5:11" x14ac:dyDescent="0.25">
      <c r="E1272">
        <v>1364</v>
      </c>
      <c r="F1272" s="7">
        <v>45296</v>
      </c>
      <c r="G1272" t="s">
        <v>9</v>
      </c>
      <c r="H1272">
        <v>24</v>
      </c>
      <c r="I1272" t="s">
        <v>11</v>
      </c>
      <c r="J1272">
        <v>3</v>
      </c>
      <c r="K1272">
        <v>96</v>
      </c>
    </row>
    <row r="1273" spans="5:11" x14ac:dyDescent="0.25">
      <c r="E1273">
        <v>98</v>
      </c>
      <c r="F1273" s="7">
        <v>45039</v>
      </c>
      <c r="G1273" t="s">
        <v>9</v>
      </c>
      <c r="H1273">
        <v>55</v>
      </c>
      <c r="I1273" t="s">
        <v>8</v>
      </c>
      <c r="J1273">
        <v>2</v>
      </c>
      <c r="K1273">
        <v>50</v>
      </c>
    </row>
    <row r="1274" spans="5:11" x14ac:dyDescent="0.25">
      <c r="E1274">
        <v>235</v>
      </c>
      <c r="F1274" s="7">
        <v>45044</v>
      </c>
      <c r="G1274" t="s">
        <v>9</v>
      </c>
      <c r="H1274">
        <v>54</v>
      </c>
      <c r="I1274" t="s">
        <v>10</v>
      </c>
      <c r="J1274">
        <v>1</v>
      </c>
      <c r="K1274">
        <v>25</v>
      </c>
    </row>
    <row r="1275" spans="5:11" x14ac:dyDescent="0.25">
      <c r="E1275">
        <v>1913</v>
      </c>
      <c r="F1275" s="7">
        <v>45357</v>
      </c>
      <c r="G1275" t="s">
        <v>9</v>
      </c>
      <c r="H1275">
        <v>18</v>
      </c>
      <c r="I1275" t="s">
        <v>11</v>
      </c>
      <c r="J1275">
        <v>2</v>
      </c>
      <c r="K1275">
        <v>415</v>
      </c>
    </row>
    <row r="1276" spans="5:11" x14ac:dyDescent="0.25">
      <c r="E1276">
        <v>655</v>
      </c>
      <c r="F1276" s="7">
        <v>44968</v>
      </c>
      <c r="G1276" t="s">
        <v>7</v>
      </c>
      <c r="H1276">
        <v>40</v>
      </c>
      <c r="I1276" t="s">
        <v>10</v>
      </c>
      <c r="J1276">
        <v>1</v>
      </c>
      <c r="K1276">
        <v>25</v>
      </c>
    </row>
    <row r="1277" spans="5:11" x14ac:dyDescent="0.25">
      <c r="E1277">
        <v>1084</v>
      </c>
      <c r="F1277" s="7">
        <v>45604</v>
      </c>
      <c r="G1277" t="s">
        <v>7</v>
      </c>
      <c r="H1277">
        <v>32</v>
      </c>
      <c r="I1277" t="s">
        <v>8</v>
      </c>
      <c r="J1277">
        <v>6</v>
      </c>
      <c r="K1277">
        <v>400</v>
      </c>
    </row>
    <row r="1278" spans="5:11" x14ac:dyDescent="0.25">
      <c r="E1278">
        <v>1649</v>
      </c>
      <c r="F1278" s="7">
        <v>45432</v>
      </c>
      <c r="G1278" t="s">
        <v>7</v>
      </c>
      <c r="H1278">
        <v>53</v>
      </c>
      <c r="I1278" t="s">
        <v>10</v>
      </c>
      <c r="J1278">
        <v>1</v>
      </c>
      <c r="K1278">
        <v>47</v>
      </c>
    </row>
    <row r="1279" spans="5:11" x14ac:dyDescent="0.25">
      <c r="E1279">
        <v>1808</v>
      </c>
      <c r="F1279" s="7">
        <v>45608</v>
      </c>
      <c r="G1279" t="s">
        <v>7</v>
      </c>
      <c r="H1279">
        <v>24</v>
      </c>
      <c r="I1279" t="s">
        <v>11</v>
      </c>
      <c r="J1279">
        <v>4</v>
      </c>
      <c r="K1279">
        <v>447</v>
      </c>
    </row>
    <row r="1280" spans="5:11" x14ac:dyDescent="0.25">
      <c r="E1280">
        <v>950</v>
      </c>
      <c r="F1280" s="7">
        <v>45243</v>
      </c>
      <c r="G1280" t="s">
        <v>9</v>
      </c>
      <c r="H1280">
        <v>57</v>
      </c>
      <c r="I1280" t="s">
        <v>10</v>
      </c>
      <c r="J1280">
        <v>1</v>
      </c>
      <c r="K1280">
        <v>25</v>
      </c>
    </row>
    <row r="1281" spans="5:11" x14ac:dyDescent="0.25">
      <c r="E1281">
        <v>1101</v>
      </c>
      <c r="F1281" s="7">
        <v>45308</v>
      </c>
      <c r="G1281" t="s">
        <v>9</v>
      </c>
      <c r="H1281">
        <v>55</v>
      </c>
      <c r="I1281" t="s">
        <v>10</v>
      </c>
      <c r="J1281">
        <v>2</v>
      </c>
      <c r="K1281">
        <v>261</v>
      </c>
    </row>
    <row r="1282" spans="5:11" x14ac:dyDescent="0.25">
      <c r="E1282">
        <v>589</v>
      </c>
      <c r="F1282" s="7">
        <v>45002</v>
      </c>
      <c r="G1282" t="s">
        <v>7</v>
      </c>
      <c r="H1282">
        <v>36</v>
      </c>
      <c r="I1282" t="s">
        <v>10</v>
      </c>
      <c r="J1282">
        <v>3</v>
      </c>
      <c r="K1282">
        <v>300</v>
      </c>
    </row>
    <row r="1283" spans="5:11" x14ac:dyDescent="0.25">
      <c r="E1283">
        <v>1282</v>
      </c>
      <c r="F1283" s="7">
        <v>45519</v>
      </c>
      <c r="G1283" t="s">
        <v>9</v>
      </c>
      <c r="H1283">
        <v>60</v>
      </c>
      <c r="I1283" t="s">
        <v>11</v>
      </c>
      <c r="J1283">
        <v>6</v>
      </c>
      <c r="K1283">
        <v>252</v>
      </c>
    </row>
    <row r="1284" spans="5:11" x14ac:dyDescent="0.25">
      <c r="E1284">
        <v>466</v>
      </c>
      <c r="F1284" s="7">
        <v>45137</v>
      </c>
      <c r="G1284" t="s">
        <v>9</v>
      </c>
      <c r="H1284">
        <v>53</v>
      </c>
      <c r="I1284" t="s">
        <v>11</v>
      </c>
      <c r="J1284">
        <v>3</v>
      </c>
      <c r="K1284">
        <v>50</v>
      </c>
    </row>
    <row r="1285" spans="5:11" x14ac:dyDescent="0.25">
      <c r="E1285">
        <v>1269</v>
      </c>
      <c r="F1285" s="7">
        <v>45347</v>
      </c>
      <c r="G1285" t="s">
        <v>9</v>
      </c>
      <c r="H1285">
        <v>41</v>
      </c>
      <c r="I1285" t="s">
        <v>11</v>
      </c>
      <c r="J1285">
        <v>5</v>
      </c>
      <c r="K1285">
        <v>128</v>
      </c>
    </row>
    <row r="1286" spans="5:11" x14ac:dyDescent="0.25">
      <c r="E1286">
        <v>1569</v>
      </c>
      <c r="F1286" s="7">
        <v>45402</v>
      </c>
      <c r="G1286" t="s">
        <v>7</v>
      </c>
      <c r="H1286">
        <v>41</v>
      </c>
      <c r="I1286" t="s">
        <v>10</v>
      </c>
      <c r="J1286">
        <v>3</v>
      </c>
      <c r="K1286">
        <v>323</v>
      </c>
    </row>
    <row r="1287" spans="5:11" x14ac:dyDescent="0.25">
      <c r="E1287">
        <v>139</v>
      </c>
      <c r="F1287" s="7">
        <v>45275</v>
      </c>
      <c r="G1287" t="s">
        <v>7</v>
      </c>
      <c r="H1287">
        <v>36</v>
      </c>
      <c r="I1287" t="s">
        <v>8</v>
      </c>
      <c r="J1287">
        <v>4</v>
      </c>
      <c r="K1287">
        <v>500</v>
      </c>
    </row>
    <row r="1288" spans="5:11" x14ac:dyDescent="0.25">
      <c r="E1288">
        <v>843</v>
      </c>
      <c r="F1288" s="7">
        <v>44932</v>
      </c>
      <c r="G1288" t="s">
        <v>7</v>
      </c>
      <c r="H1288">
        <v>54</v>
      </c>
      <c r="I1288" t="s">
        <v>10</v>
      </c>
      <c r="J1288">
        <v>1</v>
      </c>
      <c r="K1288">
        <v>500</v>
      </c>
    </row>
    <row r="1289" spans="5:11" x14ac:dyDescent="0.25">
      <c r="E1289">
        <v>1950</v>
      </c>
      <c r="F1289" s="7">
        <v>45560</v>
      </c>
      <c r="G1289" t="s">
        <v>9</v>
      </c>
      <c r="H1289">
        <v>57</v>
      </c>
      <c r="I1289" t="s">
        <v>11</v>
      </c>
      <c r="J1289">
        <v>7</v>
      </c>
      <c r="K1289">
        <v>210</v>
      </c>
    </row>
    <row r="1290" spans="5:11" x14ac:dyDescent="0.25">
      <c r="E1290">
        <v>764</v>
      </c>
      <c r="F1290" s="7">
        <v>44982</v>
      </c>
      <c r="G1290" t="s">
        <v>7</v>
      </c>
      <c r="H1290">
        <v>38</v>
      </c>
      <c r="I1290" t="s">
        <v>11</v>
      </c>
      <c r="J1290">
        <v>3</v>
      </c>
      <c r="K1290">
        <v>300</v>
      </c>
    </row>
    <row r="1291" spans="5:11" x14ac:dyDescent="0.25">
      <c r="E1291">
        <v>871</v>
      </c>
      <c r="F1291" s="7">
        <v>45198</v>
      </c>
      <c r="G1291" t="s">
        <v>9</v>
      </c>
      <c r="H1291">
        <v>27</v>
      </c>
      <c r="I1291" t="s">
        <v>11</v>
      </c>
      <c r="J1291">
        <v>4</v>
      </c>
      <c r="K1291">
        <v>25</v>
      </c>
    </row>
    <row r="1292" spans="5:11" x14ac:dyDescent="0.25">
      <c r="E1292">
        <v>740</v>
      </c>
      <c r="F1292" s="7">
        <v>44947</v>
      </c>
      <c r="G1292" t="s">
        <v>9</v>
      </c>
      <c r="H1292">
        <v>38</v>
      </c>
      <c r="I1292" t="s">
        <v>11</v>
      </c>
      <c r="J1292">
        <v>4</v>
      </c>
      <c r="K1292">
        <v>500</v>
      </c>
    </row>
    <row r="1293" spans="5:11" x14ac:dyDescent="0.25">
      <c r="E1293">
        <v>1021</v>
      </c>
      <c r="F1293" s="7">
        <v>45394</v>
      </c>
      <c r="G1293" t="s">
        <v>9</v>
      </c>
      <c r="H1293">
        <v>18</v>
      </c>
      <c r="I1293" t="s">
        <v>10</v>
      </c>
      <c r="J1293">
        <v>1</v>
      </c>
      <c r="K1293">
        <v>195</v>
      </c>
    </row>
    <row r="1294" spans="5:11" x14ac:dyDescent="0.25">
      <c r="E1294">
        <v>1803</v>
      </c>
      <c r="F1294" s="7">
        <v>45515</v>
      </c>
      <c r="G1294" t="s">
        <v>9</v>
      </c>
      <c r="H1294">
        <v>59</v>
      </c>
      <c r="I1294" t="s">
        <v>11</v>
      </c>
      <c r="J1294">
        <v>1</v>
      </c>
      <c r="K1294">
        <v>483</v>
      </c>
    </row>
    <row r="1295" spans="5:11" x14ac:dyDescent="0.25">
      <c r="E1295">
        <v>1369</v>
      </c>
      <c r="F1295" s="7">
        <v>45329</v>
      </c>
      <c r="G1295" t="s">
        <v>9</v>
      </c>
      <c r="H1295">
        <v>63</v>
      </c>
      <c r="I1295" t="s">
        <v>8</v>
      </c>
      <c r="J1295">
        <v>4</v>
      </c>
      <c r="K1295">
        <v>335</v>
      </c>
    </row>
    <row r="1296" spans="5:11" x14ac:dyDescent="0.25">
      <c r="E1296">
        <v>780</v>
      </c>
      <c r="F1296" s="7">
        <v>45081</v>
      </c>
      <c r="G1296" t="s">
        <v>7</v>
      </c>
      <c r="H1296">
        <v>59</v>
      </c>
      <c r="I1296" t="s">
        <v>10</v>
      </c>
      <c r="J1296">
        <v>3</v>
      </c>
      <c r="K1296">
        <v>300</v>
      </c>
    </row>
    <row r="1297" spans="5:11" x14ac:dyDescent="0.25">
      <c r="E1297">
        <v>665</v>
      </c>
      <c r="F1297" s="7">
        <v>45139</v>
      </c>
      <c r="G1297" t="s">
        <v>9</v>
      </c>
      <c r="H1297">
        <v>29</v>
      </c>
      <c r="I1297" t="s">
        <v>11</v>
      </c>
      <c r="J1297">
        <v>1</v>
      </c>
      <c r="K1297">
        <v>500</v>
      </c>
    </row>
    <row r="1298" spans="5:11" x14ac:dyDescent="0.25">
      <c r="E1298">
        <v>399</v>
      </c>
      <c r="F1298" s="7">
        <v>44981</v>
      </c>
      <c r="G1298" t="s">
        <v>7</v>
      </c>
      <c r="H1298">
        <v>53</v>
      </c>
      <c r="I1298" t="s">
        <v>10</v>
      </c>
      <c r="J1298">
        <v>4</v>
      </c>
      <c r="K1298">
        <v>50</v>
      </c>
    </row>
    <row r="1299" spans="5:11" x14ac:dyDescent="0.25">
      <c r="E1299">
        <v>1650</v>
      </c>
      <c r="F1299" s="7">
        <v>45464</v>
      </c>
      <c r="G1299" t="s">
        <v>7</v>
      </c>
      <c r="H1299">
        <v>28</v>
      </c>
      <c r="I1299" t="s">
        <v>10</v>
      </c>
      <c r="J1299">
        <v>2</v>
      </c>
      <c r="K1299">
        <v>203</v>
      </c>
    </row>
    <row r="1300" spans="5:11" x14ac:dyDescent="0.25">
      <c r="E1300">
        <v>688</v>
      </c>
      <c r="F1300" s="7">
        <v>45235</v>
      </c>
      <c r="G1300" t="s">
        <v>9</v>
      </c>
      <c r="H1300">
        <v>52</v>
      </c>
      <c r="I1300" t="s">
        <v>10</v>
      </c>
      <c r="J1300">
        <v>3</v>
      </c>
      <c r="K1300">
        <v>300</v>
      </c>
    </row>
    <row r="1301" spans="5:11" x14ac:dyDescent="0.25">
      <c r="E1301">
        <v>646</v>
      </c>
      <c r="F1301" s="7">
        <v>45067</v>
      </c>
      <c r="G1301" t="s">
        <v>7</v>
      </c>
      <c r="H1301">
        <v>59</v>
      </c>
      <c r="I1301" t="s">
        <v>10</v>
      </c>
      <c r="J1301">
        <v>3</v>
      </c>
      <c r="K1301">
        <v>500</v>
      </c>
    </row>
    <row r="1302" spans="5:11" x14ac:dyDescent="0.25">
      <c r="E1302">
        <v>1884</v>
      </c>
      <c r="F1302" s="7">
        <v>45354</v>
      </c>
      <c r="G1302" t="s">
        <v>9</v>
      </c>
      <c r="H1302">
        <v>56</v>
      </c>
      <c r="I1302" t="s">
        <v>11</v>
      </c>
      <c r="J1302">
        <v>2</v>
      </c>
      <c r="K1302">
        <v>371</v>
      </c>
    </row>
    <row r="1303" spans="5:11" x14ac:dyDescent="0.25">
      <c r="E1303">
        <v>610</v>
      </c>
      <c r="F1303" s="7">
        <v>44981</v>
      </c>
      <c r="G1303" t="s">
        <v>7</v>
      </c>
      <c r="H1303">
        <v>51</v>
      </c>
      <c r="I1303" t="s">
        <v>8</v>
      </c>
      <c r="J1303">
        <v>3</v>
      </c>
      <c r="K1303">
        <v>500</v>
      </c>
    </row>
    <row r="1304" spans="5:11" x14ac:dyDescent="0.25">
      <c r="E1304">
        <v>1190</v>
      </c>
      <c r="F1304" s="7">
        <v>45332</v>
      </c>
      <c r="G1304" t="s">
        <v>7</v>
      </c>
      <c r="H1304">
        <v>29</v>
      </c>
      <c r="I1304" t="s">
        <v>8</v>
      </c>
      <c r="J1304">
        <v>3</v>
      </c>
      <c r="K1304">
        <v>91</v>
      </c>
    </row>
    <row r="1305" spans="5:11" x14ac:dyDescent="0.25">
      <c r="E1305">
        <v>469</v>
      </c>
      <c r="F1305" s="7">
        <v>45063</v>
      </c>
      <c r="G1305" t="s">
        <v>9</v>
      </c>
      <c r="H1305">
        <v>57</v>
      </c>
      <c r="I1305" t="s">
        <v>10</v>
      </c>
      <c r="J1305">
        <v>2</v>
      </c>
      <c r="K1305">
        <v>500</v>
      </c>
    </row>
    <row r="1306" spans="5:11" x14ac:dyDescent="0.25">
      <c r="E1306">
        <v>983</v>
      </c>
      <c r="F1306" s="7">
        <v>45076</v>
      </c>
      <c r="G1306" t="s">
        <v>9</v>
      </c>
      <c r="H1306">
        <v>19</v>
      </c>
      <c r="I1306" t="s">
        <v>11</v>
      </c>
      <c r="J1306">
        <v>2</v>
      </c>
      <c r="K1306">
        <v>25</v>
      </c>
    </row>
    <row r="1307" spans="5:11" x14ac:dyDescent="0.25">
      <c r="E1307">
        <v>826</v>
      </c>
      <c r="F1307" s="7">
        <v>45269</v>
      </c>
      <c r="G1307" t="s">
        <v>9</v>
      </c>
      <c r="H1307">
        <v>33</v>
      </c>
      <c r="I1307" t="s">
        <v>11</v>
      </c>
      <c r="J1307">
        <v>4</v>
      </c>
      <c r="K1307">
        <v>300</v>
      </c>
    </row>
    <row r="1308" spans="5:11" x14ac:dyDescent="0.25">
      <c r="E1308">
        <v>977</v>
      </c>
      <c r="F1308" s="7">
        <v>44928</v>
      </c>
      <c r="G1308" t="s">
        <v>9</v>
      </c>
      <c r="H1308">
        <v>19</v>
      </c>
      <c r="I1308" t="s">
        <v>8</v>
      </c>
      <c r="J1308">
        <v>1</v>
      </c>
      <c r="K1308">
        <v>25</v>
      </c>
    </row>
    <row r="1309" spans="5:11" x14ac:dyDescent="0.25">
      <c r="E1309">
        <v>1816</v>
      </c>
      <c r="F1309" s="7">
        <v>45418</v>
      </c>
      <c r="G1309" t="s">
        <v>7</v>
      </c>
      <c r="H1309">
        <v>49</v>
      </c>
      <c r="I1309" t="s">
        <v>11</v>
      </c>
      <c r="J1309">
        <v>1</v>
      </c>
      <c r="K1309">
        <v>492</v>
      </c>
    </row>
    <row r="1310" spans="5:11" x14ac:dyDescent="0.25">
      <c r="E1310">
        <v>807</v>
      </c>
      <c r="F1310" s="7">
        <v>45194</v>
      </c>
      <c r="G1310" t="s">
        <v>9</v>
      </c>
      <c r="H1310">
        <v>62</v>
      </c>
      <c r="I1310" t="s">
        <v>8</v>
      </c>
      <c r="J1310">
        <v>2</v>
      </c>
      <c r="K1310">
        <v>50</v>
      </c>
    </row>
    <row r="1311" spans="5:11" x14ac:dyDescent="0.25">
      <c r="E1311">
        <v>1147</v>
      </c>
      <c r="F1311" s="7">
        <v>45576</v>
      </c>
      <c r="G1311" t="s">
        <v>7</v>
      </c>
      <c r="H1311">
        <v>42</v>
      </c>
      <c r="I1311" t="s">
        <v>10</v>
      </c>
      <c r="J1311">
        <v>1</v>
      </c>
      <c r="K1311">
        <v>354</v>
      </c>
    </row>
    <row r="1312" spans="5:11" x14ac:dyDescent="0.25">
      <c r="E1312">
        <v>772</v>
      </c>
      <c r="F1312" s="7">
        <v>45028</v>
      </c>
      <c r="G1312" t="s">
        <v>9</v>
      </c>
      <c r="H1312">
        <v>40</v>
      </c>
      <c r="I1312" t="s">
        <v>10</v>
      </c>
      <c r="J1312">
        <v>2</v>
      </c>
      <c r="K1312">
        <v>25</v>
      </c>
    </row>
    <row r="1313" spans="5:11" x14ac:dyDescent="0.25">
      <c r="E1313">
        <v>309</v>
      </c>
      <c r="F1313" s="7">
        <v>45211</v>
      </c>
      <c r="G1313" t="s">
        <v>9</v>
      </c>
      <c r="H1313">
        <v>28</v>
      </c>
      <c r="I1313" t="s">
        <v>8</v>
      </c>
      <c r="J1313">
        <v>1</v>
      </c>
      <c r="K1313">
        <v>25</v>
      </c>
    </row>
    <row r="1314" spans="5:11" x14ac:dyDescent="0.25">
      <c r="E1314">
        <v>1381</v>
      </c>
      <c r="F1314" s="7">
        <v>45517</v>
      </c>
      <c r="G1314" t="s">
        <v>7</v>
      </c>
      <c r="H1314">
        <v>60</v>
      </c>
      <c r="I1314" t="s">
        <v>10</v>
      </c>
      <c r="J1314">
        <v>7</v>
      </c>
      <c r="K1314">
        <v>92</v>
      </c>
    </row>
    <row r="1315" spans="5:11" x14ac:dyDescent="0.25">
      <c r="E1315">
        <v>946</v>
      </c>
      <c r="F1315" s="7">
        <v>45212</v>
      </c>
      <c r="G1315" t="s">
        <v>9</v>
      </c>
      <c r="H1315">
        <v>23</v>
      </c>
      <c r="I1315" t="s">
        <v>11</v>
      </c>
      <c r="J1315">
        <v>3</v>
      </c>
      <c r="K1315">
        <v>25</v>
      </c>
    </row>
    <row r="1316" spans="5:11" x14ac:dyDescent="0.25">
      <c r="E1316">
        <v>1390</v>
      </c>
      <c r="F1316" s="7">
        <v>45576</v>
      </c>
      <c r="G1316" t="s">
        <v>9</v>
      </c>
      <c r="H1316">
        <v>46</v>
      </c>
      <c r="I1316" t="s">
        <v>8</v>
      </c>
      <c r="J1316">
        <v>7</v>
      </c>
      <c r="K1316">
        <v>232</v>
      </c>
    </row>
    <row r="1317" spans="5:11" x14ac:dyDescent="0.25">
      <c r="E1317">
        <v>1143</v>
      </c>
      <c r="F1317" s="7">
        <v>45598</v>
      </c>
      <c r="G1317" t="s">
        <v>9</v>
      </c>
      <c r="H1317">
        <v>56</v>
      </c>
      <c r="I1317" t="s">
        <v>10</v>
      </c>
      <c r="J1317">
        <v>6</v>
      </c>
      <c r="K1317">
        <v>130</v>
      </c>
    </row>
    <row r="1318" spans="5:11" x14ac:dyDescent="0.25">
      <c r="E1318">
        <v>186</v>
      </c>
      <c r="F1318" s="7">
        <v>45112</v>
      </c>
      <c r="G1318" t="s">
        <v>7</v>
      </c>
      <c r="H1318">
        <v>20</v>
      </c>
      <c r="I1318" t="s">
        <v>10</v>
      </c>
      <c r="J1318">
        <v>4</v>
      </c>
      <c r="K1318">
        <v>50</v>
      </c>
    </row>
    <row r="1319" spans="5:11" x14ac:dyDescent="0.25">
      <c r="E1319">
        <v>1296</v>
      </c>
      <c r="F1319" s="7">
        <v>45498</v>
      </c>
      <c r="G1319" t="s">
        <v>7</v>
      </c>
      <c r="H1319">
        <v>42</v>
      </c>
      <c r="I1319" t="s">
        <v>11</v>
      </c>
      <c r="J1319">
        <v>2</v>
      </c>
      <c r="K1319">
        <v>37</v>
      </c>
    </row>
    <row r="1320" spans="5:11" x14ac:dyDescent="0.25">
      <c r="E1320">
        <v>695</v>
      </c>
      <c r="F1320" s="7">
        <v>44941</v>
      </c>
      <c r="G1320" t="s">
        <v>7</v>
      </c>
      <c r="H1320">
        <v>53</v>
      </c>
      <c r="I1320" t="s">
        <v>10</v>
      </c>
      <c r="J1320">
        <v>1</v>
      </c>
      <c r="K1320">
        <v>500</v>
      </c>
    </row>
    <row r="1321" spans="5:11" x14ac:dyDescent="0.25">
      <c r="E1321">
        <v>614</v>
      </c>
      <c r="F1321" s="7">
        <v>45283</v>
      </c>
      <c r="G1321" t="s">
        <v>9</v>
      </c>
      <c r="H1321">
        <v>61</v>
      </c>
      <c r="I1321" t="s">
        <v>10</v>
      </c>
      <c r="J1321">
        <v>4</v>
      </c>
      <c r="K1321">
        <v>25</v>
      </c>
    </row>
    <row r="1322" spans="5:11" x14ac:dyDescent="0.25">
      <c r="E1322">
        <v>341</v>
      </c>
      <c r="F1322" s="7">
        <v>45223</v>
      </c>
      <c r="G1322" t="s">
        <v>9</v>
      </c>
      <c r="H1322">
        <v>43</v>
      </c>
      <c r="I1322" t="s">
        <v>10</v>
      </c>
      <c r="J1322">
        <v>4</v>
      </c>
      <c r="K1322">
        <v>500</v>
      </c>
    </row>
    <row r="1323" spans="5:11" x14ac:dyDescent="0.25">
      <c r="E1323">
        <v>685</v>
      </c>
      <c r="F1323" s="7">
        <v>45141</v>
      </c>
      <c r="G1323" t="s">
        <v>9</v>
      </c>
      <c r="H1323">
        <v>53</v>
      </c>
      <c r="I1323" t="s">
        <v>11</v>
      </c>
      <c r="J1323">
        <v>1</v>
      </c>
      <c r="K1323">
        <v>300</v>
      </c>
    </row>
    <row r="1324" spans="5:11" x14ac:dyDescent="0.25">
      <c r="E1324">
        <v>471</v>
      </c>
      <c r="F1324" s="7">
        <v>45286</v>
      </c>
      <c r="G1324" t="s">
        <v>9</v>
      </c>
      <c r="H1324">
        <v>38</v>
      </c>
      <c r="I1324" t="s">
        <v>8</v>
      </c>
      <c r="J1324">
        <v>3</v>
      </c>
      <c r="K1324">
        <v>300</v>
      </c>
    </row>
    <row r="1325" spans="5:11" x14ac:dyDescent="0.25">
      <c r="E1325">
        <v>1045</v>
      </c>
      <c r="F1325" s="7">
        <v>45602</v>
      </c>
      <c r="G1325" t="s">
        <v>9</v>
      </c>
      <c r="H1325">
        <v>43</v>
      </c>
      <c r="I1325" t="s">
        <v>8</v>
      </c>
      <c r="J1325">
        <v>5</v>
      </c>
      <c r="K1325">
        <v>449</v>
      </c>
    </row>
    <row r="1326" spans="5:11" x14ac:dyDescent="0.25">
      <c r="E1326">
        <v>1216</v>
      </c>
      <c r="F1326" s="7">
        <v>45524</v>
      </c>
      <c r="G1326" t="s">
        <v>9</v>
      </c>
      <c r="H1326">
        <v>58</v>
      </c>
      <c r="I1326" t="s">
        <v>11</v>
      </c>
      <c r="J1326">
        <v>1</v>
      </c>
      <c r="K1326">
        <v>142</v>
      </c>
    </row>
    <row r="1327" spans="5:11" x14ac:dyDescent="0.25">
      <c r="E1327">
        <v>810</v>
      </c>
      <c r="F1327" s="7">
        <v>45242</v>
      </c>
      <c r="G1327" t="s">
        <v>7</v>
      </c>
      <c r="H1327">
        <v>19</v>
      </c>
      <c r="I1327" t="s">
        <v>11</v>
      </c>
      <c r="J1327">
        <v>3</v>
      </c>
      <c r="K1327">
        <v>25</v>
      </c>
    </row>
    <row r="1328" spans="5:11" x14ac:dyDescent="0.25">
      <c r="E1328">
        <v>1817</v>
      </c>
      <c r="F1328" s="7">
        <v>45336</v>
      </c>
      <c r="G1328" t="s">
        <v>7</v>
      </c>
      <c r="H1328">
        <v>30</v>
      </c>
      <c r="I1328" t="s">
        <v>11</v>
      </c>
      <c r="J1328">
        <v>4</v>
      </c>
      <c r="K1328">
        <v>259</v>
      </c>
    </row>
    <row r="1329" spans="5:11" x14ac:dyDescent="0.25">
      <c r="E1329">
        <v>727</v>
      </c>
      <c r="F1329" s="7">
        <v>45069</v>
      </c>
      <c r="G1329" t="s">
        <v>7</v>
      </c>
      <c r="H1329">
        <v>29</v>
      </c>
      <c r="I1329" t="s">
        <v>10</v>
      </c>
      <c r="J1329">
        <v>4</v>
      </c>
      <c r="K1329">
        <v>300</v>
      </c>
    </row>
    <row r="1330" spans="5:11" x14ac:dyDescent="0.25">
      <c r="E1330">
        <v>1308</v>
      </c>
      <c r="F1330" s="7">
        <v>45631</v>
      </c>
      <c r="G1330" t="s">
        <v>9</v>
      </c>
      <c r="H1330">
        <v>28</v>
      </c>
      <c r="I1330" t="s">
        <v>8</v>
      </c>
      <c r="J1330">
        <v>5</v>
      </c>
      <c r="K1330">
        <v>53</v>
      </c>
    </row>
    <row r="1331" spans="5:11" x14ac:dyDescent="0.25">
      <c r="E1331">
        <v>530</v>
      </c>
      <c r="F1331" s="7">
        <v>45267</v>
      </c>
      <c r="G1331" t="s">
        <v>7</v>
      </c>
      <c r="H1331">
        <v>31</v>
      </c>
      <c r="I1331" t="s">
        <v>11</v>
      </c>
      <c r="J1331">
        <v>1</v>
      </c>
      <c r="K1331">
        <v>500</v>
      </c>
    </row>
    <row r="1332" spans="5:11" x14ac:dyDescent="0.25">
      <c r="E1332">
        <v>429</v>
      </c>
      <c r="F1332" s="7">
        <v>45145</v>
      </c>
      <c r="G1332" t="s">
        <v>9</v>
      </c>
      <c r="H1332">
        <v>43</v>
      </c>
      <c r="I1332" t="s">
        <v>11</v>
      </c>
      <c r="J1332">
        <v>3</v>
      </c>
      <c r="K1332">
        <v>300</v>
      </c>
    </row>
    <row r="1333" spans="5:11" x14ac:dyDescent="0.25">
      <c r="E1333">
        <v>597</v>
      </c>
      <c r="F1333" s="7">
        <v>45139</v>
      </c>
      <c r="G1333" t="s">
        <v>7</v>
      </c>
      <c r="H1333">
        <v>37</v>
      </c>
      <c r="I1333" t="s">
        <v>8</v>
      </c>
      <c r="J1333">
        <v>4</v>
      </c>
      <c r="K1333">
        <v>30</v>
      </c>
    </row>
    <row r="1334" spans="5:11" x14ac:dyDescent="0.25">
      <c r="E1334">
        <v>698</v>
      </c>
      <c r="F1334" s="7">
        <v>45269</v>
      </c>
      <c r="G1334" t="s">
        <v>7</v>
      </c>
      <c r="H1334">
        <v>36</v>
      </c>
      <c r="I1334" t="s">
        <v>11</v>
      </c>
      <c r="J1334">
        <v>4</v>
      </c>
      <c r="K1334">
        <v>500</v>
      </c>
    </row>
    <row r="1335" spans="5:11" x14ac:dyDescent="0.25">
      <c r="E1335">
        <v>1162</v>
      </c>
      <c r="F1335" s="7">
        <v>45427</v>
      </c>
      <c r="G1335" t="s">
        <v>9</v>
      </c>
      <c r="H1335">
        <v>60</v>
      </c>
      <c r="I1335" t="s">
        <v>8</v>
      </c>
      <c r="J1335">
        <v>5</v>
      </c>
      <c r="K1335">
        <v>377</v>
      </c>
    </row>
    <row r="1336" spans="5:11" x14ac:dyDescent="0.25">
      <c r="E1336">
        <v>141</v>
      </c>
      <c r="F1336" s="7">
        <v>45232</v>
      </c>
      <c r="G1336" t="s">
        <v>9</v>
      </c>
      <c r="H1336">
        <v>22</v>
      </c>
      <c r="I1336" t="s">
        <v>11</v>
      </c>
      <c r="J1336">
        <v>1</v>
      </c>
      <c r="K1336">
        <v>50</v>
      </c>
    </row>
    <row r="1337" spans="5:11" x14ac:dyDescent="0.25">
      <c r="E1337">
        <v>320</v>
      </c>
      <c r="F1337" s="7">
        <v>45087</v>
      </c>
      <c r="G1337" t="s">
        <v>9</v>
      </c>
      <c r="H1337">
        <v>26</v>
      </c>
      <c r="I1337" t="s">
        <v>11</v>
      </c>
      <c r="J1337">
        <v>2</v>
      </c>
      <c r="K1337">
        <v>25</v>
      </c>
    </row>
    <row r="1338" spans="5:11" x14ac:dyDescent="0.25">
      <c r="E1338">
        <v>1119</v>
      </c>
      <c r="F1338" s="7">
        <v>45580</v>
      </c>
      <c r="G1338" t="s">
        <v>9</v>
      </c>
      <c r="H1338">
        <v>54</v>
      </c>
      <c r="I1338" t="s">
        <v>11</v>
      </c>
      <c r="J1338">
        <v>4</v>
      </c>
      <c r="K1338">
        <v>185</v>
      </c>
    </row>
    <row r="1339" spans="5:11" x14ac:dyDescent="0.25">
      <c r="E1339">
        <v>254</v>
      </c>
      <c r="F1339" s="7">
        <v>45024</v>
      </c>
      <c r="G1339" t="s">
        <v>7</v>
      </c>
      <c r="H1339">
        <v>48</v>
      </c>
      <c r="I1339" t="s">
        <v>10</v>
      </c>
      <c r="J1339">
        <v>1</v>
      </c>
      <c r="K1339">
        <v>30</v>
      </c>
    </row>
    <row r="1340" spans="5:11" x14ac:dyDescent="0.25">
      <c r="E1340">
        <v>1516</v>
      </c>
      <c r="F1340" s="7">
        <v>45314</v>
      </c>
      <c r="G1340" t="s">
        <v>9</v>
      </c>
      <c r="H1340">
        <v>34</v>
      </c>
      <c r="I1340" t="s">
        <v>11</v>
      </c>
      <c r="J1340">
        <v>5</v>
      </c>
      <c r="K1340">
        <v>45</v>
      </c>
    </row>
    <row r="1341" spans="5:11" x14ac:dyDescent="0.25">
      <c r="E1341">
        <v>64</v>
      </c>
      <c r="F1341" s="7">
        <v>44950</v>
      </c>
      <c r="G1341" t="s">
        <v>7</v>
      </c>
      <c r="H1341">
        <v>49</v>
      </c>
      <c r="I1341" t="s">
        <v>10</v>
      </c>
      <c r="J1341">
        <v>4</v>
      </c>
      <c r="K1341">
        <v>25</v>
      </c>
    </row>
    <row r="1342" spans="5:11" x14ac:dyDescent="0.25">
      <c r="E1342">
        <v>10</v>
      </c>
      <c r="F1342" s="7">
        <v>45206</v>
      </c>
      <c r="G1342" t="s">
        <v>9</v>
      </c>
      <c r="H1342">
        <v>52</v>
      </c>
      <c r="I1342" t="s">
        <v>10</v>
      </c>
      <c r="J1342">
        <v>4</v>
      </c>
      <c r="K1342">
        <v>50</v>
      </c>
    </row>
    <row r="1343" spans="5:11" x14ac:dyDescent="0.25">
      <c r="E1343">
        <v>967</v>
      </c>
      <c r="F1343" s="7">
        <v>45035</v>
      </c>
      <c r="G1343" t="s">
        <v>9</v>
      </c>
      <c r="H1343">
        <v>40</v>
      </c>
      <c r="I1343" t="s">
        <v>10</v>
      </c>
      <c r="J1343">
        <v>3</v>
      </c>
      <c r="K1343">
        <v>300</v>
      </c>
    </row>
    <row r="1344" spans="5:11" x14ac:dyDescent="0.25">
      <c r="E1344">
        <v>196</v>
      </c>
      <c r="F1344" s="7">
        <v>45199</v>
      </c>
      <c r="G1344" t="s">
        <v>9</v>
      </c>
      <c r="H1344">
        <v>32</v>
      </c>
      <c r="I1344" t="s">
        <v>10</v>
      </c>
      <c r="J1344">
        <v>3</v>
      </c>
      <c r="K1344">
        <v>300</v>
      </c>
    </row>
    <row r="1345" spans="5:11" x14ac:dyDescent="0.25">
      <c r="E1345">
        <v>1537</v>
      </c>
      <c r="F1345" s="7">
        <v>45634</v>
      </c>
      <c r="G1345" t="s">
        <v>9</v>
      </c>
      <c r="H1345">
        <v>22</v>
      </c>
      <c r="I1345" t="s">
        <v>11</v>
      </c>
      <c r="J1345">
        <v>2</v>
      </c>
      <c r="K1345">
        <v>379</v>
      </c>
    </row>
    <row r="1346" spans="5:11" x14ac:dyDescent="0.25">
      <c r="E1346">
        <v>1482</v>
      </c>
      <c r="F1346" s="7">
        <v>45630</v>
      </c>
      <c r="G1346" t="s">
        <v>7</v>
      </c>
      <c r="H1346">
        <v>59</v>
      </c>
      <c r="I1346" t="s">
        <v>11</v>
      </c>
      <c r="J1346">
        <v>4</v>
      </c>
      <c r="K1346">
        <v>246</v>
      </c>
    </row>
    <row r="1347" spans="5:11" x14ac:dyDescent="0.25">
      <c r="E1347">
        <v>9</v>
      </c>
      <c r="F1347" s="7">
        <v>45273</v>
      </c>
      <c r="G1347" t="s">
        <v>7</v>
      </c>
      <c r="H1347">
        <v>63</v>
      </c>
      <c r="I1347" t="s">
        <v>11</v>
      </c>
      <c r="J1347">
        <v>2</v>
      </c>
      <c r="K1347">
        <v>300</v>
      </c>
    </row>
    <row r="1348" spans="5:11" x14ac:dyDescent="0.25">
      <c r="E1348">
        <v>1508</v>
      </c>
      <c r="F1348" s="7">
        <v>45516</v>
      </c>
      <c r="G1348" t="s">
        <v>7</v>
      </c>
      <c r="H1348">
        <v>62</v>
      </c>
      <c r="I1348" t="s">
        <v>8</v>
      </c>
      <c r="J1348">
        <v>1</v>
      </c>
      <c r="K1348">
        <v>157</v>
      </c>
    </row>
    <row r="1349" spans="5:11" x14ac:dyDescent="0.25">
      <c r="E1349">
        <v>287</v>
      </c>
      <c r="F1349" s="7">
        <v>44952</v>
      </c>
      <c r="G1349" t="s">
        <v>7</v>
      </c>
      <c r="H1349">
        <v>28</v>
      </c>
      <c r="I1349" t="s">
        <v>10</v>
      </c>
      <c r="J1349">
        <v>4</v>
      </c>
      <c r="K1349">
        <v>30</v>
      </c>
    </row>
    <row r="1350" spans="5:11" x14ac:dyDescent="0.25">
      <c r="E1350">
        <v>111</v>
      </c>
      <c r="F1350" s="7">
        <v>45035</v>
      </c>
      <c r="G1350" t="s">
        <v>9</v>
      </c>
      <c r="H1350">
        <v>34</v>
      </c>
      <c r="I1350" t="s">
        <v>11</v>
      </c>
      <c r="J1350">
        <v>3</v>
      </c>
      <c r="K1350">
        <v>500</v>
      </c>
    </row>
    <row r="1351" spans="5:11" x14ac:dyDescent="0.25">
      <c r="E1351">
        <v>1346</v>
      </c>
      <c r="F1351" s="7">
        <v>45591</v>
      </c>
      <c r="G1351" t="s">
        <v>9</v>
      </c>
      <c r="H1351">
        <v>53</v>
      </c>
      <c r="I1351" t="s">
        <v>8</v>
      </c>
      <c r="J1351">
        <v>3</v>
      </c>
      <c r="K1351">
        <v>218</v>
      </c>
    </row>
    <row r="1352" spans="5:11" x14ac:dyDescent="0.25">
      <c r="E1352">
        <v>1112</v>
      </c>
      <c r="F1352" s="7">
        <v>45495</v>
      </c>
      <c r="G1352" t="s">
        <v>9</v>
      </c>
      <c r="H1352">
        <v>35</v>
      </c>
      <c r="I1352" t="s">
        <v>8</v>
      </c>
      <c r="J1352">
        <v>3</v>
      </c>
      <c r="K1352">
        <v>215</v>
      </c>
    </row>
    <row r="1353" spans="5:11" x14ac:dyDescent="0.25">
      <c r="E1353">
        <v>457</v>
      </c>
      <c r="F1353" s="7">
        <v>45244</v>
      </c>
      <c r="G1353" t="s">
        <v>9</v>
      </c>
      <c r="H1353">
        <v>39</v>
      </c>
      <c r="I1353" t="s">
        <v>11</v>
      </c>
      <c r="J1353">
        <v>4</v>
      </c>
      <c r="K1353">
        <v>25</v>
      </c>
    </row>
    <row r="1354" spans="5:11" x14ac:dyDescent="0.25">
      <c r="E1354">
        <v>850</v>
      </c>
      <c r="F1354" s="7">
        <v>45211</v>
      </c>
      <c r="G1354" t="s">
        <v>9</v>
      </c>
      <c r="H1354">
        <v>41</v>
      </c>
      <c r="I1354" t="s">
        <v>10</v>
      </c>
      <c r="J1354">
        <v>1</v>
      </c>
      <c r="K1354">
        <v>300</v>
      </c>
    </row>
    <row r="1355" spans="5:11" x14ac:dyDescent="0.25">
      <c r="E1355">
        <v>1493</v>
      </c>
      <c r="F1355" s="7">
        <v>45640</v>
      </c>
      <c r="G1355" t="s">
        <v>7</v>
      </c>
      <c r="H1355">
        <v>48</v>
      </c>
      <c r="I1355" t="s">
        <v>10</v>
      </c>
      <c r="J1355">
        <v>4</v>
      </c>
      <c r="K1355">
        <v>438</v>
      </c>
    </row>
    <row r="1356" spans="5:11" x14ac:dyDescent="0.25">
      <c r="E1356">
        <v>409</v>
      </c>
      <c r="F1356" s="7">
        <v>45251</v>
      </c>
      <c r="G1356" t="s">
        <v>9</v>
      </c>
      <c r="H1356">
        <v>29</v>
      </c>
      <c r="I1356" t="s">
        <v>10</v>
      </c>
      <c r="J1356">
        <v>2</v>
      </c>
      <c r="K1356">
        <v>50</v>
      </c>
    </row>
    <row r="1357" spans="5:11" x14ac:dyDescent="0.25">
      <c r="E1357">
        <v>1091</v>
      </c>
      <c r="F1357" s="7">
        <v>45487</v>
      </c>
      <c r="G1357" t="s">
        <v>9</v>
      </c>
      <c r="H1357">
        <v>22</v>
      </c>
      <c r="I1357" t="s">
        <v>8</v>
      </c>
      <c r="J1357">
        <v>3</v>
      </c>
      <c r="K1357">
        <v>54</v>
      </c>
    </row>
    <row r="1358" spans="5:11" x14ac:dyDescent="0.25">
      <c r="E1358">
        <v>845</v>
      </c>
      <c r="F1358" s="7">
        <v>45024</v>
      </c>
      <c r="G1358" t="s">
        <v>9</v>
      </c>
      <c r="H1358">
        <v>18</v>
      </c>
      <c r="I1358" t="s">
        <v>11</v>
      </c>
      <c r="J1358">
        <v>4</v>
      </c>
      <c r="K1358">
        <v>300</v>
      </c>
    </row>
    <row r="1359" spans="5:11" x14ac:dyDescent="0.25">
      <c r="E1359">
        <v>119</v>
      </c>
      <c r="F1359" s="7">
        <v>44998</v>
      </c>
      <c r="G1359" t="s">
        <v>9</v>
      </c>
      <c r="H1359">
        <v>60</v>
      </c>
      <c r="I1359" t="s">
        <v>10</v>
      </c>
      <c r="J1359">
        <v>3</v>
      </c>
      <c r="K1359">
        <v>50</v>
      </c>
    </row>
    <row r="1360" spans="5:11" x14ac:dyDescent="0.25">
      <c r="E1360">
        <v>796</v>
      </c>
      <c r="F1360" s="7">
        <v>45142</v>
      </c>
      <c r="G1360" t="s">
        <v>7</v>
      </c>
      <c r="H1360">
        <v>61</v>
      </c>
      <c r="I1360" t="s">
        <v>10</v>
      </c>
      <c r="J1360">
        <v>1</v>
      </c>
      <c r="K1360">
        <v>50</v>
      </c>
    </row>
    <row r="1361" spans="5:11" x14ac:dyDescent="0.25">
      <c r="E1361">
        <v>1066</v>
      </c>
      <c r="F1361" s="7">
        <v>45332</v>
      </c>
      <c r="G1361" t="s">
        <v>7</v>
      </c>
      <c r="H1361">
        <v>26</v>
      </c>
      <c r="I1361" t="s">
        <v>11</v>
      </c>
      <c r="J1361">
        <v>4</v>
      </c>
      <c r="K1361">
        <v>240</v>
      </c>
    </row>
    <row r="1362" spans="5:11" x14ac:dyDescent="0.25">
      <c r="E1362">
        <v>120</v>
      </c>
      <c r="F1362" s="7">
        <v>45053</v>
      </c>
      <c r="G1362" t="s">
        <v>7</v>
      </c>
      <c r="H1362">
        <v>60</v>
      </c>
      <c r="I1362" t="s">
        <v>8</v>
      </c>
      <c r="J1362">
        <v>1</v>
      </c>
      <c r="K1362">
        <v>50</v>
      </c>
    </row>
    <row r="1363" spans="5:11" x14ac:dyDescent="0.25">
      <c r="E1363">
        <v>738</v>
      </c>
      <c r="F1363" s="7">
        <v>44962</v>
      </c>
      <c r="G1363" t="s">
        <v>9</v>
      </c>
      <c r="H1363">
        <v>25</v>
      </c>
      <c r="I1363" t="s">
        <v>8</v>
      </c>
      <c r="J1363">
        <v>4</v>
      </c>
      <c r="K1363">
        <v>50</v>
      </c>
    </row>
    <row r="1364" spans="5:11" x14ac:dyDescent="0.25">
      <c r="E1364">
        <v>1251</v>
      </c>
      <c r="F1364" s="7">
        <v>45501</v>
      </c>
      <c r="G1364" t="s">
        <v>7</v>
      </c>
      <c r="H1364">
        <v>57</v>
      </c>
      <c r="I1364" t="s">
        <v>11</v>
      </c>
      <c r="J1364">
        <v>3</v>
      </c>
      <c r="K1364">
        <v>292</v>
      </c>
    </row>
    <row r="1365" spans="5:11" x14ac:dyDescent="0.25">
      <c r="E1365">
        <v>904</v>
      </c>
      <c r="F1365" s="7">
        <v>45081</v>
      </c>
      <c r="G1365" t="s">
        <v>9</v>
      </c>
      <c r="H1365">
        <v>20</v>
      </c>
      <c r="I1365" t="s">
        <v>10</v>
      </c>
      <c r="J1365">
        <v>1</v>
      </c>
      <c r="K1365">
        <v>50</v>
      </c>
    </row>
    <row r="1366" spans="5:11" x14ac:dyDescent="0.25">
      <c r="E1366">
        <v>608</v>
      </c>
      <c r="F1366" s="7">
        <v>45279</v>
      </c>
      <c r="G1366" t="s">
        <v>9</v>
      </c>
      <c r="H1366">
        <v>47</v>
      </c>
      <c r="I1366" t="s">
        <v>10</v>
      </c>
      <c r="J1366">
        <v>2</v>
      </c>
      <c r="K1366">
        <v>50</v>
      </c>
    </row>
    <row r="1367" spans="5:11" x14ac:dyDescent="0.25">
      <c r="E1367">
        <v>1600</v>
      </c>
      <c r="F1367" s="7">
        <v>45489</v>
      </c>
      <c r="G1367" t="s">
        <v>9</v>
      </c>
      <c r="H1367">
        <v>30</v>
      </c>
      <c r="I1367" t="s">
        <v>10</v>
      </c>
      <c r="J1367">
        <v>1</v>
      </c>
      <c r="K1367">
        <v>387</v>
      </c>
    </row>
    <row r="1368" spans="5:11" x14ac:dyDescent="0.25">
      <c r="E1368">
        <v>1736</v>
      </c>
      <c r="F1368" s="7">
        <v>45327</v>
      </c>
      <c r="G1368" t="s">
        <v>9</v>
      </c>
      <c r="H1368">
        <v>38</v>
      </c>
      <c r="I1368" t="s">
        <v>8</v>
      </c>
      <c r="J1368">
        <v>6</v>
      </c>
      <c r="K1368">
        <v>298</v>
      </c>
    </row>
    <row r="1369" spans="5:11" x14ac:dyDescent="0.25">
      <c r="E1369">
        <v>1553</v>
      </c>
      <c r="F1369" s="7">
        <v>45447</v>
      </c>
      <c r="G1369" t="s">
        <v>9</v>
      </c>
      <c r="H1369">
        <v>19</v>
      </c>
      <c r="I1369" t="s">
        <v>11</v>
      </c>
      <c r="J1369">
        <v>6</v>
      </c>
      <c r="K1369">
        <v>426</v>
      </c>
    </row>
    <row r="1370" spans="5:11" x14ac:dyDescent="0.25">
      <c r="E1370">
        <v>1643</v>
      </c>
      <c r="F1370" s="7">
        <v>45415</v>
      </c>
      <c r="G1370" t="s">
        <v>7</v>
      </c>
      <c r="H1370">
        <v>21</v>
      </c>
      <c r="I1370" t="s">
        <v>10</v>
      </c>
      <c r="J1370">
        <v>1</v>
      </c>
      <c r="K1370">
        <v>403</v>
      </c>
    </row>
    <row r="1371" spans="5:11" x14ac:dyDescent="0.25">
      <c r="E1371">
        <v>1500</v>
      </c>
      <c r="F1371" s="7">
        <v>45590</v>
      </c>
      <c r="G1371" t="s">
        <v>7</v>
      </c>
      <c r="H1371">
        <v>47</v>
      </c>
      <c r="I1371" t="s">
        <v>8</v>
      </c>
      <c r="J1371">
        <v>2</v>
      </c>
      <c r="K1371">
        <v>166</v>
      </c>
    </row>
    <row r="1372" spans="5:11" x14ac:dyDescent="0.25">
      <c r="E1372">
        <v>1804</v>
      </c>
      <c r="F1372" s="7">
        <v>45383</v>
      </c>
      <c r="G1372" t="s">
        <v>7</v>
      </c>
      <c r="H1372">
        <v>22</v>
      </c>
      <c r="I1372" t="s">
        <v>8</v>
      </c>
      <c r="J1372">
        <v>1</v>
      </c>
      <c r="K1372">
        <v>300</v>
      </c>
    </row>
    <row r="1373" spans="5:11" x14ac:dyDescent="0.25">
      <c r="E1373">
        <v>1478</v>
      </c>
      <c r="F1373" s="7">
        <v>45449</v>
      </c>
      <c r="G1373" t="s">
        <v>9</v>
      </c>
      <c r="H1373">
        <v>64</v>
      </c>
      <c r="I1373" t="s">
        <v>11</v>
      </c>
      <c r="J1373">
        <v>3</v>
      </c>
      <c r="K1373">
        <v>333</v>
      </c>
    </row>
    <row r="1374" spans="5:11" x14ac:dyDescent="0.25">
      <c r="E1374">
        <v>1383</v>
      </c>
      <c r="F1374" s="7">
        <v>45653</v>
      </c>
      <c r="G1374" t="s">
        <v>9</v>
      </c>
      <c r="H1374">
        <v>55</v>
      </c>
      <c r="I1374" t="s">
        <v>11</v>
      </c>
      <c r="J1374">
        <v>6</v>
      </c>
      <c r="K1374">
        <v>491</v>
      </c>
    </row>
    <row r="1375" spans="5:11" x14ac:dyDescent="0.25">
      <c r="E1375">
        <v>476</v>
      </c>
      <c r="F1375" s="7">
        <v>45040</v>
      </c>
      <c r="G1375" t="s">
        <v>7</v>
      </c>
      <c r="H1375">
        <v>43</v>
      </c>
      <c r="I1375" t="s">
        <v>10</v>
      </c>
      <c r="J1375">
        <v>4</v>
      </c>
      <c r="K1375">
        <v>30</v>
      </c>
    </row>
    <row r="1376" spans="5:11" x14ac:dyDescent="0.25">
      <c r="E1376">
        <v>1799</v>
      </c>
      <c r="F1376" s="7">
        <v>45618</v>
      </c>
      <c r="G1376" t="s">
        <v>7</v>
      </c>
      <c r="H1376">
        <v>60</v>
      </c>
      <c r="I1376" t="s">
        <v>10</v>
      </c>
      <c r="J1376">
        <v>3</v>
      </c>
      <c r="K1376">
        <v>187</v>
      </c>
    </row>
    <row r="1377" spans="5:11" x14ac:dyDescent="0.25">
      <c r="E1377">
        <v>1992</v>
      </c>
      <c r="F1377" s="7">
        <v>45428</v>
      </c>
      <c r="G1377" t="s">
        <v>7</v>
      </c>
      <c r="H1377">
        <v>25</v>
      </c>
      <c r="I1377" t="s">
        <v>10</v>
      </c>
      <c r="J1377">
        <v>5</v>
      </c>
      <c r="K1377">
        <v>90</v>
      </c>
    </row>
    <row r="1378" spans="5:11" x14ac:dyDescent="0.25">
      <c r="E1378">
        <v>1777</v>
      </c>
      <c r="F1378" s="7">
        <v>45649</v>
      </c>
      <c r="G1378" t="s">
        <v>7</v>
      </c>
      <c r="H1378">
        <v>31</v>
      </c>
      <c r="I1378" t="s">
        <v>8</v>
      </c>
      <c r="J1378">
        <v>7</v>
      </c>
      <c r="K1378">
        <v>206</v>
      </c>
    </row>
    <row r="1379" spans="5:11" x14ac:dyDescent="0.25">
      <c r="E1379">
        <v>1866</v>
      </c>
      <c r="F1379" s="7">
        <v>45481</v>
      </c>
      <c r="G1379" t="s">
        <v>9</v>
      </c>
      <c r="H1379">
        <v>64</v>
      </c>
      <c r="I1379" t="s">
        <v>11</v>
      </c>
      <c r="J1379">
        <v>4</v>
      </c>
      <c r="K1379">
        <v>448</v>
      </c>
    </row>
    <row r="1380" spans="5:11" x14ac:dyDescent="0.25">
      <c r="E1380">
        <v>718</v>
      </c>
      <c r="F1380" s="7">
        <v>44952</v>
      </c>
      <c r="G1380" t="s">
        <v>9</v>
      </c>
      <c r="H1380">
        <v>56</v>
      </c>
      <c r="I1380" t="s">
        <v>8</v>
      </c>
      <c r="J1380">
        <v>3</v>
      </c>
      <c r="K1380">
        <v>500</v>
      </c>
    </row>
    <row r="1381" spans="5:11" x14ac:dyDescent="0.25">
      <c r="E1381">
        <v>1484</v>
      </c>
      <c r="F1381" s="7">
        <v>45497</v>
      </c>
      <c r="G1381" t="s">
        <v>7</v>
      </c>
      <c r="H1381">
        <v>44</v>
      </c>
      <c r="I1381" t="s">
        <v>10</v>
      </c>
      <c r="J1381">
        <v>2</v>
      </c>
      <c r="K1381">
        <v>397</v>
      </c>
    </row>
    <row r="1382" spans="5:11" x14ac:dyDescent="0.25">
      <c r="E1382">
        <v>535</v>
      </c>
      <c r="F1382" s="7">
        <v>44990</v>
      </c>
      <c r="G1382" t="s">
        <v>9</v>
      </c>
      <c r="H1382">
        <v>55</v>
      </c>
      <c r="I1382" t="s">
        <v>8</v>
      </c>
      <c r="J1382">
        <v>4</v>
      </c>
      <c r="K1382">
        <v>30</v>
      </c>
    </row>
    <row r="1383" spans="5:11" x14ac:dyDescent="0.25">
      <c r="E1383">
        <v>761</v>
      </c>
      <c r="F1383" s="7">
        <v>44985</v>
      </c>
      <c r="G1383" t="s">
        <v>7</v>
      </c>
      <c r="H1383">
        <v>34</v>
      </c>
      <c r="I1383" t="s">
        <v>10</v>
      </c>
      <c r="J1383">
        <v>2</v>
      </c>
      <c r="K1383">
        <v>25</v>
      </c>
    </row>
    <row r="1384" spans="5:11" x14ac:dyDescent="0.25">
      <c r="E1384">
        <v>291</v>
      </c>
      <c r="F1384" s="7">
        <v>44974</v>
      </c>
      <c r="G1384" t="s">
        <v>7</v>
      </c>
      <c r="H1384">
        <v>20</v>
      </c>
      <c r="I1384" t="s">
        <v>8</v>
      </c>
      <c r="J1384">
        <v>4</v>
      </c>
      <c r="K1384">
        <v>300</v>
      </c>
    </row>
    <row r="1385" spans="5:11" x14ac:dyDescent="0.25">
      <c r="E1385">
        <v>870</v>
      </c>
      <c r="F1385" s="7">
        <v>45210</v>
      </c>
      <c r="G1385" t="s">
        <v>9</v>
      </c>
      <c r="H1385">
        <v>63</v>
      </c>
      <c r="I1385" t="s">
        <v>8</v>
      </c>
      <c r="J1385">
        <v>3</v>
      </c>
      <c r="K1385">
        <v>25</v>
      </c>
    </row>
    <row r="1386" spans="5:11" x14ac:dyDescent="0.25">
      <c r="E1386">
        <v>1141</v>
      </c>
      <c r="F1386" s="7">
        <v>45490</v>
      </c>
      <c r="G1386" t="s">
        <v>9</v>
      </c>
      <c r="H1386">
        <v>32</v>
      </c>
      <c r="I1386" t="s">
        <v>10</v>
      </c>
      <c r="J1386">
        <v>1</v>
      </c>
      <c r="K1386">
        <v>395</v>
      </c>
    </row>
    <row r="1387" spans="5:11" x14ac:dyDescent="0.25">
      <c r="E1387">
        <v>1734</v>
      </c>
      <c r="F1387" s="7">
        <v>45407</v>
      </c>
      <c r="G1387" t="s">
        <v>7</v>
      </c>
      <c r="H1387">
        <v>29</v>
      </c>
      <c r="I1387" t="s">
        <v>10</v>
      </c>
      <c r="J1387">
        <v>6</v>
      </c>
      <c r="K1387">
        <v>258</v>
      </c>
    </row>
    <row r="1388" spans="5:11" x14ac:dyDescent="0.25">
      <c r="E1388">
        <v>1983</v>
      </c>
      <c r="F1388" s="7">
        <v>45411</v>
      </c>
      <c r="G1388" t="s">
        <v>9</v>
      </c>
      <c r="H1388">
        <v>47</v>
      </c>
      <c r="I1388" t="s">
        <v>10</v>
      </c>
      <c r="J1388">
        <v>2</v>
      </c>
      <c r="K1388">
        <v>426</v>
      </c>
    </row>
    <row r="1389" spans="5:11" x14ac:dyDescent="0.25">
      <c r="E1389">
        <v>1612</v>
      </c>
      <c r="F1389" s="7">
        <v>45649</v>
      </c>
      <c r="G1389" t="s">
        <v>9</v>
      </c>
      <c r="H1389">
        <v>27</v>
      </c>
      <c r="I1389" t="s">
        <v>10</v>
      </c>
      <c r="J1389">
        <v>5</v>
      </c>
      <c r="K1389">
        <v>438</v>
      </c>
    </row>
    <row r="1390" spans="5:11" x14ac:dyDescent="0.25">
      <c r="E1390">
        <v>954</v>
      </c>
      <c r="F1390" s="7">
        <v>45157</v>
      </c>
      <c r="G1390" t="s">
        <v>7</v>
      </c>
      <c r="H1390">
        <v>30</v>
      </c>
      <c r="I1390" t="s">
        <v>10</v>
      </c>
      <c r="J1390">
        <v>3</v>
      </c>
      <c r="K1390">
        <v>500</v>
      </c>
    </row>
    <row r="1391" spans="5:11" x14ac:dyDescent="0.25">
      <c r="E1391">
        <v>1827</v>
      </c>
      <c r="F1391" s="7">
        <v>45306</v>
      </c>
      <c r="G1391" t="s">
        <v>7</v>
      </c>
      <c r="H1391">
        <v>45</v>
      </c>
      <c r="I1391" t="s">
        <v>11</v>
      </c>
      <c r="J1391">
        <v>3</v>
      </c>
      <c r="K1391">
        <v>480</v>
      </c>
    </row>
    <row r="1392" spans="5:11" x14ac:dyDescent="0.25">
      <c r="E1392">
        <v>1454</v>
      </c>
      <c r="F1392" s="7">
        <v>45501</v>
      </c>
      <c r="G1392" t="s">
        <v>9</v>
      </c>
      <c r="H1392">
        <v>64</v>
      </c>
      <c r="I1392" t="s">
        <v>8</v>
      </c>
      <c r="J1392">
        <v>5</v>
      </c>
      <c r="K1392">
        <v>41</v>
      </c>
    </row>
    <row r="1393" spans="5:11" x14ac:dyDescent="0.25">
      <c r="E1393">
        <v>105</v>
      </c>
      <c r="F1393" s="7">
        <v>45132</v>
      </c>
      <c r="G1393" t="s">
        <v>9</v>
      </c>
      <c r="H1393">
        <v>22</v>
      </c>
      <c r="I1393" t="s">
        <v>11</v>
      </c>
      <c r="J1393">
        <v>1</v>
      </c>
      <c r="K1393">
        <v>500</v>
      </c>
    </row>
    <row r="1394" spans="5:11" x14ac:dyDescent="0.25">
      <c r="E1394">
        <v>472</v>
      </c>
      <c r="F1394" s="7">
        <v>44982</v>
      </c>
      <c r="G1394" t="s">
        <v>7</v>
      </c>
      <c r="H1394">
        <v>64</v>
      </c>
      <c r="I1394" t="s">
        <v>8</v>
      </c>
      <c r="J1394">
        <v>1</v>
      </c>
      <c r="K1394">
        <v>50</v>
      </c>
    </row>
    <row r="1395" spans="5:11" x14ac:dyDescent="0.25">
      <c r="E1395">
        <v>1378</v>
      </c>
      <c r="F1395" s="7">
        <v>45482</v>
      </c>
      <c r="G1395" t="s">
        <v>9</v>
      </c>
      <c r="H1395">
        <v>18</v>
      </c>
      <c r="I1395" t="s">
        <v>10</v>
      </c>
      <c r="J1395">
        <v>4</v>
      </c>
      <c r="K1395">
        <v>449</v>
      </c>
    </row>
    <row r="1396" spans="5:11" x14ac:dyDescent="0.25">
      <c r="E1396">
        <v>200</v>
      </c>
      <c r="F1396" s="7">
        <v>45170</v>
      </c>
      <c r="G1396" t="s">
        <v>7</v>
      </c>
      <c r="H1396">
        <v>27</v>
      </c>
      <c r="I1396" t="s">
        <v>8</v>
      </c>
      <c r="J1396">
        <v>3</v>
      </c>
      <c r="K1396">
        <v>50</v>
      </c>
    </row>
    <row r="1397" spans="5:11" x14ac:dyDescent="0.25">
      <c r="E1397">
        <v>1974</v>
      </c>
      <c r="F1397" s="7">
        <v>45373</v>
      </c>
      <c r="G1397" t="s">
        <v>9</v>
      </c>
      <c r="H1397">
        <v>59</v>
      </c>
      <c r="I1397" t="s">
        <v>10</v>
      </c>
      <c r="J1397">
        <v>7</v>
      </c>
      <c r="K1397">
        <v>360</v>
      </c>
    </row>
    <row r="1398" spans="5:11" x14ac:dyDescent="0.25">
      <c r="E1398">
        <v>175</v>
      </c>
      <c r="F1398" s="7">
        <v>45005</v>
      </c>
      <c r="G1398" t="s">
        <v>9</v>
      </c>
      <c r="H1398">
        <v>31</v>
      </c>
      <c r="I1398" t="s">
        <v>11</v>
      </c>
      <c r="J1398">
        <v>4</v>
      </c>
      <c r="K1398">
        <v>25</v>
      </c>
    </row>
    <row r="1399" spans="5:11" x14ac:dyDescent="0.25">
      <c r="E1399">
        <v>1900</v>
      </c>
      <c r="F1399" s="7">
        <v>45477</v>
      </c>
      <c r="G1399" t="s">
        <v>7</v>
      </c>
      <c r="H1399">
        <v>48</v>
      </c>
      <c r="I1399" t="s">
        <v>10</v>
      </c>
      <c r="J1399">
        <v>4</v>
      </c>
      <c r="K1399">
        <v>222</v>
      </c>
    </row>
    <row r="1400" spans="5:11" x14ac:dyDescent="0.25">
      <c r="E1400">
        <v>1037</v>
      </c>
      <c r="F1400" s="7">
        <v>45403</v>
      </c>
      <c r="G1400" t="s">
        <v>7</v>
      </c>
      <c r="H1400">
        <v>36</v>
      </c>
      <c r="I1400" t="s">
        <v>10</v>
      </c>
      <c r="J1400">
        <v>3</v>
      </c>
      <c r="K1400">
        <v>88</v>
      </c>
    </row>
    <row r="1401" spans="5:11" x14ac:dyDescent="0.25">
      <c r="E1401">
        <v>1063</v>
      </c>
      <c r="F1401" s="7">
        <v>45631</v>
      </c>
      <c r="G1401" t="s">
        <v>7</v>
      </c>
      <c r="H1401">
        <v>37</v>
      </c>
      <c r="I1401" t="s">
        <v>11</v>
      </c>
      <c r="J1401">
        <v>2</v>
      </c>
      <c r="K1401">
        <v>415</v>
      </c>
    </row>
    <row r="1402" spans="5:11" x14ac:dyDescent="0.25">
      <c r="E1402">
        <v>1740</v>
      </c>
      <c r="F1402" s="7">
        <v>45419</v>
      </c>
      <c r="G1402" t="s">
        <v>7</v>
      </c>
      <c r="H1402">
        <v>34</v>
      </c>
      <c r="I1402" t="s">
        <v>11</v>
      </c>
      <c r="J1402">
        <v>3</v>
      </c>
      <c r="K1402">
        <v>54</v>
      </c>
    </row>
    <row r="1403" spans="5:11" x14ac:dyDescent="0.25">
      <c r="E1403">
        <v>168</v>
      </c>
      <c r="F1403" s="7">
        <v>44981</v>
      </c>
      <c r="G1403" t="s">
        <v>7</v>
      </c>
      <c r="H1403">
        <v>53</v>
      </c>
      <c r="I1403" t="s">
        <v>10</v>
      </c>
      <c r="J1403">
        <v>1</v>
      </c>
      <c r="K1403">
        <v>300</v>
      </c>
    </row>
    <row r="1404" spans="5:11" x14ac:dyDescent="0.25">
      <c r="E1404">
        <v>259</v>
      </c>
      <c r="F1404" s="7">
        <v>45108</v>
      </c>
      <c r="G1404" t="s">
        <v>7</v>
      </c>
      <c r="H1404">
        <v>28</v>
      </c>
      <c r="I1404" t="s">
        <v>8</v>
      </c>
      <c r="J1404">
        <v>2</v>
      </c>
      <c r="K1404">
        <v>30</v>
      </c>
    </row>
    <row r="1405" spans="5:11" x14ac:dyDescent="0.25">
      <c r="E1405">
        <v>194</v>
      </c>
      <c r="F1405" s="7">
        <v>45175</v>
      </c>
      <c r="G1405" t="s">
        <v>7</v>
      </c>
      <c r="H1405">
        <v>55</v>
      </c>
      <c r="I1405" t="s">
        <v>10</v>
      </c>
      <c r="J1405">
        <v>4</v>
      </c>
      <c r="K1405">
        <v>50</v>
      </c>
    </row>
    <row r="1406" spans="5:11" x14ac:dyDescent="0.25">
      <c r="E1406">
        <v>760</v>
      </c>
      <c r="F1406" s="7">
        <v>45237</v>
      </c>
      <c r="G1406" t="s">
        <v>9</v>
      </c>
      <c r="H1406">
        <v>24</v>
      </c>
      <c r="I1406" t="s">
        <v>11</v>
      </c>
      <c r="J1406">
        <v>2</v>
      </c>
      <c r="K1406">
        <v>25</v>
      </c>
    </row>
    <row r="1407" spans="5:11" x14ac:dyDescent="0.25">
      <c r="E1407">
        <v>858</v>
      </c>
      <c r="F1407" s="7">
        <v>44935</v>
      </c>
      <c r="G1407" t="s">
        <v>7</v>
      </c>
      <c r="H1407">
        <v>63</v>
      </c>
      <c r="I1407" t="s">
        <v>10</v>
      </c>
      <c r="J1407">
        <v>4</v>
      </c>
      <c r="K1407">
        <v>50</v>
      </c>
    </row>
    <row r="1408" spans="5:11" x14ac:dyDescent="0.25">
      <c r="E1408">
        <v>1401</v>
      </c>
      <c r="F1408" s="7">
        <v>45437</v>
      </c>
      <c r="G1408" t="s">
        <v>7</v>
      </c>
      <c r="H1408">
        <v>41</v>
      </c>
      <c r="I1408" t="s">
        <v>11</v>
      </c>
      <c r="J1408">
        <v>3</v>
      </c>
      <c r="K1408">
        <v>99</v>
      </c>
    </row>
    <row r="1409" spans="5:11" x14ac:dyDescent="0.25">
      <c r="E1409">
        <v>1758</v>
      </c>
      <c r="F1409" s="7">
        <v>45603</v>
      </c>
      <c r="G1409" t="s">
        <v>9</v>
      </c>
      <c r="H1409">
        <v>31</v>
      </c>
      <c r="I1409" t="s">
        <v>11</v>
      </c>
      <c r="J1409">
        <v>3</v>
      </c>
      <c r="K1409">
        <v>191</v>
      </c>
    </row>
    <row r="1410" spans="5:11" x14ac:dyDescent="0.25">
      <c r="E1410">
        <v>1149</v>
      </c>
      <c r="F1410" s="7">
        <v>45641</v>
      </c>
      <c r="G1410" t="s">
        <v>7</v>
      </c>
      <c r="H1410">
        <v>35</v>
      </c>
      <c r="I1410" t="s">
        <v>10</v>
      </c>
      <c r="J1410">
        <v>5</v>
      </c>
      <c r="K1410">
        <v>295</v>
      </c>
    </row>
    <row r="1411" spans="5:11" x14ac:dyDescent="0.25">
      <c r="E1411">
        <v>1173</v>
      </c>
      <c r="F1411" s="7">
        <v>45371</v>
      </c>
      <c r="G1411" t="s">
        <v>9</v>
      </c>
      <c r="H1411">
        <v>56</v>
      </c>
      <c r="I1411" t="s">
        <v>11</v>
      </c>
      <c r="J1411">
        <v>4</v>
      </c>
      <c r="K1411">
        <v>12</v>
      </c>
    </row>
    <row r="1412" spans="5:11" x14ac:dyDescent="0.25">
      <c r="E1412">
        <v>731</v>
      </c>
      <c r="F1412" s="7">
        <v>45167</v>
      </c>
      <c r="G1412" t="s">
        <v>7</v>
      </c>
      <c r="H1412">
        <v>34</v>
      </c>
      <c r="I1412" t="s">
        <v>8</v>
      </c>
      <c r="J1412">
        <v>1</v>
      </c>
      <c r="K1412">
        <v>30</v>
      </c>
    </row>
    <row r="1413" spans="5:11" x14ac:dyDescent="0.25">
      <c r="E1413">
        <v>1358</v>
      </c>
      <c r="F1413" s="7">
        <v>45636</v>
      </c>
      <c r="G1413" t="s">
        <v>9</v>
      </c>
      <c r="H1413">
        <v>33</v>
      </c>
      <c r="I1413" t="s">
        <v>11</v>
      </c>
      <c r="J1413">
        <v>1</v>
      </c>
      <c r="K1413">
        <v>249</v>
      </c>
    </row>
    <row r="1414" spans="5:11" x14ac:dyDescent="0.25">
      <c r="E1414">
        <v>1127</v>
      </c>
      <c r="F1414" s="7">
        <v>45405</v>
      </c>
      <c r="G1414" t="s">
        <v>9</v>
      </c>
      <c r="H1414">
        <v>39</v>
      </c>
      <c r="I1414" t="s">
        <v>8</v>
      </c>
      <c r="J1414">
        <v>4</v>
      </c>
      <c r="K1414">
        <v>485</v>
      </c>
    </row>
    <row r="1415" spans="5:11" x14ac:dyDescent="0.25">
      <c r="E1415">
        <v>1261</v>
      </c>
      <c r="F1415" s="7">
        <v>45319</v>
      </c>
      <c r="G1415" t="s">
        <v>7</v>
      </c>
      <c r="H1415">
        <v>57</v>
      </c>
      <c r="I1415" t="s">
        <v>10</v>
      </c>
      <c r="J1415">
        <v>2</v>
      </c>
      <c r="K1415">
        <v>384</v>
      </c>
    </row>
    <row r="1416" spans="5:11" x14ac:dyDescent="0.25">
      <c r="E1416">
        <v>865</v>
      </c>
      <c r="F1416" s="7">
        <v>45083</v>
      </c>
      <c r="G1416" t="s">
        <v>7</v>
      </c>
      <c r="H1416">
        <v>21</v>
      </c>
      <c r="I1416" t="s">
        <v>11</v>
      </c>
      <c r="J1416">
        <v>1</v>
      </c>
      <c r="K1416">
        <v>500</v>
      </c>
    </row>
    <row r="1417" spans="5:11" x14ac:dyDescent="0.25">
      <c r="E1417">
        <v>732</v>
      </c>
      <c r="F1417" s="7">
        <v>44936</v>
      </c>
      <c r="G1417" t="s">
        <v>9</v>
      </c>
      <c r="H1417">
        <v>27</v>
      </c>
      <c r="I1417" t="s">
        <v>10</v>
      </c>
      <c r="J1417">
        <v>1</v>
      </c>
      <c r="K1417">
        <v>30</v>
      </c>
    </row>
    <row r="1418" spans="5:11" x14ac:dyDescent="0.25">
      <c r="E1418">
        <v>884</v>
      </c>
      <c r="F1418" s="7">
        <v>45025</v>
      </c>
      <c r="G1418" t="s">
        <v>7</v>
      </c>
      <c r="H1418">
        <v>37</v>
      </c>
      <c r="I1418" t="s">
        <v>11</v>
      </c>
      <c r="J1418">
        <v>3</v>
      </c>
      <c r="K1418">
        <v>300</v>
      </c>
    </row>
    <row r="1419" spans="5:11" x14ac:dyDescent="0.25">
      <c r="E1419">
        <v>1871</v>
      </c>
      <c r="F1419" s="7">
        <v>45510</v>
      </c>
      <c r="G1419" t="s">
        <v>9</v>
      </c>
      <c r="H1419">
        <v>63</v>
      </c>
      <c r="I1419" t="s">
        <v>11</v>
      </c>
      <c r="J1419">
        <v>5</v>
      </c>
      <c r="K1419">
        <v>388</v>
      </c>
    </row>
    <row r="1420" spans="5:11" x14ac:dyDescent="0.25">
      <c r="E1420">
        <v>1654</v>
      </c>
      <c r="F1420" s="7">
        <v>45363</v>
      </c>
      <c r="G1420" t="s">
        <v>7</v>
      </c>
      <c r="H1420">
        <v>23</v>
      </c>
      <c r="I1420" t="s">
        <v>10</v>
      </c>
      <c r="J1420">
        <v>1</v>
      </c>
      <c r="K1420">
        <v>496</v>
      </c>
    </row>
    <row r="1421" spans="5:11" x14ac:dyDescent="0.25">
      <c r="E1421">
        <v>217</v>
      </c>
      <c r="F1421" s="7">
        <v>45191</v>
      </c>
      <c r="G1421" t="s">
        <v>7</v>
      </c>
      <c r="H1421">
        <v>64</v>
      </c>
      <c r="I1421" t="s">
        <v>8</v>
      </c>
      <c r="J1421">
        <v>3</v>
      </c>
      <c r="K1421">
        <v>30</v>
      </c>
    </row>
    <row r="1422" spans="5:11" x14ac:dyDescent="0.25">
      <c r="E1422">
        <v>1227</v>
      </c>
      <c r="F1422" s="7">
        <v>45405</v>
      </c>
      <c r="G1422" t="s">
        <v>7</v>
      </c>
      <c r="H1422">
        <v>47</v>
      </c>
      <c r="I1422" t="s">
        <v>8</v>
      </c>
      <c r="J1422">
        <v>7</v>
      </c>
      <c r="K1422">
        <v>242</v>
      </c>
    </row>
    <row r="1423" spans="5:11" x14ac:dyDescent="0.25">
      <c r="E1423">
        <v>20</v>
      </c>
      <c r="F1423" s="7">
        <v>45235</v>
      </c>
      <c r="G1423" t="s">
        <v>7</v>
      </c>
      <c r="H1423">
        <v>22</v>
      </c>
      <c r="I1423" t="s">
        <v>10</v>
      </c>
      <c r="J1423">
        <v>3</v>
      </c>
      <c r="K1423">
        <v>300</v>
      </c>
    </row>
    <row r="1424" spans="5:11" x14ac:dyDescent="0.25">
      <c r="E1424">
        <v>529</v>
      </c>
      <c r="F1424" s="7">
        <v>44962</v>
      </c>
      <c r="G1424" t="s">
        <v>9</v>
      </c>
      <c r="H1424">
        <v>18</v>
      </c>
      <c r="I1424" t="s">
        <v>11</v>
      </c>
      <c r="J1424">
        <v>4</v>
      </c>
      <c r="K1424">
        <v>30</v>
      </c>
    </row>
    <row r="1425" spans="5:11" x14ac:dyDescent="0.25">
      <c r="E1425">
        <v>970</v>
      </c>
      <c r="F1425" s="7">
        <v>44968</v>
      </c>
      <c r="G1425" t="s">
        <v>7</v>
      </c>
      <c r="H1425">
        <v>49</v>
      </c>
      <c r="I1425" t="s">
        <v>8</v>
      </c>
      <c r="J1425">
        <v>4</v>
      </c>
      <c r="K1425">
        <v>25</v>
      </c>
    </row>
    <row r="1426" spans="5:11" x14ac:dyDescent="0.25">
      <c r="E1426">
        <v>1772</v>
      </c>
      <c r="F1426" s="7">
        <v>45596</v>
      </c>
      <c r="G1426" t="s">
        <v>7</v>
      </c>
      <c r="H1426">
        <v>35</v>
      </c>
      <c r="I1426" t="s">
        <v>10</v>
      </c>
      <c r="J1426">
        <v>6</v>
      </c>
      <c r="K1426">
        <v>336</v>
      </c>
    </row>
    <row r="1427" spans="5:11" x14ac:dyDescent="0.25">
      <c r="E1427">
        <v>1072</v>
      </c>
      <c r="F1427" s="7">
        <v>45618</v>
      </c>
      <c r="G1427" t="s">
        <v>9</v>
      </c>
      <c r="H1427">
        <v>43</v>
      </c>
      <c r="I1427" t="s">
        <v>8</v>
      </c>
      <c r="J1427">
        <v>3</v>
      </c>
      <c r="K1427">
        <v>210</v>
      </c>
    </row>
    <row r="1428" spans="5:11" x14ac:dyDescent="0.25">
      <c r="E1428">
        <v>601</v>
      </c>
      <c r="F1428" s="7">
        <v>45283</v>
      </c>
      <c r="G1428" t="s">
        <v>9</v>
      </c>
      <c r="H1428">
        <v>20</v>
      </c>
      <c r="I1428" t="s">
        <v>11</v>
      </c>
      <c r="J1428">
        <v>1</v>
      </c>
      <c r="K1428">
        <v>300</v>
      </c>
    </row>
    <row r="1429" spans="5:11" x14ac:dyDescent="0.25">
      <c r="E1429">
        <v>932</v>
      </c>
      <c r="F1429" s="7">
        <v>45132</v>
      </c>
      <c r="G1429" t="s">
        <v>7</v>
      </c>
      <c r="H1429">
        <v>30</v>
      </c>
      <c r="I1429" t="s">
        <v>8</v>
      </c>
      <c r="J1429">
        <v>1</v>
      </c>
      <c r="K1429">
        <v>500</v>
      </c>
    </row>
    <row r="1430" spans="5:11" x14ac:dyDescent="0.25">
      <c r="E1430">
        <v>261</v>
      </c>
      <c r="F1430" s="7">
        <v>45137</v>
      </c>
      <c r="G1430" t="s">
        <v>9</v>
      </c>
      <c r="H1430">
        <v>32</v>
      </c>
      <c r="I1430" t="s">
        <v>8</v>
      </c>
      <c r="J1430">
        <v>4</v>
      </c>
      <c r="K1430">
        <v>30</v>
      </c>
    </row>
    <row r="1431" spans="5:11" x14ac:dyDescent="0.25">
      <c r="E1431">
        <v>197</v>
      </c>
      <c r="F1431" s="7">
        <v>44991</v>
      </c>
      <c r="G1431" t="s">
        <v>9</v>
      </c>
      <c r="H1431">
        <v>42</v>
      </c>
      <c r="I1431" t="s">
        <v>10</v>
      </c>
      <c r="J1431">
        <v>4</v>
      </c>
      <c r="K1431">
        <v>50</v>
      </c>
    </row>
    <row r="1432" spans="5:11" x14ac:dyDescent="0.25">
      <c r="E1432">
        <v>1770</v>
      </c>
      <c r="F1432" s="7">
        <v>45394</v>
      </c>
      <c r="G1432" t="s">
        <v>9</v>
      </c>
      <c r="H1432">
        <v>40</v>
      </c>
      <c r="I1432" t="s">
        <v>10</v>
      </c>
      <c r="J1432">
        <v>7</v>
      </c>
      <c r="K1432">
        <v>392</v>
      </c>
    </row>
    <row r="1433" spans="5:11" x14ac:dyDescent="0.25">
      <c r="E1433">
        <v>156</v>
      </c>
      <c r="F1433" s="7">
        <v>45255</v>
      </c>
      <c r="G1433" t="s">
        <v>9</v>
      </c>
      <c r="H1433">
        <v>43</v>
      </c>
      <c r="I1433" t="s">
        <v>10</v>
      </c>
      <c r="J1433">
        <v>4</v>
      </c>
      <c r="K1433">
        <v>25</v>
      </c>
    </row>
    <row r="1434" spans="5:11" x14ac:dyDescent="0.25">
      <c r="E1434">
        <v>1170</v>
      </c>
      <c r="F1434" s="7">
        <v>45552</v>
      </c>
      <c r="G1434" t="s">
        <v>7</v>
      </c>
      <c r="H1434">
        <v>51</v>
      </c>
      <c r="I1434" t="s">
        <v>8</v>
      </c>
      <c r="J1434">
        <v>5</v>
      </c>
      <c r="K1434">
        <v>112</v>
      </c>
    </row>
    <row r="1435" spans="5:11" x14ac:dyDescent="0.25">
      <c r="E1435">
        <v>132</v>
      </c>
      <c r="F1435" s="7">
        <v>45179</v>
      </c>
      <c r="G1435" t="s">
        <v>7</v>
      </c>
      <c r="H1435">
        <v>42</v>
      </c>
      <c r="I1435" t="s">
        <v>11</v>
      </c>
      <c r="J1435">
        <v>4</v>
      </c>
      <c r="K1435">
        <v>50</v>
      </c>
    </row>
    <row r="1436" spans="5:11" x14ac:dyDescent="0.25">
      <c r="E1436">
        <v>638</v>
      </c>
      <c r="F1436" s="7">
        <v>45059</v>
      </c>
      <c r="G1436" t="s">
        <v>9</v>
      </c>
      <c r="H1436">
        <v>62</v>
      </c>
      <c r="I1436" t="s">
        <v>8</v>
      </c>
      <c r="J1436">
        <v>4</v>
      </c>
      <c r="K1436">
        <v>50</v>
      </c>
    </row>
    <row r="1437" spans="5:11" x14ac:dyDescent="0.25">
      <c r="E1437">
        <v>1581</v>
      </c>
      <c r="F1437" s="7">
        <v>45339</v>
      </c>
      <c r="G1437" t="s">
        <v>9</v>
      </c>
      <c r="H1437">
        <v>52</v>
      </c>
      <c r="I1437" t="s">
        <v>8</v>
      </c>
      <c r="J1437">
        <v>4</v>
      </c>
      <c r="K1437">
        <v>499</v>
      </c>
    </row>
    <row r="1438" spans="5:11" x14ac:dyDescent="0.25">
      <c r="E1438">
        <v>1330</v>
      </c>
      <c r="F1438" s="7">
        <v>45327</v>
      </c>
      <c r="G1438" t="s">
        <v>9</v>
      </c>
      <c r="H1438">
        <v>18</v>
      </c>
      <c r="I1438" t="s">
        <v>11</v>
      </c>
      <c r="J1438">
        <v>5</v>
      </c>
      <c r="K1438">
        <v>442</v>
      </c>
    </row>
    <row r="1439" spans="5:11" x14ac:dyDescent="0.25">
      <c r="E1439">
        <v>603</v>
      </c>
      <c r="F1439" s="7">
        <v>45180</v>
      </c>
      <c r="G1439" t="s">
        <v>9</v>
      </c>
      <c r="H1439">
        <v>29</v>
      </c>
      <c r="I1439" t="s">
        <v>11</v>
      </c>
      <c r="J1439">
        <v>4</v>
      </c>
      <c r="K1439">
        <v>50</v>
      </c>
    </row>
    <row r="1440" spans="5:11" x14ac:dyDescent="0.25">
      <c r="E1440">
        <v>1605</v>
      </c>
      <c r="F1440" s="7">
        <v>45628</v>
      </c>
      <c r="G1440" t="s">
        <v>9</v>
      </c>
      <c r="H1440">
        <v>37</v>
      </c>
      <c r="I1440" t="s">
        <v>11</v>
      </c>
      <c r="J1440">
        <v>3</v>
      </c>
      <c r="K1440">
        <v>281</v>
      </c>
    </row>
    <row r="1441" spans="5:11" x14ac:dyDescent="0.25">
      <c r="E1441">
        <v>73</v>
      </c>
      <c r="F1441" s="7">
        <v>45159</v>
      </c>
      <c r="G1441" t="s">
        <v>7</v>
      </c>
      <c r="H1441">
        <v>29</v>
      </c>
      <c r="I1441" t="s">
        <v>11</v>
      </c>
      <c r="J1441">
        <v>3</v>
      </c>
      <c r="K1441">
        <v>30</v>
      </c>
    </row>
    <row r="1442" spans="5:11" x14ac:dyDescent="0.25">
      <c r="E1442">
        <v>737</v>
      </c>
      <c r="F1442" s="7">
        <v>45259</v>
      </c>
      <c r="G1442" t="s">
        <v>7</v>
      </c>
      <c r="H1442">
        <v>36</v>
      </c>
      <c r="I1442" t="s">
        <v>8</v>
      </c>
      <c r="J1442">
        <v>1</v>
      </c>
      <c r="K1442">
        <v>25</v>
      </c>
    </row>
    <row r="1443" spans="5:11" x14ac:dyDescent="0.25">
      <c r="E1443">
        <v>1191</v>
      </c>
      <c r="F1443" s="7">
        <v>45335</v>
      </c>
      <c r="G1443" t="s">
        <v>7</v>
      </c>
      <c r="H1443">
        <v>49</v>
      </c>
      <c r="I1443" t="s">
        <v>8</v>
      </c>
      <c r="J1443">
        <v>3</v>
      </c>
      <c r="K1443">
        <v>461</v>
      </c>
    </row>
    <row r="1444" spans="5:11" x14ac:dyDescent="0.25">
      <c r="E1444">
        <v>793</v>
      </c>
      <c r="F1444" s="7">
        <v>45258</v>
      </c>
      <c r="G1444" t="s">
        <v>7</v>
      </c>
      <c r="H1444">
        <v>57</v>
      </c>
      <c r="I1444" t="s">
        <v>11</v>
      </c>
      <c r="J1444">
        <v>1</v>
      </c>
      <c r="K1444">
        <v>300</v>
      </c>
    </row>
    <row r="1445" spans="5:11" x14ac:dyDescent="0.25">
      <c r="E1445">
        <v>253</v>
      </c>
      <c r="F1445" s="7">
        <v>45135</v>
      </c>
      <c r="G1445" t="s">
        <v>7</v>
      </c>
      <c r="H1445">
        <v>41</v>
      </c>
      <c r="I1445" t="s">
        <v>11</v>
      </c>
      <c r="J1445">
        <v>1</v>
      </c>
      <c r="K1445">
        <v>500</v>
      </c>
    </row>
    <row r="1446" spans="5:11" x14ac:dyDescent="0.25">
      <c r="E1446">
        <v>1910</v>
      </c>
      <c r="F1446" s="7">
        <v>45576</v>
      </c>
      <c r="G1446" t="s">
        <v>9</v>
      </c>
      <c r="H1446">
        <v>58</v>
      </c>
      <c r="I1446" t="s">
        <v>11</v>
      </c>
      <c r="J1446">
        <v>6</v>
      </c>
      <c r="K1446">
        <v>80</v>
      </c>
    </row>
    <row r="1447" spans="5:11" x14ac:dyDescent="0.25">
      <c r="E1447">
        <v>232</v>
      </c>
      <c r="F1447" s="7">
        <v>45289</v>
      </c>
      <c r="G1447" t="s">
        <v>9</v>
      </c>
      <c r="H1447">
        <v>51</v>
      </c>
      <c r="I1447" t="s">
        <v>8</v>
      </c>
      <c r="J1447">
        <v>2</v>
      </c>
      <c r="K1447">
        <v>300</v>
      </c>
    </row>
    <row r="1448" spans="5:11" x14ac:dyDescent="0.25">
      <c r="E1448">
        <v>491</v>
      </c>
      <c r="F1448" s="7">
        <v>45106</v>
      </c>
      <c r="G1448" t="s">
        <v>7</v>
      </c>
      <c r="H1448">
        <v>61</v>
      </c>
      <c r="I1448" t="s">
        <v>8</v>
      </c>
      <c r="J1448">
        <v>4</v>
      </c>
      <c r="K1448">
        <v>25</v>
      </c>
    </row>
    <row r="1449" spans="5:11" x14ac:dyDescent="0.25">
      <c r="E1449">
        <v>290</v>
      </c>
      <c r="F1449" s="7">
        <v>44934</v>
      </c>
      <c r="G1449" t="s">
        <v>7</v>
      </c>
      <c r="H1449">
        <v>60</v>
      </c>
      <c r="I1449" t="s">
        <v>10</v>
      </c>
      <c r="J1449">
        <v>2</v>
      </c>
      <c r="K1449">
        <v>300</v>
      </c>
    </row>
    <row r="1450" spans="5:11" x14ac:dyDescent="0.25">
      <c r="E1450">
        <v>956</v>
      </c>
      <c r="F1450" s="7">
        <v>45079</v>
      </c>
      <c r="G1450" t="s">
        <v>7</v>
      </c>
      <c r="H1450">
        <v>62</v>
      </c>
      <c r="I1450" t="s">
        <v>11</v>
      </c>
      <c r="J1450">
        <v>2</v>
      </c>
      <c r="K1450">
        <v>25</v>
      </c>
    </row>
    <row r="1451" spans="5:11" x14ac:dyDescent="0.25">
      <c r="E1451">
        <v>690</v>
      </c>
      <c r="F1451" s="7">
        <v>45176</v>
      </c>
      <c r="G1451" t="s">
        <v>9</v>
      </c>
      <c r="H1451">
        <v>64</v>
      </c>
      <c r="I1451" t="s">
        <v>10</v>
      </c>
      <c r="J1451">
        <v>2</v>
      </c>
      <c r="K1451">
        <v>50</v>
      </c>
    </row>
    <row r="1452" spans="5:11" x14ac:dyDescent="0.25">
      <c r="E1452">
        <v>189</v>
      </c>
      <c r="F1452" s="7">
        <v>44956</v>
      </c>
      <c r="G1452" t="s">
        <v>7</v>
      </c>
      <c r="H1452">
        <v>63</v>
      </c>
      <c r="I1452" t="s">
        <v>8</v>
      </c>
      <c r="J1452">
        <v>1</v>
      </c>
      <c r="K1452">
        <v>50</v>
      </c>
    </row>
    <row r="1453" spans="5:11" x14ac:dyDescent="0.25">
      <c r="E1453">
        <v>682</v>
      </c>
      <c r="F1453" s="7">
        <v>45107</v>
      </c>
      <c r="G1453" t="s">
        <v>9</v>
      </c>
      <c r="H1453">
        <v>28</v>
      </c>
      <c r="I1453" t="s">
        <v>10</v>
      </c>
      <c r="J1453">
        <v>2</v>
      </c>
      <c r="K1453">
        <v>500</v>
      </c>
    </row>
    <row r="1454" spans="5:11" x14ac:dyDescent="0.25">
      <c r="E1454">
        <v>313</v>
      </c>
      <c r="F1454" s="7">
        <v>45024</v>
      </c>
      <c r="G1454" t="s">
        <v>7</v>
      </c>
      <c r="H1454">
        <v>52</v>
      </c>
      <c r="I1454" t="s">
        <v>10</v>
      </c>
      <c r="J1454">
        <v>4</v>
      </c>
      <c r="K1454">
        <v>30</v>
      </c>
    </row>
    <row r="1455" spans="5:11" x14ac:dyDescent="0.25">
      <c r="E1455">
        <v>1109</v>
      </c>
      <c r="F1455" s="7">
        <v>45401</v>
      </c>
      <c r="G1455" t="s">
        <v>9</v>
      </c>
      <c r="H1455">
        <v>38</v>
      </c>
      <c r="I1455" t="s">
        <v>11</v>
      </c>
      <c r="J1455">
        <v>1</v>
      </c>
      <c r="K1455">
        <v>114</v>
      </c>
    </row>
    <row r="1456" spans="5:11" x14ac:dyDescent="0.25">
      <c r="E1456">
        <v>723</v>
      </c>
      <c r="F1456" s="7">
        <v>45159</v>
      </c>
      <c r="G1456" t="s">
        <v>7</v>
      </c>
      <c r="H1456">
        <v>61</v>
      </c>
      <c r="I1456" t="s">
        <v>11</v>
      </c>
      <c r="J1456">
        <v>1</v>
      </c>
      <c r="K1456">
        <v>300</v>
      </c>
    </row>
    <row r="1457" spans="5:11" x14ac:dyDescent="0.25">
      <c r="E1457">
        <v>482</v>
      </c>
      <c r="F1457" s="7">
        <v>45041</v>
      </c>
      <c r="G1457" t="s">
        <v>7</v>
      </c>
      <c r="H1457">
        <v>55</v>
      </c>
      <c r="I1457" t="s">
        <v>10</v>
      </c>
      <c r="J1457">
        <v>1</v>
      </c>
      <c r="K1457">
        <v>30</v>
      </c>
    </row>
    <row r="1458" spans="5:11" x14ac:dyDescent="0.25">
      <c r="E1458">
        <v>1630</v>
      </c>
      <c r="F1458" s="7">
        <v>45511</v>
      </c>
      <c r="G1458" t="s">
        <v>7</v>
      </c>
      <c r="H1458">
        <v>41</v>
      </c>
      <c r="I1458" t="s">
        <v>8</v>
      </c>
      <c r="J1458">
        <v>1</v>
      </c>
      <c r="K1458">
        <v>384</v>
      </c>
    </row>
    <row r="1459" spans="5:11" x14ac:dyDescent="0.25">
      <c r="E1459">
        <v>1761</v>
      </c>
      <c r="F1459" s="7">
        <v>45452</v>
      </c>
      <c r="G1459" t="s">
        <v>7</v>
      </c>
      <c r="H1459">
        <v>19</v>
      </c>
      <c r="I1459" t="s">
        <v>10</v>
      </c>
      <c r="J1459">
        <v>6</v>
      </c>
      <c r="K1459">
        <v>406</v>
      </c>
    </row>
    <row r="1460" spans="5:11" x14ac:dyDescent="0.25">
      <c r="E1460">
        <v>136</v>
      </c>
      <c r="F1460" s="7">
        <v>45005</v>
      </c>
      <c r="G1460" t="s">
        <v>7</v>
      </c>
      <c r="H1460">
        <v>44</v>
      </c>
      <c r="I1460" t="s">
        <v>11</v>
      </c>
      <c r="J1460">
        <v>2</v>
      </c>
      <c r="K1460">
        <v>300</v>
      </c>
    </row>
    <row r="1461" spans="5:11" x14ac:dyDescent="0.25">
      <c r="E1461">
        <v>1049</v>
      </c>
      <c r="F1461" s="7">
        <v>45567</v>
      </c>
      <c r="G1461" t="s">
        <v>7</v>
      </c>
      <c r="H1461">
        <v>20</v>
      </c>
      <c r="I1461" t="s">
        <v>8</v>
      </c>
      <c r="J1461">
        <v>5</v>
      </c>
      <c r="K1461">
        <v>270</v>
      </c>
    </row>
    <row r="1462" spans="5:11" x14ac:dyDescent="0.25">
      <c r="E1462">
        <v>1902</v>
      </c>
      <c r="F1462" s="7">
        <v>45447</v>
      </c>
      <c r="G1462" t="s">
        <v>9</v>
      </c>
      <c r="H1462">
        <v>25</v>
      </c>
      <c r="I1462" t="s">
        <v>10</v>
      </c>
      <c r="J1462">
        <v>5</v>
      </c>
      <c r="K1462">
        <v>209</v>
      </c>
    </row>
    <row r="1463" spans="5:11" x14ac:dyDescent="0.25">
      <c r="E1463">
        <v>1519</v>
      </c>
      <c r="F1463" s="7">
        <v>45292</v>
      </c>
      <c r="G1463" t="s">
        <v>7</v>
      </c>
      <c r="H1463">
        <v>34</v>
      </c>
      <c r="I1463" t="s">
        <v>8</v>
      </c>
      <c r="J1463">
        <v>2</v>
      </c>
      <c r="K1463">
        <v>149</v>
      </c>
    </row>
    <row r="1464" spans="5:11" x14ac:dyDescent="0.25">
      <c r="E1464">
        <v>711</v>
      </c>
      <c r="F1464" s="7">
        <v>44940</v>
      </c>
      <c r="G1464" t="s">
        <v>7</v>
      </c>
      <c r="H1464">
        <v>34</v>
      </c>
      <c r="I1464" t="s">
        <v>8</v>
      </c>
      <c r="J1464">
        <v>3</v>
      </c>
      <c r="K1464">
        <v>25</v>
      </c>
    </row>
    <row r="1465" spans="5:11" x14ac:dyDescent="0.25">
      <c r="E1465">
        <v>1122</v>
      </c>
      <c r="F1465" s="7">
        <v>45592</v>
      </c>
      <c r="G1465" t="s">
        <v>7</v>
      </c>
      <c r="H1465">
        <v>64</v>
      </c>
      <c r="I1465" t="s">
        <v>10</v>
      </c>
      <c r="J1465">
        <v>1</v>
      </c>
      <c r="K1465">
        <v>197</v>
      </c>
    </row>
    <row r="1466" spans="5:11" x14ac:dyDescent="0.25">
      <c r="E1466">
        <v>1786</v>
      </c>
      <c r="F1466" s="7">
        <v>45512</v>
      </c>
      <c r="G1466" t="s">
        <v>7</v>
      </c>
      <c r="H1466">
        <v>60</v>
      </c>
      <c r="I1466" t="s">
        <v>10</v>
      </c>
      <c r="J1466">
        <v>6</v>
      </c>
      <c r="K1466">
        <v>410</v>
      </c>
    </row>
    <row r="1467" spans="5:11" x14ac:dyDescent="0.25">
      <c r="E1467">
        <v>835</v>
      </c>
      <c r="F1467" s="7">
        <v>45108</v>
      </c>
      <c r="G1467" t="s">
        <v>7</v>
      </c>
      <c r="H1467">
        <v>18</v>
      </c>
      <c r="I1467" t="s">
        <v>8</v>
      </c>
      <c r="J1467">
        <v>3</v>
      </c>
      <c r="K1467">
        <v>30</v>
      </c>
    </row>
    <row r="1468" spans="5:11" x14ac:dyDescent="0.25">
      <c r="E1468">
        <v>923</v>
      </c>
      <c r="F1468" s="7">
        <v>45172</v>
      </c>
      <c r="G1468" t="s">
        <v>7</v>
      </c>
      <c r="H1468">
        <v>25</v>
      </c>
      <c r="I1468" t="s">
        <v>11</v>
      </c>
      <c r="J1468">
        <v>1</v>
      </c>
      <c r="K1468">
        <v>300</v>
      </c>
    </row>
    <row r="1469" spans="5:11" x14ac:dyDescent="0.25">
      <c r="E1469">
        <v>1394</v>
      </c>
      <c r="F1469" s="7">
        <v>45361</v>
      </c>
      <c r="G1469" t="s">
        <v>9</v>
      </c>
      <c r="H1469">
        <v>25</v>
      </c>
      <c r="I1469" t="s">
        <v>8</v>
      </c>
      <c r="J1469">
        <v>4</v>
      </c>
      <c r="K1469">
        <v>36</v>
      </c>
    </row>
    <row r="1470" spans="5:11" x14ac:dyDescent="0.25">
      <c r="E1470">
        <v>637</v>
      </c>
      <c r="F1470" s="7">
        <v>45157</v>
      </c>
      <c r="G1470" t="s">
        <v>7</v>
      </c>
      <c r="H1470">
        <v>46</v>
      </c>
      <c r="I1470" t="s">
        <v>11</v>
      </c>
      <c r="J1470">
        <v>1</v>
      </c>
      <c r="K1470">
        <v>500</v>
      </c>
    </row>
    <row r="1471" spans="5:11" x14ac:dyDescent="0.25">
      <c r="E1471">
        <v>1685</v>
      </c>
      <c r="F1471" s="7">
        <v>45572</v>
      </c>
      <c r="G1471" t="s">
        <v>7</v>
      </c>
      <c r="H1471">
        <v>35</v>
      </c>
      <c r="I1471" t="s">
        <v>11</v>
      </c>
      <c r="J1471">
        <v>3</v>
      </c>
      <c r="K1471">
        <v>178</v>
      </c>
    </row>
    <row r="1472" spans="5:11" x14ac:dyDescent="0.25">
      <c r="E1472">
        <v>1006</v>
      </c>
      <c r="F1472" s="7">
        <v>45344</v>
      </c>
      <c r="G1472" t="s">
        <v>7</v>
      </c>
      <c r="H1472">
        <v>25</v>
      </c>
      <c r="I1472" t="s">
        <v>11</v>
      </c>
      <c r="J1472">
        <v>3</v>
      </c>
      <c r="K1472">
        <v>485</v>
      </c>
    </row>
    <row r="1473" spans="5:11" x14ac:dyDescent="0.25">
      <c r="E1473">
        <v>474</v>
      </c>
      <c r="F1473" s="7">
        <v>44946</v>
      </c>
      <c r="G1473" t="s">
        <v>7</v>
      </c>
      <c r="H1473">
        <v>26</v>
      </c>
      <c r="I1473" t="s">
        <v>10</v>
      </c>
      <c r="J1473">
        <v>3</v>
      </c>
      <c r="K1473">
        <v>25</v>
      </c>
    </row>
    <row r="1474" spans="5:11" x14ac:dyDescent="0.25">
      <c r="E1474">
        <v>1907</v>
      </c>
      <c r="F1474" s="7">
        <v>45433</v>
      </c>
      <c r="G1474" t="s">
        <v>7</v>
      </c>
      <c r="H1474">
        <v>52</v>
      </c>
      <c r="I1474" t="s">
        <v>11</v>
      </c>
      <c r="J1474">
        <v>1</v>
      </c>
      <c r="K1474">
        <v>249</v>
      </c>
    </row>
    <row r="1475" spans="5:11" x14ac:dyDescent="0.25">
      <c r="E1475">
        <v>1207</v>
      </c>
      <c r="F1475" s="7">
        <v>45646</v>
      </c>
      <c r="G1475" t="s">
        <v>9</v>
      </c>
      <c r="H1475">
        <v>36</v>
      </c>
      <c r="I1475" t="s">
        <v>11</v>
      </c>
      <c r="J1475">
        <v>5</v>
      </c>
      <c r="K1475">
        <v>368</v>
      </c>
    </row>
    <row r="1476" spans="5:11" x14ac:dyDescent="0.25">
      <c r="E1476">
        <v>355</v>
      </c>
      <c r="F1476" s="7">
        <v>45087</v>
      </c>
      <c r="G1476" t="s">
        <v>7</v>
      </c>
      <c r="H1476">
        <v>50</v>
      </c>
      <c r="I1476" t="s">
        <v>11</v>
      </c>
      <c r="J1476">
        <v>3</v>
      </c>
      <c r="K1476">
        <v>500</v>
      </c>
    </row>
    <row r="1477" spans="5:11" x14ac:dyDescent="0.25">
      <c r="E1477">
        <v>21</v>
      </c>
      <c r="F1477" s="7">
        <v>44940</v>
      </c>
      <c r="G1477" t="s">
        <v>9</v>
      </c>
      <c r="H1477">
        <v>50</v>
      </c>
      <c r="I1477" t="s">
        <v>8</v>
      </c>
      <c r="J1477">
        <v>1</v>
      </c>
      <c r="K1477">
        <v>500</v>
      </c>
    </row>
    <row r="1478" spans="5:11" x14ac:dyDescent="0.25">
      <c r="E1478">
        <v>1310</v>
      </c>
      <c r="F1478" s="7">
        <v>45372</v>
      </c>
      <c r="G1478" t="s">
        <v>9</v>
      </c>
      <c r="H1478">
        <v>45</v>
      </c>
      <c r="I1478" t="s">
        <v>8</v>
      </c>
      <c r="J1478">
        <v>3</v>
      </c>
      <c r="K1478">
        <v>428</v>
      </c>
    </row>
    <row r="1479" spans="5:11" x14ac:dyDescent="0.25">
      <c r="E1479">
        <v>1848</v>
      </c>
      <c r="F1479" s="7">
        <v>45577</v>
      </c>
      <c r="G1479" t="s">
        <v>9</v>
      </c>
      <c r="H1479">
        <v>20</v>
      </c>
      <c r="I1479" t="s">
        <v>10</v>
      </c>
      <c r="J1479">
        <v>1</v>
      </c>
      <c r="K1479">
        <v>135</v>
      </c>
    </row>
    <row r="1480" spans="5:11" x14ac:dyDescent="0.25">
      <c r="E1480">
        <v>1771</v>
      </c>
      <c r="F1480" s="7">
        <v>45330</v>
      </c>
      <c r="G1480" t="s">
        <v>9</v>
      </c>
      <c r="H1480">
        <v>35</v>
      </c>
      <c r="I1480" t="s">
        <v>11</v>
      </c>
      <c r="J1480">
        <v>6</v>
      </c>
      <c r="K1480">
        <v>23</v>
      </c>
    </row>
    <row r="1481" spans="5:11" x14ac:dyDescent="0.25">
      <c r="E1481">
        <v>467</v>
      </c>
      <c r="F1481" s="7">
        <v>45269</v>
      </c>
      <c r="G1481" t="s">
        <v>7</v>
      </c>
      <c r="H1481">
        <v>40</v>
      </c>
      <c r="I1481" t="s">
        <v>11</v>
      </c>
      <c r="J1481">
        <v>1</v>
      </c>
      <c r="K1481">
        <v>25</v>
      </c>
    </row>
    <row r="1482" spans="5:11" x14ac:dyDescent="0.25">
      <c r="E1482">
        <v>279</v>
      </c>
      <c r="F1482" s="7">
        <v>45020</v>
      </c>
      <c r="G1482" t="s">
        <v>9</v>
      </c>
      <c r="H1482">
        <v>37</v>
      </c>
      <c r="I1482" t="s">
        <v>10</v>
      </c>
      <c r="J1482">
        <v>3</v>
      </c>
      <c r="K1482">
        <v>500</v>
      </c>
    </row>
    <row r="1483" spans="5:11" x14ac:dyDescent="0.25">
      <c r="E1483">
        <v>974</v>
      </c>
      <c r="F1483" s="7">
        <v>45209</v>
      </c>
      <c r="G1483" t="s">
        <v>9</v>
      </c>
      <c r="H1483">
        <v>48</v>
      </c>
      <c r="I1483" t="s">
        <v>8</v>
      </c>
      <c r="J1483">
        <v>2</v>
      </c>
      <c r="K1483">
        <v>300</v>
      </c>
    </row>
    <row r="1484" spans="5:11" x14ac:dyDescent="0.25">
      <c r="E1484">
        <v>1276</v>
      </c>
      <c r="F1484" s="7">
        <v>45509</v>
      </c>
      <c r="G1484" t="s">
        <v>7</v>
      </c>
      <c r="H1484">
        <v>58</v>
      </c>
      <c r="I1484" t="s">
        <v>10</v>
      </c>
      <c r="J1484">
        <v>4</v>
      </c>
      <c r="K1484">
        <v>165</v>
      </c>
    </row>
    <row r="1485" spans="5:11" x14ac:dyDescent="0.25">
      <c r="E1485">
        <v>479</v>
      </c>
      <c r="F1485" s="7">
        <v>45106</v>
      </c>
      <c r="G1485" t="s">
        <v>9</v>
      </c>
      <c r="H1485">
        <v>42</v>
      </c>
      <c r="I1485" t="s">
        <v>8</v>
      </c>
      <c r="J1485">
        <v>4</v>
      </c>
      <c r="K1485">
        <v>500</v>
      </c>
    </row>
    <row r="1486" spans="5:11" x14ac:dyDescent="0.25">
      <c r="E1486">
        <v>81</v>
      </c>
      <c r="F1486" s="7">
        <v>45063</v>
      </c>
      <c r="G1486" t="s">
        <v>7</v>
      </c>
      <c r="H1486">
        <v>40</v>
      </c>
      <c r="I1486" t="s">
        <v>11</v>
      </c>
      <c r="J1486">
        <v>1</v>
      </c>
      <c r="K1486">
        <v>50</v>
      </c>
    </row>
    <row r="1487" spans="5:11" x14ac:dyDescent="0.25">
      <c r="E1487">
        <v>95</v>
      </c>
      <c r="F1487" s="7">
        <v>45254</v>
      </c>
      <c r="G1487" t="s">
        <v>9</v>
      </c>
      <c r="H1487">
        <v>32</v>
      </c>
      <c r="I1487" t="s">
        <v>10</v>
      </c>
      <c r="J1487">
        <v>2</v>
      </c>
      <c r="K1487">
        <v>30</v>
      </c>
    </row>
    <row r="1488" spans="5:11" x14ac:dyDescent="0.25">
      <c r="E1488">
        <v>1514</v>
      </c>
      <c r="F1488" s="7">
        <v>45390</v>
      </c>
      <c r="G1488" t="s">
        <v>9</v>
      </c>
      <c r="H1488">
        <v>49</v>
      </c>
      <c r="I1488" t="s">
        <v>10</v>
      </c>
      <c r="J1488">
        <v>2</v>
      </c>
      <c r="K1488">
        <v>351</v>
      </c>
    </row>
    <row r="1489" spans="5:11" x14ac:dyDescent="0.25">
      <c r="E1489">
        <v>1199</v>
      </c>
      <c r="F1489" s="7">
        <v>45574</v>
      </c>
      <c r="G1489" t="s">
        <v>7</v>
      </c>
      <c r="H1489">
        <v>30</v>
      </c>
      <c r="I1489" t="s">
        <v>11</v>
      </c>
      <c r="J1489">
        <v>3</v>
      </c>
      <c r="K1489">
        <v>189</v>
      </c>
    </row>
    <row r="1490" spans="5:11" x14ac:dyDescent="0.25">
      <c r="E1490">
        <v>351</v>
      </c>
      <c r="F1490" s="7">
        <v>45088</v>
      </c>
      <c r="G1490" t="s">
        <v>7</v>
      </c>
      <c r="H1490">
        <v>57</v>
      </c>
      <c r="I1490" t="s">
        <v>11</v>
      </c>
      <c r="J1490">
        <v>2</v>
      </c>
      <c r="K1490">
        <v>500</v>
      </c>
    </row>
    <row r="1491" spans="5:11" x14ac:dyDescent="0.25">
      <c r="E1491">
        <v>1546</v>
      </c>
      <c r="F1491" s="7">
        <v>45508</v>
      </c>
      <c r="G1491" t="s">
        <v>9</v>
      </c>
      <c r="H1491">
        <v>47</v>
      </c>
      <c r="I1491" t="s">
        <v>8</v>
      </c>
      <c r="J1491">
        <v>5</v>
      </c>
      <c r="K1491">
        <v>415</v>
      </c>
    </row>
    <row r="1492" spans="5:11" x14ac:dyDescent="0.25">
      <c r="E1492">
        <v>905</v>
      </c>
      <c r="F1492" s="7">
        <v>44934</v>
      </c>
      <c r="G1492" t="s">
        <v>9</v>
      </c>
      <c r="H1492">
        <v>45</v>
      </c>
      <c r="I1492" t="s">
        <v>11</v>
      </c>
      <c r="J1492">
        <v>1</v>
      </c>
      <c r="K1492">
        <v>25</v>
      </c>
    </row>
    <row r="1493" spans="5:11" x14ac:dyDescent="0.25">
      <c r="E1493">
        <v>365</v>
      </c>
      <c r="F1493" s="7">
        <v>44964</v>
      </c>
      <c r="G1493" t="s">
        <v>7</v>
      </c>
      <c r="H1493">
        <v>57</v>
      </c>
      <c r="I1493" t="s">
        <v>10</v>
      </c>
      <c r="J1493">
        <v>2</v>
      </c>
      <c r="K1493">
        <v>50</v>
      </c>
    </row>
    <row r="1494" spans="5:11" x14ac:dyDescent="0.25">
      <c r="E1494">
        <v>1140</v>
      </c>
      <c r="F1494" s="7">
        <v>45324</v>
      </c>
      <c r="G1494" t="s">
        <v>7</v>
      </c>
      <c r="H1494">
        <v>43</v>
      </c>
      <c r="I1494" t="s">
        <v>11</v>
      </c>
      <c r="J1494">
        <v>1</v>
      </c>
      <c r="K1494">
        <v>310</v>
      </c>
    </row>
    <row r="1495" spans="5:11" x14ac:dyDescent="0.25">
      <c r="E1495">
        <v>1126</v>
      </c>
      <c r="F1495" s="7">
        <v>45478</v>
      </c>
      <c r="G1495" t="s">
        <v>7</v>
      </c>
      <c r="H1495">
        <v>24</v>
      </c>
      <c r="I1495" t="s">
        <v>8</v>
      </c>
      <c r="J1495">
        <v>2</v>
      </c>
      <c r="K1495">
        <v>231</v>
      </c>
    </row>
    <row r="1496" spans="5:11" x14ac:dyDescent="0.25">
      <c r="E1496">
        <v>585</v>
      </c>
      <c r="F1496" s="7">
        <v>45271</v>
      </c>
      <c r="G1496" t="s">
        <v>7</v>
      </c>
      <c r="H1496">
        <v>50</v>
      </c>
      <c r="I1496" t="s">
        <v>11</v>
      </c>
      <c r="J1496">
        <v>1</v>
      </c>
      <c r="K1496">
        <v>50</v>
      </c>
    </row>
    <row r="1497" spans="5:11" x14ac:dyDescent="0.25">
      <c r="E1497">
        <v>877</v>
      </c>
      <c r="F1497" s="7">
        <v>45286</v>
      </c>
      <c r="G1497" t="s">
        <v>7</v>
      </c>
      <c r="H1497">
        <v>23</v>
      </c>
      <c r="I1497" t="s">
        <v>10</v>
      </c>
      <c r="J1497">
        <v>1</v>
      </c>
      <c r="K1497">
        <v>30</v>
      </c>
    </row>
    <row r="1498" spans="5:11" x14ac:dyDescent="0.25">
      <c r="E1498">
        <v>1318</v>
      </c>
      <c r="F1498" s="7">
        <v>45453</v>
      </c>
      <c r="G1498" t="s">
        <v>9</v>
      </c>
      <c r="H1498">
        <v>34</v>
      </c>
      <c r="I1498" t="s">
        <v>11</v>
      </c>
      <c r="J1498">
        <v>6</v>
      </c>
      <c r="K1498">
        <v>396</v>
      </c>
    </row>
    <row r="1499" spans="5:11" x14ac:dyDescent="0.25">
      <c r="E1499">
        <v>325</v>
      </c>
      <c r="F1499" s="7">
        <v>45184</v>
      </c>
      <c r="G1499" t="s">
        <v>9</v>
      </c>
      <c r="H1499">
        <v>18</v>
      </c>
      <c r="I1499" t="s">
        <v>10</v>
      </c>
      <c r="J1499">
        <v>3</v>
      </c>
      <c r="K1499">
        <v>25</v>
      </c>
    </row>
    <row r="1500" spans="5:11" x14ac:dyDescent="0.25">
      <c r="E1500">
        <v>721</v>
      </c>
      <c r="F1500" s="7">
        <v>45094</v>
      </c>
      <c r="G1500" t="s">
        <v>9</v>
      </c>
      <c r="H1500">
        <v>54</v>
      </c>
      <c r="I1500" t="s">
        <v>8</v>
      </c>
      <c r="J1500">
        <v>4</v>
      </c>
      <c r="K1500">
        <v>50</v>
      </c>
    </row>
    <row r="1501" spans="5:11" x14ac:dyDescent="0.25">
      <c r="E1501">
        <v>1272</v>
      </c>
      <c r="F1501" s="7">
        <v>45390</v>
      </c>
      <c r="G1501" t="s">
        <v>7</v>
      </c>
      <c r="H1501">
        <v>47</v>
      </c>
      <c r="I1501" t="s">
        <v>10</v>
      </c>
      <c r="J1501">
        <v>4</v>
      </c>
      <c r="K1501">
        <v>405</v>
      </c>
    </row>
    <row r="1502" spans="5:11" x14ac:dyDescent="0.25">
      <c r="E1502">
        <v>285</v>
      </c>
      <c r="F1502" s="7">
        <v>45208</v>
      </c>
      <c r="G1502" t="s">
        <v>7</v>
      </c>
      <c r="H1502">
        <v>55</v>
      </c>
      <c r="I1502" t="s">
        <v>11</v>
      </c>
      <c r="J1502">
        <v>2</v>
      </c>
      <c r="K1502">
        <v>25</v>
      </c>
    </row>
    <row r="1503" spans="5:11" x14ac:dyDescent="0.25">
      <c r="E1503">
        <v>1988</v>
      </c>
      <c r="F1503" s="7">
        <v>45525</v>
      </c>
      <c r="G1503" t="s">
        <v>9</v>
      </c>
      <c r="H1503">
        <v>18</v>
      </c>
      <c r="I1503" t="s">
        <v>11</v>
      </c>
      <c r="J1503">
        <v>7</v>
      </c>
      <c r="K1503">
        <v>344</v>
      </c>
    </row>
    <row r="1504" spans="5:11" x14ac:dyDescent="0.25">
      <c r="E1504">
        <v>1825</v>
      </c>
      <c r="F1504" s="7">
        <v>45487</v>
      </c>
      <c r="G1504" t="s">
        <v>7</v>
      </c>
      <c r="H1504">
        <v>28</v>
      </c>
      <c r="I1504" t="s">
        <v>8</v>
      </c>
      <c r="J1504">
        <v>1</v>
      </c>
      <c r="K1504">
        <v>399</v>
      </c>
    </row>
    <row r="1505" spans="5:11" x14ac:dyDescent="0.25">
      <c r="E1505">
        <v>1165</v>
      </c>
      <c r="F1505" s="7">
        <v>45552</v>
      </c>
      <c r="G1505" t="s">
        <v>9</v>
      </c>
      <c r="H1505">
        <v>35</v>
      </c>
      <c r="I1505" t="s">
        <v>10</v>
      </c>
      <c r="J1505">
        <v>6</v>
      </c>
      <c r="K1505">
        <v>430</v>
      </c>
    </row>
    <row r="1506" spans="5:11" x14ac:dyDescent="0.25">
      <c r="E1506">
        <v>984</v>
      </c>
      <c r="F1506" s="7">
        <v>44943</v>
      </c>
      <c r="G1506" t="s">
        <v>9</v>
      </c>
      <c r="H1506">
        <v>49</v>
      </c>
      <c r="I1506" t="s">
        <v>10</v>
      </c>
      <c r="J1506">
        <v>2</v>
      </c>
      <c r="K1506">
        <v>500</v>
      </c>
    </row>
    <row r="1507" spans="5:11" x14ac:dyDescent="0.25">
      <c r="E1507">
        <v>393</v>
      </c>
      <c r="F1507" s="7">
        <v>45080</v>
      </c>
      <c r="G1507" t="s">
        <v>9</v>
      </c>
      <c r="H1507">
        <v>27</v>
      </c>
      <c r="I1507" t="s">
        <v>10</v>
      </c>
      <c r="J1507">
        <v>1</v>
      </c>
      <c r="K1507">
        <v>500</v>
      </c>
    </row>
    <row r="1508" spans="5:11" x14ac:dyDescent="0.25">
      <c r="E1508">
        <v>1314</v>
      </c>
      <c r="F1508" s="7">
        <v>45321</v>
      </c>
      <c r="G1508" t="s">
        <v>7</v>
      </c>
      <c r="H1508">
        <v>39</v>
      </c>
      <c r="I1508" t="s">
        <v>11</v>
      </c>
      <c r="J1508">
        <v>2</v>
      </c>
      <c r="K1508">
        <v>132</v>
      </c>
    </row>
    <row r="1509" spans="5:11" x14ac:dyDescent="0.25">
      <c r="E1509">
        <v>498</v>
      </c>
      <c r="F1509" s="7">
        <v>44941</v>
      </c>
      <c r="G1509" t="s">
        <v>7</v>
      </c>
      <c r="H1509">
        <v>46</v>
      </c>
      <c r="I1509" t="s">
        <v>8</v>
      </c>
      <c r="J1509">
        <v>2</v>
      </c>
      <c r="K1509">
        <v>30</v>
      </c>
    </row>
    <row r="1510" spans="5:11" x14ac:dyDescent="0.25">
      <c r="E1510">
        <v>48</v>
      </c>
      <c r="F1510" s="7">
        <v>45062</v>
      </c>
      <c r="G1510" t="s">
        <v>7</v>
      </c>
      <c r="H1510">
        <v>54</v>
      </c>
      <c r="I1510" t="s">
        <v>11</v>
      </c>
      <c r="J1510">
        <v>3</v>
      </c>
      <c r="K1510">
        <v>300</v>
      </c>
    </row>
    <row r="1511" spans="5:11" x14ac:dyDescent="0.25">
      <c r="E1511">
        <v>966</v>
      </c>
      <c r="F1511" s="7">
        <v>45247</v>
      </c>
      <c r="G1511" t="s">
        <v>9</v>
      </c>
      <c r="H1511">
        <v>48</v>
      </c>
      <c r="I1511" t="s">
        <v>10</v>
      </c>
      <c r="J1511">
        <v>3</v>
      </c>
      <c r="K1511">
        <v>300</v>
      </c>
    </row>
    <row r="1512" spans="5:11" x14ac:dyDescent="0.25">
      <c r="E1512">
        <v>800</v>
      </c>
      <c r="F1512" s="7">
        <v>45112</v>
      </c>
      <c r="G1512" t="s">
        <v>9</v>
      </c>
      <c r="H1512">
        <v>46</v>
      </c>
      <c r="I1512" t="s">
        <v>8</v>
      </c>
      <c r="J1512">
        <v>1</v>
      </c>
      <c r="K1512">
        <v>30</v>
      </c>
    </row>
    <row r="1513" spans="5:11" x14ac:dyDescent="0.25">
      <c r="E1513">
        <v>1033</v>
      </c>
      <c r="F1513" s="7">
        <v>45509</v>
      </c>
      <c r="G1513" t="s">
        <v>9</v>
      </c>
      <c r="H1513">
        <v>48</v>
      </c>
      <c r="I1513" t="s">
        <v>8</v>
      </c>
      <c r="J1513">
        <v>3</v>
      </c>
      <c r="K1513">
        <v>436</v>
      </c>
    </row>
    <row r="1514" spans="5:11" x14ac:dyDescent="0.25">
      <c r="E1514">
        <v>1751</v>
      </c>
      <c r="F1514" s="7">
        <v>45404</v>
      </c>
      <c r="G1514" t="s">
        <v>9</v>
      </c>
      <c r="H1514">
        <v>62</v>
      </c>
      <c r="I1514" t="s">
        <v>10</v>
      </c>
      <c r="J1514">
        <v>3</v>
      </c>
      <c r="K1514">
        <v>227</v>
      </c>
    </row>
    <row r="1515" spans="5:11" x14ac:dyDescent="0.25">
      <c r="E1515">
        <v>1077</v>
      </c>
      <c r="F1515" s="7">
        <v>45400</v>
      </c>
      <c r="G1515" t="s">
        <v>7</v>
      </c>
      <c r="H1515">
        <v>60</v>
      </c>
      <c r="I1515" t="s">
        <v>8</v>
      </c>
      <c r="J1515">
        <v>4</v>
      </c>
      <c r="K1515">
        <v>121</v>
      </c>
    </row>
    <row r="1516" spans="5:11" x14ac:dyDescent="0.25">
      <c r="E1516">
        <v>1</v>
      </c>
      <c r="F1516" s="7">
        <v>45254</v>
      </c>
      <c r="G1516" t="s">
        <v>7</v>
      </c>
      <c r="H1516">
        <v>34</v>
      </c>
      <c r="I1516" t="s">
        <v>8</v>
      </c>
      <c r="J1516">
        <v>3</v>
      </c>
      <c r="K1516">
        <v>50</v>
      </c>
    </row>
    <row r="1517" spans="5:11" x14ac:dyDescent="0.25">
      <c r="E1517">
        <v>1455</v>
      </c>
      <c r="F1517" s="7">
        <v>45610</v>
      </c>
      <c r="G1517" t="s">
        <v>9</v>
      </c>
      <c r="H1517">
        <v>28</v>
      </c>
      <c r="I1517" t="s">
        <v>11</v>
      </c>
      <c r="J1517">
        <v>4</v>
      </c>
      <c r="K1517">
        <v>163</v>
      </c>
    </row>
    <row r="1518" spans="5:11" x14ac:dyDescent="0.25">
      <c r="E1518">
        <v>925</v>
      </c>
      <c r="F1518" s="7">
        <v>45101</v>
      </c>
      <c r="G1518" t="s">
        <v>7</v>
      </c>
      <c r="H1518">
        <v>43</v>
      </c>
      <c r="I1518" t="s">
        <v>11</v>
      </c>
      <c r="J1518">
        <v>4</v>
      </c>
      <c r="K1518">
        <v>500</v>
      </c>
    </row>
    <row r="1519" spans="5:11" x14ac:dyDescent="0.25">
      <c r="E1519">
        <v>24</v>
      </c>
      <c r="F1519" s="7">
        <v>45259</v>
      </c>
      <c r="G1519" t="s">
        <v>9</v>
      </c>
      <c r="H1519">
        <v>49</v>
      </c>
      <c r="I1519" t="s">
        <v>10</v>
      </c>
      <c r="J1519">
        <v>1</v>
      </c>
      <c r="K1519">
        <v>300</v>
      </c>
    </row>
    <row r="1520" spans="5:11" x14ac:dyDescent="0.25">
      <c r="E1520">
        <v>1366</v>
      </c>
      <c r="F1520" s="7">
        <v>45611</v>
      </c>
      <c r="G1520" t="s">
        <v>7</v>
      </c>
      <c r="H1520">
        <v>18</v>
      </c>
      <c r="I1520" t="s">
        <v>11</v>
      </c>
      <c r="J1520">
        <v>7</v>
      </c>
      <c r="K1520">
        <v>31</v>
      </c>
    </row>
    <row r="1521" spans="5:11" x14ac:dyDescent="0.25">
      <c r="E1521">
        <v>1922</v>
      </c>
      <c r="F1521" s="7">
        <v>45518</v>
      </c>
      <c r="G1521" t="s">
        <v>7</v>
      </c>
      <c r="H1521">
        <v>64</v>
      </c>
      <c r="I1521" t="s">
        <v>11</v>
      </c>
      <c r="J1521">
        <v>1</v>
      </c>
      <c r="K1521">
        <v>270</v>
      </c>
    </row>
    <row r="1522" spans="5:11" x14ac:dyDescent="0.25">
      <c r="E1522">
        <v>1750</v>
      </c>
      <c r="F1522" s="7">
        <v>45581</v>
      </c>
      <c r="G1522" t="s">
        <v>9</v>
      </c>
      <c r="H1522">
        <v>25</v>
      </c>
      <c r="I1522" t="s">
        <v>11</v>
      </c>
      <c r="J1522">
        <v>4</v>
      </c>
      <c r="K1522">
        <v>161</v>
      </c>
    </row>
    <row r="1523" spans="5:11" x14ac:dyDescent="0.25">
      <c r="E1523">
        <v>1870</v>
      </c>
      <c r="F1523" s="7">
        <v>45469</v>
      </c>
      <c r="G1523" t="s">
        <v>7</v>
      </c>
      <c r="H1523">
        <v>37</v>
      </c>
      <c r="I1523" t="s">
        <v>8</v>
      </c>
      <c r="J1523">
        <v>4</v>
      </c>
      <c r="K1523">
        <v>18</v>
      </c>
    </row>
    <row r="1524" spans="5:11" x14ac:dyDescent="0.25">
      <c r="E1524">
        <v>1551</v>
      </c>
      <c r="F1524" s="7">
        <v>45608</v>
      </c>
      <c r="G1524" t="s">
        <v>9</v>
      </c>
      <c r="H1524">
        <v>53</v>
      </c>
      <c r="I1524" t="s">
        <v>8</v>
      </c>
      <c r="J1524">
        <v>6</v>
      </c>
      <c r="K1524">
        <v>240</v>
      </c>
    </row>
    <row r="1525" spans="5:11" x14ac:dyDescent="0.25">
      <c r="E1525">
        <v>1410</v>
      </c>
      <c r="F1525" s="7">
        <v>45543</v>
      </c>
      <c r="G1525" t="s">
        <v>9</v>
      </c>
      <c r="H1525">
        <v>45</v>
      </c>
      <c r="I1525" t="s">
        <v>8</v>
      </c>
      <c r="J1525">
        <v>4</v>
      </c>
      <c r="K1525">
        <v>50</v>
      </c>
    </row>
    <row r="1526" spans="5:11" x14ac:dyDescent="0.25">
      <c r="E1526">
        <v>112</v>
      </c>
      <c r="F1526" s="7">
        <v>45262</v>
      </c>
      <c r="G1526" t="s">
        <v>7</v>
      </c>
      <c r="H1526">
        <v>37</v>
      </c>
      <c r="I1526" t="s">
        <v>10</v>
      </c>
      <c r="J1526">
        <v>3</v>
      </c>
      <c r="K1526">
        <v>500</v>
      </c>
    </row>
    <row r="1527" spans="5:11" x14ac:dyDescent="0.25">
      <c r="E1527">
        <v>814</v>
      </c>
      <c r="F1527" s="7">
        <v>45150</v>
      </c>
      <c r="G1527" t="s">
        <v>7</v>
      </c>
      <c r="H1527">
        <v>47</v>
      </c>
      <c r="I1527" t="s">
        <v>8</v>
      </c>
      <c r="J1527">
        <v>2</v>
      </c>
      <c r="K1527">
        <v>500</v>
      </c>
    </row>
    <row r="1528" spans="5:11" x14ac:dyDescent="0.25">
      <c r="E1528">
        <v>757</v>
      </c>
      <c r="F1528" s="7">
        <v>45115</v>
      </c>
      <c r="G1528" t="s">
        <v>7</v>
      </c>
      <c r="H1528">
        <v>49</v>
      </c>
      <c r="I1528" t="s">
        <v>11</v>
      </c>
      <c r="J1528">
        <v>2</v>
      </c>
      <c r="K1528">
        <v>50</v>
      </c>
    </row>
    <row r="1529" spans="5:11" x14ac:dyDescent="0.25">
      <c r="E1529">
        <v>195</v>
      </c>
      <c r="F1529" s="7">
        <v>44962</v>
      </c>
      <c r="G1529" t="s">
        <v>7</v>
      </c>
      <c r="H1529">
        <v>52</v>
      </c>
      <c r="I1529" t="s">
        <v>10</v>
      </c>
      <c r="J1529">
        <v>1</v>
      </c>
      <c r="K1529">
        <v>30</v>
      </c>
    </row>
    <row r="1530" spans="5:11" x14ac:dyDescent="0.25">
      <c r="E1530">
        <v>400</v>
      </c>
      <c r="F1530" s="7">
        <v>45210</v>
      </c>
      <c r="G1530" t="s">
        <v>9</v>
      </c>
      <c r="H1530">
        <v>62</v>
      </c>
      <c r="I1530" t="s">
        <v>10</v>
      </c>
      <c r="J1530">
        <v>1</v>
      </c>
      <c r="K1530">
        <v>300</v>
      </c>
    </row>
    <row r="1531" spans="5:11" x14ac:dyDescent="0.25">
      <c r="E1531">
        <v>371</v>
      </c>
      <c r="F1531" s="7">
        <v>44964</v>
      </c>
      <c r="G1531" t="s">
        <v>9</v>
      </c>
      <c r="H1531">
        <v>24</v>
      </c>
      <c r="I1531" t="s">
        <v>8</v>
      </c>
      <c r="J1531">
        <v>3</v>
      </c>
      <c r="K1531">
        <v>500</v>
      </c>
    </row>
    <row r="1532" spans="5:11" x14ac:dyDescent="0.25">
      <c r="E1532">
        <v>1726</v>
      </c>
      <c r="F1532" s="7">
        <v>45508</v>
      </c>
      <c r="G1532" t="s">
        <v>9</v>
      </c>
      <c r="H1532">
        <v>61</v>
      </c>
      <c r="I1532" t="s">
        <v>10</v>
      </c>
      <c r="J1532">
        <v>2</v>
      </c>
      <c r="K1532">
        <v>13</v>
      </c>
    </row>
    <row r="1533" spans="5:11" x14ac:dyDescent="0.25">
      <c r="E1533">
        <v>1139</v>
      </c>
      <c r="F1533" s="7">
        <v>45598</v>
      </c>
      <c r="G1533" t="s">
        <v>9</v>
      </c>
      <c r="H1533">
        <v>50</v>
      </c>
      <c r="I1533" t="s">
        <v>11</v>
      </c>
      <c r="J1533">
        <v>6</v>
      </c>
      <c r="K1533">
        <v>112</v>
      </c>
    </row>
    <row r="1534" spans="5:11" x14ac:dyDescent="0.25">
      <c r="E1534">
        <v>1944</v>
      </c>
      <c r="F1534" s="7">
        <v>45578</v>
      </c>
      <c r="G1534" t="s">
        <v>9</v>
      </c>
      <c r="H1534">
        <v>37</v>
      </c>
      <c r="I1534" t="s">
        <v>11</v>
      </c>
      <c r="J1534">
        <v>2</v>
      </c>
      <c r="K1534">
        <v>304</v>
      </c>
    </row>
    <row r="1535" spans="5:11" x14ac:dyDescent="0.25">
      <c r="E1535">
        <v>1336</v>
      </c>
      <c r="F1535" s="7">
        <v>45354</v>
      </c>
      <c r="G1535" t="s">
        <v>9</v>
      </c>
      <c r="H1535">
        <v>62</v>
      </c>
      <c r="I1535" t="s">
        <v>11</v>
      </c>
      <c r="J1535">
        <v>2</v>
      </c>
      <c r="K1535">
        <v>432</v>
      </c>
    </row>
    <row r="1536" spans="5:11" x14ac:dyDescent="0.25">
      <c r="E1536">
        <v>376</v>
      </c>
      <c r="F1536" s="7">
        <v>44994</v>
      </c>
      <c r="G1536" t="s">
        <v>9</v>
      </c>
      <c r="H1536">
        <v>46</v>
      </c>
      <c r="I1536" t="s">
        <v>10</v>
      </c>
      <c r="J1536">
        <v>4</v>
      </c>
      <c r="K1536">
        <v>50</v>
      </c>
    </row>
    <row r="1537" spans="5:11" x14ac:dyDescent="0.25">
      <c r="E1537">
        <v>1985</v>
      </c>
      <c r="F1537" s="7">
        <v>45654</v>
      </c>
      <c r="G1537" t="s">
        <v>9</v>
      </c>
      <c r="H1537">
        <v>23</v>
      </c>
      <c r="I1537" t="s">
        <v>11</v>
      </c>
      <c r="J1537">
        <v>7</v>
      </c>
      <c r="K1537">
        <v>104</v>
      </c>
    </row>
    <row r="1538" spans="5:11" x14ac:dyDescent="0.25">
      <c r="E1538">
        <v>1636</v>
      </c>
      <c r="F1538" s="7">
        <v>45425</v>
      </c>
      <c r="G1538" t="s">
        <v>9</v>
      </c>
      <c r="H1538">
        <v>41</v>
      </c>
      <c r="I1538" t="s">
        <v>8</v>
      </c>
      <c r="J1538">
        <v>3</v>
      </c>
      <c r="K1538">
        <v>331</v>
      </c>
    </row>
    <row r="1539" spans="5:11" x14ac:dyDescent="0.25">
      <c r="E1539">
        <v>382</v>
      </c>
      <c r="F1539" s="7">
        <v>45007</v>
      </c>
      <c r="G1539" t="s">
        <v>9</v>
      </c>
      <c r="H1539">
        <v>46</v>
      </c>
      <c r="I1539" t="s">
        <v>8</v>
      </c>
      <c r="J1539">
        <v>3</v>
      </c>
      <c r="K1539">
        <v>30</v>
      </c>
    </row>
    <row r="1540" spans="5:11" x14ac:dyDescent="0.25">
      <c r="E1540">
        <v>209</v>
      </c>
      <c r="F1540" s="7">
        <v>45280</v>
      </c>
      <c r="G1540" t="s">
        <v>9</v>
      </c>
      <c r="H1540">
        <v>30</v>
      </c>
      <c r="I1540" t="s">
        <v>11</v>
      </c>
      <c r="J1540">
        <v>4</v>
      </c>
      <c r="K1540">
        <v>50</v>
      </c>
    </row>
    <row r="1541" spans="5:11" x14ac:dyDescent="0.25">
      <c r="E1541">
        <v>851</v>
      </c>
      <c r="F1541" s="7">
        <v>45050</v>
      </c>
      <c r="G1541" t="s">
        <v>7</v>
      </c>
      <c r="H1541">
        <v>21</v>
      </c>
      <c r="I1541" t="s">
        <v>8</v>
      </c>
      <c r="J1541">
        <v>2</v>
      </c>
      <c r="K1541">
        <v>500</v>
      </c>
    </row>
    <row r="1542" spans="5:11" x14ac:dyDescent="0.25">
      <c r="E1542">
        <v>404</v>
      </c>
      <c r="F1542" s="7">
        <v>45236</v>
      </c>
      <c r="G1542" t="s">
        <v>9</v>
      </c>
      <c r="H1542">
        <v>25</v>
      </c>
      <c r="I1542" t="s">
        <v>10</v>
      </c>
      <c r="J1542">
        <v>4</v>
      </c>
      <c r="K1542">
        <v>300</v>
      </c>
    </row>
    <row r="1543" spans="5:11" x14ac:dyDescent="0.25">
      <c r="E1543">
        <v>1943</v>
      </c>
      <c r="F1543" s="7">
        <v>45353</v>
      </c>
      <c r="G1543" t="s">
        <v>7</v>
      </c>
      <c r="H1543">
        <v>62</v>
      </c>
      <c r="I1543" t="s">
        <v>8</v>
      </c>
      <c r="J1543">
        <v>7</v>
      </c>
      <c r="K1543">
        <v>186</v>
      </c>
    </row>
    <row r="1544" spans="5:11" x14ac:dyDescent="0.25">
      <c r="E1544">
        <v>632</v>
      </c>
      <c r="F1544" s="7">
        <v>45145</v>
      </c>
      <c r="G1544" t="s">
        <v>7</v>
      </c>
      <c r="H1544">
        <v>39</v>
      </c>
      <c r="I1544" t="s">
        <v>8</v>
      </c>
      <c r="J1544">
        <v>4</v>
      </c>
      <c r="K1544">
        <v>30</v>
      </c>
    </row>
    <row r="1545" spans="5:11" x14ac:dyDescent="0.25">
      <c r="E1545">
        <v>1555</v>
      </c>
      <c r="F1545" s="7">
        <v>45573</v>
      </c>
      <c r="G1545" t="s">
        <v>9</v>
      </c>
      <c r="H1545">
        <v>47</v>
      </c>
      <c r="I1545" t="s">
        <v>10</v>
      </c>
      <c r="J1545">
        <v>1</v>
      </c>
      <c r="K1545">
        <v>207</v>
      </c>
    </row>
    <row r="1546" spans="5:11" x14ac:dyDescent="0.25">
      <c r="E1546">
        <v>651</v>
      </c>
      <c r="F1546" s="7">
        <v>45066</v>
      </c>
      <c r="G1546" t="s">
        <v>7</v>
      </c>
      <c r="H1546">
        <v>54</v>
      </c>
      <c r="I1546" t="s">
        <v>10</v>
      </c>
      <c r="J1546">
        <v>3</v>
      </c>
      <c r="K1546">
        <v>25</v>
      </c>
    </row>
    <row r="1547" spans="5:11" x14ac:dyDescent="0.25">
      <c r="E1547">
        <v>1205</v>
      </c>
      <c r="F1547" s="7">
        <v>45401</v>
      </c>
      <c r="G1547" t="s">
        <v>9</v>
      </c>
      <c r="H1547">
        <v>26</v>
      </c>
      <c r="I1547" t="s">
        <v>8</v>
      </c>
      <c r="J1547">
        <v>7</v>
      </c>
      <c r="K1547">
        <v>366</v>
      </c>
    </row>
    <row r="1548" spans="5:11" x14ac:dyDescent="0.25">
      <c r="E1548">
        <v>1104</v>
      </c>
      <c r="F1548" s="7">
        <v>45430</v>
      </c>
      <c r="G1548" t="s">
        <v>9</v>
      </c>
      <c r="H1548">
        <v>50</v>
      </c>
      <c r="I1548" t="s">
        <v>10</v>
      </c>
      <c r="J1548">
        <v>7</v>
      </c>
      <c r="K1548">
        <v>90</v>
      </c>
    </row>
    <row r="1549" spans="5:11" x14ac:dyDescent="0.25">
      <c r="E1549">
        <v>1898</v>
      </c>
      <c r="F1549" s="7">
        <v>45444</v>
      </c>
      <c r="G1549" t="s">
        <v>9</v>
      </c>
      <c r="H1549">
        <v>31</v>
      </c>
      <c r="I1549" t="s">
        <v>8</v>
      </c>
      <c r="J1549">
        <v>2</v>
      </c>
      <c r="K1549">
        <v>298</v>
      </c>
    </row>
    <row r="1550" spans="5:11" x14ac:dyDescent="0.25">
      <c r="E1550">
        <v>709</v>
      </c>
      <c r="F1550" s="7">
        <v>45215</v>
      </c>
      <c r="G1550" t="s">
        <v>7</v>
      </c>
      <c r="H1550">
        <v>26</v>
      </c>
      <c r="I1550" t="s">
        <v>11</v>
      </c>
      <c r="J1550">
        <v>3</v>
      </c>
      <c r="K1550">
        <v>500</v>
      </c>
    </row>
    <row r="1551" spans="5:11" x14ac:dyDescent="0.25">
      <c r="E1551">
        <v>734</v>
      </c>
      <c r="F1551" s="7">
        <v>44953</v>
      </c>
      <c r="G1551" t="s">
        <v>7</v>
      </c>
      <c r="H1551">
        <v>29</v>
      </c>
      <c r="I1551" t="s">
        <v>10</v>
      </c>
      <c r="J1551">
        <v>4</v>
      </c>
      <c r="K1551">
        <v>25</v>
      </c>
    </row>
    <row r="1552" spans="5:11" x14ac:dyDescent="0.25">
      <c r="E1552">
        <v>1796</v>
      </c>
      <c r="F1552" s="7">
        <v>45346</v>
      </c>
      <c r="G1552" t="s">
        <v>7</v>
      </c>
      <c r="H1552">
        <v>35</v>
      </c>
      <c r="I1552" t="s">
        <v>10</v>
      </c>
      <c r="J1552">
        <v>2</v>
      </c>
      <c r="K1552">
        <v>231</v>
      </c>
    </row>
    <row r="1553" spans="5:11" x14ac:dyDescent="0.25">
      <c r="E1553">
        <v>426</v>
      </c>
      <c r="F1553" s="7">
        <v>45153</v>
      </c>
      <c r="G1553" t="s">
        <v>7</v>
      </c>
      <c r="H1553">
        <v>25</v>
      </c>
      <c r="I1553" t="s">
        <v>11</v>
      </c>
      <c r="J1553">
        <v>1</v>
      </c>
      <c r="K1553">
        <v>25</v>
      </c>
    </row>
    <row r="1554" spans="5:11" x14ac:dyDescent="0.25">
      <c r="E1554">
        <v>982</v>
      </c>
      <c r="F1554" s="7">
        <v>45167</v>
      </c>
      <c r="G1554" t="s">
        <v>7</v>
      </c>
      <c r="H1554">
        <v>56</v>
      </c>
      <c r="I1554" t="s">
        <v>10</v>
      </c>
      <c r="J1554">
        <v>1</v>
      </c>
      <c r="K1554">
        <v>500</v>
      </c>
    </row>
    <row r="1555" spans="5:11" x14ac:dyDescent="0.25">
      <c r="E1555">
        <v>728</v>
      </c>
      <c r="F1555" s="7">
        <v>45142</v>
      </c>
      <c r="G1555" t="s">
        <v>9</v>
      </c>
      <c r="H1555">
        <v>36</v>
      </c>
      <c r="I1555" t="s">
        <v>10</v>
      </c>
      <c r="J1555">
        <v>2</v>
      </c>
      <c r="K1555">
        <v>25</v>
      </c>
    </row>
    <row r="1556" spans="5:11" x14ac:dyDescent="0.25">
      <c r="E1556">
        <v>1439</v>
      </c>
      <c r="F1556" s="7">
        <v>45368</v>
      </c>
      <c r="G1556" t="s">
        <v>9</v>
      </c>
      <c r="H1556">
        <v>23</v>
      </c>
      <c r="I1556" t="s">
        <v>10</v>
      </c>
      <c r="J1556">
        <v>3</v>
      </c>
      <c r="K1556">
        <v>377</v>
      </c>
    </row>
    <row r="1557" spans="5:11" x14ac:dyDescent="0.25">
      <c r="E1557">
        <v>418</v>
      </c>
      <c r="F1557" s="7">
        <v>45068</v>
      </c>
      <c r="G1557" t="s">
        <v>9</v>
      </c>
      <c r="H1557">
        <v>44</v>
      </c>
      <c r="I1557" t="s">
        <v>10</v>
      </c>
      <c r="J1557">
        <v>3</v>
      </c>
      <c r="K1557">
        <v>30</v>
      </c>
    </row>
    <row r="1558" spans="5:11" x14ac:dyDescent="0.25">
      <c r="E1558">
        <v>817</v>
      </c>
      <c r="F1558" s="7">
        <v>45092</v>
      </c>
      <c r="G1558" t="s">
        <v>9</v>
      </c>
      <c r="H1558">
        <v>35</v>
      </c>
      <c r="I1558" t="s">
        <v>8</v>
      </c>
      <c r="J1558">
        <v>2</v>
      </c>
      <c r="K1558">
        <v>50</v>
      </c>
    </row>
    <row r="1559" spans="5:11" x14ac:dyDescent="0.25">
      <c r="E1559">
        <v>1901</v>
      </c>
      <c r="F1559" s="7">
        <v>45384</v>
      </c>
      <c r="G1559" t="s">
        <v>7</v>
      </c>
      <c r="H1559">
        <v>52</v>
      </c>
      <c r="I1559" t="s">
        <v>8</v>
      </c>
      <c r="J1559">
        <v>3</v>
      </c>
      <c r="K1559">
        <v>298</v>
      </c>
    </row>
    <row r="1560" spans="5:11" x14ac:dyDescent="0.25">
      <c r="E1560">
        <v>1890</v>
      </c>
      <c r="F1560" s="7">
        <v>45540</v>
      </c>
      <c r="G1560" t="s">
        <v>7</v>
      </c>
      <c r="H1560">
        <v>63</v>
      </c>
      <c r="I1560" t="s">
        <v>11</v>
      </c>
      <c r="J1560">
        <v>5</v>
      </c>
      <c r="K1560">
        <v>467</v>
      </c>
    </row>
    <row r="1561" spans="5:11" x14ac:dyDescent="0.25">
      <c r="E1561">
        <v>1098</v>
      </c>
      <c r="F1561" s="7">
        <v>45459</v>
      </c>
      <c r="G1561" t="s">
        <v>7</v>
      </c>
      <c r="H1561">
        <v>27</v>
      </c>
      <c r="I1561" t="s">
        <v>11</v>
      </c>
      <c r="J1561">
        <v>6</v>
      </c>
      <c r="K1561">
        <v>96</v>
      </c>
    </row>
    <row r="1562" spans="5:11" x14ac:dyDescent="0.25">
      <c r="E1562">
        <v>1833</v>
      </c>
      <c r="F1562" s="7">
        <v>45474</v>
      </c>
      <c r="G1562" t="s">
        <v>7</v>
      </c>
      <c r="H1562">
        <v>65</v>
      </c>
      <c r="I1562" t="s">
        <v>8</v>
      </c>
      <c r="J1562">
        <v>4</v>
      </c>
      <c r="K1562">
        <v>24</v>
      </c>
    </row>
    <row r="1563" spans="5:11" x14ac:dyDescent="0.25">
      <c r="E1563">
        <v>1589</v>
      </c>
      <c r="F1563" s="7">
        <v>45315</v>
      </c>
      <c r="G1563" t="s">
        <v>9</v>
      </c>
      <c r="H1563">
        <v>54</v>
      </c>
      <c r="I1563" t="s">
        <v>8</v>
      </c>
      <c r="J1563">
        <v>7</v>
      </c>
      <c r="K1563">
        <v>320</v>
      </c>
    </row>
    <row r="1564" spans="5:11" x14ac:dyDescent="0.25">
      <c r="E1564">
        <v>1899</v>
      </c>
      <c r="F1564" s="7">
        <v>45409</v>
      </c>
      <c r="G1564" t="s">
        <v>9</v>
      </c>
      <c r="H1564">
        <v>53</v>
      </c>
      <c r="I1564" t="s">
        <v>8</v>
      </c>
      <c r="J1564">
        <v>2</v>
      </c>
      <c r="K1564">
        <v>70</v>
      </c>
    </row>
    <row r="1565" spans="5:11" x14ac:dyDescent="0.25">
      <c r="E1565">
        <v>789</v>
      </c>
      <c r="F1565" s="7">
        <v>45265</v>
      </c>
      <c r="G1565" t="s">
        <v>9</v>
      </c>
      <c r="H1565">
        <v>51</v>
      </c>
      <c r="I1565" t="s">
        <v>8</v>
      </c>
      <c r="J1565">
        <v>1</v>
      </c>
      <c r="K1565">
        <v>25</v>
      </c>
    </row>
    <row r="1566" spans="5:11" x14ac:dyDescent="0.25">
      <c r="E1566">
        <v>1536</v>
      </c>
      <c r="F1566" s="7">
        <v>45451</v>
      </c>
      <c r="G1566" t="s">
        <v>7</v>
      </c>
      <c r="H1566">
        <v>44</v>
      </c>
      <c r="I1566" t="s">
        <v>8</v>
      </c>
      <c r="J1566">
        <v>3</v>
      </c>
      <c r="K1566">
        <v>108</v>
      </c>
    </row>
    <row r="1567" spans="5:11" x14ac:dyDescent="0.25">
      <c r="E1567">
        <v>334</v>
      </c>
      <c r="F1567" s="7">
        <v>44961</v>
      </c>
      <c r="G1567" t="s">
        <v>9</v>
      </c>
      <c r="H1567">
        <v>47</v>
      </c>
      <c r="I1567" t="s">
        <v>8</v>
      </c>
      <c r="J1567">
        <v>4</v>
      </c>
      <c r="K1567">
        <v>30</v>
      </c>
    </row>
    <row r="1568" spans="5:11" x14ac:dyDescent="0.25">
      <c r="E1568">
        <v>275</v>
      </c>
      <c r="F1568" s="7">
        <v>45201</v>
      </c>
      <c r="G1568" t="s">
        <v>9</v>
      </c>
      <c r="H1568">
        <v>21</v>
      </c>
      <c r="I1568" t="s">
        <v>8</v>
      </c>
      <c r="J1568">
        <v>4</v>
      </c>
      <c r="K1568">
        <v>25</v>
      </c>
    </row>
    <row r="1569" spans="5:11" x14ac:dyDescent="0.25">
      <c r="E1569">
        <v>1543</v>
      </c>
      <c r="F1569" s="7">
        <v>45576</v>
      </c>
      <c r="G1569" t="s">
        <v>9</v>
      </c>
      <c r="H1569">
        <v>27</v>
      </c>
      <c r="I1569" t="s">
        <v>11</v>
      </c>
      <c r="J1569">
        <v>1</v>
      </c>
      <c r="K1569">
        <v>204</v>
      </c>
    </row>
    <row r="1570" spans="5:11" x14ac:dyDescent="0.25">
      <c r="E1570">
        <v>602</v>
      </c>
      <c r="F1570" s="7">
        <v>45123</v>
      </c>
      <c r="G1570" t="s">
        <v>9</v>
      </c>
      <c r="H1570">
        <v>40</v>
      </c>
      <c r="I1570" t="s">
        <v>10</v>
      </c>
      <c r="J1570">
        <v>3</v>
      </c>
      <c r="K1570">
        <v>30</v>
      </c>
    </row>
    <row r="1571" spans="5:11" x14ac:dyDescent="0.25">
      <c r="E1571">
        <v>468</v>
      </c>
      <c r="F1571" s="7">
        <v>45054</v>
      </c>
      <c r="G1571" t="s">
        <v>7</v>
      </c>
      <c r="H1571">
        <v>18</v>
      </c>
      <c r="I1571" t="s">
        <v>8</v>
      </c>
      <c r="J1571">
        <v>3</v>
      </c>
      <c r="K1571">
        <v>25</v>
      </c>
    </row>
    <row r="1572" spans="5:11" x14ac:dyDescent="0.25">
      <c r="E1572">
        <v>894</v>
      </c>
      <c r="F1572" s="7">
        <v>45228</v>
      </c>
      <c r="G1572" t="s">
        <v>9</v>
      </c>
      <c r="H1572">
        <v>30</v>
      </c>
      <c r="I1572" t="s">
        <v>11</v>
      </c>
      <c r="J1572">
        <v>2</v>
      </c>
      <c r="K1572">
        <v>25</v>
      </c>
    </row>
    <row r="1573" spans="5:11" x14ac:dyDescent="0.25">
      <c r="E1573">
        <v>1533</v>
      </c>
      <c r="F1573" s="7">
        <v>45356</v>
      </c>
      <c r="G1573" t="s">
        <v>9</v>
      </c>
      <c r="H1573">
        <v>42</v>
      </c>
      <c r="I1573" t="s">
        <v>8</v>
      </c>
      <c r="J1573">
        <v>4</v>
      </c>
      <c r="K1573">
        <v>129</v>
      </c>
    </row>
    <row r="1574" spans="5:11" x14ac:dyDescent="0.25">
      <c r="E1574">
        <v>1878</v>
      </c>
      <c r="F1574" s="7">
        <v>45449</v>
      </c>
      <c r="G1574" t="s">
        <v>9</v>
      </c>
      <c r="H1574">
        <v>49</v>
      </c>
      <c r="I1574" t="s">
        <v>11</v>
      </c>
      <c r="J1574">
        <v>6</v>
      </c>
      <c r="K1574">
        <v>496</v>
      </c>
    </row>
    <row r="1575" spans="5:11" x14ac:dyDescent="0.25">
      <c r="E1575">
        <v>1480</v>
      </c>
      <c r="F1575" s="7">
        <v>45407</v>
      </c>
      <c r="G1575" t="s">
        <v>7</v>
      </c>
      <c r="H1575">
        <v>37</v>
      </c>
      <c r="I1575" t="s">
        <v>10</v>
      </c>
      <c r="J1575">
        <v>7</v>
      </c>
      <c r="K1575">
        <v>370</v>
      </c>
    </row>
    <row r="1576" spans="5:11" x14ac:dyDescent="0.25">
      <c r="E1576">
        <v>215</v>
      </c>
      <c r="F1576" s="7">
        <v>45118</v>
      </c>
      <c r="G1576" t="s">
        <v>7</v>
      </c>
      <c r="H1576">
        <v>62</v>
      </c>
      <c r="I1576" t="s">
        <v>11</v>
      </c>
      <c r="J1576">
        <v>2</v>
      </c>
      <c r="K1576">
        <v>50</v>
      </c>
    </row>
    <row r="1577" spans="5:11" x14ac:dyDescent="0.25">
      <c r="E1577">
        <v>1513</v>
      </c>
      <c r="F1577" s="7">
        <v>45588</v>
      </c>
      <c r="G1577" t="s">
        <v>7</v>
      </c>
      <c r="H1577">
        <v>49</v>
      </c>
      <c r="I1577" t="s">
        <v>8</v>
      </c>
      <c r="J1577">
        <v>1</v>
      </c>
      <c r="K1577">
        <v>151</v>
      </c>
    </row>
    <row r="1578" spans="5:11" x14ac:dyDescent="0.25">
      <c r="E1578">
        <v>1588</v>
      </c>
      <c r="F1578" s="7">
        <v>45304</v>
      </c>
      <c r="G1578" t="s">
        <v>7</v>
      </c>
      <c r="H1578">
        <v>33</v>
      </c>
      <c r="I1578" t="s">
        <v>11</v>
      </c>
      <c r="J1578">
        <v>6</v>
      </c>
      <c r="K1578">
        <v>252</v>
      </c>
    </row>
    <row r="1579" spans="5:11" x14ac:dyDescent="0.25">
      <c r="E1579">
        <v>170</v>
      </c>
      <c r="F1579" s="7">
        <v>45079</v>
      </c>
      <c r="G1579" t="s">
        <v>9</v>
      </c>
      <c r="H1579">
        <v>25</v>
      </c>
      <c r="I1579" t="s">
        <v>10</v>
      </c>
      <c r="J1579">
        <v>2</v>
      </c>
      <c r="K1579">
        <v>25</v>
      </c>
    </row>
    <row r="1580" spans="5:11" x14ac:dyDescent="0.25">
      <c r="E1580">
        <v>744</v>
      </c>
      <c r="F1580" s="7">
        <v>44937</v>
      </c>
      <c r="G1580" t="s">
        <v>9</v>
      </c>
      <c r="H1580">
        <v>33</v>
      </c>
      <c r="I1580" t="s">
        <v>10</v>
      </c>
      <c r="J1580">
        <v>3</v>
      </c>
      <c r="K1580">
        <v>30</v>
      </c>
    </row>
    <row r="1581" spans="5:11" x14ac:dyDescent="0.25">
      <c r="E1581">
        <v>108</v>
      </c>
      <c r="F1581" s="7">
        <v>45035</v>
      </c>
      <c r="G1581" t="s">
        <v>9</v>
      </c>
      <c r="H1581">
        <v>27</v>
      </c>
      <c r="I1581" t="s">
        <v>8</v>
      </c>
      <c r="J1581">
        <v>3</v>
      </c>
      <c r="K1581">
        <v>25</v>
      </c>
    </row>
    <row r="1582" spans="5:11" x14ac:dyDescent="0.25">
      <c r="E1582">
        <v>558</v>
      </c>
      <c r="F1582" s="7">
        <v>44927</v>
      </c>
      <c r="G1582" t="s">
        <v>9</v>
      </c>
      <c r="H1582">
        <v>40</v>
      </c>
      <c r="I1582" t="s">
        <v>10</v>
      </c>
      <c r="J1582">
        <v>4</v>
      </c>
      <c r="K1582">
        <v>300</v>
      </c>
    </row>
    <row r="1583" spans="5:11" x14ac:dyDescent="0.25">
      <c r="E1583">
        <v>1075</v>
      </c>
      <c r="F1583" s="7">
        <v>45482</v>
      </c>
      <c r="G1583" t="s">
        <v>9</v>
      </c>
      <c r="H1583">
        <v>53</v>
      </c>
      <c r="I1583" t="s">
        <v>10</v>
      </c>
      <c r="J1583">
        <v>2</v>
      </c>
      <c r="K1583">
        <v>352</v>
      </c>
    </row>
    <row r="1584" spans="5:11" x14ac:dyDescent="0.25">
      <c r="E1584">
        <v>346</v>
      </c>
      <c r="F1584" s="7">
        <v>45141</v>
      </c>
      <c r="G1584" t="s">
        <v>7</v>
      </c>
      <c r="H1584">
        <v>42</v>
      </c>
      <c r="I1584" t="s">
        <v>11</v>
      </c>
      <c r="J1584">
        <v>1</v>
      </c>
      <c r="K1584">
        <v>25</v>
      </c>
    </row>
    <row r="1585" spans="5:11" x14ac:dyDescent="0.25">
      <c r="E1585">
        <v>1951</v>
      </c>
      <c r="F1585" s="7">
        <v>45487</v>
      </c>
      <c r="G1585" t="s">
        <v>7</v>
      </c>
      <c r="H1585">
        <v>20</v>
      </c>
      <c r="I1585" t="s">
        <v>10</v>
      </c>
      <c r="J1585">
        <v>7</v>
      </c>
      <c r="K1585">
        <v>394</v>
      </c>
    </row>
    <row r="1586" spans="5:11" x14ac:dyDescent="0.25">
      <c r="E1586">
        <v>1557</v>
      </c>
      <c r="F1586" s="7">
        <v>45448</v>
      </c>
      <c r="G1586" t="s">
        <v>9</v>
      </c>
      <c r="H1586">
        <v>55</v>
      </c>
      <c r="I1586" t="s">
        <v>11</v>
      </c>
      <c r="J1586">
        <v>2</v>
      </c>
      <c r="K1586">
        <v>211</v>
      </c>
    </row>
    <row r="1587" spans="5:11" x14ac:dyDescent="0.25">
      <c r="E1587">
        <v>962</v>
      </c>
      <c r="F1587" s="7">
        <v>44957</v>
      </c>
      <c r="G1587" t="s">
        <v>7</v>
      </c>
      <c r="H1587">
        <v>24</v>
      </c>
      <c r="I1587" t="s">
        <v>10</v>
      </c>
      <c r="J1587">
        <v>3</v>
      </c>
      <c r="K1587">
        <v>300</v>
      </c>
    </row>
    <row r="1588" spans="5:11" x14ac:dyDescent="0.25">
      <c r="E1588">
        <v>1425</v>
      </c>
      <c r="F1588" s="7">
        <v>45575</v>
      </c>
      <c r="G1588" t="s">
        <v>9</v>
      </c>
      <c r="H1588">
        <v>57</v>
      </c>
      <c r="I1588" t="s">
        <v>11</v>
      </c>
      <c r="J1588">
        <v>3</v>
      </c>
      <c r="K1588">
        <v>30</v>
      </c>
    </row>
    <row r="1589" spans="5:11" x14ac:dyDescent="0.25">
      <c r="E1589">
        <v>328</v>
      </c>
      <c r="F1589" s="7">
        <v>44956</v>
      </c>
      <c r="G1589" t="s">
        <v>9</v>
      </c>
      <c r="H1589">
        <v>46</v>
      </c>
      <c r="I1589" t="s">
        <v>11</v>
      </c>
      <c r="J1589">
        <v>4</v>
      </c>
      <c r="K1589">
        <v>25</v>
      </c>
    </row>
    <row r="1590" spans="5:11" x14ac:dyDescent="0.25">
      <c r="E1590">
        <v>501</v>
      </c>
      <c r="F1590" s="7">
        <v>45018</v>
      </c>
      <c r="G1590" t="s">
        <v>7</v>
      </c>
      <c r="H1590">
        <v>43</v>
      </c>
      <c r="I1590" t="s">
        <v>11</v>
      </c>
      <c r="J1590">
        <v>3</v>
      </c>
      <c r="K1590">
        <v>50</v>
      </c>
    </row>
    <row r="1591" spans="5:11" x14ac:dyDescent="0.25">
      <c r="E1591">
        <v>1585</v>
      </c>
      <c r="F1591" s="7">
        <v>45408</v>
      </c>
      <c r="G1591" t="s">
        <v>7</v>
      </c>
      <c r="H1591">
        <v>41</v>
      </c>
      <c r="I1591" t="s">
        <v>11</v>
      </c>
      <c r="J1591">
        <v>7</v>
      </c>
      <c r="K1591">
        <v>186</v>
      </c>
    </row>
    <row r="1592" spans="5:11" x14ac:dyDescent="0.25">
      <c r="E1592">
        <v>1535</v>
      </c>
      <c r="F1592" s="7">
        <v>45552</v>
      </c>
      <c r="G1592" t="s">
        <v>7</v>
      </c>
      <c r="H1592">
        <v>31</v>
      </c>
      <c r="I1592" t="s">
        <v>10</v>
      </c>
      <c r="J1592">
        <v>2</v>
      </c>
      <c r="K1592">
        <v>281</v>
      </c>
    </row>
    <row r="1593" spans="5:11" x14ac:dyDescent="0.25">
      <c r="E1593">
        <v>89</v>
      </c>
      <c r="F1593" s="7">
        <v>45200</v>
      </c>
      <c r="G1593" t="s">
        <v>9</v>
      </c>
      <c r="H1593">
        <v>55</v>
      </c>
      <c r="I1593" t="s">
        <v>11</v>
      </c>
      <c r="J1593">
        <v>4</v>
      </c>
      <c r="K1593">
        <v>500</v>
      </c>
    </row>
    <row r="1594" spans="5:11" x14ac:dyDescent="0.25">
      <c r="E1594">
        <v>145</v>
      </c>
      <c r="F1594" s="7">
        <v>45232</v>
      </c>
      <c r="G1594" t="s">
        <v>9</v>
      </c>
      <c r="H1594">
        <v>39</v>
      </c>
      <c r="I1594" t="s">
        <v>10</v>
      </c>
      <c r="J1594">
        <v>3</v>
      </c>
      <c r="K1594">
        <v>25</v>
      </c>
    </row>
    <row r="1595" spans="5:11" x14ac:dyDescent="0.25">
      <c r="E1595">
        <v>1436</v>
      </c>
      <c r="F1595" s="7">
        <v>45482</v>
      </c>
      <c r="G1595" t="s">
        <v>7</v>
      </c>
      <c r="H1595">
        <v>29</v>
      </c>
      <c r="I1595" t="s">
        <v>10</v>
      </c>
      <c r="J1595">
        <v>7</v>
      </c>
      <c r="K1595">
        <v>466</v>
      </c>
    </row>
    <row r="1596" spans="5:11" x14ac:dyDescent="0.25">
      <c r="E1596">
        <v>1213</v>
      </c>
      <c r="F1596" s="7">
        <v>45484</v>
      </c>
      <c r="G1596" t="s">
        <v>7</v>
      </c>
      <c r="H1596">
        <v>56</v>
      </c>
      <c r="I1596" t="s">
        <v>11</v>
      </c>
      <c r="J1596">
        <v>2</v>
      </c>
      <c r="K1596">
        <v>264</v>
      </c>
    </row>
    <row r="1597" spans="5:11" x14ac:dyDescent="0.25">
      <c r="E1597">
        <v>1086</v>
      </c>
      <c r="F1597" s="7">
        <v>45380</v>
      </c>
      <c r="G1597" t="s">
        <v>7</v>
      </c>
      <c r="H1597">
        <v>23</v>
      </c>
      <c r="I1597" t="s">
        <v>10</v>
      </c>
      <c r="J1597">
        <v>4</v>
      </c>
      <c r="K1597">
        <v>198</v>
      </c>
    </row>
    <row r="1598" spans="5:11" x14ac:dyDescent="0.25">
      <c r="E1598">
        <v>1936</v>
      </c>
      <c r="F1598" s="7">
        <v>45319</v>
      </c>
      <c r="G1598" t="s">
        <v>9</v>
      </c>
      <c r="H1598">
        <v>35</v>
      </c>
      <c r="I1598" t="s">
        <v>11</v>
      </c>
      <c r="J1598">
        <v>3</v>
      </c>
      <c r="K1598">
        <v>212</v>
      </c>
    </row>
    <row r="1599" spans="5:11" x14ac:dyDescent="0.25">
      <c r="E1599">
        <v>1565</v>
      </c>
      <c r="F1599" s="7">
        <v>45531</v>
      </c>
      <c r="G1599" t="s">
        <v>9</v>
      </c>
      <c r="H1599">
        <v>18</v>
      </c>
      <c r="I1599" t="s">
        <v>11</v>
      </c>
      <c r="J1599">
        <v>1</v>
      </c>
      <c r="K1599">
        <v>477</v>
      </c>
    </row>
    <row r="1600" spans="5:11" x14ac:dyDescent="0.25">
      <c r="E1600">
        <v>1467</v>
      </c>
      <c r="F1600" s="7">
        <v>45429</v>
      </c>
      <c r="G1600" t="s">
        <v>9</v>
      </c>
      <c r="H1600">
        <v>18</v>
      </c>
      <c r="I1600" t="s">
        <v>10</v>
      </c>
      <c r="J1600">
        <v>2</v>
      </c>
      <c r="K1600">
        <v>186</v>
      </c>
    </row>
    <row r="1601" spans="5:11" x14ac:dyDescent="0.25">
      <c r="E1601">
        <v>1609</v>
      </c>
      <c r="F1601" s="7">
        <v>45510</v>
      </c>
      <c r="G1601" t="s">
        <v>9</v>
      </c>
      <c r="H1601">
        <v>52</v>
      </c>
      <c r="I1601" t="s">
        <v>11</v>
      </c>
      <c r="J1601">
        <v>5</v>
      </c>
      <c r="K1601">
        <v>135</v>
      </c>
    </row>
    <row r="1602" spans="5:11" x14ac:dyDescent="0.25">
      <c r="E1602">
        <v>140</v>
      </c>
      <c r="F1602" s="7">
        <v>45143</v>
      </c>
      <c r="G1602" t="s">
        <v>7</v>
      </c>
      <c r="H1602">
        <v>38</v>
      </c>
      <c r="I1602" t="s">
        <v>11</v>
      </c>
      <c r="J1602">
        <v>1</v>
      </c>
      <c r="K1602">
        <v>30</v>
      </c>
    </row>
    <row r="1603" spans="5:11" x14ac:dyDescent="0.25">
      <c r="E1603">
        <v>135</v>
      </c>
      <c r="F1603" s="7">
        <v>44983</v>
      </c>
      <c r="G1603" t="s">
        <v>7</v>
      </c>
      <c r="H1603">
        <v>20</v>
      </c>
      <c r="I1603" t="s">
        <v>10</v>
      </c>
      <c r="J1603">
        <v>2</v>
      </c>
      <c r="K1603">
        <v>25</v>
      </c>
    </row>
    <row r="1604" spans="5:11" x14ac:dyDescent="0.25">
      <c r="E1604">
        <v>75</v>
      </c>
      <c r="F1604" s="7">
        <v>45113</v>
      </c>
      <c r="G1604" t="s">
        <v>7</v>
      </c>
      <c r="H1604">
        <v>61</v>
      </c>
      <c r="I1604" t="s">
        <v>8</v>
      </c>
      <c r="J1604">
        <v>4</v>
      </c>
      <c r="K1604">
        <v>50</v>
      </c>
    </row>
    <row r="1605" spans="5:11" x14ac:dyDescent="0.25">
      <c r="E1605">
        <v>1973</v>
      </c>
      <c r="F1605" s="7">
        <v>45330</v>
      </c>
      <c r="G1605" t="s">
        <v>9</v>
      </c>
      <c r="H1605">
        <v>19</v>
      </c>
      <c r="I1605" t="s">
        <v>11</v>
      </c>
      <c r="J1605">
        <v>4</v>
      </c>
      <c r="K1605">
        <v>388</v>
      </c>
    </row>
    <row r="1606" spans="5:11" x14ac:dyDescent="0.25">
      <c r="E1606">
        <v>1292</v>
      </c>
      <c r="F1606" s="7">
        <v>45501</v>
      </c>
      <c r="G1606" t="s">
        <v>9</v>
      </c>
      <c r="H1606">
        <v>32</v>
      </c>
      <c r="I1606" t="s">
        <v>8</v>
      </c>
      <c r="J1606">
        <v>3</v>
      </c>
      <c r="K1606">
        <v>229</v>
      </c>
    </row>
    <row r="1607" spans="5:11" x14ac:dyDescent="0.25">
      <c r="E1607">
        <v>1273</v>
      </c>
      <c r="F1607" s="7">
        <v>45567</v>
      </c>
      <c r="G1607" t="s">
        <v>9</v>
      </c>
      <c r="H1607">
        <v>34</v>
      </c>
      <c r="I1607" t="s">
        <v>8</v>
      </c>
      <c r="J1607">
        <v>5</v>
      </c>
      <c r="K1607">
        <v>304</v>
      </c>
    </row>
    <row r="1608" spans="5:11" x14ac:dyDescent="0.25">
      <c r="E1608">
        <v>1879</v>
      </c>
      <c r="F1608" s="7">
        <v>45421</v>
      </c>
      <c r="G1608" t="s">
        <v>7</v>
      </c>
      <c r="H1608">
        <v>61</v>
      </c>
      <c r="I1608" t="s">
        <v>11</v>
      </c>
      <c r="J1608">
        <v>6</v>
      </c>
      <c r="K1608">
        <v>254</v>
      </c>
    </row>
    <row r="1609" spans="5:11" x14ac:dyDescent="0.25">
      <c r="E1609">
        <v>964</v>
      </c>
      <c r="F1609" s="7">
        <v>44977</v>
      </c>
      <c r="G1609" t="s">
        <v>7</v>
      </c>
      <c r="H1609">
        <v>60</v>
      </c>
      <c r="I1609" t="s">
        <v>11</v>
      </c>
      <c r="J1609">
        <v>2</v>
      </c>
      <c r="K1609">
        <v>500</v>
      </c>
    </row>
    <row r="1610" spans="5:11" x14ac:dyDescent="0.25">
      <c r="E1610">
        <v>1932</v>
      </c>
      <c r="F1610" s="7">
        <v>45329</v>
      </c>
      <c r="G1610" t="s">
        <v>7</v>
      </c>
      <c r="H1610">
        <v>38</v>
      </c>
      <c r="I1610" t="s">
        <v>8</v>
      </c>
      <c r="J1610">
        <v>6</v>
      </c>
      <c r="K1610">
        <v>497</v>
      </c>
    </row>
    <row r="1611" spans="5:11" x14ac:dyDescent="0.25">
      <c r="E1611">
        <v>1248</v>
      </c>
      <c r="F1611" s="7">
        <v>45535</v>
      </c>
      <c r="G1611" t="s">
        <v>9</v>
      </c>
      <c r="H1611">
        <v>46</v>
      </c>
      <c r="I1611" t="s">
        <v>8</v>
      </c>
      <c r="J1611">
        <v>5</v>
      </c>
      <c r="K1611">
        <v>106</v>
      </c>
    </row>
    <row r="1612" spans="5:11" x14ac:dyDescent="0.25">
      <c r="E1612">
        <v>936</v>
      </c>
      <c r="F1612" s="7">
        <v>45249</v>
      </c>
      <c r="G1612" t="s">
        <v>7</v>
      </c>
      <c r="H1612">
        <v>49</v>
      </c>
      <c r="I1612" t="s">
        <v>10</v>
      </c>
      <c r="J1612">
        <v>4</v>
      </c>
      <c r="K1612">
        <v>50</v>
      </c>
    </row>
    <row r="1613" spans="5:11" x14ac:dyDescent="0.25">
      <c r="E1613">
        <v>1666</v>
      </c>
      <c r="F1613" s="7">
        <v>45570</v>
      </c>
      <c r="G1613" t="s">
        <v>7</v>
      </c>
      <c r="H1613">
        <v>19</v>
      </c>
      <c r="I1613" t="s">
        <v>8</v>
      </c>
      <c r="J1613">
        <v>2</v>
      </c>
      <c r="K1613">
        <v>285</v>
      </c>
    </row>
    <row r="1614" spans="5:11" x14ac:dyDescent="0.25">
      <c r="E1614">
        <v>66</v>
      </c>
      <c r="F1614" s="7">
        <v>45043</v>
      </c>
      <c r="G1614" t="s">
        <v>9</v>
      </c>
      <c r="H1614">
        <v>45</v>
      </c>
      <c r="I1614" t="s">
        <v>11</v>
      </c>
      <c r="J1614">
        <v>1</v>
      </c>
      <c r="K1614">
        <v>30</v>
      </c>
    </row>
    <row r="1615" spans="5:11" x14ac:dyDescent="0.25">
      <c r="E1615">
        <v>1262</v>
      </c>
      <c r="F1615" s="7">
        <v>45637</v>
      </c>
      <c r="G1615" t="s">
        <v>7</v>
      </c>
      <c r="H1615">
        <v>24</v>
      </c>
      <c r="I1615" t="s">
        <v>10</v>
      </c>
      <c r="J1615">
        <v>5</v>
      </c>
      <c r="K1615">
        <v>365</v>
      </c>
    </row>
    <row r="1616" spans="5:11" x14ac:dyDescent="0.25">
      <c r="E1616">
        <v>1085</v>
      </c>
      <c r="F1616" s="7">
        <v>45618</v>
      </c>
      <c r="G1616" t="s">
        <v>9</v>
      </c>
      <c r="H1616">
        <v>38</v>
      </c>
      <c r="I1616" t="s">
        <v>8</v>
      </c>
      <c r="J1616">
        <v>6</v>
      </c>
      <c r="K1616">
        <v>34</v>
      </c>
    </row>
    <row r="1617" spans="5:11" x14ac:dyDescent="0.25">
      <c r="E1617">
        <v>465</v>
      </c>
      <c r="F1617" s="7">
        <v>45097</v>
      </c>
      <c r="G1617" t="s">
        <v>7</v>
      </c>
      <c r="H1617">
        <v>63</v>
      </c>
      <c r="I1617" t="s">
        <v>11</v>
      </c>
      <c r="J1617">
        <v>4</v>
      </c>
      <c r="K1617">
        <v>25</v>
      </c>
    </row>
    <row r="1618" spans="5:11" x14ac:dyDescent="0.25">
      <c r="E1618">
        <v>1389</v>
      </c>
      <c r="F1618" s="7">
        <v>45634</v>
      </c>
      <c r="G1618" t="s">
        <v>7</v>
      </c>
      <c r="H1618">
        <v>27</v>
      </c>
      <c r="I1618" t="s">
        <v>10</v>
      </c>
      <c r="J1618">
        <v>1</v>
      </c>
      <c r="K1618">
        <v>268</v>
      </c>
    </row>
    <row r="1619" spans="5:11" x14ac:dyDescent="0.25">
      <c r="E1619">
        <v>520</v>
      </c>
      <c r="F1619" s="7">
        <v>45150</v>
      </c>
      <c r="G1619" t="s">
        <v>9</v>
      </c>
      <c r="H1619">
        <v>47</v>
      </c>
      <c r="I1619" t="s">
        <v>10</v>
      </c>
      <c r="J1619">
        <v>4</v>
      </c>
      <c r="K1619">
        <v>30</v>
      </c>
    </row>
    <row r="1620" spans="5:11" x14ac:dyDescent="0.25">
      <c r="E1620">
        <v>1694</v>
      </c>
      <c r="F1620" s="7">
        <v>45492</v>
      </c>
      <c r="G1620" t="s">
        <v>9</v>
      </c>
      <c r="H1620">
        <v>42</v>
      </c>
      <c r="I1620" t="s">
        <v>11</v>
      </c>
      <c r="J1620">
        <v>5</v>
      </c>
      <c r="K1620">
        <v>34</v>
      </c>
    </row>
    <row r="1621" spans="5:11" x14ac:dyDescent="0.25">
      <c r="E1621">
        <v>1110</v>
      </c>
      <c r="F1621" s="7">
        <v>45628</v>
      </c>
      <c r="G1621" t="s">
        <v>7</v>
      </c>
      <c r="H1621">
        <v>26</v>
      </c>
      <c r="I1621" t="s">
        <v>10</v>
      </c>
      <c r="J1621">
        <v>4</v>
      </c>
      <c r="K1621">
        <v>100</v>
      </c>
    </row>
    <row r="1622" spans="5:11" x14ac:dyDescent="0.25">
      <c r="E1622">
        <v>1527</v>
      </c>
      <c r="F1622" s="7">
        <v>45327</v>
      </c>
      <c r="G1622" t="s">
        <v>9</v>
      </c>
      <c r="H1622">
        <v>29</v>
      </c>
      <c r="I1622" t="s">
        <v>11</v>
      </c>
      <c r="J1622">
        <v>5</v>
      </c>
      <c r="K1622">
        <v>468</v>
      </c>
    </row>
    <row r="1623" spans="5:11" x14ac:dyDescent="0.25">
      <c r="E1623">
        <v>1471</v>
      </c>
      <c r="F1623" s="7">
        <v>45488</v>
      </c>
      <c r="G1623" t="s">
        <v>9</v>
      </c>
      <c r="H1623">
        <v>60</v>
      </c>
      <c r="I1623" t="s">
        <v>10</v>
      </c>
      <c r="J1623">
        <v>4</v>
      </c>
      <c r="K1623">
        <v>243</v>
      </c>
    </row>
    <row r="1624" spans="5:11" x14ac:dyDescent="0.25">
      <c r="E1624">
        <v>514</v>
      </c>
      <c r="F1624" s="7">
        <v>45124</v>
      </c>
      <c r="G1624" t="s">
        <v>9</v>
      </c>
      <c r="H1624">
        <v>49</v>
      </c>
      <c r="I1624" t="s">
        <v>10</v>
      </c>
      <c r="J1624">
        <v>3</v>
      </c>
      <c r="K1624">
        <v>300</v>
      </c>
    </row>
    <row r="1625" spans="5:11" x14ac:dyDescent="0.25">
      <c r="E1625">
        <v>581</v>
      </c>
      <c r="F1625" s="7">
        <v>45244</v>
      </c>
      <c r="G1625" t="s">
        <v>7</v>
      </c>
      <c r="H1625">
        <v>35</v>
      </c>
      <c r="I1625" t="s">
        <v>10</v>
      </c>
      <c r="J1625">
        <v>3</v>
      </c>
      <c r="K1625">
        <v>300</v>
      </c>
    </row>
    <row r="1626" spans="5:11" x14ac:dyDescent="0.25">
      <c r="E1626">
        <v>1047</v>
      </c>
      <c r="F1626" s="7">
        <v>45314</v>
      </c>
      <c r="G1626" t="s">
        <v>9</v>
      </c>
      <c r="H1626">
        <v>26</v>
      </c>
      <c r="I1626" t="s">
        <v>11</v>
      </c>
      <c r="J1626">
        <v>6</v>
      </c>
      <c r="K1626">
        <v>301</v>
      </c>
    </row>
    <row r="1627" spans="5:11" x14ac:dyDescent="0.25">
      <c r="E1627">
        <v>1349</v>
      </c>
      <c r="F1627" s="7">
        <v>45454</v>
      </c>
      <c r="G1627" t="s">
        <v>7</v>
      </c>
      <c r="H1627">
        <v>18</v>
      </c>
      <c r="I1627" t="s">
        <v>11</v>
      </c>
      <c r="J1627">
        <v>4</v>
      </c>
      <c r="K1627">
        <v>180</v>
      </c>
    </row>
    <row r="1628" spans="5:11" x14ac:dyDescent="0.25">
      <c r="E1628">
        <v>106</v>
      </c>
      <c r="F1628" s="7">
        <v>45064</v>
      </c>
      <c r="G1628" t="s">
        <v>9</v>
      </c>
      <c r="H1628">
        <v>46</v>
      </c>
      <c r="I1628" t="s">
        <v>10</v>
      </c>
      <c r="J1628">
        <v>1</v>
      </c>
      <c r="K1628">
        <v>50</v>
      </c>
    </row>
    <row r="1629" spans="5:11" x14ac:dyDescent="0.25">
      <c r="E1629">
        <v>775</v>
      </c>
      <c r="F1629" s="7">
        <v>45280</v>
      </c>
      <c r="G1629" t="s">
        <v>7</v>
      </c>
      <c r="H1629">
        <v>48</v>
      </c>
      <c r="I1629" t="s">
        <v>11</v>
      </c>
      <c r="J1629">
        <v>3</v>
      </c>
      <c r="K1629">
        <v>50</v>
      </c>
    </row>
    <row r="1630" spans="5:11" x14ac:dyDescent="0.25">
      <c r="E1630">
        <v>753</v>
      </c>
      <c r="F1630" s="7">
        <v>45038</v>
      </c>
      <c r="G1630" t="s">
        <v>9</v>
      </c>
      <c r="H1630">
        <v>58</v>
      </c>
      <c r="I1630" t="s">
        <v>10</v>
      </c>
      <c r="J1630">
        <v>3</v>
      </c>
      <c r="K1630">
        <v>25</v>
      </c>
    </row>
    <row r="1631" spans="5:11" x14ac:dyDescent="0.25">
      <c r="E1631">
        <v>123</v>
      </c>
      <c r="F1631" s="7">
        <v>45061</v>
      </c>
      <c r="G1631" t="s">
        <v>9</v>
      </c>
      <c r="H1631">
        <v>40</v>
      </c>
      <c r="I1631" t="s">
        <v>11</v>
      </c>
      <c r="J1631">
        <v>2</v>
      </c>
      <c r="K1631">
        <v>30</v>
      </c>
    </row>
    <row r="1632" spans="5:11" x14ac:dyDescent="0.25">
      <c r="E1632">
        <v>592</v>
      </c>
      <c r="F1632" s="7">
        <v>45052</v>
      </c>
      <c r="G1632" t="s">
        <v>7</v>
      </c>
      <c r="H1632">
        <v>35</v>
      </c>
      <c r="I1632" t="s">
        <v>11</v>
      </c>
      <c r="J1632">
        <v>2</v>
      </c>
      <c r="K1632">
        <v>30</v>
      </c>
    </row>
    <row r="1633" spans="5:11" x14ac:dyDescent="0.25">
      <c r="E1633">
        <v>580</v>
      </c>
      <c r="F1633" s="7">
        <v>45251</v>
      </c>
      <c r="G1633" t="s">
        <v>9</v>
      </c>
      <c r="H1633">
        <v>48</v>
      </c>
      <c r="I1633" t="s">
        <v>8</v>
      </c>
      <c r="J1633">
        <v>2</v>
      </c>
      <c r="K1633">
        <v>30</v>
      </c>
    </row>
    <row r="1634" spans="5:11" x14ac:dyDescent="0.25">
      <c r="E1634">
        <v>43</v>
      </c>
      <c r="F1634" s="7">
        <v>45121</v>
      </c>
      <c r="G1634" t="s">
        <v>9</v>
      </c>
      <c r="H1634">
        <v>48</v>
      </c>
      <c r="I1634" t="s">
        <v>10</v>
      </c>
      <c r="J1634">
        <v>1</v>
      </c>
      <c r="K1634">
        <v>300</v>
      </c>
    </row>
    <row r="1635" spans="5:11" x14ac:dyDescent="0.25">
      <c r="E1635">
        <v>630</v>
      </c>
      <c r="F1635" s="7">
        <v>45240</v>
      </c>
      <c r="G1635" t="s">
        <v>7</v>
      </c>
      <c r="H1635">
        <v>56</v>
      </c>
      <c r="I1635" t="s">
        <v>11</v>
      </c>
      <c r="J1635">
        <v>3</v>
      </c>
      <c r="K1635">
        <v>30</v>
      </c>
    </row>
    <row r="1636" spans="5:11" x14ac:dyDescent="0.25">
      <c r="E1636">
        <v>1218</v>
      </c>
      <c r="F1636" s="7">
        <v>45419</v>
      </c>
      <c r="G1636" t="s">
        <v>7</v>
      </c>
      <c r="H1636">
        <v>64</v>
      </c>
      <c r="I1636" t="s">
        <v>8</v>
      </c>
      <c r="J1636">
        <v>3</v>
      </c>
      <c r="K1636">
        <v>188</v>
      </c>
    </row>
    <row r="1637" spans="5:11" x14ac:dyDescent="0.25">
      <c r="E1637">
        <v>885</v>
      </c>
      <c r="F1637" s="7">
        <v>45088</v>
      </c>
      <c r="G1637" t="s">
        <v>7</v>
      </c>
      <c r="H1637">
        <v>59</v>
      </c>
      <c r="I1637" t="s">
        <v>10</v>
      </c>
      <c r="J1637">
        <v>4</v>
      </c>
      <c r="K1637">
        <v>25</v>
      </c>
    </row>
    <row r="1638" spans="5:11" x14ac:dyDescent="0.25">
      <c r="E1638">
        <v>868</v>
      </c>
      <c r="F1638" s="7">
        <v>45115</v>
      </c>
      <c r="G1638" t="s">
        <v>9</v>
      </c>
      <c r="H1638">
        <v>46</v>
      </c>
      <c r="I1638" t="s">
        <v>11</v>
      </c>
      <c r="J1638">
        <v>4</v>
      </c>
      <c r="K1638">
        <v>30</v>
      </c>
    </row>
    <row r="1639" spans="5:11" x14ac:dyDescent="0.25">
      <c r="E1639">
        <v>99</v>
      </c>
      <c r="F1639" s="7">
        <v>45277</v>
      </c>
      <c r="G1639" t="s">
        <v>9</v>
      </c>
      <c r="H1639">
        <v>50</v>
      </c>
      <c r="I1639" t="s">
        <v>11</v>
      </c>
      <c r="J1639">
        <v>4</v>
      </c>
      <c r="K1639">
        <v>300</v>
      </c>
    </row>
    <row r="1640" spans="5:11" x14ac:dyDescent="0.25">
      <c r="E1640">
        <v>179</v>
      </c>
      <c r="F1640" s="7">
        <v>45198</v>
      </c>
      <c r="G1640" t="s">
        <v>7</v>
      </c>
      <c r="H1640">
        <v>31</v>
      </c>
      <c r="I1640" t="s">
        <v>11</v>
      </c>
      <c r="J1640">
        <v>1</v>
      </c>
      <c r="K1640">
        <v>300</v>
      </c>
    </row>
    <row r="1641" spans="5:11" x14ac:dyDescent="0.25">
      <c r="E1641">
        <v>53</v>
      </c>
      <c r="F1641" s="7">
        <v>45120</v>
      </c>
      <c r="G1641" t="s">
        <v>7</v>
      </c>
      <c r="H1641">
        <v>34</v>
      </c>
      <c r="I1641" t="s">
        <v>11</v>
      </c>
      <c r="J1641">
        <v>2</v>
      </c>
      <c r="K1641">
        <v>50</v>
      </c>
    </row>
    <row r="1642" spans="5:11" x14ac:dyDescent="0.25">
      <c r="E1642">
        <v>607</v>
      </c>
      <c r="F1642" s="7">
        <v>45262</v>
      </c>
      <c r="G1642" t="s">
        <v>9</v>
      </c>
      <c r="H1642">
        <v>55</v>
      </c>
      <c r="I1642" t="s">
        <v>11</v>
      </c>
      <c r="J1642">
        <v>3</v>
      </c>
      <c r="K1642">
        <v>500</v>
      </c>
    </row>
    <row r="1643" spans="5:11" x14ac:dyDescent="0.25">
      <c r="E1643">
        <v>249</v>
      </c>
      <c r="F1643" s="7">
        <v>45222</v>
      </c>
      <c r="G1643" t="s">
        <v>7</v>
      </c>
      <c r="H1643">
        <v>48</v>
      </c>
      <c r="I1643" t="s">
        <v>11</v>
      </c>
      <c r="J1643">
        <v>1</v>
      </c>
      <c r="K1643">
        <v>50</v>
      </c>
    </row>
    <row r="1644" spans="5:11" x14ac:dyDescent="0.25">
      <c r="E1644">
        <v>1197</v>
      </c>
      <c r="F1644" s="7">
        <v>45630</v>
      </c>
      <c r="G1644" t="s">
        <v>7</v>
      </c>
      <c r="H1644">
        <v>32</v>
      </c>
      <c r="I1644" t="s">
        <v>8</v>
      </c>
      <c r="J1644">
        <v>6</v>
      </c>
      <c r="K1644">
        <v>11</v>
      </c>
    </row>
    <row r="1645" spans="5:11" x14ac:dyDescent="0.25">
      <c r="E1645">
        <v>1560</v>
      </c>
      <c r="F1645" s="7">
        <v>45513</v>
      </c>
      <c r="G1645" t="s">
        <v>7</v>
      </c>
      <c r="H1645">
        <v>26</v>
      </c>
      <c r="I1645" t="s">
        <v>10</v>
      </c>
      <c r="J1645">
        <v>6</v>
      </c>
      <c r="K1645">
        <v>246</v>
      </c>
    </row>
    <row r="1646" spans="5:11" x14ac:dyDescent="0.25">
      <c r="E1646">
        <v>1061</v>
      </c>
      <c r="F1646" s="7">
        <v>45327</v>
      </c>
      <c r="G1646" t="s">
        <v>7</v>
      </c>
      <c r="H1646">
        <v>29</v>
      </c>
      <c r="I1646" t="s">
        <v>11</v>
      </c>
      <c r="J1646">
        <v>1</v>
      </c>
      <c r="K1646">
        <v>213</v>
      </c>
    </row>
    <row r="1647" spans="5:11" x14ac:dyDescent="0.25">
      <c r="E1647">
        <v>444</v>
      </c>
      <c r="F1647" s="7">
        <v>44948</v>
      </c>
      <c r="G1647" t="s">
        <v>9</v>
      </c>
      <c r="H1647">
        <v>53</v>
      </c>
      <c r="I1647" t="s">
        <v>11</v>
      </c>
      <c r="J1647">
        <v>1</v>
      </c>
      <c r="K1647">
        <v>300</v>
      </c>
    </row>
    <row r="1648" spans="5:11" x14ac:dyDescent="0.25">
      <c r="E1648">
        <v>1317</v>
      </c>
      <c r="F1648" s="7">
        <v>45323</v>
      </c>
      <c r="G1648" t="s">
        <v>9</v>
      </c>
      <c r="H1648">
        <v>36</v>
      </c>
      <c r="I1648" t="s">
        <v>11</v>
      </c>
      <c r="J1648">
        <v>1</v>
      </c>
      <c r="K1648">
        <v>84</v>
      </c>
    </row>
    <row r="1649" spans="5:11" x14ac:dyDescent="0.25">
      <c r="E1649">
        <v>1064</v>
      </c>
      <c r="F1649" s="7">
        <v>45409</v>
      </c>
      <c r="G1649" t="s">
        <v>9</v>
      </c>
      <c r="H1649">
        <v>25</v>
      </c>
      <c r="I1649" t="s">
        <v>11</v>
      </c>
      <c r="J1649">
        <v>3</v>
      </c>
      <c r="K1649">
        <v>33</v>
      </c>
    </row>
    <row r="1650" spans="5:11" x14ac:dyDescent="0.25">
      <c r="E1650">
        <v>829</v>
      </c>
      <c r="F1650" s="7">
        <v>44941</v>
      </c>
      <c r="G1650" t="s">
        <v>7</v>
      </c>
      <c r="H1650">
        <v>27</v>
      </c>
      <c r="I1650" t="s">
        <v>11</v>
      </c>
      <c r="J1650">
        <v>4</v>
      </c>
      <c r="K1650">
        <v>25</v>
      </c>
    </row>
    <row r="1651" spans="5:11" x14ac:dyDescent="0.25">
      <c r="E1651">
        <v>1549</v>
      </c>
      <c r="F1651" s="7">
        <v>45639</v>
      </c>
      <c r="G1651" t="s">
        <v>9</v>
      </c>
      <c r="H1651">
        <v>41</v>
      </c>
      <c r="I1651" t="s">
        <v>11</v>
      </c>
      <c r="J1651">
        <v>6</v>
      </c>
      <c r="K1651">
        <v>237</v>
      </c>
    </row>
    <row r="1652" spans="5:11" x14ac:dyDescent="0.25">
      <c r="E1652">
        <v>1347</v>
      </c>
      <c r="F1652" s="7">
        <v>45582</v>
      </c>
      <c r="G1652" t="s">
        <v>7</v>
      </c>
      <c r="H1652">
        <v>27</v>
      </c>
      <c r="I1652" t="s">
        <v>8</v>
      </c>
      <c r="J1652">
        <v>3</v>
      </c>
      <c r="K1652">
        <v>174</v>
      </c>
    </row>
    <row r="1653" spans="5:11" x14ac:dyDescent="0.25">
      <c r="E1653">
        <v>1225</v>
      </c>
      <c r="F1653" s="7">
        <v>45410</v>
      </c>
      <c r="G1653" t="s">
        <v>9</v>
      </c>
      <c r="H1653">
        <v>53</v>
      </c>
      <c r="I1653" t="s">
        <v>11</v>
      </c>
      <c r="J1653">
        <v>2</v>
      </c>
      <c r="K1653">
        <v>207</v>
      </c>
    </row>
    <row r="1654" spans="5:11" x14ac:dyDescent="0.25">
      <c r="E1654">
        <v>1463</v>
      </c>
      <c r="F1654" s="7">
        <v>45463</v>
      </c>
      <c r="G1654" t="s">
        <v>7</v>
      </c>
      <c r="H1654">
        <v>38</v>
      </c>
      <c r="I1654" t="s">
        <v>11</v>
      </c>
      <c r="J1654">
        <v>6</v>
      </c>
      <c r="K1654">
        <v>257</v>
      </c>
    </row>
    <row r="1655" spans="5:11" x14ac:dyDescent="0.25">
      <c r="E1655">
        <v>1984</v>
      </c>
      <c r="F1655" s="7">
        <v>45440</v>
      </c>
      <c r="G1655" t="s">
        <v>9</v>
      </c>
      <c r="H1655">
        <v>49</v>
      </c>
      <c r="I1655" t="s">
        <v>10</v>
      </c>
      <c r="J1655">
        <v>6</v>
      </c>
      <c r="K1655">
        <v>89</v>
      </c>
    </row>
    <row r="1656" spans="5:11" x14ac:dyDescent="0.25">
      <c r="E1656">
        <v>799</v>
      </c>
      <c r="F1656" s="7">
        <v>45148</v>
      </c>
      <c r="G1656" t="s">
        <v>7</v>
      </c>
      <c r="H1656">
        <v>21</v>
      </c>
      <c r="I1656" t="s">
        <v>10</v>
      </c>
      <c r="J1656">
        <v>4</v>
      </c>
      <c r="K1656">
        <v>50</v>
      </c>
    </row>
    <row r="1657" spans="5:11" x14ac:dyDescent="0.25">
      <c r="E1657">
        <v>1238</v>
      </c>
      <c r="F1657" s="7">
        <v>45556</v>
      </c>
      <c r="G1657" t="s">
        <v>9</v>
      </c>
      <c r="H1657">
        <v>46</v>
      </c>
      <c r="I1657" t="s">
        <v>11</v>
      </c>
      <c r="J1657">
        <v>4</v>
      </c>
      <c r="K1657">
        <v>116</v>
      </c>
    </row>
    <row r="1658" spans="5:11" x14ac:dyDescent="0.25">
      <c r="E1658">
        <v>896</v>
      </c>
      <c r="F1658" s="7">
        <v>45232</v>
      </c>
      <c r="G1658" t="s">
        <v>9</v>
      </c>
      <c r="H1658">
        <v>42</v>
      </c>
      <c r="I1658" t="s">
        <v>10</v>
      </c>
      <c r="J1658">
        <v>3</v>
      </c>
      <c r="K1658">
        <v>30</v>
      </c>
    </row>
    <row r="1659" spans="5:11" x14ac:dyDescent="0.25">
      <c r="E1659">
        <v>1776</v>
      </c>
      <c r="F1659" s="7">
        <v>45344</v>
      </c>
      <c r="G1659" t="s">
        <v>7</v>
      </c>
      <c r="H1659">
        <v>50</v>
      </c>
      <c r="I1659" t="s">
        <v>11</v>
      </c>
      <c r="J1659">
        <v>4</v>
      </c>
      <c r="K1659">
        <v>313</v>
      </c>
    </row>
    <row r="1660" spans="5:11" x14ac:dyDescent="0.25">
      <c r="E1660">
        <v>1811</v>
      </c>
      <c r="F1660" s="7">
        <v>45531</v>
      </c>
      <c r="G1660" t="s">
        <v>9</v>
      </c>
      <c r="H1660">
        <v>43</v>
      </c>
      <c r="I1660" t="s">
        <v>10</v>
      </c>
      <c r="J1660">
        <v>4</v>
      </c>
      <c r="K1660">
        <v>73</v>
      </c>
    </row>
    <row r="1661" spans="5:11" x14ac:dyDescent="0.25">
      <c r="E1661">
        <v>598</v>
      </c>
      <c r="F1661" s="7">
        <v>45249</v>
      </c>
      <c r="G1661" t="s">
        <v>9</v>
      </c>
      <c r="H1661">
        <v>28</v>
      </c>
      <c r="I1661" t="s">
        <v>8</v>
      </c>
      <c r="J1661">
        <v>2</v>
      </c>
      <c r="K1661">
        <v>50</v>
      </c>
    </row>
    <row r="1662" spans="5:11" x14ac:dyDescent="0.25">
      <c r="E1662">
        <v>574</v>
      </c>
      <c r="F1662" s="7">
        <v>45013</v>
      </c>
      <c r="G1662" t="s">
        <v>7</v>
      </c>
      <c r="H1662">
        <v>60</v>
      </c>
      <c r="I1662" t="s">
        <v>10</v>
      </c>
      <c r="J1662">
        <v>2</v>
      </c>
      <c r="K1662">
        <v>50</v>
      </c>
    </row>
    <row r="1663" spans="5:11" x14ac:dyDescent="0.25">
      <c r="E1663">
        <v>1005</v>
      </c>
      <c r="F1663" s="7">
        <v>45364</v>
      </c>
      <c r="G1663" t="s">
        <v>7</v>
      </c>
      <c r="H1663">
        <v>36</v>
      </c>
      <c r="I1663" t="s">
        <v>10</v>
      </c>
      <c r="J1663">
        <v>6</v>
      </c>
      <c r="K1663">
        <v>448</v>
      </c>
    </row>
    <row r="1664" spans="5:11" x14ac:dyDescent="0.25">
      <c r="E1664">
        <v>1687</v>
      </c>
      <c r="F1664" s="7">
        <v>45405</v>
      </c>
      <c r="G1664" t="s">
        <v>9</v>
      </c>
      <c r="H1664">
        <v>46</v>
      </c>
      <c r="I1664" t="s">
        <v>10</v>
      </c>
      <c r="J1664">
        <v>6</v>
      </c>
      <c r="K1664">
        <v>189</v>
      </c>
    </row>
    <row r="1665" spans="5:11" x14ac:dyDescent="0.25">
      <c r="E1665">
        <v>1715</v>
      </c>
      <c r="F1665" s="7">
        <v>45386</v>
      </c>
      <c r="G1665" t="s">
        <v>9</v>
      </c>
      <c r="H1665">
        <v>51</v>
      </c>
      <c r="I1665" t="s">
        <v>10</v>
      </c>
      <c r="J1665">
        <v>3</v>
      </c>
      <c r="K1665">
        <v>416</v>
      </c>
    </row>
    <row r="1666" spans="5:11" x14ac:dyDescent="0.25">
      <c r="E1666">
        <v>942</v>
      </c>
      <c r="F1666" s="7">
        <v>45082</v>
      </c>
      <c r="G1666" t="s">
        <v>7</v>
      </c>
      <c r="H1666">
        <v>44</v>
      </c>
      <c r="I1666" t="s">
        <v>10</v>
      </c>
      <c r="J1666">
        <v>2</v>
      </c>
      <c r="K1666">
        <v>25</v>
      </c>
    </row>
    <row r="1667" spans="5:11" x14ac:dyDescent="0.25">
      <c r="E1667">
        <v>541</v>
      </c>
      <c r="F1667" s="7">
        <v>45094</v>
      </c>
      <c r="G1667" t="s">
        <v>9</v>
      </c>
      <c r="H1667">
        <v>20</v>
      </c>
      <c r="I1667" t="s">
        <v>8</v>
      </c>
      <c r="J1667">
        <v>1</v>
      </c>
      <c r="K1667">
        <v>50</v>
      </c>
    </row>
    <row r="1668" spans="5:11" x14ac:dyDescent="0.25">
      <c r="E1668">
        <v>821</v>
      </c>
      <c r="F1668" s="7">
        <v>45157</v>
      </c>
      <c r="G1668" t="s">
        <v>9</v>
      </c>
      <c r="H1668">
        <v>56</v>
      </c>
      <c r="I1668" t="s">
        <v>11</v>
      </c>
      <c r="J1668">
        <v>2</v>
      </c>
      <c r="K1668">
        <v>50</v>
      </c>
    </row>
    <row r="1669" spans="5:11" x14ac:dyDescent="0.25">
      <c r="E1669">
        <v>1380</v>
      </c>
      <c r="F1669" s="7">
        <v>45373</v>
      </c>
      <c r="G1669" t="s">
        <v>9</v>
      </c>
      <c r="H1669">
        <v>29</v>
      </c>
      <c r="I1669" t="s">
        <v>8</v>
      </c>
      <c r="J1669">
        <v>2</v>
      </c>
      <c r="K1669">
        <v>376</v>
      </c>
    </row>
    <row r="1670" spans="5:11" x14ac:dyDescent="0.25">
      <c r="E1670">
        <v>892</v>
      </c>
      <c r="F1670" s="7">
        <v>45174</v>
      </c>
      <c r="G1670" t="s">
        <v>7</v>
      </c>
      <c r="H1670">
        <v>52</v>
      </c>
      <c r="I1670" t="s">
        <v>11</v>
      </c>
      <c r="J1670">
        <v>1</v>
      </c>
      <c r="K1670">
        <v>30</v>
      </c>
    </row>
    <row r="1671" spans="5:11" x14ac:dyDescent="0.25">
      <c r="E1671">
        <v>329</v>
      </c>
      <c r="F1671" s="7">
        <v>45187</v>
      </c>
      <c r="G1671" t="s">
        <v>9</v>
      </c>
      <c r="H1671">
        <v>25</v>
      </c>
      <c r="I1671" t="s">
        <v>8</v>
      </c>
      <c r="J1671">
        <v>4</v>
      </c>
      <c r="K1671">
        <v>50</v>
      </c>
    </row>
    <row r="1672" spans="5:11" x14ac:dyDescent="0.25">
      <c r="E1672">
        <v>1397</v>
      </c>
      <c r="F1672" s="7">
        <v>45346</v>
      </c>
      <c r="G1672" t="s">
        <v>7</v>
      </c>
      <c r="H1672">
        <v>60</v>
      </c>
      <c r="I1672" t="s">
        <v>10</v>
      </c>
      <c r="J1672">
        <v>7</v>
      </c>
      <c r="K1672">
        <v>254</v>
      </c>
    </row>
    <row r="1673" spans="5:11" x14ac:dyDescent="0.25">
      <c r="E1673">
        <v>1117</v>
      </c>
      <c r="F1673" s="7">
        <v>45364</v>
      </c>
      <c r="G1673" t="s">
        <v>9</v>
      </c>
      <c r="H1673">
        <v>41</v>
      </c>
      <c r="I1673" t="s">
        <v>10</v>
      </c>
      <c r="J1673">
        <v>7</v>
      </c>
      <c r="K1673">
        <v>109</v>
      </c>
    </row>
    <row r="1674" spans="5:11" x14ac:dyDescent="0.25">
      <c r="E1674">
        <v>1830</v>
      </c>
      <c r="F1674" s="7">
        <v>45386</v>
      </c>
      <c r="G1674" t="s">
        <v>9</v>
      </c>
      <c r="H1674">
        <v>42</v>
      </c>
      <c r="I1674" t="s">
        <v>8</v>
      </c>
      <c r="J1674">
        <v>5</v>
      </c>
      <c r="K1674">
        <v>354</v>
      </c>
    </row>
    <row r="1675" spans="5:11" x14ac:dyDescent="0.25">
      <c r="E1675">
        <v>360</v>
      </c>
      <c r="F1675" s="7">
        <v>45270</v>
      </c>
      <c r="G1675" t="s">
        <v>9</v>
      </c>
      <c r="H1675">
        <v>34</v>
      </c>
      <c r="I1675" t="s">
        <v>11</v>
      </c>
      <c r="J1675">
        <v>4</v>
      </c>
      <c r="K1675">
        <v>300</v>
      </c>
    </row>
    <row r="1676" spans="5:11" x14ac:dyDescent="0.25">
      <c r="E1676">
        <v>37</v>
      </c>
      <c r="F1676" s="7">
        <v>45069</v>
      </c>
      <c r="G1676" t="s">
        <v>9</v>
      </c>
      <c r="H1676">
        <v>18</v>
      </c>
      <c r="I1676" t="s">
        <v>8</v>
      </c>
      <c r="J1676">
        <v>3</v>
      </c>
      <c r="K1676">
        <v>25</v>
      </c>
    </row>
    <row r="1677" spans="5:11" x14ac:dyDescent="0.25">
      <c r="E1677">
        <v>561</v>
      </c>
      <c r="F1677" s="7">
        <v>45034</v>
      </c>
      <c r="G1677" t="s">
        <v>7</v>
      </c>
      <c r="H1677">
        <v>54</v>
      </c>
      <c r="I1677" t="s">
        <v>11</v>
      </c>
      <c r="J1677">
        <v>2</v>
      </c>
      <c r="K1677">
        <v>25</v>
      </c>
    </row>
    <row r="1678" spans="5:11" x14ac:dyDescent="0.25">
      <c r="E1678">
        <v>1277</v>
      </c>
      <c r="F1678" s="7">
        <v>45386</v>
      </c>
      <c r="G1678" t="s">
        <v>9</v>
      </c>
      <c r="H1678">
        <v>49</v>
      </c>
      <c r="I1678" t="s">
        <v>10</v>
      </c>
      <c r="J1678">
        <v>3</v>
      </c>
      <c r="K1678">
        <v>479</v>
      </c>
    </row>
    <row r="1679" spans="5:11" x14ac:dyDescent="0.25">
      <c r="E1679">
        <v>1446</v>
      </c>
      <c r="F1679" s="7">
        <v>45476</v>
      </c>
      <c r="G1679" t="s">
        <v>7</v>
      </c>
      <c r="H1679">
        <v>18</v>
      </c>
      <c r="I1679" t="s">
        <v>11</v>
      </c>
      <c r="J1679">
        <v>4</v>
      </c>
      <c r="K1679">
        <v>234</v>
      </c>
    </row>
    <row r="1680" spans="5:11" x14ac:dyDescent="0.25">
      <c r="E1680">
        <v>1769</v>
      </c>
      <c r="F1680" s="7">
        <v>45496</v>
      </c>
      <c r="G1680" t="s">
        <v>7</v>
      </c>
      <c r="H1680">
        <v>32</v>
      </c>
      <c r="I1680" t="s">
        <v>11</v>
      </c>
      <c r="J1680">
        <v>1</v>
      </c>
      <c r="K1680">
        <v>447</v>
      </c>
    </row>
    <row r="1681" spans="5:11" x14ac:dyDescent="0.25">
      <c r="E1681">
        <v>1716</v>
      </c>
      <c r="F1681" s="7">
        <v>45317</v>
      </c>
      <c r="G1681" t="s">
        <v>9</v>
      </c>
      <c r="H1681">
        <v>45</v>
      </c>
      <c r="I1681" t="s">
        <v>8</v>
      </c>
      <c r="J1681">
        <v>2</v>
      </c>
      <c r="K1681">
        <v>437</v>
      </c>
    </row>
    <row r="1682" spans="5:11" x14ac:dyDescent="0.25">
      <c r="E1682">
        <v>703</v>
      </c>
      <c r="F1682" s="7">
        <v>44992</v>
      </c>
      <c r="G1682" t="s">
        <v>7</v>
      </c>
      <c r="H1682">
        <v>60</v>
      </c>
      <c r="I1682" t="s">
        <v>11</v>
      </c>
      <c r="J1682">
        <v>2</v>
      </c>
      <c r="K1682">
        <v>25</v>
      </c>
    </row>
    <row r="1683" spans="5:11" x14ac:dyDescent="0.25">
      <c r="E1683">
        <v>1893</v>
      </c>
      <c r="F1683" s="7">
        <v>45561</v>
      </c>
      <c r="G1683" t="s">
        <v>9</v>
      </c>
      <c r="H1683">
        <v>41</v>
      </c>
      <c r="I1683" t="s">
        <v>11</v>
      </c>
      <c r="J1683">
        <v>1</v>
      </c>
      <c r="K1683">
        <v>40</v>
      </c>
    </row>
    <row r="1684" spans="5:11" x14ac:dyDescent="0.25">
      <c r="E1684">
        <v>1419</v>
      </c>
      <c r="F1684" s="7">
        <v>45463</v>
      </c>
      <c r="G1684" t="s">
        <v>9</v>
      </c>
      <c r="H1684">
        <v>35</v>
      </c>
      <c r="I1684" t="s">
        <v>10</v>
      </c>
      <c r="J1684">
        <v>5</v>
      </c>
      <c r="K1684">
        <v>409</v>
      </c>
    </row>
    <row r="1685" spans="5:11" x14ac:dyDescent="0.25">
      <c r="E1685">
        <v>1829</v>
      </c>
      <c r="F1685" s="7">
        <v>45459</v>
      </c>
      <c r="G1685" t="s">
        <v>7</v>
      </c>
      <c r="H1685">
        <v>52</v>
      </c>
      <c r="I1685" t="s">
        <v>8</v>
      </c>
      <c r="J1685">
        <v>6</v>
      </c>
      <c r="K1685">
        <v>335</v>
      </c>
    </row>
    <row r="1686" spans="5:11" x14ac:dyDescent="0.25">
      <c r="E1686">
        <v>1889</v>
      </c>
      <c r="F1686" s="7">
        <v>45403</v>
      </c>
      <c r="G1686" t="s">
        <v>7</v>
      </c>
      <c r="H1686">
        <v>39</v>
      </c>
      <c r="I1686" t="s">
        <v>11</v>
      </c>
      <c r="J1686">
        <v>4</v>
      </c>
      <c r="K1686">
        <v>481</v>
      </c>
    </row>
    <row r="1687" spans="5:11" x14ac:dyDescent="0.25">
      <c r="E1687">
        <v>1280</v>
      </c>
      <c r="F1687" s="7">
        <v>45420</v>
      </c>
      <c r="G1687" t="s">
        <v>9</v>
      </c>
      <c r="H1687">
        <v>49</v>
      </c>
      <c r="I1687" t="s">
        <v>11</v>
      </c>
      <c r="J1687">
        <v>7</v>
      </c>
      <c r="K1687">
        <v>174</v>
      </c>
    </row>
    <row r="1688" spans="5:11" x14ac:dyDescent="0.25">
      <c r="E1688">
        <v>1520</v>
      </c>
      <c r="F1688" s="7">
        <v>45559</v>
      </c>
      <c r="G1688" t="s">
        <v>9</v>
      </c>
      <c r="H1688">
        <v>65</v>
      </c>
      <c r="I1688" t="s">
        <v>11</v>
      </c>
      <c r="J1688">
        <v>4</v>
      </c>
      <c r="K1688">
        <v>443</v>
      </c>
    </row>
    <row r="1689" spans="5:11" x14ac:dyDescent="0.25">
      <c r="E1689">
        <v>832</v>
      </c>
      <c r="F1689" s="7">
        <v>45020</v>
      </c>
      <c r="G1689" t="s">
        <v>9</v>
      </c>
      <c r="H1689">
        <v>56</v>
      </c>
      <c r="I1689" t="s">
        <v>8</v>
      </c>
      <c r="J1689">
        <v>2</v>
      </c>
      <c r="K1689">
        <v>30</v>
      </c>
    </row>
    <row r="1690" spans="5:11" x14ac:dyDescent="0.25">
      <c r="E1690">
        <v>1645</v>
      </c>
      <c r="F1690" s="7">
        <v>45518</v>
      </c>
      <c r="G1690" t="s">
        <v>7</v>
      </c>
      <c r="H1690">
        <v>46</v>
      </c>
      <c r="I1690" t="s">
        <v>8</v>
      </c>
      <c r="J1690">
        <v>7</v>
      </c>
      <c r="K1690">
        <v>243</v>
      </c>
    </row>
    <row r="1691" spans="5:11" x14ac:dyDescent="0.25">
      <c r="E1691">
        <v>1451</v>
      </c>
      <c r="F1691" s="7">
        <v>45344</v>
      </c>
      <c r="G1691" t="s">
        <v>9</v>
      </c>
      <c r="H1691">
        <v>22</v>
      </c>
      <c r="I1691" t="s">
        <v>8</v>
      </c>
      <c r="J1691">
        <v>2</v>
      </c>
      <c r="K1691">
        <v>284</v>
      </c>
    </row>
    <row r="1692" spans="5:11" x14ac:dyDescent="0.25">
      <c r="E1692">
        <v>652</v>
      </c>
      <c r="F1692" s="7">
        <v>45098</v>
      </c>
      <c r="G1692" t="s">
        <v>7</v>
      </c>
      <c r="H1692">
        <v>42</v>
      </c>
      <c r="I1692" t="s">
        <v>10</v>
      </c>
      <c r="J1692">
        <v>3</v>
      </c>
      <c r="K1692">
        <v>25</v>
      </c>
    </row>
    <row r="1693" spans="5:11" x14ac:dyDescent="0.25">
      <c r="E1693">
        <v>1315</v>
      </c>
      <c r="F1693" s="7">
        <v>45589</v>
      </c>
      <c r="G1693" t="s">
        <v>7</v>
      </c>
      <c r="H1693">
        <v>60</v>
      </c>
      <c r="I1693" t="s">
        <v>10</v>
      </c>
      <c r="J1693">
        <v>3</v>
      </c>
      <c r="K1693">
        <v>125</v>
      </c>
    </row>
    <row r="1694" spans="5:11" x14ac:dyDescent="0.25">
      <c r="E1694">
        <v>803</v>
      </c>
      <c r="F1694" s="7">
        <v>45289</v>
      </c>
      <c r="G1694" t="s">
        <v>9</v>
      </c>
      <c r="H1694">
        <v>30</v>
      </c>
      <c r="I1694" t="s">
        <v>8</v>
      </c>
      <c r="J1694">
        <v>3</v>
      </c>
      <c r="K1694">
        <v>500</v>
      </c>
    </row>
    <row r="1695" spans="5:11" x14ac:dyDescent="0.25">
      <c r="E1695">
        <v>251</v>
      </c>
      <c r="F1695" s="7">
        <v>45051</v>
      </c>
      <c r="G1695" t="s">
        <v>7</v>
      </c>
      <c r="H1695">
        <v>54</v>
      </c>
      <c r="I1695" t="s">
        <v>11</v>
      </c>
      <c r="J1695">
        <v>1</v>
      </c>
      <c r="K1695">
        <v>300</v>
      </c>
    </row>
    <row r="1696" spans="5:11" x14ac:dyDescent="0.25">
      <c r="E1696">
        <v>32</v>
      </c>
      <c r="F1696" s="7">
        <v>44930</v>
      </c>
      <c r="G1696" t="s">
        <v>7</v>
      </c>
      <c r="H1696">
        <v>30</v>
      </c>
      <c r="I1696" t="s">
        <v>8</v>
      </c>
      <c r="J1696">
        <v>3</v>
      </c>
      <c r="K1696">
        <v>30</v>
      </c>
    </row>
    <row r="1697" spans="5:11" x14ac:dyDescent="0.25">
      <c r="E1697">
        <v>1828</v>
      </c>
      <c r="F1697" s="7">
        <v>45546</v>
      </c>
      <c r="G1697" t="s">
        <v>7</v>
      </c>
      <c r="H1697">
        <v>46</v>
      </c>
      <c r="I1697" t="s">
        <v>8</v>
      </c>
      <c r="J1697">
        <v>2</v>
      </c>
      <c r="K1697">
        <v>421</v>
      </c>
    </row>
    <row r="1698" spans="5:11" x14ac:dyDescent="0.25">
      <c r="E1698">
        <v>1858</v>
      </c>
      <c r="F1698" s="7">
        <v>45443</v>
      </c>
      <c r="G1698" t="s">
        <v>7</v>
      </c>
      <c r="H1698">
        <v>59</v>
      </c>
      <c r="I1698" t="s">
        <v>11</v>
      </c>
      <c r="J1698">
        <v>5</v>
      </c>
      <c r="K1698">
        <v>31</v>
      </c>
    </row>
    <row r="1699" spans="5:11" x14ac:dyDescent="0.25">
      <c r="E1699">
        <v>635</v>
      </c>
      <c r="F1699" s="7">
        <v>45008</v>
      </c>
      <c r="G1699" t="s">
        <v>9</v>
      </c>
      <c r="H1699">
        <v>21</v>
      </c>
      <c r="I1699" t="s">
        <v>8</v>
      </c>
      <c r="J1699">
        <v>3</v>
      </c>
      <c r="K1699">
        <v>500</v>
      </c>
    </row>
    <row r="1700" spans="5:11" x14ac:dyDescent="0.25">
      <c r="E1700">
        <v>226</v>
      </c>
      <c r="F1700" s="7">
        <v>45210</v>
      </c>
      <c r="G1700" t="s">
        <v>7</v>
      </c>
      <c r="H1700">
        <v>36</v>
      </c>
      <c r="I1700" t="s">
        <v>11</v>
      </c>
      <c r="J1700">
        <v>2</v>
      </c>
      <c r="K1700">
        <v>50</v>
      </c>
    </row>
    <row r="1701" spans="5:11" x14ac:dyDescent="0.25">
      <c r="E1701">
        <v>696</v>
      </c>
      <c r="F1701" s="7">
        <v>45126</v>
      </c>
      <c r="G1701" t="s">
        <v>9</v>
      </c>
      <c r="H1701">
        <v>64</v>
      </c>
      <c r="I1701" t="s">
        <v>11</v>
      </c>
      <c r="J1701">
        <v>1</v>
      </c>
      <c r="K1701">
        <v>300</v>
      </c>
    </row>
    <row r="1702" spans="5:11" x14ac:dyDescent="0.25">
      <c r="E1702">
        <v>250</v>
      </c>
      <c r="F1702" s="7">
        <v>45169</v>
      </c>
      <c r="G1702" t="s">
        <v>9</v>
      </c>
      <c r="H1702">
        <v>57</v>
      </c>
      <c r="I1702" t="s">
        <v>8</v>
      </c>
      <c r="J1702">
        <v>4</v>
      </c>
      <c r="K1702">
        <v>50</v>
      </c>
    </row>
    <row r="1703" spans="5:11" x14ac:dyDescent="0.25">
      <c r="E1703">
        <v>1684</v>
      </c>
      <c r="F1703" s="7">
        <v>45568</v>
      </c>
      <c r="G1703" t="s">
        <v>7</v>
      </c>
      <c r="H1703">
        <v>55</v>
      </c>
      <c r="I1703" t="s">
        <v>10</v>
      </c>
      <c r="J1703">
        <v>3</v>
      </c>
      <c r="K1703">
        <v>60</v>
      </c>
    </row>
    <row r="1704" spans="5:11" x14ac:dyDescent="0.25">
      <c r="E1704">
        <v>1215</v>
      </c>
      <c r="F1704" s="7">
        <v>45557</v>
      </c>
      <c r="G1704" t="s">
        <v>7</v>
      </c>
      <c r="H1704">
        <v>31</v>
      </c>
      <c r="I1704" t="s">
        <v>8</v>
      </c>
      <c r="J1704">
        <v>5</v>
      </c>
      <c r="K1704">
        <v>239</v>
      </c>
    </row>
    <row r="1705" spans="5:11" x14ac:dyDescent="0.25">
      <c r="E1705">
        <v>443</v>
      </c>
      <c r="F1705" s="7">
        <v>44992</v>
      </c>
      <c r="G1705" t="s">
        <v>9</v>
      </c>
      <c r="H1705">
        <v>61</v>
      </c>
      <c r="I1705" t="s">
        <v>10</v>
      </c>
      <c r="J1705">
        <v>3</v>
      </c>
      <c r="K1705">
        <v>30</v>
      </c>
    </row>
    <row r="1706" spans="5:11" x14ac:dyDescent="0.25">
      <c r="E1706">
        <v>736</v>
      </c>
      <c r="F1706" s="7">
        <v>45041</v>
      </c>
      <c r="G1706" t="s">
        <v>7</v>
      </c>
      <c r="H1706">
        <v>41</v>
      </c>
      <c r="I1706" t="s">
        <v>10</v>
      </c>
      <c r="J1706">
        <v>2</v>
      </c>
      <c r="K1706">
        <v>50</v>
      </c>
    </row>
    <row r="1707" spans="5:11" x14ac:dyDescent="0.25">
      <c r="E1707">
        <v>1312</v>
      </c>
      <c r="F1707" s="7">
        <v>45444</v>
      </c>
      <c r="G1707" t="s">
        <v>7</v>
      </c>
      <c r="H1707">
        <v>65</v>
      </c>
      <c r="I1707" t="s">
        <v>10</v>
      </c>
      <c r="J1707">
        <v>2</v>
      </c>
      <c r="K1707">
        <v>427</v>
      </c>
    </row>
    <row r="1708" spans="5:11" x14ac:dyDescent="0.25">
      <c r="E1708">
        <v>1773</v>
      </c>
      <c r="F1708" s="7">
        <v>45646</v>
      </c>
      <c r="G1708" t="s">
        <v>7</v>
      </c>
      <c r="H1708">
        <v>42</v>
      </c>
      <c r="I1708" t="s">
        <v>11</v>
      </c>
      <c r="J1708">
        <v>5</v>
      </c>
      <c r="K1708">
        <v>487</v>
      </c>
    </row>
    <row r="1709" spans="5:11" x14ac:dyDescent="0.25">
      <c r="E1709">
        <v>739</v>
      </c>
      <c r="F1709" s="7">
        <v>45260</v>
      </c>
      <c r="G1709" t="s">
        <v>7</v>
      </c>
      <c r="H1709">
        <v>48</v>
      </c>
      <c r="I1709" t="s">
        <v>10</v>
      </c>
      <c r="J1709">
        <v>1</v>
      </c>
      <c r="K1709">
        <v>300</v>
      </c>
    </row>
    <row r="1710" spans="5:11" x14ac:dyDescent="0.25">
      <c r="E1710">
        <v>1622</v>
      </c>
      <c r="F1710" s="7">
        <v>45634</v>
      </c>
      <c r="G1710" t="s">
        <v>7</v>
      </c>
      <c r="H1710">
        <v>42</v>
      </c>
      <c r="I1710" t="s">
        <v>10</v>
      </c>
      <c r="J1710">
        <v>3</v>
      </c>
      <c r="K1710">
        <v>85</v>
      </c>
    </row>
    <row r="1711" spans="5:11" x14ac:dyDescent="0.25">
      <c r="E1711">
        <v>798</v>
      </c>
      <c r="F1711" s="7">
        <v>44981</v>
      </c>
      <c r="G1711" t="s">
        <v>7</v>
      </c>
      <c r="H1711">
        <v>32</v>
      </c>
      <c r="I1711" t="s">
        <v>10</v>
      </c>
      <c r="J1711">
        <v>4</v>
      </c>
      <c r="K1711">
        <v>300</v>
      </c>
    </row>
    <row r="1712" spans="5:11" x14ac:dyDescent="0.25">
      <c r="E1712">
        <v>1512</v>
      </c>
      <c r="F1712" s="7">
        <v>45490</v>
      </c>
      <c r="G1712" t="s">
        <v>9</v>
      </c>
      <c r="H1712">
        <v>33</v>
      </c>
      <c r="I1712" t="s">
        <v>10</v>
      </c>
      <c r="J1712">
        <v>3</v>
      </c>
      <c r="K1712">
        <v>51</v>
      </c>
    </row>
    <row r="1713" spans="5:11" x14ac:dyDescent="0.25">
      <c r="E1713">
        <v>176</v>
      </c>
      <c r="F1713" s="7">
        <v>45118</v>
      </c>
      <c r="G1713" t="s">
        <v>9</v>
      </c>
      <c r="H1713">
        <v>43</v>
      </c>
      <c r="I1713" t="s">
        <v>8</v>
      </c>
      <c r="J1713">
        <v>2</v>
      </c>
      <c r="K1713">
        <v>50</v>
      </c>
    </row>
    <row r="1714" spans="5:11" x14ac:dyDescent="0.25">
      <c r="E1714">
        <v>149</v>
      </c>
      <c r="F1714" s="7">
        <v>45210</v>
      </c>
      <c r="G1714" t="s">
        <v>7</v>
      </c>
      <c r="H1714">
        <v>22</v>
      </c>
      <c r="I1714" t="s">
        <v>10</v>
      </c>
      <c r="J1714">
        <v>3</v>
      </c>
      <c r="K1714">
        <v>25</v>
      </c>
    </row>
    <row r="1715" spans="5:11" x14ac:dyDescent="0.25">
      <c r="E1715">
        <v>624</v>
      </c>
      <c r="F1715" s="7">
        <v>45268</v>
      </c>
      <c r="G1715" t="s">
        <v>7</v>
      </c>
      <c r="H1715">
        <v>31</v>
      </c>
      <c r="I1715" t="s">
        <v>10</v>
      </c>
      <c r="J1715">
        <v>1</v>
      </c>
      <c r="K1715">
        <v>300</v>
      </c>
    </row>
    <row r="1716" spans="5:11" x14ac:dyDescent="0.25">
      <c r="E1716">
        <v>447</v>
      </c>
      <c r="F1716" s="7">
        <v>44947</v>
      </c>
      <c r="G1716" t="s">
        <v>9</v>
      </c>
      <c r="H1716">
        <v>54</v>
      </c>
      <c r="I1716" t="s">
        <v>8</v>
      </c>
      <c r="J1716">
        <v>2</v>
      </c>
      <c r="K1716">
        <v>30</v>
      </c>
    </row>
    <row r="1717" spans="5:11" x14ac:dyDescent="0.25">
      <c r="E1717">
        <v>1152</v>
      </c>
      <c r="F1717" s="7">
        <v>45567</v>
      </c>
      <c r="G1717" t="s">
        <v>7</v>
      </c>
      <c r="H1717">
        <v>23</v>
      </c>
      <c r="I1717" t="s">
        <v>11</v>
      </c>
      <c r="J1717">
        <v>3</v>
      </c>
      <c r="K1717">
        <v>364</v>
      </c>
    </row>
    <row r="1718" spans="5:11" x14ac:dyDescent="0.25">
      <c r="E1718">
        <v>1644</v>
      </c>
      <c r="F1718" s="7">
        <v>45433</v>
      </c>
      <c r="G1718" t="s">
        <v>7</v>
      </c>
      <c r="H1718">
        <v>24</v>
      </c>
      <c r="I1718" t="s">
        <v>10</v>
      </c>
      <c r="J1718">
        <v>5</v>
      </c>
      <c r="K1718">
        <v>419</v>
      </c>
    </row>
    <row r="1719" spans="5:11" x14ac:dyDescent="0.25">
      <c r="E1719">
        <v>1894</v>
      </c>
      <c r="F1719" s="7">
        <v>45598</v>
      </c>
      <c r="G1719" t="s">
        <v>9</v>
      </c>
      <c r="H1719">
        <v>59</v>
      </c>
      <c r="I1719" t="s">
        <v>10</v>
      </c>
      <c r="J1719">
        <v>3</v>
      </c>
      <c r="K1719">
        <v>390</v>
      </c>
    </row>
    <row r="1720" spans="5:11" x14ac:dyDescent="0.25">
      <c r="E1720">
        <v>1578</v>
      </c>
      <c r="F1720" s="7">
        <v>45617</v>
      </c>
      <c r="G1720" t="s">
        <v>9</v>
      </c>
      <c r="H1720">
        <v>46</v>
      </c>
      <c r="I1720" t="s">
        <v>8</v>
      </c>
      <c r="J1720">
        <v>2</v>
      </c>
      <c r="K1720">
        <v>192</v>
      </c>
    </row>
    <row r="1721" spans="5:11" x14ac:dyDescent="0.25">
      <c r="E1721">
        <v>1120</v>
      </c>
      <c r="F1721" s="7">
        <v>45568</v>
      </c>
      <c r="G1721" t="s">
        <v>7</v>
      </c>
      <c r="H1721">
        <v>29</v>
      </c>
      <c r="I1721" t="s">
        <v>11</v>
      </c>
      <c r="J1721">
        <v>7</v>
      </c>
      <c r="K1721">
        <v>92</v>
      </c>
    </row>
    <row r="1722" spans="5:11" x14ac:dyDescent="0.25">
      <c r="E1722">
        <v>917</v>
      </c>
      <c r="F1722" s="7">
        <v>45178</v>
      </c>
      <c r="G1722" t="s">
        <v>9</v>
      </c>
      <c r="H1722">
        <v>22</v>
      </c>
      <c r="I1722" t="s">
        <v>8</v>
      </c>
      <c r="J1722">
        <v>2</v>
      </c>
      <c r="K1722">
        <v>25</v>
      </c>
    </row>
    <row r="1723" spans="5:11" x14ac:dyDescent="0.25">
      <c r="E1723">
        <v>1930</v>
      </c>
      <c r="F1723" s="7">
        <v>45498</v>
      </c>
      <c r="G1723" t="s">
        <v>7</v>
      </c>
      <c r="H1723">
        <v>29</v>
      </c>
      <c r="I1723" t="s">
        <v>8</v>
      </c>
      <c r="J1723">
        <v>6</v>
      </c>
      <c r="K1723">
        <v>313</v>
      </c>
    </row>
    <row r="1724" spans="5:11" x14ac:dyDescent="0.25">
      <c r="E1724">
        <v>1937</v>
      </c>
      <c r="F1724" s="7">
        <v>45370</v>
      </c>
      <c r="G1724" t="s">
        <v>9</v>
      </c>
      <c r="H1724">
        <v>61</v>
      </c>
      <c r="I1724" t="s">
        <v>10</v>
      </c>
      <c r="J1724">
        <v>5</v>
      </c>
      <c r="K1724">
        <v>146</v>
      </c>
    </row>
    <row r="1725" spans="5:11" x14ac:dyDescent="0.25">
      <c r="E1725">
        <v>50</v>
      </c>
      <c r="F1725" s="7">
        <v>45162</v>
      </c>
      <c r="G1725" t="s">
        <v>9</v>
      </c>
      <c r="H1725">
        <v>27</v>
      </c>
      <c r="I1725" t="s">
        <v>8</v>
      </c>
      <c r="J1725">
        <v>3</v>
      </c>
      <c r="K1725">
        <v>25</v>
      </c>
    </row>
    <row r="1726" spans="5:11" x14ac:dyDescent="0.25">
      <c r="E1726">
        <v>1927</v>
      </c>
      <c r="F1726" s="7">
        <v>45537</v>
      </c>
      <c r="G1726" t="s">
        <v>7</v>
      </c>
      <c r="H1726">
        <v>36</v>
      </c>
      <c r="I1726" t="s">
        <v>8</v>
      </c>
      <c r="J1726">
        <v>2</v>
      </c>
      <c r="K1726">
        <v>392</v>
      </c>
    </row>
    <row r="1727" spans="5:11" x14ac:dyDescent="0.25">
      <c r="E1727">
        <v>157</v>
      </c>
      <c r="F1727" s="7">
        <v>45101</v>
      </c>
      <c r="G1727" t="s">
        <v>7</v>
      </c>
      <c r="H1727">
        <v>62</v>
      </c>
      <c r="I1727" t="s">
        <v>11</v>
      </c>
      <c r="J1727">
        <v>4</v>
      </c>
      <c r="K1727">
        <v>500</v>
      </c>
    </row>
    <row r="1728" spans="5:11" x14ac:dyDescent="0.25">
      <c r="E1728">
        <v>527</v>
      </c>
      <c r="F1728" s="7">
        <v>45113</v>
      </c>
      <c r="G1728" t="s">
        <v>9</v>
      </c>
      <c r="H1728">
        <v>36</v>
      </c>
      <c r="I1728" t="s">
        <v>10</v>
      </c>
      <c r="J1728">
        <v>2</v>
      </c>
      <c r="K1728">
        <v>30</v>
      </c>
    </row>
    <row r="1729" spans="5:11" x14ac:dyDescent="0.25">
      <c r="E1729">
        <v>51</v>
      </c>
      <c r="F1729" s="7">
        <v>45201</v>
      </c>
      <c r="G1729" t="s">
        <v>7</v>
      </c>
      <c r="H1729">
        <v>27</v>
      </c>
      <c r="I1729" t="s">
        <v>8</v>
      </c>
      <c r="J1729">
        <v>3</v>
      </c>
      <c r="K1729">
        <v>25</v>
      </c>
    </row>
    <row r="1730" spans="5:11" x14ac:dyDescent="0.25">
      <c r="E1730">
        <v>658</v>
      </c>
      <c r="F1730" s="7">
        <v>45045</v>
      </c>
      <c r="G1730" t="s">
        <v>9</v>
      </c>
      <c r="H1730">
        <v>38</v>
      </c>
      <c r="I1730" t="s">
        <v>8</v>
      </c>
      <c r="J1730">
        <v>2</v>
      </c>
      <c r="K1730">
        <v>500</v>
      </c>
    </row>
    <row r="1731" spans="5:11" x14ac:dyDescent="0.25">
      <c r="E1731">
        <v>1966</v>
      </c>
      <c r="F1731" s="7">
        <v>45428</v>
      </c>
      <c r="G1731" t="s">
        <v>7</v>
      </c>
      <c r="H1731">
        <v>60</v>
      </c>
      <c r="I1731" t="s">
        <v>11</v>
      </c>
      <c r="J1731">
        <v>1</v>
      </c>
      <c r="K1731">
        <v>105</v>
      </c>
    </row>
    <row r="1732" spans="5:11" x14ac:dyDescent="0.25">
      <c r="E1732">
        <v>1344</v>
      </c>
      <c r="F1732" s="7">
        <v>45507</v>
      </c>
      <c r="G1732" t="s">
        <v>7</v>
      </c>
      <c r="H1732">
        <v>51</v>
      </c>
      <c r="I1732" t="s">
        <v>11</v>
      </c>
      <c r="J1732">
        <v>2</v>
      </c>
      <c r="K1732">
        <v>30</v>
      </c>
    </row>
    <row r="1733" spans="5:11" x14ac:dyDescent="0.25">
      <c r="E1733">
        <v>735</v>
      </c>
      <c r="F1733" s="7">
        <v>45106</v>
      </c>
      <c r="G1733" t="s">
        <v>9</v>
      </c>
      <c r="H1733">
        <v>33</v>
      </c>
      <c r="I1733" t="s">
        <v>10</v>
      </c>
      <c r="J1733">
        <v>1</v>
      </c>
      <c r="K1733">
        <v>50</v>
      </c>
    </row>
    <row r="1734" spans="5:11" x14ac:dyDescent="0.25">
      <c r="E1734">
        <v>324</v>
      </c>
      <c r="F1734" s="7">
        <v>45171</v>
      </c>
      <c r="G1734" t="s">
        <v>9</v>
      </c>
      <c r="H1734">
        <v>52</v>
      </c>
      <c r="I1734" t="s">
        <v>11</v>
      </c>
      <c r="J1734">
        <v>2</v>
      </c>
      <c r="K1734">
        <v>25</v>
      </c>
    </row>
    <row r="1735" spans="5:11" x14ac:dyDescent="0.25">
      <c r="E1735">
        <v>1755</v>
      </c>
      <c r="F1735" s="7">
        <v>45481</v>
      </c>
      <c r="G1735" t="s">
        <v>7</v>
      </c>
      <c r="H1735">
        <v>42</v>
      </c>
      <c r="I1735" t="s">
        <v>11</v>
      </c>
      <c r="J1735">
        <v>4</v>
      </c>
      <c r="K1735">
        <v>212</v>
      </c>
    </row>
    <row r="1736" spans="5:11" x14ac:dyDescent="0.25">
      <c r="E1736">
        <v>1026</v>
      </c>
      <c r="F1736" s="7">
        <v>45405</v>
      </c>
      <c r="G1736" t="s">
        <v>9</v>
      </c>
      <c r="H1736">
        <v>37</v>
      </c>
      <c r="I1736" t="s">
        <v>8</v>
      </c>
      <c r="J1736">
        <v>4</v>
      </c>
      <c r="K1736">
        <v>232</v>
      </c>
    </row>
    <row r="1737" spans="5:11" x14ac:dyDescent="0.25">
      <c r="E1737">
        <v>1523</v>
      </c>
      <c r="F1737" s="7">
        <v>45636</v>
      </c>
      <c r="G1737" t="s">
        <v>7</v>
      </c>
      <c r="H1737">
        <v>20</v>
      </c>
      <c r="I1737" t="s">
        <v>10</v>
      </c>
      <c r="J1737">
        <v>7</v>
      </c>
      <c r="K1737">
        <v>34</v>
      </c>
    </row>
    <row r="1738" spans="5:11" x14ac:dyDescent="0.25">
      <c r="E1738">
        <v>1949</v>
      </c>
      <c r="F1738" s="7">
        <v>45408</v>
      </c>
      <c r="G1738" t="s">
        <v>7</v>
      </c>
      <c r="H1738">
        <v>26</v>
      </c>
      <c r="I1738" t="s">
        <v>8</v>
      </c>
      <c r="J1738">
        <v>6</v>
      </c>
      <c r="K1738">
        <v>280</v>
      </c>
    </row>
    <row r="1739" spans="5:11" x14ac:dyDescent="0.25">
      <c r="E1739">
        <v>1586</v>
      </c>
      <c r="F1739" s="7">
        <v>45394</v>
      </c>
      <c r="G1739" t="s">
        <v>9</v>
      </c>
      <c r="H1739">
        <v>24</v>
      </c>
      <c r="I1739" t="s">
        <v>8</v>
      </c>
      <c r="J1739">
        <v>7</v>
      </c>
      <c r="K1739">
        <v>496</v>
      </c>
    </row>
    <row r="1740" spans="5:11" x14ac:dyDescent="0.25">
      <c r="E1740">
        <v>837</v>
      </c>
      <c r="F1740" s="7">
        <v>45101</v>
      </c>
      <c r="G1740" t="s">
        <v>9</v>
      </c>
      <c r="H1740">
        <v>20</v>
      </c>
      <c r="I1740" t="s">
        <v>11</v>
      </c>
      <c r="J1740">
        <v>4</v>
      </c>
      <c r="K1740">
        <v>300</v>
      </c>
    </row>
    <row r="1741" spans="5:11" x14ac:dyDescent="0.25">
      <c r="E1741">
        <v>1729</v>
      </c>
      <c r="F1741" s="7">
        <v>45533</v>
      </c>
      <c r="G1741" t="s">
        <v>7</v>
      </c>
      <c r="H1741">
        <v>64</v>
      </c>
      <c r="I1741" t="s">
        <v>8</v>
      </c>
      <c r="J1741">
        <v>3</v>
      </c>
      <c r="K1741">
        <v>391</v>
      </c>
    </row>
    <row r="1742" spans="5:11" x14ac:dyDescent="0.25">
      <c r="E1742">
        <v>505</v>
      </c>
      <c r="F1742" s="7">
        <v>44982</v>
      </c>
      <c r="G1742" t="s">
        <v>7</v>
      </c>
      <c r="H1742">
        <v>34</v>
      </c>
      <c r="I1742" t="s">
        <v>8</v>
      </c>
      <c r="J1742">
        <v>3</v>
      </c>
      <c r="K1742">
        <v>500</v>
      </c>
    </row>
    <row r="1743" spans="5:11" x14ac:dyDescent="0.25">
      <c r="E1743">
        <v>1748</v>
      </c>
      <c r="F1743" s="7">
        <v>45635</v>
      </c>
      <c r="G1743" t="s">
        <v>7</v>
      </c>
      <c r="H1743">
        <v>25</v>
      </c>
      <c r="I1743" t="s">
        <v>10</v>
      </c>
      <c r="J1743">
        <v>2</v>
      </c>
      <c r="K1743">
        <v>161</v>
      </c>
    </row>
    <row r="1744" spans="5:11" x14ac:dyDescent="0.25">
      <c r="E1744">
        <v>386</v>
      </c>
      <c r="F1744" s="7">
        <v>45081</v>
      </c>
      <c r="G1744" t="s">
        <v>7</v>
      </c>
      <c r="H1744">
        <v>44</v>
      </c>
      <c r="I1744" t="s">
        <v>8</v>
      </c>
      <c r="J1744">
        <v>1</v>
      </c>
      <c r="K1744">
        <v>30</v>
      </c>
    </row>
    <row r="1745" spans="5:11" x14ac:dyDescent="0.25">
      <c r="E1745">
        <v>819</v>
      </c>
      <c r="F1745" s="7">
        <v>44971</v>
      </c>
      <c r="G1745" t="s">
        <v>7</v>
      </c>
      <c r="H1745">
        <v>49</v>
      </c>
      <c r="I1745" t="s">
        <v>11</v>
      </c>
      <c r="J1745">
        <v>1</v>
      </c>
      <c r="K1745">
        <v>300</v>
      </c>
    </row>
    <row r="1746" spans="5:11" x14ac:dyDescent="0.25">
      <c r="E1746">
        <v>437</v>
      </c>
      <c r="F1746" s="7">
        <v>44945</v>
      </c>
      <c r="G1746" t="s">
        <v>9</v>
      </c>
      <c r="H1746">
        <v>42</v>
      </c>
      <c r="I1746" t="s">
        <v>10</v>
      </c>
      <c r="J1746">
        <v>1</v>
      </c>
      <c r="K1746">
        <v>30</v>
      </c>
    </row>
    <row r="1747" spans="5:11" x14ac:dyDescent="0.25">
      <c r="E1747">
        <v>570</v>
      </c>
      <c r="F1747" s="7">
        <v>45272</v>
      </c>
      <c r="G1747" t="s">
        <v>9</v>
      </c>
      <c r="H1747">
        <v>41</v>
      </c>
      <c r="I1747" t="s">
        <v>11</v>
      </c>
      <c r="J1747">
        <v>1</v>
      </c>
      <c r="K1747">
        <v>50</v>
      </c>
    </row>
    <row r="1748" spans="5:11" x14ac:dyDescent="0.25">
      <c r="E1748">
        <v>318</v>
      </c>
      <c r="F1748" s="7">
        <v>45204</v>
      </c>
      <c r="G1748" t="s">
        <v>7</v>
      </c>
      <c r="H1748">
        <v>31</v>
      </c>
      <c r="I1748" t="s">
        <v>10</v>
      </c>
      <c r="J1748">
        <v>1</v>
      </c>
      <c r="K1748">
        <v>500</v>
      </c>
    </row>
    <row r="1749" spans="5:11" x14ac:dyDescent="0.25">
      <c r="E1749">
        <v>1539</v>
      </c>
      <c r="F1749" s="7">
        <v>45460</v>
      </c>
      <c r="G1749" t="s">
        <v>9</v>
      </c>
      <c r="H1749">
        <v>43</v>
      </c>
      <c r="I1749" t="s">
        <v>8</v>
      </c>
      <c r="J1749">
        <v>1</v>
      </c>
      <c r="K1749">
        <v>183</v>
      </c>
    </row>
    <row r="1750" spans="5:11" x14ac:dyDescent="0.25">
      <c r="E1750">
        <v>1672</v>
      </c>
      <c r="F1750" s="7">
        <v>45492</v>
      </c>
      <c r="G1750" t="s">
        <v>7</v>
      </c>
      <c r="H1750">
        <v>43</v>
      </c>
      <c r="I1750" t="s">
        <v>11</v>
      </c>
      <c r="J1750">
        <v>5</v>
      </c>
      <c r="K1750">
        <v>219</v>
      </c>
    </row>
    <row r="1751" spans="5:11" x14ac:dyDescent="0.25">
      <c r="E1751">
        <v>537</v>
      </c>
      <c r="F1751" s="7">
        <v>45186</v>
      </c>
      <c r="G1751" t="s">
        <v>7</v>
      </c>
      <c r="H1751">
        <v>18</v>
      </c>
      <c r="I1751" t="s">
        <v>10</v>
      </c>
      <c r="J1751">
        <v>3</v>
      </c>
      <c r="K1751">
        <v>50</v>
      </c>
    </row>
    <row r="1752" spans="5:11" x14ac:dyDescent="0.25">
      <c r="E1752">
        <v>162</v>
      </c>
      <c r="F1752" s="7">
        <v>45159</v>
      </c>
      <c r="G1752" t="s">
        <v>7</v>
      </c>
      <c r="H1752">
        <v>39</v>
      </c>
      <c r="I1752" t="s">
        <v>10</v>
      </c>
      <c r="J1752">
        <v>2</v>
      </c>
      <c r="K1752">
        <v>30</v>
      </c>
    </row>
    <row r="1753" spans="5:11" x14ac:dyDescent="0.25">
      <c r="E1753">
        <v>103</v>
      </c>
      <c r="F1753" s="7">
        <v>44943</v>
      </c>
      <c r="G1753" t="s">
        <v>9</v>
      </c>
      <c r="H1753">
        <v>59</v>
      </c>
      <c r="I1753" t="s">
        <v>10</v>
      </c>
      <c r="J1753">
        <v>1</v>
      </c>
      <c r="K1753">
        <v>25</v>
      </c>
    </row>
    <row r="1754" spans="5:11" x14ac:dyDescent="0.25">
      <c r="E1754">
        <v>188</v>
      </c>
      <c r="F1754" s="7">
        <v>45049</v>
      </c>
      <c r="G1754" t="s">
        <v>7</v>
      </c>
      <c r="H1754">
        <v>40</v>
      </c>
      <c r="I1754" t="s">
        <v>10</v>
      </c>
      <c r="J1754">
        <v>3</v>
      </c>
      <c r="K1754">
        <v>25</v>
      </c>
    </row>
    <row r="1755" spans="5:11" x14ac:dyDescent="0.25">
      <c r="E1755">
        <v>1831</v>
      </c>
      <c r="F1755" s="7">
        <v>45542</v>
      </c>
      <c r="G1755" t="s">
        <v>7</v>
      </c>
      <c r="H1755">
        <v>54</v>
      </c>
      <c r="I1755" t="s">
        <v>10</v>
      </c>
      <c r="J1755">
        <v>7</v>
      </c>
      <c r="K1755">
        <v>308</v>
      </c>
    </row>
    <row r="1756" spans="5:11" x14ac:dyDescent="0.25">
      <c r="E1756">
        <v>831</v>
      </c>
      <c r="F1756" s="7">
        <v>45093</v>
      </c>
      <c r="G1756" t="s">
        <v>7</v>
      </c>
      <c r="H1756">
        <v>42</v>
      </c>
      <c r="I1756" t="s">
        <v>8</v>
      </c>
      <c r="J1756">
        <v>4</v>
      </c>
      <c r="K1756">
        <v>50</v>
      </c>
    </row>
    <row r="1757" spans="5:11" x14ac:dyDescent="0.25">
      <c r="E1757">
        <v>234</v>
      </c>
      <c r="F1757" s="7">
        <v>44957</v>
      </c>
      <c r="G1757" t="s">
        <v>9</v>
      </c>
      <c r="H1757">
        <v>23</v>
      </c>
      <c r="I1757" t="s">
        <v>11</v>
      </c>
      <c r="J1757">
        <v>2</v>
      </c>
      <c r="K1757">
        <v>500</v>
      </c>
    </row>
    <row r="1758" spans="5:11" x14ac:dyDescent="0.25">
      <c r="E1758">
        <v>1909</v>
      </c>
      <c r="F1758" s="7">
        <v>45319</v>
      </c>
      <c r="G1758" t="s">
        <v>7</v>
      </c>
      <c r="H1758">
        <v>34</v>
      </c>
      <c r="I1758" t="s">
        <v>11</v>
      </c>
      <c r="J1758">
        <v>2</v>
      </c>
      <c r="K1758">
        <v>209</v>
      </c>
    </row>
    <row r="1759" spans="5:11" x14ac:dyDescent="0.25">
      <c r="E1759">
        <v>1623</v>
      </c>
      <c r="F1759" s="7">
        <v>45564</v>
      </c>
      <c r="G1759" t="s">
        <v>9</v>
      </c>
      <c r="H1759">
        <v>47</v>
      </c>
      <c r="I1759" t="s">
        <v>10</v>
      </c>
      <c r="J1759">
        <v>6</v>
      </c>
      <c r="K1759">
        <v>499</v>
      </c>
    </row>
    <row r="1760" spans="5:11" x14ac:dyDescent="0.25">
      <c r="E1760">
        <v>1809</v>
      </c>
      <c r="F1760" s="7">
        <v>45568</v>
      </c>
      <c r="G1760" t="s">
        <v>7</v>
      </c>
      <c r="H1760">
        <v>30</v>
      </c>
      <c r="I1760" t="s">
        <v>11</v>
      </c>
      <c r="J1760">
        <v>2</v>
      </c>
      <c r="K1760">
        <v>413</v>
      </c>
    </row>
    <row r="1761" spans="5:11" x14ac:dyDescent="0.25">
      <c r="E1761">
        <v>748</v>
      </c>
      <c r="F1761" s="7">
        <v>44991</v>
      </c>
      <c r="G1761" t="s">
        <v>9</v>
      </c>
      <c r="H1761">
        <v>35</v>
      </c>
      <c r="I1761" t="s">
        <v>10</v>
      </c>
      <c r="J1761">
        <v>3</v>
      </c>
      <c r="K1761">
        <v>25</v>
      </c>
    </row>
    <row r="1762" spans="5:11" x14ac:dyDescent="0.25">
      <c r="E1762">
        <v>1421</v>
      </c>
      <c r="F1762" s="7">
        <v>45619</v>
      </c>
      <c r="G1762" t="s">
        <v>7</v>
      </c>
      <c r="H1762">
        <v>49</v>
      </c>
      <c r="I1762" t="s">
        <v>8</v>
      </c>
      <c r="J1762">
        <v>7</v>
      </c>
      <c r="K1762">
        <v>401</v>
      </c>
    </row>
    <row r="1763" spans="5:11" x14ac:dyDescent="0.25">
      <c r="E1763">
        <v>1234</v>
      </c>
      <c r="F1763" s="7">
        <v>45326</v>
      </c>
      <c r="G1763" t="s">
        <v>9</v>
      </c>
      <c r="H1763">
        <v>24</v>
      </c>
      <c r="I1763" t="s">
        <v>8</v>
      </c>
      <c r="J1763">
        <v>3</v>
      </c>
      <c r="K1763">
        <v>353</v>
      </c>
    </row>
    <row r="1764" spans="5:11" x14ac:dyDescent="0.25">
      <c r="E1764">
        <v>1621</v>
      </c>
      <c r="F1764" s="7">
        <v>45530</v>
      </c>
      <c r="G1764" t="s">
        <v>9</v>
      </c>
      <c r="H1764">
        <v>35</v>
      </c>
      <c r="I1764" t="s">
        <v>8</v>
      </c>
      <c r="J1764">
        <v>7</v>
      </c>
      <c r="K1764">
        <v>204</v>
      </c>
    </row>
    <row r="1765" spans="5:11" x14ac:dyDescent="0.25">
      <c r="E1765">
        <v>847</v>
      </c>
      <c r="F1765" s="7">
        <v>45050</v>
      </c>
      <c r="G1765" t="s">
        <v>7</v>
      </c>
      <c r="H1765">
        <v>32</v>
      </c>
      <c r="I1765" t="s">
        <v>10</v>
      </c>
      <c r="J1765">
        <v>2</v>
      </c>
      <c r="K1765">
        <v>25</v>
      </c>
    </row>
    <row r="1766" spans="5:11" x14ac:dyDescent="0.25">
      <c r="E1766">
        <v>1337</v>
      </c>
      <c r="F1766" s="7">
        <v>45584</v>
      </c>
      <c r="G1766" t="s">
        <v>9</v>
      </c>
      <c r="H1766">
        <v>37</v>
      </c>
      <c r="I1766" t="s">
        <v>10</v>
      </c>
      <c r="J1766">
        <v>4</v>
      </c>
      <c r="K1766">
        <v>33</v>
      </c>
    </row>
    <row r="1767" spans="5:11" x14ac:dyDescent="0.25">
      <c r="E1767">
        <v>166</v>
      </c>
      <c r="F1767" s="7">
        <v>45018</v>
      </c>
      <c r="G1767" t="s">
        <v>7</v>
      </c>
      <c r="H1767">
        <v>34</v>
      </c>
      <c r="I1767" t="s">
        <v>10</v>
      </c>
      <c r="J1767">
        <v>4</v>
      </c>
      <c r="K1767">
        <v>500</v>
      </c>
    </row>
    <row r="1768" spans="5:11" x14ac:dyDescent="0.25">
      <c r="E1768">
        <v>1052</v>
      </c>
      <c r="F1768" s="7">
        <v>45332</v>
      </c>
      <c r="G1768" t="s">
        <v>9</v>
      </c>
      <c r="H1768">
        <v>59</v>
      </c>
      <c r="I1768" t="s">
        <v>11</v>
      </c>
      <c r="J1768">
        <v>6</v>
      </c>
      <c r="K1768">
        <v>346</v>
      </c>
    </row>
    <row r="1769" spans="5:11" x14ac:dyDescent="0.25">
      <c r="E1769">
        <v>555</v>
      </c>
      <c r="F1769" s="7">
        <v>45081</v>
      </c>
      <c r="G1769" t="s">
        <v>9</v>
      </c>
      <c r="H1769">
        <v>18</v>
      </c>
      <c r="I1769" t="s">
        <v>11</v>
      </c>
      <c r="J1769">
        <v>1</v>
      </c>
      <c r="K1769">
        <v>50</v>
      </c>
    </row>
    <row r="1770" spans="5:11" x14ac:dyDescent="0.25">
      <c r="E1770">
        <v>882</v>
      </c>
      <c r="F1770" s="7">
        <v>45045</v>
      </c>
      <c r="G1770" t="s">
        <v>9</v>
      </c>
      <c r="H1770">
        <v>26</v>
      </c>
      <c r="I1770" t="s">
        <v>10</v>
      </c>
      <c r="J1770">
        <v>2</v>
      </c>
      <c r="K1770">
        <v>30</v>
      </c>
    </row>
    <row r="1771" spans="5:11" x14ac:dyDescent="0.25">
      <c r="E1771">
        <v>1789</v>
      </c>
      <c r="F1771" s="7">
        <v>45327</v>
      </c>
      <c r="G1771" t="s">
        <v>7</v>
      </c>
      <c r="H1771">
        <v>55</v>
      </c>
      <c r="I1771" t="s">
        <v>8</v>
      </c>
      <c r="J1771">
        <v>6</v>
      </c>
      <c r="K1771">
        <v>499</v>
      </c>
    </row>
    <row r="1772" spans="5:11" x14ac:dyDescent="0.25">
      <c r="E1772">
        <v>1164</v>
      </c>
      <c r="F1772" s="7">
        <v>45384</v>
      </c>
      <c r="G1772" t="s">
        <v>7</v>
      </c>
      <c r="H1772">
        <v>30</v>
      </c>
      <c r="I1772" t="s">
        <v>10</v>
      </c>
      <c r="J1772">
        <v>5</v>
      </c>
      <c r="K1772">
        <v>242</v>
      </c>
    </row>
    <row r="1773" spans="5:11" x14ac:dyDescent="0.25">
      <c r="E1773">
        <v>1209</v>
      </c>
      <c r="F1773" s="7">
        <v>45452</v>
      </c>
      <c r="G1773" t="s">
        <v>7</v>
      </c>
      <c r="H1773">
        <v>53</v>
      </c>
      <c r="I1773" t="s">
        <v>10</v>
      </c>
      <c r="J1773">
        <v>7</v>
      </c>
      <c r="K1773">
        <v>166</v>
      </c>
    </row>
    <row r="1774" spans="5:11" x14ac:dyDescent="0.25">
      <c r="E1774">
        <v>549</v>
      </c>
      <c r="F1774" s="7">
        <v>45267</v>
      </c>
      <c r="G1774" t="s">
        <v>7</v>
      </c>
      <c r="H1774">
        <v>40</v>
      </c>
      <c r="I1774" t="s">
        <v>10</v>
      </c>
      <c r="J1774">
        <v>3</v>
      </c>
      <c r="K1774">
        <v>300</v>
      </c>
    </row>
    <row r="1775" spans="5:11" x14ac:dyDescent="0.25">
      <c r="E1775">
        <v>8</v>
      </c>
      <c r="F1775" s="7">
        <v>44979</v>
      </c>
      <c r="G1775" t="s">
        <v>7</v>
      </c>
      <c r="H1775">
        <v>30</v>
      </c>
      <c r="I1775" t="s">
        <v>11</v>
      </c>
      <c r="J1775">
        <v>4</v>
      </c>
      <c r="K1775">
        <v>25</v>
      </c>
    </row>
    <row r="1776" spans="5:11" x14ac:dyDescent="0.25">
      <c r="E1776">
        <v>403</v>
      </c>
      <c r="F1776" s="7">
        <v>45071</v>
      </c>
      <c r="G1776" t="s">
        <v>7</v>
      </c>
      <c r="H1776">
        <v>46</v>
      </c>
      <c r="I1776" t="s">
        <v>11</v>
      </c>
      <c r="J1776">
        <v>2</v>
      </c>
      <c r="K1776">
        <v>500</v>
      </c>
    </row>
    <row r="1777" spans="5:11" x14ac:dyDescent="0.25">
      <c r="E1777">
        <v>509</v>
      </c>
      <c r="F1777" s="7">
        <v>45087</v>
      </c>
      <c r="G1777" t="s">
        <v>9</v>
      </c>
      <c r="H1777">
        <v>39</v>
      </c>
      <c r="I1777" t="s">
        <v>8</v>
      </c>
      <c r="J1777">
        <v>4</v>
      </c>
      <c r="K1777">
        <v>50</v>
      </c>
    </row>
    <row r="1778" spans="5:11" x14ac:dyDescent="0.25">
      <c r="E1778">
        <v>1780</v>
      </c>
      <c r="F1778" s="7">
        <v>45600</v>
      </c>
      <c r="G1778" t="s">
        <v>9</v>
      </c>
      <c r="H1778">
        <v>34</v>
      </c>
      <c r="I1778" t="s">
        <v>11</v>
      </c>
      <c r="J1778">
        <v>3</v>
      </c>
      <c r="K1778">
        <v>206</v>
      </c>
    </row>
    <row r="1779" spans="5:11" x14ac:dyDescent="0.25">
      <c r="E1779">
        <v>1791</v>
      </c>
      <c r="F1779" s="7">
        <v>45624</v>
      </c>
      <c r="G1779" t="s">
        <v>7</v>
      </c>
      <c r="H1779">
        <v>44</v>
      </c>
      <c r="I1779" t="s">
        <v>11</v>
      </c>
      <c r="J1779">
        <v>6</v>
      </c>
      <c r="K1779">
        <v>108</v>
      </c>
    </row>
    <row r="1780" spans="5:11" x14ac:dyDescent="0.25">
      <c r="E1780">
        <v>1501</v>
      </c>
      <c r="F1780" s="7">
        <v>45428</v>
      </c>
      <c r="G1780" t="s">
        <v>9</v>
      </c>
      <c r="H1780">
        <v>47</v>
      </c>
      <c r="I1780" t="s">
        <v>8</v>
      </c>
      <c r="J1780">
        <v>6</v>
      </c>
      <c r="K1780">
        <v>63</v>
      </c>
    </row>
    <row r="1781" spans="5:11" x14ac:dyDescent="0.25">
      <c r="E1781">
        <v>1236</v>
      </c>
      <c r="F1781" s="7">
        <v>45462</v>
      </c>
      <c r="G1781" t="s">
        <v>7</v>
      </c>
      <c r="H1781">
        <v>27</v>
      </c>
      <c r="I1781" t="s">
        <v>11</v>
      </c>
      <c r="J1781">
        <v>6</v>
      </c>
      <c r="K1781">
        <v>194</v>
      </c>
    </row>
    <row r="1782" spans="5:11" x14ac:dyDescent="0.25">
      <c r="E1782">
        <v>1235</v>
      </c>
      <c r="F1782" s="7">
        <v>45308</v>
      </c>
      <c r="G1782" t="s">
        <v>9</v>
      </c>
      <c r="H1782">
        <v>65</v>
      </c>
      <c r="I1782" t="s">
        <v>8</v>
      </c>
      <c r="J1782">
        <v>1</v>
      </c>
      <c r="K1782">
        <v>497</v>
      </c>
    </row>
    <row r="1783" spans="5:11" x14ac:dyDescent="0.25">
      <c r="E1783">
        <v>1350</v>
      </c>
      <c r="F1783" s="7">
        <v>45426</v>
      </c>
      <c r="G1783" t="s">
        <v>7</v>
      </c>
      <c r="H1783">
        <v>57</v>
      </c>
      <c r="I1783" t="s">
        <v>11</v>
      </c>
      <c r="J1783">
        <v>3</v>
      </c>
      <c r="K1783">
        <v>117</v>
      </c>
    </row>
    <row r="1784" spans="5:11" x14ac:dyDescent="0.25">
      <c r="E1784">
        <v>802</v>
      </c>
      <c r="F1784" s="7">
        <v>45162</v>
      </c>
      <c r="G1784" t="s">
        <v>7</v>
      </c>
      <c r="H1784">
        <v>42</v>
      </c>
      <c r="I1784" t="s">
        <v>11</v>
      </c>
      <c r="J1784">
        <v>1</v>
      </c>
      <c r="K1784">
        <v>30</v>
      </c>
    </row>
    <row r="1785" spans="5:11" x14ac:dyDescent="0.25">
      <c r="E1785">
        <v>1613</v>
      </c>
      <c r="F1785" s="7">
        <v>45558</v>
      </c>
      <c r="G1785" t="s">
        <v>7</v>
      </c>
      <c r="H1785">
        <v>52</v>
      </c>
      <c r="I1785" t="s">
        <v>10</v>
      </c>
      <c r="J1785">
        <v>1</v>
      </c>
      <c r="K1785">
        <v>401</v>
      </c>
    </row>
    <row r="1786" spans="5:11" x14ac:dyDescent="0.25">
      <c r="E1786">
        <v>797</v>
      </c>
      <c r="F1786" s="7">
        <v>45177</v>
      </c>
      <c r="G1786" t="s">
        <v>7</v>
      </c>
      <c r="H1786">
        <v>56</v>
      </c>
      <c r="I1786" t="s">
        <v>11</v>
      </c>
      <c r="J1786">
        <v>2</v>
      </c>
      <c r="K1786">
        <v>50</v>
      </c>
    </row>
    <row r="1787" spans="5:11" x14ac:dyDescent="0.25">
      <c r="E1787">
        <v>980</v>
      </c>
      <c r="F1787" s="7">
        <v>45279</v>
      </c>
      <c r="G1787" t="s">
        <v>9</v>
      </c>
      <c r="H1787">
        <v>46</v>
      </c>
      <c r="I1787" t="s">
        <v>8</v>
      </c>
      <c r="J1787">
        <v>3</v>
      </c>
      <c r="K1787">
        <v>30</v>
      </c>
    </row>
    <row r="1788" spans="5:11" x14ac:dyDescent="0.25">
      <c r="E1788">
        <v>1384</v>
      </c>
      <c r="F1788" s="7">
        <v>45447</v>
      </c>
      <c r="G1788" t="s">
        <v>7</v>
      </c>
      <c r="H1788">
        <v>35</v>
      </c>
      <c r="I1788" t="s">
        <v>8</v>
      </c>
      <c r="J1788">
        <v>2</v>
      </c>
      <c r="K1788">
        <v>66</v>
      </c>
    </row>
    <row r="1789" spans="5:11" x14ac:dyDescent="0.25">
      <c r="E1789">
        <v>1849</v>
      </c>
      <c r="F1789" s="7">
        <v>45416</v>
      </c>
      <c r="G1789" t="s">
        <v>7</v>
      </c>
      <c r="H1789">
        <v>46</v>
      </c>
      <c r="I1789" t="s">
        <v>8</v>
      </c>
      <c r="J1789">
        <v>6</v>
      </c>
      <c r="K1789">
        <v>345</v>
      </c>
    </row>
    <row r="1790" spans="5:11" x14ac:dyDescent="0.25">
      <c r="E1790">
        <v>1801</v>
      </c>
      <c r="F1790" s="7">
        <v>45655</v>
      </c>
      <c r="G1790" t="s">
        <v>9</v>
      </c>
      <c r="H1790">
        <v>30</v>
      </c>
      <c r="I1790" t="s">
        <v>8</v>
      </c>
      <c r="J1790">
        <v>6</v>
      </c>
      <c r="K1790">
        <v>472</v>
      </c>
    </row>
    <row r="1791" spans="5:11" x14ac:dyDescent="0.25">
      <c r="E1791">
        <v>292</v>
      </c>
      <c r="F1791" s="7">
        <v>45048</v>
      </c>
      <c r="G1791" t="s">
        <v>7</v>
      </c>
      <c r="H1791">
        <v>50</v>
      </c>
      <c r="I1791" t="s">
        <v>11</v>
      </c>
      <c r="J1791">
        <v>3</v>
      </c>
      <c r="K1791">
        <v>30</v>
      </c>
    </row>
    <row r="1792" spans="5:11" x14ac:dyDescent="0.25">
      <c r="E1792">
        <v>707</v>
      </c>
      <c r="F1792" s="7">
        <v>45128</v>
      </c>
      <c r="G1792" t="s">
        <v>9</v>
      </c>
      <c r="H1792">
        <v>19</v>
      </c>
      <c r="I1792" t="s">
        <v>11</v>
      </c>
      <c r="J1792">
        <v>2</v>
      </c>
      <c r="K1792">
        <v>500</v>
      </c>
    </row>
    <row r="1793" spans="5:11" x14ac:dyDescent="0.25">
      <c r="E1793">
        <v>779</v>
      </c>
      <c r="F1793" s="7">
        <v>45283</v>
      </c>
      <c r="G1793" t="s">
        <v>7</v>
      </c>
      <c r="H1793">
        <v>35</v>
      </c>
      <c r="I1793" t="s">
        <v>8</v>
      </c>
      <c r="J1793">
        <v>1</v>
      </c>
      <c r="K1793">
        <v>500</v>
      </c>
    </row>
    <row r="1794" spans="5:11" x14ac:dyDescent="0.25">
      <c r="E1794">
        <v>1790</v>
      </c>
      <c r="F1794" s="7">
        <v>45552</v>
      </c>
      <c r="G1794" t="s">
        <v>9</v>
      </c>
      <c r="H1794">
        <v>46</v>
      </c>
      <c r="I1794" t="s">
        <v>8</v>
      </c>
      <c r="J1794">
        <v>2</v>
      </c>
      <c r="K1794">
        <v>99</v>
      </c>
    </row>
    <row r="1795" spans="5:11" x14ac:dyDescent="0.25">
      <c r="E1795">
        <v>1195</v>
      </c>
      <c r="F1795" s="7">
        <v>45357</v>
      </c>
      <c r="G1795" t="s">
        <v>9</v>
      </c>
      <c r="H1795">
        <v>39</v>
      </c>
      <c r="I1795" t="s">
        <v>10</v>
      </c>
      <c r="J1795">
        <v>1</v>
      </c>
      <c r="K1795">
        <v>224</v>
      </c>
    </row>
    <row r="1796" spans="5:11" x14ac:dyDescent="0.25">
      <c r="E1796">
        <v>1762</v>
      </c>
      <c r="F1796" s="7">
        <v>45347</v>
      </c>
      <c r="G1796" t="s">
        <v>7</v>
      </c>
      <c r="H1796">
        <v>25</v>
      </c>
      <c r="I1796" t="s">
        <v>11</v>
      </c>
      <c r="J1796">
        <v>5</v>
      </c>
      <c r="K1796">
        <v>374</v>
      </c>
    </row>
    <row r="1797" spans="5:11" x14ac:dyDescent="0.25">
      <c r="E1797">
        <v>361</v>
      </c>
      <c r="F1797" s="7">
        <v>45257</v>
      </c>
      <c r="G1797" t="s">
        <v>7</v>
      </c>
      <c r="H1797">
        <v>50</v>
      </c>
      <c r="I1797" t="s">
        <v>10</v>
      </c>
      <c r="J1797">
        <v>1</v>
      </c>
      <c r="K1797">
        <v>25</v>
      </c>
    </row>
    <row r="1798" spans="5:11" x14ac:dyDescent="0.25">
      <c r="E1798">
        <v>717</v>
      </c>
      <c r="F1798" s="7">
        <v>45020</v>
      </c>
      <c r="G1798" t="s">
        <v>9</v>
      </c>
      <c r="H1798">
        <v>42</v>
      </c>
      <c r="I1798" t="s">
        <v>10</v>
      </c>
      <c r="J1798">
        <v>2</v>
      </c>
      <c r="K1798">
        <v>30</v>
      </c>
    </row>
    <row r="1799" spans="5:11" x14ac:dyDescent="0.25">
      <c r="E1799">
        <v>1924</v>
      </c>
      <c r="F1799" s="7">
        <v>45387</v>
      </c>
      <c r="G1799" t="s">
        <v>9</v>
      </c>
      <c r="H1799">
        <v>41</v>
      </c>
      <c r="I1799" t="s">
        <v>10</v>
      </c>
      <c r="J1799">
        <v>1</v>
      </c>
      <c r="K1799">
        <v>293</v>
      </c>
    </row>
    <row r="1800" spans="5:11" x14ac:dyDescent="0.25">
      <c r="E1800">
        <v>1105</v>
      </c>
      <c r="F1800" s="7">
        <v>45325</v>
      </c>
      <c r="G1800" t="s">
        <v>9</v>
      </c>
      <c r="H1800">
        <v>58</v>
      </c>
      <c r="I1800" t="s">
        <v>10</v>
      </c>
      <c r="J1800">
        <v>7</v>
      </c>
      <c r="K1800">
        <v>494</v>
      </c>
    </row>
    <row r="1801" spans="5:11" x14ac:dyDescent="0.25">
      <c r="E1801">
        <v>128</v>
      </c>
      <c r="F1801" s="7">
        <v>45112</v>
      </c>
      <c r="G1801" t="s">
        <v>7</v>
      </c>
      <c r="H1801">
        <v>25</v>
      </c>
      <c r="I1801" t="s">
        <v>8</v>
      </c>
      <c r="J1801">
        <v>1</v>
      </c>
      <c r="K1801">
        <v>500</v>
      </c>
    </row>
    <row r="1802" spans="5:11" x14ac:dyDescent="0.25">
      <c r="E1802">
        <v>869</v>
      </c>
      <c r="F1802" s="7">
        <v>45169</v>
      </c>
      <c r="G1802" t="s">
        <v>7</v>
      </c>
      <c r="H1802">
        <v>62</v>
      </c>
      <c r="I1802" t="s">
        <v>8</v>
      </c>
      <c r="J1802">
        <v>2</v>
      </c>
      <c r="K1802">
        <v>30</v>
      </c>
    </row>
    <row r="1803" spans="5:11" x14ac:dyDescent="0.25">
      <c r="E1803">
        <v>1798</v>
      </c>
      <c r="F1803" s="7">
        <v>45478</v>
      </c>
      <c r="G1803" t="s">
        <v>9</v>
      </c>
      <c r="H1803">
        <v>63</v>
      </c>
      <c r="I1803" t="s">
        <v>8</v>
      </c>
      <c r="J1803">
        <v>7</v>
      </c>
      <c r="K1803">
        <v>203</v>
      </c>
    </row>
    <row r="1804" spans="5:11" x14ac:dyDescent="0.25">
      <c r="E1804">
        <v>1815</v>
      </c>
      <c r="F1804" s="7">
        <v>45458</v>
      </c>
      <c r="G1804" t="s">
        <v>9</v>
      </c>
      <c r="H1804">
        <v>64</v>
      </c>
      <c r="I1804" t="s">
        <v>8</v>
      </c>
      <c r="J1804">
        <v>2</v>
      </c>
      <c r="K1804">
        <v>233</v>
      </c>
    </row>
    <row r="1805" spans="5:11" x14ac:dyDescent="0.25">
      <c r="E1805">
        <v>1443</v>
      </c>
      <c r="F1805" s="7">
        <v>45450</v>
      </c>
      <c r="G1805" t="s">
        <v>7</v>
      </c>
      <c r="H1805">
        <v>20</v>
      </c>
      <c r="I1805" t="s">
        <v>11</v>
      </c>
      <c r="J1805">
        <v>6</v>
      </c>
      <c r="K1805">
        <v>284</v>
      </c>
    </row>
    <row r="1806" spans="5:11" x14ac:dyDescent="0.25">
      <c r="E1806">
        <v>1385</v>
      </c>
      <c r="F1806" s="7">
        <v>45606</v>
      </c>
      <c r="G1806" t="s">
        <v>7</v>
      </c>
      <c r="H1806">
        <v>56</v>
      </c>
      <c r="I1806" t="s">
        <v>11</v>
      </c>
      <c r="J1806">
        <v>5</v>
      </c>
      <c r="K1806">
        <v>11</v>
      </c>
    </row>
    <row r="1807" spans="5:11" x14ac:dyDescent="0.25">
      <c r="E1807">
        <v>445</v>
      </c>
      <c r="F1807" s="7">
        <v>45084</v>
      </c>
      <c r="G1807" t="s">
        <v>7</v>
      </c>
      <c r="H1807">
        <v>21</v>
      </c>
      <c r="I1807" t="s">
        <v>11</v>
      </c>
      <c r="J1807">
        <v>1</v>
      </c>
      <c r="K1807">
        <v>50</v>
      </c>
    </row>
    <row r="1808" spans="5:11" x14ac:dyDescent="0.25">
      <c r="E1808">
        <v>951</v>
      </c>
      <c r="F1808" s="7">
        <v>45042</v>
      </c>
      <c r="G1808" t="s">
        <v>7</v>
      </c>
      <c r="H1808">
        <v>45</v>
      </c>
      <c r="I1808" t="s">
        <v>8</v>
      </c>
      <c r="J1808">
        <v>3</v>
      </c>
      <c r="K1808">
        <v>30</v>
      </c>
    </row>
    <row r="1809" spans="5:11" x14ac:dyDescent="0.25">
      <c r="E1809">
        <v>1414</v>
      </c>
      <c r="F1809" s="7">
        <v>45617</v>
      </c>
      <c r="G1809" t="s">
        <v>7</v>
      </c>
      <c r="H1809">
        <v>61</v>
      </c>
      <c r="I1809" t="s">
        <v>11</v>
      </c>
      <c r="J1809">
        <v>5</v>
      </c>
      <c r="K1809">
        <v>263</v>
      </c>
    </row>
    <row r="1810" spans="5:11" x14ac:dyDescent="0.25">
      <c r="E1810">
        <v>1415</v>
      </c>
      <c r="F1810" s="7">
        <v>45509</v>
      </c>
      <c r="G1810" t="s">
        <v>9</v>
      </c>
      <c r="H1810">
        <v>45</v>
      </c>
      <c r="I1810" t="s">
        <v>11</v>
      </c>
      <c r="J1810">
        <v>4</v>
      </c>
      <c r="K1810">
        <v>204</v>
      </c>
    </row>
    <row r="1811" spans="5:11" x14ac:dyDescent="0.25">
      <c r="E1811">
        <v>503</v>
      </c>
      <c r="F1811" s="7">
        <v>45062</v>
      </c>
      <c r="G1811" t="s">
        <v>9</v>
      </c>
      <c r="H1811">
        <v>38</v>
      </c>
      <c r="I1811" t="s">
        <v>8</v>
      </c>
      <c r="J1811">
        <v>3</v>
      </c>
      <c r="K1811">
        <v>50</v>
      </c>
    </row>
    <row r="1812" spans="5:11" x14ac:dyDescent="0.25">
      <c r="E1812">
        <v>518</v>
      </c>
      <c r="F1812" s="7">
        <v>44949</v>
      </c>
      <c r="G1812" t="s">
        <v>9</v>
      </c>
      <c r="H1812">
        <v>36</v>
      </c>
      <c r="I1812" t="s">
        <v>11</v>
      </c>
      <c r="J1812">
        <v>4</v>
      </c>
      <c r="K1812">
        <v>30</v>
      </c>
    </row>
    <row r="1813" spans="5:11" x14ac:dyDescent="0.25">
      <c r="E1813">
        <v>1784</v>
      </c>
      <c r="F1813" s="7">
        <v>45470</v>
      </c>
      <c r="G1813" t="s">
        <v>9</v>
      </c>
      <c r="H1813">
        <v>30</v>
      </c>
      <c r="I1813" t="s">
        <v>8</v>
      </c>
      <c r="J1813">
        <v>2</v>
      </c>
      <c r="K1813">
        <v>244</v>
      </c>
    </row>
    <row r="1814" spans="5:11" x14ac:dyDescent="0.25">
      <c r="E1814">
        <v>766</v>
      </c>
      <c r="F1814" s="7">
        <v>44940</v>
      </c>
      <c r="G1814" t="s">
        <v>9</v>
      </c>
      <c r="H1814">
        <v>24</v>
      </c>
      <c r="I1814" t="s">
        <v>8</v>
      </c>
      <c r="J1814">
        <v>3</v>
      </c>
      <c r="K1814">
        <v>25</v>
      </c>
    </row>
    <row r="1815" spans="5:11" x14ac:dyDescent="0.25">
      <c r="E1815">
        <v>859</v>
      </c>
      <c r="F1815" s="7">
        <v>44974</v>
      </c>
      <c r="G1815" t="s">
        <v>9</v>
      </c>
      <c r="H1815">
        <v>41</v>
      </c>
      <c r="I1815" t="s">
        <v>10</v>
      </c>
      <c r="J1815">
        <v>3</v>
      </c>
      <c r="K1815">
        <v>30</v>
      </c>
    </row>
    <row r="1816" spans="5:11" x14ac:dyDescent="0.25">
      <c r="E1816">
        <v>269</v>
      </c>
      <c r="F1816" s="7">
        <v>45133</v>
      </c>
      <c r="G1816" t="s">
        <v>7</v>
      </c>
      <c r="H1816">
        <v>43</v>
      </c>
      <c r="I1816" t="s">
        <v>11</v>
      </c>
      <c r="J1816">
        <v>1</v>
      </c>
      <c r="K1816">
        <v>300</v>
      </c>
    </row>
    <row r="1817" spans="5:11" x14ac:dyDescent="0.25">
      <c r="E1817">
        <v>59</v>
      </c>
      <c r="F1817" s="7">
        <v>45112</v>
      </c>
      <c r="G1817" t="s">
        <v>7</v>
      </c>
      <c r="H1817">
        <v>62</v>
      </c>
      <c r="I1817" t="s">
        <v>10</v>
      </c>
      <c r="J1817">
        <v>1</v>
      </c>
      <c r="K1817">
        <v>50</v>
      </c>
    </row>
    <row r="1818" spans="5:11" x14ac:dyDescent="0.25">
      <c r="E1818">
        <v>1843</v>
      </c>
      <c r="F1818" s="7">
        <v>45390</v>
      </c>
      <c r="G1818" t="s">
        <v>9</v>
      </c>
      <c r="H1818">
        <v>56</v>
      </c>
      <c r="I1818" t="s">
        <v>11</v>
      </c>
      <c r="J1818">
        <v>6</v>
      </c>
      <c r="K1818">
        <v>54</v>
      </c>
    </row>
    <row r="1819" spans="5:11" x14ac:dyDescent="0.25">
      <c r="E1819">
        <v>1628</v>
      </c>
      <c r="F1819" s="7">
        <v>45606</v>
      </c>
      <c r="G1819" t="s">
        <v>7</v>
      </c>
      <c r="H1819">
        <v>33</v>
      </c>
      <c r="I1819" t="s">
        <v>11</v>
      </c>
      <c r="J1819">
        <v>3</v>
      </c>
      <c r="K1819">
        <v>285</v>
      </c>
    </row>
    <row r="1820" spans="5:11" x14ac:dyDescent="0.25">
      <c r="E1820">
        <v>177</v>
      </c>
      <c r="F1820" s="7">
        <v>45009</v>
      </c>
      <c r="G1820" t="s">
        <v>7</v>
      </c>
      <c r="H1820">
        <v>45</v>
      </c>
      <c r="I1820" t="s">
        <v>8</v>
      </c>
      <c r="J1820">
        <v>2</v>
      </c>
      <c r="K1820">
        <v>50</v>
      </c>
    </row>
    <row r="1821" spans="5:11" x14ac:dyDescent="0.25">
      <c r="E1821">
        <v>623</v>
      </c>
      <c r="F1821" s="7">
        <v>45164</v>
      </c>
      <c r="G1821" t="s">
        <v>9</v>
      </c>
      <c r="H1821">
        <v>34</v>
      </c>
      <c r="I1821" t="s">
        <v>8</v>
      </c>
      <c r="J1821">
        <v>3</v>
      </c>
      <c r="K1821">
        <v>300</v>
      </c>
    </row>
    <row r="1822" spans="5:11" x14ac:dyDescent="0.25">
      <c r="E1822">
        <v>353</v>
      </c>
      <c r="F1822" s="7">
        <v>45031</v>
      </c>
      <c r="G1822" t="s">
        <v>9</v>
      </c>
      <c r="H1822">
        <v>49</v>
      </c>
      <c r="I1822" t="s">
        <v>8</v>
      </c>
      <c r="J1822">
        <v>4</v>
      </c>
      <c r="K1822">
        <v>50</v>
      </c>
    </row>
    <row r="1823" spans="5:11" x14ac:dyDescent="0.25">
      <c r="E1823">
        <v>58</v>
      </c>
      <c r="F1823" s="7">
        <v>45243</v>
      </c>
      <c r="G1823" t="s">
        <v>7</v>
      </c>
      <c r="H1823">
        <v>18</v>
      </c>
      <c r="I1823" t="s">
        <v>10</v>
      </c>
      <c r="J1823">
        <v>4</v>
      </c>
      <c r="K1823">
        <v>300</v>
      </c>
    </row>
    <row r="1824" spans="5:11" x14ac:dyDescent="0.25">
      <c r="E1824">
        <v>298</v>
      </c>
      <c r="F1824" s="7">
        <v>45132</v>
      </c>
      <c r="G1824" t="s">
        <v>7</v>
      </c>
      <c r="H1824">
        <v>61</v>
      </c>
      <c r="I1824" t="s">
        <v>11</v>
      </c>
      <c r="J1824">
        <v>2</v>
      </c>
      <c r="K1824">
        <v>500</v>
      </c>
    </row>
    <row r="1825" spans="5:11" x14ac:dyDescent="0.25">
      <c r="E1825">
        <v>586</v>
      </c>
      <c r="F1825" s="7">
        <v>45085</v>
      </c>
      <c r="G1825" t="s">
        <v>9</v>
      </c>
      <c r="H1825">
        <v>40</v>
      </c>
      <c r="I1825" t="s">
        <v>8</v>
      </c>
      <c r="J1825">
        <v>4</v>
      </c>
      <c r="K1825">
        <v>300</v>
      </c>
    </row>
    <row r="1826" spans="5:11" x14ac:dyDescent="0.25">
      <c r="E1826">
        <v>961</v>
      </c>
      <c r="F1826" s="7">
        <v>45244</v>
      </c>
      <c r="G1826" t="s">
        <v>9</v>
      </c>
      <c r="H1826">
        <v>55</v>
      </c>
      <c r="I1826" t="s">
        <v>8</v>
      </c>
      <c r="J1826">
        <v>1</v>
      </c>
      <c r="K1826">
        <v>50</v>
      </c>
    </row>
    <row r="1827" spans="5:11" x14ac:dyDescent="0.25">
      <c r="E1827">
        <v>323</v>
      </c>
      <c r="F1827" s="7">
        <v>45226</v>
      </c>
      <c r="G1827" t="s">
        <v>9</v>
      </c>
      <c r="H1827">
        <v>52</v>
      </c>
      <c r="I1827" t="s">
        <v>11</v>
      </c>
      <c r="J1827">
        <v>3</v>
      </c>
      <c r="K1827">
        <v>50</v>
      </c>
    </row>
    <row r="1828" spans="5:11" x14ac:dyDescent="0.25">
      <c r="E1828">
        <v>150</v>
      </c>
      <c r="F1828" s="7">
        <v>44932</v>
      </c>
      <c r="G1828" t="s">
        <v>9</v>
      </c>
      <c r="H1828">
        <v>58</v>
      </c>
      <c r="I1828" t="s">
        <v>11</v>
      </c>
      <c r="J1828">
        <v>4</v>
      </c>
      <c r="K1828">
        <v>30</v>
      </c>
    </row>
    <row r="1829" spans="5:11" x14ac:dyDescent="0.25">
      <c r="E1829">
        <v>62</v>
      </c>
      <c r="F1829" s="7">
        <v>45287</v>
      </c>
      <c r="G1829" t="s">
        <v>7</v>
      </c>
      <c r="H1829">
        <v>18</v>
      </c>
      <c r="I1829" t="s">
        <v>8</v>
      </c>
      <c r="J1829">
        <v>2</v>
      </c>
      <c r="K1829">
        <v>50</v>
      </c>
    </row>
    <row r="1830" spans="5:11" x14ac:dyDescent="0.25">
      <c r="E1830">
        <v>1468</v>
      </c>
      <c r="F1830" s="7">
        <v>45374</v>
      </c>
      <c r="G1830" t="s">
        <v>7</v>
      </c>
      <c r="H1830">
        <v>58</v>
      </c>
      <c r="I1830" t="s">
        <v>10</v>
      </c>
      <c r="J1830">
        <v>4</v>
      </c>
      <c r="K1830">
        <v>493</v>
      </c>
    </row>
    <row r="1831" spans="5:11" x14ac:dyDescent="0.25">
      <c r="E1831">
        <v>1794</v>
      </c>
      <c r="F1831" s="7">
        <v>45508</v>
      </c>
      <c r="G1831" t="s">
        <v>7</v>
      </c>
      <c r="H1831">
        <v>29</v>
      </c>
      <c r="I1831" t="s">
        <v>10</v>
      </c>
      <c r="J1831">
        <v>5</v>
      </c>
      <c r="K1831">
        <v>487</v>
      </c>
    </row>
    <row r="1832" spans="5:11" x14ac:dyDescent="0.25">
      <c r="E1832">
        <v>1473</v>
      </c>
      <c r="F1832" s="7">
        <v>45533</v>
      </c>
      <c r="G1832" t="s">
        <v>9</v>
      </c>
      <c r="H1832">
        <v>26</v>
      </c>
      <c r="I1832" t="s">
        <v>10</v>
      </c>
      <c r="J1832">
        <v>5</v>
      </c>
      <c r="K1832">
        <v>407</v>
      </c>
    </row>
    <row r="1833" spans="5:11" x14ac:dyDescent="0.25">
      <c r="E1833">
        <v>236</v>
      </c>
      <c r="F1833" s="7">
        <v>44961</v>
      </c>
      <c r="G1833" t="s">
        <v>9</v>
      </c>
      <c r="H1833">
        <v>50</v>
      </c>
      <c r="I1833" t="s">
        <v>8</v>
      </c>
      <c r="J1833">
        <v>2</v>
      </c>
      <c r="K1833">
        <v>500</v>
      </c>
    </row>
    <row r="1834" spans="5:11" x14ac:dyDescent="0.25">
      <c r="E1834">
        <v>1802</v>
      </c>
      <c r="F1834" s="7">
        <v>45371</v>
      </c>
      <c r="G1834" t="s">
        <v>9</v>
      </c>
      <c r="H1834">
        <v>57</v>
      </c>
      <c r="I1834" t="s">
        <v>8</v>
      </c>
      <c r="J1834">
        <v>6</v>
      </c>
      <c r="K1834">
        <v>270</v>
      </c>
    </row>
    <row r="1835" spans="5:11" x14ac:dyDescent="0.25">
      <c r="E1835">
        <v>408</v>
      </c>
      <c r="F1835" s="7">
        <v>45278</v>
      </c>
      <c r="G1835" t="s">
        <v>9</v>
      </c>
      <c r="H1835">
        <v>21</v>
      </c>
      <c r="I1835" t="s">
        <v>11</v>
      </c>
      <c r="J1835">
        <v>3</v>
      </c>
      <c r="K1835">
        <v>300</v>
      </c>
    </row>
    <row r="1836" spans="5:11" x14ac:dyDescent="0.25">
      <c r="E1836">
        <v>1495</v>
      </c>
      <c r="F1836" s="7">
        <v>45462</v>
      </c>
      <c r="G1836" t="s">
        <v>9</v>
      </c>
      <c r="H1836">
        <v>20</v>
      </c>
      <c r="I1836" t="s">
        <v>10</v>
      </c>
      <c r="J1836">
        <v>5</v>
      </c>
      <c r="K1836">
        <v>280</v>
      </c>
    </row>
    <row r="1837" spans="5:11" x14ac:dyDescent="0.25">
      <c r="E1837">
        <v>1862</v>
      </c>
      <c r="F1837" s="7">
        <v>45417</v>
      </c>
      <c r="G1837" t="s">
        <v>7</v>
      </c>
      <c r="H1837">
        <v>18</v>
      </c>
      <c r="I1837" t="s">
        <v>11</v>
      </c>
      <c r="J1837">
        <v>5</v>
      </c>
      <c r="K1837">
        <v>55</v>
      </c>
    </row>
    <row r="1838" spans="5:11" x14ac:dyDescent="0.25">
      <c r="E1838">
        <v>1486</v>
      </c>
      <c r="F1838" s="7">
        <v>45435</v>
      </c>
      <c r="G1838" t="s">
        <v>7</v>
      </c>
      <c r="H1838">
        <v>60</v>
      </c>
      <c r="I1838" t="s">
        <v>11</v>
      </c>
      <c r="J1838">
        <v>4</v>
      </c>
      <c r="K1838">
        <v>136</v>
      </c>
    </row>
    <row r="1839" spans="5:11" x14ac:dyDescent="0.25">
      <c r="E1839">
        <v>1222</v>
      </c>
      <c r="F1839" s="7">
        <v>45302</v>
      </c>
      <c r="G1839" t="s">
        <v>9</v>
      </c>
      <c r="H1839">
        <v>35</v>
      </c>
      <c r="I1839" t="s">
        <v>8</v>
      </c>
      <c r="J1839">
        <v>4</v>
      </c>
      <c r="K1839">
        <v>399</v>
      </c>
    </row>
    <row r="1840" spans="5:11" x14ac:dyDescent="0.25">
      <c r="E1840">
        <v>1092</v>
      </c>
      <c r="F1840" s="7">
        <v>45431</v>
      </c>
      <c r="G1840" t="s">
        <v>9</v>
      </c>
      <c r="H1840">
        <v>41</v>
      </c>
      <c r="I1840" t="s">
        <v>8</v>
      </c>
      <c r="J1840">
        <v>3</v>
      </c>
      <c r="K1840">
        <v>223</v>
      </c>
    </row>
    <row r="1841" spans="5:11" x14ac:dyDescent="0.25">
      <c r="E1841">
        <v>662</v>
      </c>
      <c r="F1841" s="7">
        <v>45288</v>
      </c>
      <c r="G1841" t="s">
        <v>9</v>
      </c>
      <c r="H1841">
        <v>44</v>
      </c>
      <c r="I1841" t="s">
        <v>10</v>
      </c>
      <c r="J1841">
        <v>4</v>
      </c>
      <c r="K1841">
        <v>500</v>
      </c>
    </row>
    <row r="1842" spans="5:11" x14ac:dyDescent="0.25">
      <c r="E1842">
        <v>1566</v>
      </c>
      <c r="F1842" s="7">
        <v>45519</v>
      </c>
      <c r="G1842" t="s">
        <v>7</v>
      </c>
      <c r="H1842">
        <v>51</v>
      </c>
      <c r="I1842" t="s">
        <v>11</v>
      </c>
      <c r="J1842">
        <v>3</v>
      </c>
      <c r="K1842">
        <v>240</v>
      </c>
    </row>
    <row r="1843" spans="5:11" x14ac:dyDescent="0.25">
      <c r="E1843">
        <v>513</v>
      </c>
      <c r="F1843" s="7">
        <v>44986</v>
      </c>
      <c r="G1843" t="s">
        <v>9</v>
      </c>
      <c r="H1843">
        <v>18</v>
      </c>
      <c r="I1843" t="s">
        <v>11</v>
      </c>
      <c r="J1843">
        <v>1</v>
      </c>
      <c r="K1843">
        <v>300</v>
      </c>
    </row>
    <row r="1844" spans="5:11" x14ac:dyDescent="0.25">
      <c r="E1844">
        <v>100</v>
      </c>
      <c r="F1844" s="7">
        <v>45093</v>
      </c>
      <c r="G1844" t="s">
        <v>7</v>
      </c>
      <c r="H1844">
        <v>41</v>
      </c>
      <c r="I1844" t="s">
        <v>11</v>
      </c>
      <c r="J1844">
        <v>1</v>
      </c>
      <c r="K1844">
        <v>30</v>
      </c>
    </row>
    <row r="1845" spans="5:11" x14ac:dyDescent="0.25">
      <c r="E1845">
        <v>31</v>
      </c>
      <c r="F1845" s="7">
        <v>45069</v>
      </c>
      <c r="G1845" t="s">
        <v>7</v>
      </c>
      <c r="H1845">
        <v>44</v>
      </c>
      <c r="I1845" t="s">
        <v>11</v>
      </c>
      <c r="J1845">
        <v>4</v>
      </c>
      <c r="K1845">
        <v>300</v>
      </c>
    </row>
    <row r="1846" spans="5:11" x14ac:dyDescent="0.25">
      <c r="E1846">
        <v>1964</v>
      </c>
      <c r="F1846" s="7">
        <v>45613</v>
      </c>
      <c r="G1846" t="s">
        <v>9</v>
      </c>
      <c r="H1846">
        <v>33</v>
      </c>
      <c r="I1846" t="s">
        <v>10</v>
      </c>
      <c r="J1846">
        <v>6</v>
      </c>
      <c r="K1846">
        <v>107</v>
      </c>
    </row>
    <row r="1847" spans="5:11" x14ac:dyDescent="0.25">
      <c r="E1847">
        <v>1295</v>
      </c>
      <c r="F1847" s="7">
        <v>45402</v>
      </c>
      <c r="G1847" t="s">
        <v>7</v>
      </c>
      <c r="H1847">
        <v>29</v>
      </c>
      <c r="I1847" t="s">
        <v>8</v>
      </c>
      <c r="J1847">
        <v>1</v>
      </c>
      <c r="K1847">
        <v>329</v>
      </c>
    </row>
    <row r="1848" spans="5:11" x14ac:dyDescent="0.25">
      <c r="E1848">
        <v>1559</v>
      </c>
      <c r="F1848" s="7">
        <v>45400</v>
      </c>
      <c r="G1848" t="s">
        <v>7</v>
      </c>
      <c r="H1848">
        <v>25</v>
      </c>
      <c r="I1848" t="s">
        <v>11</v>
      </c>
      <c r="J1848">
        <v>7</v>
      </c>
      <c r="K1848">
        <v>370</v>
      </c>
    </row>
    <row r="1849" spans="5:11" x14ac:dyDescent="0.25">
      <c r="E1849">
        <v>1462</v>
      </c>
      <c r="F1849" s="7">
        <v>45384</v>
      </c>
      <c r="G1849" t="s">
        <v>9</v>
      </c>
      <c r="H1849">
        <v>30</v>
      </c>
      <c r="I1849" t="s">
        <v>11</v>
      </c>
      <c r="J1849">
        <v>4</v>
      </c>
      <c r="K1849">
        <v>416</v>
      </c>
    </row>
    <row r="1850" spans="5:11" x14ac:dyDescent="0.25">
      <c r="E1850">
        <v>889</v>
      </c>
      <c r="F1850" s="7">
        <v>45021</v>
      </c>
      <c r="G1850" t="s">
        <v>7</v>
      </c>
      <c r="H1850">
        <v>41</v>
      </c>
      <c r="I1850" t="s">
        <v>11</v>
      </c>
      <c r="J1850">
        <v>3</v>
      </c>
      <c r="K1850">
        <v>300</v>
      </c>
    </row>
    <row r="1851" spans="5:11" x14ac:dyDescent="0.25">
      <c r="E1851">
        <v>1313</v>
      </c>
      <c r="F1851" s="7">
        <v>45404</v>
      </c>
      <c r="G1851" t="s">
        <v>9</v>
      </c>
      <c r="H1851">
        <v>64</v>
      </c>
      <c r="I1851" t="s">
        <v>10</v>
      </c>
      <c r="J1851">
        <v>4</v>
      </c>
      <c r="K1851">
        <v>224</v>
      </c>
    </row>
    <row r="1852" spans="5:11" x14ac:dyDescent="0.25">
      <c r="E1852">
        <v>1805</v>
      </c>
      <c r="F1852" s="7">
        <v>45560</v>
      </c>
      <c r="G1852" t="s">
        <v>9</v>
      </c>
      <c r="H1852">
        <v>33</v>
      </c>
      <c r="I1852" t="s">
        <v>8</v>
      </c>
      <c r="J1852">
        <v>4</v>
      </c>
      <c r="K1852">
        <v>39</v>
      </c>
    </row>
    <row r="1853" spans="5:11" x14ac:dyDescent="0.25">
      <c r="E1853">
        <v>1931</v>
      </c>
      <c r="F1853" s="7">
        <v>45544</v>
      </c>
      <c r="G1853" t="s">
        <v>9</v>
      </c>
      <c r="H1853">
        <v>50</v>
      </c>
      <c r="I1853" t="s">
        <v>8</v>
      </c>
      <c r="J1853">
        <v>6</v>
      </c>
      <c r="K1853">
        <v>157</v>
      </c>
    </row>
    <row r="1854" spans="5:11" x14ac:dyDescent="0.25">
      <c r="E1854">
        <v>1797</v>
      </c>
      <c r="F1854" s="7">
        <v>45514</v>
      </c>
      <c r="G1854" t="s">
        <v>7</v>
      </c>
      <c r="H1854">
        <v>19</v>
      </c>
      <c r="I1854" t="s">
        <v>10</v>
      </c>
      <c r="J1854">
        <v>1</v>
      </c>
      <c r="K1854">
        <v>97</v>
      </c>
    </row>
    <row r="1855" spans="5:11" x14ac:dyDescent="0.25">
      <c r="E1855">
        <v>1682</v>
      </c>
      <c r="F1855" s="7">
        <v>45492</v>
      </c>
      <c r="G1855" t="s">
        <v>9</v>
      </c>
      <c r="H1855">
        <v>20</v>
      </c>
      <c r="I1855" t="s">
        <v>11</v>
      </c>
      <c r="J1855">
        <v>2</v>
      </c>
      <c r="K1855">
        <v>194</v>
      </c>
    </row>
    <row r="1856" spans="5:11" x14ac:dyDescent="0.25">
      <c r="E1856">
        <v>663</v>
      </c>
      <c r="F1856" s="7">
        <v>45036</v>
      </c>
      <c r="G1856" t="s">
        <v>7</v>
      </c>
      <c r="H1856">
        <v>57</v>
      </c>
      <c r="I1856" t="s">
        <v>10</v>
      </c>
      <c r="J1856">
        <v>1</v>
      </c>
      <c r="K1856">
        <v>50</v>
      </c>
    </row>
    <row r="1857" spans="5:11" x14ac:dyDescent="0.25">
      <c r="E1857">
        <v>422</v>
      </c>
      <c r="F1857" s="7">
        <v>44993</v>
      </c>
      <c r="G1857" t="s">
        <v>9</v>
      </c>
      <c r="H1857">
        <v>27</v>
      </c>
      <c r="I1857" t="s">
        <v>10</v>
      </c>
      <c r="J1857">
        <v>1</v>
      </c>
      <c r="K1857">
        <v>25</v>
      </c>
    </row>
    <row r="1858" spans="5:11" x14ac:dyDescent="0.25">
      <c r="E1858">
        <v>1491</v>
      </c>
      <c r="F1858" s="7">
        <v>45553</v>
      </c>
      <c r="G1858" t="s">
        <v>9</v>
      </c>
      <c r="H1858">
        <v>27</v>
      </c>
      <c r="I1858" t="s">
        <v>8</v>
      </c>
      <c r="J1858">
        <v>2</v>
      </c>
      <c r="K1858">
        <v>63</v>
      </c>
    </row>
    <row r="1859" spans="5:11" x14ac:dyDescent="0.25">
      <c r="E1859">
        <v>1237</v>
      </c>
      <c r="F1859" s="7">
        <v>45328</v>
      </c>
      <c r="G1859" t="s">
        <v>9</v>
      </c>
      <c r="H1859">
        <v>33</v>
      </c>
      <c r="I1859" t="s">
        <v>8</v>
      </c>
      <c r="J1859">
        <v>1</v>
      </c>
      <c r="K1859">
        <v>384</v>
      </c>
    </row>
    <row r="1860" spans="5:11" x14ac:dyDescent="0.25">
      <c r="E1860">
        <v>1680</v>
      </c>
      <c r="F1860" s="7">
        <v>45473</v>
      </c>
      <c r="G1860" t="s">
        <v>9</v>
      </c>
      <c r="H1860">
        <v>47</v>
      </c>
      <c r="I1860" t="s">
        <v>10</v>
      </c>
      <c r="J1860">
        <v>1</v>
      </c>
      <c r="K1860">
        <v>308</v>
      </c>
    </row>
    <row r="1861" spans="5:11" x14ac:dyDescent="0.25">
      <c r="E1861">
        <v>494</v>
      </c>
      <c r="F1861" s="7">
        <v>45131</v>
      </c>
      <c r="G1861" t="s">
        <v>7</v>
      </c>
      <c r="H1861">
        <v>24</v>
      </c>
      <c r="I1861" t="s">
        <v>8</v>
      </c>
      <c r="J1861">
        <v>2</v>
      </c>
      <c r="K1861">
        <v>30</v>
      </c>
    </row>
    <row r="1862" spans="5:11" x14ac:dyDescent="0.25">
      <c r="E1862">
        <v>1547</v>
      </c>
      <c r="F1862" s="7">
        <v>45633</v>
      </c>
      <c r="G1862" t="s">
        <v>7</v>
      </c>
      <c r="H1862">
        <v>59</v>
      </c>
      <c r="I1862" t="s">
        <v>10</v>
      </c>
      <c r="J1862">
        <v>2</v>
      </c>
      <c r="K1862">
        <v>269</v>
      </c>
    </row>
    <row r="1863" spans="5:11" x14ac:dyDescent="0.25">
      <c r="E1863">
        <v>1981</v>
      </c>
      <c r="F1863" s="7">
        <v>45442</v>
      </c>
      <c r="G1863" t="s">
        <v>9</v>
      </c>
      <c r="H1863">
        <v>43</v>
      </c>
      <c r="I1863" t="s">
        <v>11</v>
      </c>
      <c r="J1863">
        <v>3</v>
      </c>
      <c r="K1863">
        <v>13</v>
      </c>
    </row>
    <row r="1864" spans="5:11" x14ac:dyDescent="0.25">
      <c r="E1864">
        <v>525</v>
      </c>
      <c r="F1864" s="7">
        <v>45270</v>
      </c>
      <c r="G1864" t="s">
        <v>7</v>
      </c>
      <c r="H1864">
        <v>33</v>
      </c>
      <c r="I1864" t="s">
        <v>10</v>
      </c>
      <c r="J1864">
        <v>2</v>
      </c>
      <c r="K1864">
        <v>50</v>
      </c>
    </row>
    <row r="1865" spans="5:11" x14ac:dyDescent="0.25">
      <c r="E1865">
        <v>822</v>
      </c>
      <c r="F1865" s="7">
        <v>45051</v>
      </c>
      <c r="G1865" t="s">
        <v>7</v>
      </c>
      <c r="H1865">
        <v>63</v>
      </c>
      <c r="I1865" t="s">
        <v>10</v>
      </c>
      <c r="J1865">
        <v>4</v>
      </c>
      <c r="K1865">
        <v>30</v>
      </c>
    </row>
    <row r="1866" spans="5:11" x14ac:dyDescent="0.25">
      <c r="E1866">
        <v>1990</v>
      </c>
      <c r="F1866" s="7">
        <v>45644</v>
      </c>
      <c r="G1866" t="s">
        <v>9</v>
      </c>
      <c r="H1866">
        <v>41</v>
      </c>
      <c r="I1866" t="s">
        <v>8</v>
      </c>
      <c r="J1866">
        <v>7</v>
      </c>
      <c r="K1866">
        <v>338</v>
      </c>
    </row>
    <row r="1867" spans="5:11" x14ac:dyDescent="0.25">
      <c r="E1867">
        <v>1504</v>
      </c>
      <c r="F1867" s="7">
        <v>45598</v>
      </c>
      <c r="G1867" t="s">
        <v>9</v>
      </c>
      <c r="H1867">
        <v>61</v>
      </c>
      <c r="I1867" t="s">
        <v>11</v>
      </c>
      <c r="J1867">
        <v>6</v>
      </c>
      <c r="K1867">
        <v>159</v>
      </c>
    </row>
    <row r="1868" spans="5:11" x14ac:dyDescent="0.25">
      <c r="E1868">
        <v>1130</v>
      </c>
      <c r="F1868" s="7">
        <v>45545</v>
      </c>
      <c r="G1868" t="s">
        <v>7</v>
      </c>
      <c r="H1868">
        <v>49</v>
      </c>
      <c r="I1868" t="s">
        <v>11</v>
      </c>
      <c r="J1868">
        <v>1</v>
      </c>
      <c r="K1868">
        <v>66</v>
      </c>
    </row>
    <row r="1869" spans="5:11" x14ac:dyDescent="0.25">
      <c r="E1869">
        <v>1327</v>
      </c>
      <c r="F1869" s="7">
        <v>45553</v>
      </c>
      <c r="G1869" t="s">
        <v>9</v>
      </c>
      <c r="H1869">
        <v>30</v>
      </c>
      <c r="I1869" t="s">
        <v>8</v>
      </c>
      <c r="J1869">
        <v>6</v>
      </c>
      <c r="K1869">
        <v>476</v>
      </c>
    </row>
    <row r="1870" spans="5:11" x14ac:dyDescent="0.25">
      <c r="E1870">
        <v>38</v>
      </c>
      <c r="F1870" s="7">
        <v>45006</v>
      </c>
      <c r="G1870" t="s">
        <v>7</v>
      </c>
      <c r="H1870">
        <v>38</v>
      </c>
      <c r="I1870" t="s">
        <v>8</v>
      </c>
      <c r="J1870">
        <v>4</v>
      </c>
      <c r="K1870">
        <v>50</v>
      </c>
    </row>
    <row r="1871" spans="5:11" x14ac:dyDescent="0.25">
      <c r="E1871">
        <v>1763</v>
      </c>
      <c r="F1871" s="7">
        <v>45589</v>
      </c>
      <c r="G1871" t="s">
        <v>7</v>
      </c>
      <c r="H1871">
        <v>34</v>
      </c>
      <c r="I1871" t="s">
        <v>8</v>
      </c>
      <c r="J1871">
        <v>2</v>
      </c>
      <c r="K1871">
        <v>335</v>
      </c>
    </row>
    <row r="1872" spans="5:11" x14ac:dyDescent="0.25">
      <c r="E1872">
        <v>1175</v>
      </c>
      <c r="F1872" s="7">
        <v>45375</v>
      </c>
      <c r="G1872" t="s">
        <v>7</v>
      </c>
      <c r="H1872">
        <v>42</v>
      </c>
      <c r="I1872" t="s">
        <v>8</v>
      </c>
      <c r="J1872">
        <v>3</v>
      </c>
      <c r="K1872">
        <v>279</v>
      </c>
    </row>
    <row r="1873" spans="5:11" x14ac:dyDescent="0.25">
      <c r="E1873">
        <v>792</v>
      </c>
      <c r="F1873" s="7">
        <v>45186</v>
      </c>
      <c r="G1873" t="s">
        <v>9</v>
      </c>
      <c r="H1873">
        <v>60</v>
      </c>
      <c r="I1873" t="s">
        <v>8</v>
      </c>
      <c r="J1873">
        <v>1</v>
      </c>
      <c r="K1873">
        <v>300</v>
      </c>
    </row>
    <row r="1874" spans="5:11" x14ac:dyDescent="0.25">
      <c r="E1874">
        <v>794</v>
      </c>
      <c r="F1874" s="7">
        <v>45101</v>
      </c>
      <c r="G1874" t="s">
        <v>7</v>
      </c>
      <c r="H1874">
        <v>43</v>
      </c>
      <c r="I1874" t="s">
        <v>8</v>
      </c>
      <c r="J1874">
        <v>4</v>
      </c>
      <c r="K1874">
        <v>30</v>
      </c>
    </row>
    <row r="1875" spans="5:11" x14ac:dyDescent="0.25">
      <c r="E1875">
        <v>1903</v>
      </c>
      <c r="F1875" s="7">
        <v>45299</v>
      </c>
      <c r="G1875" t="s">
        <v>9</v>
      </c>
      <c r="H1875">
        <v>19</v>
      </c>
      <c r="I1875" t="s">
        <v>11</v>
      </c>
      <c r="J1875">
        <v>3</v>
      </c>
      <c r="K1875">
        <v>126</v>
      </c>
    </row>
    <row r="1876" spans="5:11" x14ac:dyDescent="0.25">
      <c r="E1876">
        <v>1498</v>
      </c>
      <c r="F1876" s="7">
        <v>45426</v>
      </c>
      <c r="G1876" t="s">
        <v>7</v>
      </c>
      <c r="H1876">
        <v>21</v>
      </c>
      <c r="I1876" t="s">
        <v>11</v>
      </c>
      <c r="J1876">
        <v>4</v>
      </c>
      <c r="K1876">
        <v>413</v>
      </c>
    </row>
    <row r="1877" spans="5:11" x14ac:dyDescent="0.25">
      <c r="E1877">
        <v>1161</v>
      </c>
      <c r="F1877" s="7">
        <v>45293</v>
      </c>
      <c r="G1877" t="s">
        <v>9</v>
      </c>
      <c r="H1877">
        <v>20</v>
      </c>
      <c r="I1877" t="s">
        <v>10</v>
      </c>
      <c r="J1877">
        <v>7</v>
      </c>
      <c r="K1877">
        <v>491</v>
      </c>
    </row>
    <row r="1878" spans="5:11" x14ac:dyDescent="0.25">
      <c r="E1878">
        <v>161</v>
      </c>
      <c r="F1878" s="7">
        <v>45007</v>
      </c>
      <c r="G1878" t="s">
        <v>7</v>
      </c>
      <c r="H1878">
        <v>64</v>
      </c>
      <c r="I1878" t="s">
        <v>8</v>
      </c>
      <c r="J1878">
        <v>2</v>
      </c>
      <c r="K1878">
        <v>500</v>
      </c>
    </row>
    <row r="1879" spans="5:11" x14ac:dyDescent="0.25">
      <c r="E1879">
        <v>305</v>
      </c>
      <c r="F1879" s="7">
        <v>45159</v>
      </c>
      <c r="G1879" t="s">
        <v>7</v>
      </c>
      <c r="H1879">
        <v>54</v>
      </c>
      <c r="I1879" t="s">
        <v>11</v>
      </c>
      <c r="J1879">
        <v>1</v>
      </c>
      <c r="K1879">
        <v>50</v>
      </c>
    </row>
    <row r="1880" spans="5:11" x14ac:dyDescent="0.25">
      <c r="E1880">
        <v>540</v>
      </c>
      <c r="F1880" s="7">
        <v>45136</v>
      </c>
      <c r="G1880" t="s">
        <v>7</v>
      </c>
      <c r="H1880">
        <v>56</v>
      </c>
      <c r="I1880" t="s">
        <v>8</v>
      </c>
      <c r="J1880">
        <v>1</v>
      </c>
      <c r="K1880">
        <v>500</v>
      </c>
    </row>
    <row r="1881" spans="5:11" x14ac:dyDescent="0.25">
      <c r="E1881">
        <v>343</v>
      </c>
      <c r="F1881" s="7">
        <v>44947</v>
      </c>
      <c r="G1881" t="s">
        <v>9</v>
      </c>
      <c r="H1881">
        <v>42</v>
      </c>
      <c r="I1881" t="s">
        <v>8</v>
      </c>
      <c r="J1881">
        <v>1</v>
      </c>
      <c r="K1881">
        <v>30</v>
      </c>
    </row>
    <row r="1882" spans="5:11" x14ac:dyDescent="0.25">
      <c r="E1882">
        <v>1196</v>
      </c>
      <c r="F1882" s="7">
        <v>45358</v>
      </c>
      <c r="G1882" t="s">
        <v>9</v>
      </c>
      <c r="H1882">
        <v>43</v>
      </c>
      <c r="I1882" t="s">
        <v>8</v>
      </c>
      <c r="J1882">
        <v>4</v>
      </c>
      <c r="K1882">
        <v>316</v>
      </c>
    </row>
    <row r="1883" spans="5:11" x14ac:dyDescent="0.25">
      <c r="E1883">
        <v>1015</v>
      </c>
      <c r="F1883" s="7">
        <v>45404</v>
      </c>
      <c r="G1883" t="s">
        <v>9</v>
      </c>
      <c r="H1883">
        <v>59</v>
      </c>
      <c r="I1883" t="s">
        <v>10</v>
      </c>
      <c r="J1883">
        <v>3</v>
      </c>
      <c r="K1883">
        <v>471</v>
      </c>
    </row>
    <row r="1884" spans="5:11" x14ac:dyDescent="0.25">
      <c r="E1884">
        <v>993</v>
      </c>
      <c r="F1884" s="7">
        <v>45046</v>
      </c>
      <c r="G1884" t="s">
        <v>9</v>
      </c>
      <c r="H1884">
        <v>41</v>
      </c>
      <c r="I1884" t="s">
        <v>10</v>
      </c>
      <c r="J1884">
        <v>1</v>
      </c>
      <c r="K1884">
        <v>30</v>
      </c>
    </row>
    <row r="1885" spans="5:11" x14ac:dyDescent="0.25">
      <c r="E1885">
        <v>1518</v>
      </c>
      <c r="F1885" s="7">
        <v>45516</v>
      </c>
      <c r="G1885" t="s">
        <v>9</v>
      </c>
      <c r="H1885">
        <v>44</v>
      </c>
      <c r="I1885" t="s">
        <v>10</v>
      </c>
      <c r="J1885">
        <v>4</v>
      </c>
      <c r="K1885">
        <v>278</v>
      </c>
    </row>
    <row r="1886" spans="5:11" x14ac:dyDescent="0.25">
      <c r="E1886">
        <v>1356</v>
      </c>
      <c r="F1886" s="7">
        <v>45495</v>
      </c>
      <c r="G1886" t="s">
        <v>7</v>
      </c>
      <c r="H1886">
        <v>22</v>
      </c>
      <c r="I1886" t="s">
        <v>10</v>
      </c>
      <c r="J1886">
        <v>1</v>
      </c>
      <c r="K1886">
        <v>264</v>
      </c>
    </row>
    <row r="1887" spans="5:11" x14ac:dyDescent="0.25">
      <c r="E1887">
        <v>1268</v>
      </c>
      <c r="F1887" s="7">
        <v>45466</v>
      </c>
      <c r="G1887" t="s">
        <v>9</v>
      </c>
      <c r="H1887">
        <v>65</v>
      </c>
      <c r="I1887" t="s">
        <v>8</v>
      </c>
      <c r="J1887">
        <v>4</v>
      </c>
      <c r="K1887">
        <v>397</v>
      </c>
    </row>
    <row r="1888" spans="5:11" x14ac:dyDescent="0.25">
      <c r="E1888">
        <v>1353</v>
      </c>
      <c r="F1888" s="7">
        <v>45453</v>
      </c>
      <c r="G1888" t="s">
        <v>7</v>
      </c>
      <c r="H1888">
        <v>31</v>
      </c>
      <c r="I1888" t="s">
        <v>11</v>
      </c>
      <c r="J1888">
        <v>4</v>
      </c>
      <c r="K1888">
        <v>335</v>
      </c>
    </row>
    <row r="1889" spans="5:11" x14ac:dyDescent="0.25">
      <c r="E1889">
        <v>628</v>
      </c>
      <c r="F1889" s="7">
        <v>45089</v>
      </c>
      <c r="G1889" t="s">
        <v>7</v>
      </c>
      <c r="H1889">
        <v>62</v>
      </c>
      <c r="I1889" t="s">
        <v>11</v>
      </c>
      <c r="J1889">
        <v>2</v>
      </c>
      <c r="K1889">
        <v>25</v>
      </c>
    </row>
    <row r="1890" spans="5:11" x14ac:dyDescent="0.25">
      <c r="E1890">
        <v>364</v>
      </c>
      <c r="F1890" s="7">
        <v>45088</v>
      </c>
      <c r="G1890" t="s">
        <v>7</v>
      </c>
      <c r="H1890">
        <v>31</v>
      </c>
      <c r="I1890" t="s">
        <v>10</v>
      </c>
      <c r="J1890">
        <v>1</v>
      </c>
      <c r="K1890">
        <v>300</v>
      </c>
    </row>
    <row r="1891" spans="5:11" x14ac:dyDescent="0.25">
      <c r="E1891">
        <v>134</v>
      </c>
      <c r="F1891" s="7">
        <v>44951</v>
      </c>
      <c r="G1891" t="s">
        <v>7</v>
      </c>
      <c r="H1891">
        <v>49</v>
      </c>
      <c r="I1891" t="s">
        <v>11</v>
      </c>
      <c r="J1891">
        <v>1</v>
      </c>
      <c r="K1891">
        <v>50</v>
      </c>
    </row>
    <row r="1892" spans="5:11" x14ac:dyDescent="0.25">
      <c r="E1892">
        <v>743</v>
      </c>
      <c r="F1892" s="7">
        <v>45029</v>
      </c>
      <c r="G1892" t="s">
        <v>7</v>
      </c>
      <c r="H1892">
        <v>54</v>
      </c>
      <c r="I1892" t="s">
        <v>8</v>
      </c>
      <c r="J1892">
        <v>2</v>
      </c>
      <c r="K1892">
        <v>50</v>
      </c>
    </row>
    <row r="1893" spans="5:11" x14ac:dyDescent="0.25">
      <c r="E1893">
        <v>335</v>
      </c>
      <c r="F1893" s="7">
        <v>45272</v>
      </c>
      <c r="G1893" t="s">
        <v>9</v>
      </c>
      <c r="H1893">
        <v>52</v>
      </c>
      <c r="I1893" t="s">
        <v>8</v>
      </c>
      <c r="J1893">
        <v>3</v>
      </c>
      <c r="K1893">
        <v>50</v>
      </c>
    </row>
    <row r="1894" spans="5:11" x14ac:dyDescent="0.25">
      <c r="E1894">
        <v>352</v>
      </c>
      <c r="F1894" s="7">
        <v>45060</v>
      </c>
      <c r="G1894" t="s">
        <v>7</v>
      </c>
      <c r="H1894">
        <v>31</v>
      </c>
      <c r="I1894" t="s">
        <v>11</v>
      </c>
      <c r="J1894">
        <v>1</v>
      </c>
      <c r="K1894">
        <v>500</v>
      </c>
    </row>
    <row r="1895" spans="5:11" x14ac:dyDescent="0.25">
      <c r="E1895">
        <v>627</v>
      </c>
      <c r="F1895" s="7">
        <v>45231</v>
      </c>
      <c r="G1895" t="s">
        <v>9</v>
      </c>
      <c r="H1895">
        <v>19</v>
      </c>
      <c r="I1895" t="s">
        <v>8</v>
      </c>
      <c r="J1895">
        <v>4</v>
      </c>
      <c r="K1895">
        <v>50</v>
      </c>
    </row>
    <row r="1896" spans="5:11" x14ac:dyDescent="0.25">
      <c r="E1896">
        <v>1083</v>
      </c>
      <c r="F1896" s="7">
        <v>45328</v>
      </c>
      <c r="G1896" t="s">
        <v>7</v>
      </c>
      <c r="H1896">
        <v>41</v>
      </c>
      <c r="I1896" t="s">
        <v>10</v>
      </c>
      <c r="J1896">
        <v>7</v>
      </c>
      <c r="K1896">
        <v>219</v>
      </c>
    </row>
    <row r="1897" spans="5:11" x14ac:dyDescent="0.25">
      <c r="E1897">
        <v>321</v>
      </c>
      <c r="F1897" s="7">
        <v>44956</v>
      </c>
      <c r="G1897" t="s">
        <v>7</v>
      </c>
      <c r="H1897">
        <v>51</v>
      </c>
      <c r="I1897" t="s">
        <v>11</v>
      </c>
      <c r="J1897">
        <v>1</v>
      </c>
      <c r="K1897">
        <v>500</v>
      </c>
    </row>
    <row r="1898" spans="5:11" x14ac:dyDescent="0.25">
      <c r="E1898">
        <v>3</v>
      </c>
      <c r="F1898" s="7">
        <v>44939</v>
      </c>
      <c r="G1898" t="s">
        <v>7</v>
      </c>
      <c r="H1898">
        <v>50</v>
      </c>
      <c r="I1898" t="s">
        <v>11</v>
      </c>
      <c r="J1898">
        <v>1</v>
      </c>
      <c r="K1898">
        <v>30</v>
      </c>
    </row>
    <row r="1899" spans="5:11" x14ac:dyDescent="0.25">
      <c r="E1899">
        <v>47</v>
      </c>
      <c r="F1899" s="7">
        <v>45236</v>
      </c>
      <c r="G1899" t="s">
        <v>9</v>
      </c>
      <c r="H1899">
        <v>40</v>
      </c>
      <c r="I1899" t="s">
        <v>8</v>
      </c>
      <c r="J1899">
        <v>3</v>
      </c>
      <c r="K1899">
        <v>500</v>
      </c>
    </row>
    <row r="1900" spans="5:11" x14ac:dyDescent="0.25">
      <c r="E1900">
        <v>898</v>
      </c>
      <c r="F1900" s="7">
        <v>44978</v>
      </c>
      <c r="G1900" t="s">
        <v>7</v>
      </c>
      <c r="H1900">
        <v>21</v>
      </c>
      <c r="I1900" t="s">
        <v>10</v>
      </c>
      <c r="J1900">
        <v>2</v>
      </c>
      <c r="K1900">
        <v>30</v>
      </c>
    </row>
    <row r="1901" spans="5:11" x14ac:dyDescent="0.25">
      <c r="E1901">
        <v>1960</v>
      </c>
      <c r="F1901" s="7">
        <v>45322</v>
      </c>
      <c r="G1901" t="s">
        <v>7</v>
      </c>
      <c r="H1901">
        <v>62</v>
      </c>
      <c r="I1901" t="s">
        <v>10</v>
      </c>
      <c r="J1901">
        <v>1</v>
      </c>
      <c r="K1901">
        <v>309</v>
      </c>
    </row>
    <row r="1902" spans="5:11" x14ac:dyDescent="0.25">
      <c r="E1902">
        <v>791</v>
      </c>
      <c r="F1902" s="7">
        <v>44962</v>
      </c>
      <c r="G1902" t="s">
        <v>7</v>
      </c>
      <c r="H1902">
        <v>54</v>
      </c>
      <c r="I1902" t="s">
        <v>8</v>
      </c>
      <c r="J1902">
        <v>1</v>
      </c>
      <c r="K1902">
        <v>30</v>
      </c>
    </row>
    <row r="1903" spans="5:11" x14ac:dyDescent="0.25">
      <c r="E1903">
        <v>1735</v>
      </c>
      <c r="F1903" s="7">
        <v>45625</v>
      </c>
      <c r="G1903" t="s">
        <v>7</v>
      </c>
      <c r="H1903">
        <v>18</v>
      </c>
      <c r="I1903" t="s">
        <v>8</v>
      </c>
      <c r="J1903">
        <v>3</v>
      </c>
      <c r="K1903">
        <v>476</v>
      </c>
    </row>
    <row r="1904" spans="5:11" x14ac:dyDescent="0.25">
      <c r="E1904">
        <v>1887</v>
      </c>
      <c r="F1904" s="7">
        <v>45387</v>
      </c>
      <c r="G1904" t="s">
        <v>7</v>
      </c>
      <c r="H1904">
        <v>64</v>
      </c>
      <c r="I1904" t="s">
        <v>11</v>
      </c>
      <c r="J1904">
        <v>7</v>
      </c>
      <c r="K1904">
        <v>252</v>
      </c>
    </row>
    <row r="1905" spans="5:11" x14ac:dyDescent="0.25">
      <c r="E1905">
        <v>921</v>
      </c>
      <c r="F1905" s="7">
        <v>45072</v>
      </c>
      <c r="G1905" t="s">
        <v>7</v>
      </c>
      <c r="H1905">
        <v>32</v>
      </c>
      <c r="I1905" t="s">
        <v>8</v>
      </c>
      <c r="J1905">
        <v>3</v>
      </c>
      <c r="K1905">
        <v>300</v>
      </c>
    </row>
    <row r="1906" spans="5:11" x14ac:dyDescent="0.25">
      <c r="E1906">
        <v>1882</v>
      </c>
      <c r="F1906" s="7">
        <v>45391</v>
      </c>
      <c r="G1906" t="s">
        <v>7</v>
      </c>
      <c r="H1906">
        <v>25</v>
      </c>
      <c r="I1906" t="s">
        <v>11</v>
      </c>
      <c r="J1906">
        <v>1</v>
      </c>
      <c r="K1906">
        <v>308</v>
      </c>
    </row>
    <row r="1907" spans="5:11" x14ac:dyDescent="0.25">
      <c r="E1907">
        <v>18</v>
      </c>
      <c r="F1907" s="7">
        <v>45046</v>
      </c>
      <c r="G1907" t="s">
        <v>9</v>
      </c>
      <c r="H1907">
        <v>47</v>
      </c>
      <c r="I1907" t="s">
        <v>11</v>
      </c>
      <c r="J1907">
        <v>2</v>
      </c>
      <c r="K1907">
        <v>25</v>
      </c>
    </row>
    <row r="1908" spans="5:11" x14ac:dyDescent="0.25">
      <c r="E1908">
        <v>1855</v>
      </c>
      <c r="F1908" s="7">
        <v>45522</v>
      </c>
      <c r="G1908" t="s">
        <v>9</v>
      </c>
      <c r="H1908">
        <v>29</v>
      </c>
      <c r="I1908" t="s">
        <v>11</v>
      </c>
      <c r="J1908">
        <v>4</v>
      </c>
      <c r="K1908">
        <v>119</v>
      </c>
    </row>
    <row r="1909" spans="5:11" x14ac:dyDescent="0.25">
      <c r="E1909">
        <v>1432</v>
      </c>
      <c r="F1909" s="7">
        <v>45646</v>
      </c>
      <c r="G1909" t="s">
        <v>9</v>
      </c>
      <c r="H1909">
        <v>46</v>
      </c>
      <c r="I1909" t="s">
        <v>8</v>
      </c>
      <c r="J1909">
        <v>6</v>
      </c>
      <c r="K1909">
        <v>500</v>
      </c>
    </row>
    <row r="1910" spans="5:11" x14ac:dyDescent="0.25">
      <c r="E1910">
        <v>1727</v>
      </c>
      <c r="F1910" s="7">
        <v>45422</v>
      </c>
      <c r="G1910" t="s">
        <v>7</v>
      </c>
      <c r="H1910">
        <v>32</v>
      </c>
      <c r="I1910" t="s">
        <v>10</v>
      </c>
      <c r="J1910">
        <v>2</v>
      </c>
      <c r="K1910">
        <v>76</v>
      </c>
    </row>
    <row r="1911" spans="5:11" x14ac:dyDescent="0.25">
      <c r="E1911">
        <v>1399</v>
      </c>
      <c r="F1911" s="7">
        <v>45372</v>
      </c>
      <c r="G1911" t="s">
        <v>9</v>
      </c>
      <c r="H1911">
        <v>42</v>
      </c>
      <c r="I1911" t="s">
        <v>10</v>
      </c>
      <c r="J1911">
        <v>1</v>
      </c>
      <c r="K1911">
        <v>206</v>
      </c>
    </row>
    <row r="1912" spans="5:11" x14ac:dyDescent="0.25">
      <c r="E1912">
        <v>1822</v>
      </c>
      <c r="F1912" s="7">
        <v>45584</v>
      </c>
      <c r="G1912" t="s">
        <v>9</v>
      </c>
      <c r="H1912">
        <v>24</v>
      </c>
      <c r="I1912" t="s">
        <v>10</v>
      </c>
      <c r="J1912">
        <v>4</v>
      </c>
      <c r="K1912">
        <v>176</v>
      </c>
    </row>
    <row r="1913" spans="5:11" x14ac:dyDescent="0.25">
      <c r="E1913">
        <v>1915</v>
      </c>
      <c r="F1913" s="7">
        <v>45544</v>
      </c>
      <c r="G1913" t="s">
        <v>9</v>
      </c>
      <c r="H1913">
        <v>46</v>
      </c>
      <c r="I1913" t="s">
        <v>8</v>
      </c>
      <c r="J1913">
        <v>6</v>
      </c>
      <c r="K1913">
        <v>36</v>
      </c>
    </row>
    <row r="1914" spans="5:11" x14ac:dyDescent="0.25">
      <c r="E1914">
        <v>1076</v>
      </c>
      <c r="F1914" s="7">
        <v>45474</v>
      </c>
      <c r="G1914" t="s">
        <v>9</v>
      </c>
      <c r="H1914">
        <v>32</v>
      </c>
      <c r="I1914" t="s">
        <v>10</v>
      </c>
      <c r="J1914">
        <v>6</v>
      </c>
      <c r="K1914">
        <v>479</v>
      </c>
    </row>
    <row r="1915" spans="5:11" x14ac:dyDescent="0.25">
      <c r="E1915">
        <v>337</v>
      </c>
      <c r="F1915" s="7">
        <v>45133</v>
      </c>
      <c r="G1915" t="s">
        <v>7</v>
      </c>
      <c r="H1915">
        <v>54</v>
      </c>
      <c r="I1915" t="s">
        <v>8</v>
      </c>
      <c r="J1915">
        <v>2</v>
      </c>
      <c r="K1915">
        <v>50</v>
      </c>
    </row>
    <row r="1916" spans="5:11" x14ac:dyDescent="0.25">
      <c r="E1916">
        <v>959</v>
      </c>
      <c r="F1916" s="7">
        <v>45083</v>
      </c>
      <c r="G1916" t="s">
        <v>7</v>
      </c>
      <c r="H1916">
        <v>53</v>
      </c>
      <c r="I1916" t="s">
        <v>8</v>
      </c>
      <c r="J1916">
        <v>4</v>
      </c>
      <c r="K1916">
        <v>50</v>
      </c>
    </row>
    <row r="1917" spans="5:11" x14ac:dyDescent="0.25">
      <c r="E1917">
        <v>999</v>
      </c>
      <c r="F1917" s="7">
        <v>45620</v>
      </c>
      <c r="G1917" t="s">
        <v>7</v>
      </c>
      <c r="H1917">
        <v>60</v>
      </c>
      <c r="I1917" t="s">
        <v>8</v>
      </c>
      <c r="J1917">
        <v>3</v>
      </c>
      <c r="K1917">
        <v>492</v>
      </c>
    </row>
    <row r="1918" spans="5:11" x14ac:dyDescent="0.25">
      <c r="E1918">
        <v>1877</v>
      </c>
      <c r="F1918" s="7">
        <v>45431</v>
      </c>
      <c r="G1918" t="s">
        <v>7</v>
      </c>
      <c r="H1918">
        <v>22</v>
      </c>
      <c r="I1918" t="s">
        <v>11</v>
      </c>
      <c r="J1918">
        <v>1</v>
      </c>
      <c r="K1918">
        <v>446</v>
      </c>
    </row>
    <row r="1919" spans="5:11" x14ac:dyDescent="0.25">
      <c r="E1919">
        <v>1464</v>
      </c>
      <c r="F1919" s="7">
        <v>45503</v>
      </c>
      <c r="G1919" t="s">
        <v>9</v>
      </c>
      <c r="H1919">
        <v>34</v>
      </c>
      <c r="I1919" t="s">
        <v>11</v>
      </c>
      <c r="J1919">
        <v>2</v>
      </c>
      <c r="K1919">
        <v>206</v>
      </c>
    </row>
    <row r="1920" spans="5:11" x14ac:dyDescent="0.25">
      <c r="E1920">
        <v>480</v>
      </c>
      <c r="F1920" s="7">
        <v>45083</v>
      </c>
      <c r="G1920" t="s">
        <v>9</v>
      </c>
      <c r="H1920">
        <v>43</v>
      </c>
      <c r="I1920" t="s">
        <v>11</v>
      </c>
      <c r="J1920">
        <v>4</v>
      </c>
      <c r="K1920">
        <v>300</v>
      </c>
    </row>
    <row r="1921" spans="5:11" x14ac:dyDescent="0.25">
      <c r="E1921">
        <v>937</v>
      </c>
      <c r="F1921" s="7">
        <v>45278</v>
      </c>
      <c r="G1921" t="s">
        <v>9</v>
      </c>
      <c r="H1921">
        <v>46</v>
      </c>
      <c r="I1921" t="s">
        <v>11</v>
      </c>
      <c r="J1921">
        <v>1</v>
      </c>
      <c r="K1921">
        <v>300</v>
      </c>
    </row>
    <row r="1922" spans="5:11" x14ac:dyDescent="0.25">
      <c r="E1922">
        <v>801</v>
      </c>
      <c r="F1922" s="7">
        <v>45252</v>
      </c>
      <c r="G1922" t="s">
        <v>7</v>
      </c>
      <c r="H1922">
        <v>39</v>
      </c>
      <c r="I1922" t="s">
        <v>10</v>
      </c>
      <c r="J1922">
        <v>4</v>
      </c>
      <c r="K1922">
        <v>25</v>
      </c>
    </row>
    <row r="1923" spans="5:11" x14ac:dyDescent="0.25">
      <c r="E1923">
        <v>280</v>
      </c>
      <c r="F1923" s="7">
        <v>45069</v>
      </c>
      <c r="G1923" t="s">
        <v>9</v>
      </c>
      <c r="H1923">
        <v>29</v>
      </c>
      <c r="I1923" t="s">
        <v>8</v>
      </c>
      <c r="J1923">
        <v>4</v>
      </c>
      <c r="K1923">
        <v>500</v>
      </c>
    </row>
    <row r="1924" spans="5:11" x14ac:dyDescent="0.25">
      <c r="E1924">
        <v>773</v>
      </c>
      <c r="F1924" s="7">
        <v>44965</v>
      </c>
      <c r="G1924" t="s">
        <v>9</v>
      </c>
      <c r="H1924">
        <v>46</v>
      </c>
      <c r="I1924" t="s">
        <v>11</v>
      </c>
      <c r="J1924">
        <v>4</v>
      </c>
      <c r="K1924">
        <v>25</v>
      </c>
    </row>
    <row r="1925" spans="5:11" x14ac:dyDescent="0.25">
      <c r="E1925">
        <v>1150</v>
      </c>
      <c r="F1925" s="7">
        <v>45350</v>
      </c>
      <c r="G1925" t="s">
        <v>7</v>
      </c>
      <c r="H1925">
        <v>18</v>
      </c>
      <c r="I1925" t="s">
        <v>11</v>
      </c>
      <c r="J1925">
        <v>3</v>
      </c>
      <c r="K1925">
        <v>160</v>
      </c>
    </row>
    <row r="1926" spans="5:11" x14ac:dyDescent="0.25">
      <c r="E1926">
        <v>1001</v>
      </c>
      <c r="F1926" s="7">
        <v>45304</v>
      </c>
      <c r="G1926" t="s">
        <v>7</v>
      </c>
      <c r="H1926">
        <v>19</v>
      </c>
      <c r="I1926" t="s">
        <v>11</v>
      </c>
      <c r="J1926">
        <v>6</v>
      </c>
      <c r="K1926">
        <v>45</v>
      </c>
    </row>
    <row r="1927" spans="5:11" x14ac:dyDescent="0.25">
      <c r="E1927">
        <v>1303</v>
      </c>
      <c r="F1927" s="7">
        <v>45525</v>
      </c>
      <c r="G1927" t="s">
        <v>7</v>
      </c>
      <c r="H1927">
        <v>30</v>
      </c>
      <c r="I1927" t="s">
        <v>11</v>
      </c>
      <c r="J1927">
        <v>2</v>
      </c>
      <c r="K1927">
        <v>471</v>
      </c>
    </row>
    <row r="1928" spans="5:11" x14ac:dyDescent="0.25">
      <c r="E1928">
        <v>310</v>
      </c>
      <c r="F1928" s="7">
        <v>45265</v>
      </c>
      <c r="G1928" t="s">
        <v>9</v>
      </c>
      <c r="H1928">
        <v>32</v>
      </c>
      <c r="I1928" t="s">
        <v>8</v>
      </c>
      <c r="J1928">
        <v>4</v>
      </c>
      <c r="K1928">
        <v>25</v>
      </c>
    </row>
    <row r="1929" spans="5:11" x14ac:dyDescent="0.25">
      <c r="E1929">
        <v>344</v>
      </c>
      <c r="F1929" s="7">
        <v>45244</v>
      </c>
      <c r="G1929" t="s">
        <v>7</v>
      </c>
      <c r="H1929">
        <v>62</v>
      </c>
      <c r="I1929" t="s">
        <v>11</v>
      </c>
      <c r="J1929">
        <v>1</v>
      </c>
      <c r="K1929">
        <v>30</v>
      </c>
    </row>
    <row r="1930" spans="5:11" x14ac:dyDescent="0.25">
      <c r="E1930">
        <v>473</v>
      </c>
      <c r="F1930" s="7">
        <v>45122</v>
      </c>
      <c r="G1930" t="s">
        <v>9</v>
      </c>
      <c r="H1930">
        <v>26</v>
      </c>
      <c r="I1930" t="s">
        <v>10</v>
      </c>
      <c r="J1930">
        <v>3</v>
      </c>
      <c r="K1930">
        <v>500</v>
      </c>
    </row>
    <row r="1931" spans="5:11" x14ac:dyDescent="0.25">
      <c r="E1931">
        <v>199</v>
      </c>
      <c r="F1931" s="7">
        <v>45264</v>
      </c>
      <c r="G1931" t="s">
        <v>7</v>
      </c>
      <c r="H1931">
        <v>45</v>
      </c>
      <c r="I1931" t="s">
        <v>8</v>
      </c>
      <c r="J1931">
        <v>3</v>
      </c>
      <c r="K1931">
        <v>500</v>
      </c>
    </row>
    <row r="1932" spans="5:11" x14ac:dyDescent="0.25">
      <c r="E1932">
        <v>1760</v>
      </c>
      <c r="F1932" s="7">
        <v>45376</v>
      </c>
      <c r="G1932" t="s">
        <v>9</v>
      </c>
      <c r="H1932">
        <v>56</v>
      </c>
      <c r="I1932" t="s">
        <v>10</v>
      </c>
      <c r="J1932">
        <v>3</v>
      </c>
      <c r="K1932">
        <v>171</v>
      </c>
    </row>
    <row r="1933" spans="5:11" x14ac:dyDescent="0.25">
      <c r="E1933">
        <v>1457</v>
      </c>
      <c r="F1933" s="7">
        <v>45414</v>
      </c>
      <c r="G1933" t="s">
        <v>7</v>
      </c>
      <c r="H1933">
        <v>27</v>
      </c>
      <c r="I1933" t="s">
        <v>8</v>
      </c>
      <c r="J1933">
        <v>4</v>
      </c>
      <c r="K1933">
        <v>216</v>
      </c>
    </row>
    <row r="1934" spans="5:11" x14ac:dyDescent="0.25">
      <c r="E1934">
        <v>1929</v>
      </c>
      <c r="F1934" s="7">
        <v>45325</v>
      </c>
      <c r="G1934" t="s">
        <v>7</v>
      </c>
      <c r="H1934">
        <v>30</v>
      </c>
      <c r="I1934" t="s">
        <v>8</v>
      </c>
      <c r="J1934">
        <v>7</v>
      </c>
      <c r="K1934">
        <v>224</v>
      </c>
    </row>
    <row r="1935" spans="5:11" x14ac:dyDescent="0.25">
      <c r="E1935">
        <v>278</v>
      </c>
      <c r="F1935" s="7">
        <v>45143</v>
      </c>
      <c r="G1935" t="s">
        <v>7</v>
      </c>
      <c r="H1935">
        <v>50</v>
      </c>
      <c r="I1935" t="s">
        <v>10</v>
      </c>
      <c r="J1935">
        <v>1</v>
      </c>
      <c r="K1935">
        <v>500</v>
      </c>
    </row>
    <row r="1936" spans="5:11" x14ac:dyDescent="0.25">
      <c r="E1936">
        <v>383</v>
      </c>
      <c r="F1936" s="7">
        <v>45151</v>
      </c>
      <c r="G1936" t="s">
        <v>7</v>
      </c>
      <c r="H1936">
        <v>55</v>
      </c>
      <c r="I1936" t="s">
        <v>10</v>
      </c>
      <c r="J1936">
        <v>1</v>
      </c>
      <c r="K1936">
        <v>500</v>
      </c>
    </row>
    <row r="1937" spans="5:11" x14ac:dyDescent="0.25">
      <c r="E1937">
        <v>204</v>
      </c>
      <c r="F1937" s="7">
        <v>45197</v>
      </c>
      <c r="G1937" t="s">
        <v>7</v>
      </c>
      <c r="H1937">
        <v>39</v>
      </c>
      <c r="I1937" t="s">
        <v>8</v>
      </c>
      <c r="J1937">
        <v>1</v>
      </c>
      <c r="K1937">
        <v>25</v>
      </c>
    </row>
    <row r="1938" spans="5:11" x14ac:dyDescent="0.25">
      <c r="E1938">
        <v>1056</v>
      </c>
      <c r="F1938" s="7">
        <v>45609</v>
      </c>
      <c r="G1938" t="s">
        <v>7</v>
      </c>
      <c r="H1938">
        <v>33</v>
      </c>
      <c r="I1938" t="s">
        <v>10</v>
      </c>
      <c r="J1938">
        <v>1</v>
      </c>
      <c r="K1938">
        <v>465</v>
      </c>
    </row>
    <row r="1939" spans="5:11" x14ac:dyDescent="0.25">
      <c r="E1939">
        <v>1952</v>
      </c>
      <c r="F1939" s="7">
        <v>45523</v>
      </c>
      <c r="G1939" t="s">
        <v>7</v>
      </c>
      <c r="H1939">
        <v>48</v>
      </c>
      <c r="I1939" t="s">
        <v>10</v>
      </c>
      <c r="J1939">
        <v>6</v>
      </c>
      <c r="K1939">
        <v>442</v>
      </c>
    </row>
    <row r="1940" spans="5:11" x14ac:dyDescent="0.25">
      <c r="E1940">
        <v>306</v>
      </c>
      <c r="F1940" s="7">
        <v>45073</v>
      </c>
      <c r="G1940" t="s">
        <v>9</v>
      </c>
      <c r="H1940">
        <v>26</v>
      </c>
      <c r="I1940" t="s">
        <v>11</v>
      </c>
      <c r="J1940">
        <v>2</v>
      </c>
      <c r="K1940">
        <v>25</v>
      </c>
    </row>
    <row r="1941" spans="5:11" x14ac:dyDescent="0.25">
      <c r="E1941">
        <v>1279</v>
      </c>
      <c r="F1941" s="7">
        <v>45529</v>
      </c>
      <c r="G1941" t="s">
        <v>9</v>
      </c>
      <c r="H1941">
        <v>25</v>
      </c>
      <c r="I1941" t="s">
        <v>11</v>
      </c>
      <c r="J1941">
        <v>3</v>
      </c>
      <c r="K1941">
        <v>392</v>
      </c>
    </row>
    <row r="1942" spans="5:11" x14ac:dyDescent="0.25">
      <c r="E1942">
        <v>673</v>
      </c>
      <c r="F1942" s="7">
        <v>45142</v>
      </c>
      <c r="G1942" t="s">
        <v>9</v>
      </c>
      <c r="H1942">
        <v>45</v>
      </c>
      <c r="I1942" t="s">
        <v>10</v>
      </c>
      <c r="J1942">
        <v>2</v>
      </c>
      <c r="K1942">
        <v>30</v>
      </c>
    </row>
    <row r="1943" spans="5:11" x14ac:dyDescent="0.25">
      <c r="E1943">
        <v>1701</v>
      </c>
      <c r="F1943" s="7">
        <v>45358</v>
      </c>
      <c r="G1943" t="s">
        <v>7</v>
      </c>
      <c r="H1943">
        <v>28</v>
      </c>
      <c r="I1943" t="s">
        <v>11</v>
      </c>
      <c r="J1943">
        <v>6</v>
      </c>
      <c r="K1943">
        <v>462</v>
      </c>
    </row>
    <row r="1944" spans="5:11" x14ac:dyDescent="0.25">
      <c r="E1944">
        <v>1783</v>
      </c>
      <c r="F1944" s="7">
        <v>45313</v>
      </c>
      <c r="G1944" t="s">
        <v>7</v>
      </c>
      <c r="H1944">
        <v>31</v>
      </c>
      <c r="I1944" t="s">
        <v>11</v>
      </c>
      <c r="J1944">
        <v>5</v>
      </c>
      <c r="K1944">
        <v>325</v>
      </c>
    </row>
    <row r="1945" spans="5:11" x14ac:dyDescent="0.25">
      <c r="E1945">
        <v>1408</v>
      </c>
      <c r="F1945" s="7">
        <v>45428</v>
      </c>
      <c r="G1945" t="s">
        <v>7</v>
      </c>
      <c r="H1945">
        <v>34</v>
      </c>
      <c r="I1945" t="s">
        <v>11</v>
      </c>
      <c r="J1945">
        <v>7</v>
      </c>
      <c r="K1945">
        <v>457</v>
      </c>
    </row>
    <row r="1946" spans="5:11" x14ac:dyDescent="0.25">
      <c r="E1946">
        <v>543</v>
      </c>
      <c r="F1946" s="7">
        <v>45283</v>
      </c>
      <c r="G1946" t="s">
        <v>9</v>
      </c>
      <c r="H1946">
        <v>27</v>
      </c>
      <c r="I1946" t="s">
        <v>11</v>
      </c>
      <c r="J1946">
        <v>1</v>
      </c>
      <c r="K1946">
        <v>25</v>
      </c>
    </row>
    <row r="1947" spans="5:11" x14ac:dyDescent="0.25">
      <c r="E1947">
        <v>1603</v>
      </c>
      <c r="F1947" s="7">
        <v>45417</v>
      </c>
      <c r="G1947" t="s">
        <v>7</v>
      </c>
      <c r="H1947">
        <v>27</v>
      </c>
      <c r="I1947" t="s">
        <v>11</v>
      </c>
      <c r="J1947">
        <v>6</v>
      </c>
      <c r="K1947">
        <v>45</v>
      </c>
    </row>
    <row r="1948" spans="5:11" x14ac:dyDescent="0.25">
      <c r="E1948">
        <v>684</v>
      </c>
      <c r="F1948" s="7">
        <v>45126</v>
      </c>
      <c r="G1948" t="s">
        <v>9</v>
      </c>
      <c r="H1948">
        <v>28</v>
      </c>
      <c r="I1948" t="s">
        <v>11</v>
      </c>
      <c r="J1948">
        <v>4</v>
      </c>
      <c r="K1948">
        <v>50</v>
      </c>
    </row>
    <row r="1949" spans="5:11" x14ac:dyDescent="0.25">
      <c r="E1949">
        <v>1278</v>
      </c>
      <c r="F1949" s="7">
        <v>45435</v>
      </c>
      <c r="G1949" t="s">
        <v>9</v>
      </c>
      <c r="H1949">
        <v>53</v>
      </c>
      <c r="I1949" t="s">
        <v>8</v>
      </c>
      <c r="J1949">
        <v>7</v>
      </c>
      <c r="K1949">
        <v>301</v>
      </c>
    </row>
    <row r="1950" spans="5:11" x14ac:dyDescent="0.25">
      <c r="E1950">
        <v>689</v>
      </c>
      <c r="F1950" s="7">
        <v>45039</v>
      </c>
      <c r="G1950" t="s">
        <v>9</v>
      </c>
      <c r="H1950">
        <v>51</v>
      </c>
      <c r="I1950" t="s">
        <v>10</v>
      </c>
      <c r="J1950">
        <v>3</v>
      </c>
      <c r="K1950">
        <v>30</v>
      </c>
    </row>
    <row r="1951" spans="5:11" x14ac:dyDescent="0.25">
      <c r="E1951">
        <v>1388</v>
      </c>
      <c r="F1951" s="7">
        <v>45296</v>
      </c>
      <c r="G1951" t="s">
        <v>7</v>
      </c>
      <c r="H1951">
        <v>25</v>
      </c>
      <c r="I1951" t="s">
        <v>8</v>
      </c>
      <c r="J1951">
        <v>5</v>
      </c>
      <c r="K1951">
        <v>306</v>
      </c>
    </row>
    <row r="1952" spans="5:11" x14ac:dyDescent="0.25">
      <c r="E1952">
        <v>1819</v>
      </c>
      <c r="F1952" s="7">
        <v>45523</v>
      </c>
      <c r="G1952" t="s">
        <v>9</v>
      </c>
      <c r="H1952">
        <v>32</v>
      </c>
      <c r="I1952" t="s">
        <v>11</v>
      </c>
      <c r="J1952">
        <v>3</v>
      </c>
      <c r="K1952">
        <v>241</v>
      </c>
    </row>
    <row r="1953" spans="5:11" x14ac:dyDescent="0.25">
      <c r="E1953">
        <v>879</v>
      </c>
      <c r="F1953" s="7">
        <v>45065</v>
      </c>
      <c r="G1953" t="s">
        <v>7</v>
      </c>
      <c r="H1953">
        <v>22</v>
      </c>
      <c r="I1953" t="s">
        <v>11</v>
      </c>
      <c r="J1953">
        <v>1</v>
      </c>
      <c r="K1953">
        <v>300</v>
      </c>
    </row>
    <row r="1954" spans="5:11" x14ac:dyDescent="0.25">
      <c r="E1954">
        <v>587</v>
      </c>
      <c r="F1954" s="7">
        <v>45042</v>
      </c>
      <c r="G1954" t="s">
        <v>7</v>
      </c>
      <c r="H1954">
        <v>38</v>
      </c>
      <c r="I1954" t="s">
        <v>11</v>
      </c>
      <c r="J1954">
        <v>2</v>
      </c>
      <c r="K1954">
        <v>30</v>
      </c>
    </row>
    <row r="1955" spans="5:11" x14ac:dyDescent="0.25">
      <c r="E1955">
        <v>1532</v>
      </c>
      <c r="F1955" s="7">
        <v>45632</v>
      </c>
      <c r="G1955" t="s">
        <v>7</v>
      </c>
      <c r="H1955">
        <v>42</v>
      </c>
      <c r="I1955" t="s">
        <v>8</v>
      </c>
      <c r="J1955">
        <v>2</v>
      </c>
      <c r="K1955">
        <v>408</v>
      </c>
    </row>
    <row r="1956" spans="5:11" x14ac:dyDescent="0.25">
      <c r="E1956">
        <v>338</v>
      </c>
      <c r="F1956" s="7">
        <v>44988</v>
      </c>
      <c r="G1956" t="s">
        <v>9</v>
      </c>
      <c r="H1956">
        <v>22</v>
      </c>
      <c r="I1956" t="s">
        <v>11</v>
      </c>
      <c r="J1956">
        <v>2</v>
      </c>
      <c r="K1956">
        <v>25</v>
      </c>
    </row>
    <row r="1957" spans="5:11" x14ac:dyDescent="0.25">
      <c r="E1957">
        <v>1562</v>
      </c>
      <c r="F1957" s="7">
        <v>45603</v>
      </c>
      <c r="G1957" t="s">
        <v>9</v>
      </c>
      <c r="H1957">
        <v>62</v>
      </c>
      <c r="I1957" t="s">
        <v>8</v>
      </c>
      <c r="J1957">
        <v>7</v>
      </c>
      <c r="K1957">
        <v>194</v>
      </c>
    </row>
    <row r="1958" spans="5:11" x14ac:dyDescent="0.25">
      <c r="E1958">
        <v>1757</v>
      </c>
      <c r="F1958" s="7">
        <v>45603</v>
      </c>
      <c r="G1958" t="s">
        <v>9</v>
      </c>
      <c r="H1958">
        <v>27</v>
      </c>
      <c r="I1958" t="s">
        <v>10</v>
      </c>
      <c r="J1958">
        <v>3</v>
      </c>
      <c r="K1958">
        <v>240</v>
      </c>
    </row>
    <row r="1959" spans="5:11" x14ac:dyDescent="0.25">
      <c r="E1959">
        <v>1014</v>
      </c>
      <c r="F1959" s="7">
        <v>45339</v>
      </c>
      <c r="G1959" t="s">
        <v>7</v>
      </c>
      <c r="H1959">
        <v>57</v>
      </c>
      <c r="I1959" t="s">
        <v>10</v>
      </c>
      <c r="J1959">
        <v>7</v>
      </c>
      <c r="K1959">
        <v>85</v>
      </c>
    </row>
    <row r="1960" spans="5:11" x14ac:dyDescent="0.25">
      <c r="E1960">
        <v>1660</v>
      </c>
      <c r="F1960" s="7">
        <v>45654</v>
      </c>
      <c r="G1960" t="s">
        <v>9</v>
      </c>
      <c r="H1960">
        <v>46</v>
      </c>
      <c r="I1960" t="s">
        <v>10</v>
      </c>
      <c r="J1960">
        <v>2</v>
      </c>
      <c r="K1960">
        <v>264</v>
      </c>
    </row>
    <row r="1961" spans="5:11" x14ac:dyDescent="0.25">
      <c r="E1961">
        <v>551</v>
      </c>
      <c r="F1961" s="7">
        <v>45273</v>
      </c>
      <c r="G1961" t="s">
        <v>9</v>
      </c>
      <c r="H1961">
        <v>49</v>
      </c>
      <c r="I1961" t="s">
        <v>11</v>
      </c>
      <c r="J1961">
        <v>3</v>
      </c>
      <c r="K1961">
        <v>25</v>
      </c>
    </row>
    <row r="1962" spans="5:11" x14ac:dyDescent="0.25">
      <c r="E1962">
        <v>1103</v>
      </c>
      <c r="F1962" s="7">
        <v>45498</v>
      </c>
      <c r="G1962" t="s">
        <v>9</v>
      </c>
      <c r="H1962">
        <v>21</v>
      </c>
      <c r="I1962" t="s">
        <v>11</v>
      </c>
      <c r="J1962">
        <v>1</v>
      </c>
      <c r="K1962">
        <v>347</v>
      </c>
    </row>
    <row r="1963" spans="5:11" x14ac:dyDescent="0.25">
      <c r="E1963">
        <v>413</v>
      </c>
      <c r="F1963" s="7">
        <v>45055</v>
      </c>
      <c r="G1963" t="s">
        <v>7</v>
      </c>
      <c r="H1963">
        <v>48</v>
      </c>
      <c r="I1963" t="s">
        <v>8</v>
      </c>
      <c r="J1963">
        <v>4</v>
      </c>
      <c r="K1963">
        <v>25</v>
      </c>
    </row>
    <row r="1964" spans="5:11" x14ac:dyDescent="0.25">
      <c r="E1964">
        <v>893</v>
      </c>
      <c r="F1964" s="7">
        <v>45068</v>
      </c>
      <c r="G1964" t="s">
        <v>9</v>
      </c>
      <c r="H1964">
        <v>55</v>
      </c>
      <c r="I1964" t="s">
        <v>10</v>
      </c>
      <c r="J1964">
        <v>4</v>
      </c>
      <c r="K1964">
        <v>30</v>
      </c>
    </row>
    <row r="1965" spans="5:11" x14ac:dyDescent="0.25">
      <c r="E1965">
        <v>972</v>
      </c>
      <c r="F1965" s="7">
        <v>45049</v>
      </c>
      <c r="G1965" t="s">
        <v>7</v>
      </c>
      <c r="H1965">
        <v>47</v>
      </c>
      <c r="I1965" t="s">
        <v>8</v>
      </c>
      <c r="J1965">
        <v>1</v>
      </c>
      <c r="K1965">
        <v>30</v>
      </c>
    </row>
    <row r="1966" spans="5:11" x14ac:dyDescent="0.25">
      <c r="E1966">
        <v>1631</v>
      </c>
      <c r="F1966" s="7">
        <v>45573</v>
      </c>
      <c r="G1966" t="s">
        <v>7</v>
      </c>
      <c r="H1966">
        <v>22</v>
      </c>
      <c r="I1966" t="s">
        <v>11</v>
      </c>
      <c r="J1966">
        <v>2</v>
      </c>
      <c r="K1966">
        <v>244</v>
      </c>
    </row>
    <row r="1967" spans="5:11" x14ac:dyDescent="0.25">
      <c r="E1967">
        <v>274</v>
      </c>
      <c r="F1967" s="7">
        <v>45024</v>
      </c>
      <c r="G1967" t="s">
        <v>7</v>
      </c>
      <c r="H1967">
        <v>43</v>
      </c>
      <c r="I1967" t="s">
        <v>10</v>
      </c>
      <c r="J1967">
        <v>2</v>
      </c>
      <c r="K1967">
        <v>500</v>
      </c>
    </row>
    <row r="1968" spans="5:11" x14ac:dyDescent="0.25">
      <c r="E1968">
        <v>575</v>
      </c>
      <c r="F1968" s="7">
        <v>45264</v>
      </c>
      <c r="G1968" t="s">
        <v>9</v>
      </c>
      <c r="H1968">
        <v>33</v>
      </c>
      <c r="I1968" t="s">
        <v>8</v>
      </c>
      <c r="J1968">
        <v>3</v>
      </c>
      <c r="K1968">
        <v>50</v>
      </c>
    </row>
    <row r="1969" spans="5:11" x14ac:dyDescent="0.25">
      <c r="E1969">
        <v>631</v>
      </c>
      <c r="F1969" s="7">
        <v>45185</v>
      </c>
      <c r="G1969" t="s">
        <v>9</v>
      </c>
      <c r="H1969">
        <v>26</v>
      </c>
      <c r="I1969" t="s">
        <v>11</v>
      </c>
      <c r="J1969">
        <v>4</v>
      </c>
      <c r="K1969">
        <v>25</v>
      </c>
    </row>
    <row r="1970" spans="5:11" x14ac:dyDescent="0.25">
      <c r="E1970">
        <v>302</v>
      </c>
      <c r="F1970" s="7">
        <v>44928</v>
      </c>
      <c r="G1970" t="s">
        <v>7</v>
      </c>
      <c r="H1970">
        <v>19</v>
      </c>
      <c r="I1970" t="s">
        <v>11</v>
      </c>
      <c r="J1970">
        <v>3</v>
      </c>
      <c r="K1970">
        <v>30</v>
      </c>
    </row>
    <row r="1971" spans="5:11" x14ac:dyDescent="0.25">
      <c r="E1971">
        <v>163</v>
      </c>
      <c r="F1971" s="7">
        <v>44928</v>
      </c>
      <c r="G1971" t="s">
        <v>9</v>
      </c>
      <c r="H1971">
        <v>64</v>
      </c>
      <c r="I1971" t="s">
        <v>10</v>
      </c>
      <c r="J1971">
        <v>3</v>
      </c>
      <c r="K1971">
        <v>50</v>
      </c>
    </row>
    <row r="1972" spans="5:11" x14ac:dyDescent="0.25">
      <c r="E1972">
        <v>1028</v>
      </c>
      <c r="F1972" s="7">
        <v>45594</v>
      </c>
      <c r="G1972" t="s">
        <v>9</v>
      </c>
      <c r="H1972">
        <v>27</v>
      </c>
      <c r="I1972" t="s">
        <v>8</v>
      </c>
      <c r="J1972">
        <v>2</v>
      </c>
      <c r="K1972">
        <v>364</v>
      </c>
    </row>
    <row r="1973" spans="5:11" x14ac:dyDescent="0.25">
      <c r="E1973">
        <v>569</v>
      </c>
      <c r="F1973" s="7">
        <v>45153</v>
      </c>
      <c r="G1973" t="s">
        <v>7</v>
      </c>
      <c r="H1973">
        <v>49</v>
      </c>
      <c r="I1973" t="s">
        <v>10</v>
      </c>
      <c r="J1973">
        <v>1</v>
      </c>
      <c r="K1973">
        <v>500</v>
      </c>
    </row>
    <row r="1974" spans="5:11" x14ac:dyDescent="0.25">
      <c r="E1974">
        <v>922</v>
      </c>
      <c r="F1974" s="7">
        <v>45167</v>
      </c>
      <c r="G1974" t="s">
        <v>7</v>
      </c>
      <c r="H1974">
        <v>55</v>
      </c>
      <c r="I1974" t="s">
        <v>8</v>
      </c>
      <c r="J1974">
        <v>2</v>
      </c>
      <c r="K1974">
        <v>50</v>
      </c>
    </row>
    <row r="1975" spans="5:11" x14ac:dyDescent="0.25">
      <c r="E1975">
        <v>1458</v>
      </c>
      <c r="F1975" s="7">
        <v>45376</v>
      </c>
      <c r="G1975" t="s">
        <v>9</v>
      </c>
      <c r="H1975">
        <v>58</v>
      </c>
      <c r="I1975" t="s">
        <v>8</v>
      </c>
      <c r="J1975">
        <v>4</v>
      </c>
      <c r="K1975">
        <v>351</v>
      </c>
    </row>
    <row r="1976" spans="5:11" x14ac:dyDescent="0.25">
      <c r="E1976">
        <v>159</v>
      </c>
      <c r="F1976" s="7">
        <v>45077</v>
      </c>
      <c r="G1976" t="s">
        <v>7</v>
      </c>
      <c r="H1976">
        <v>26</v>
      </c>
      <c r="I1976" t="s">
        <v>10</v>
      </c>
      <c r="J1976">
        <v>4</v>
      </c>
      <c r="K1976">
        <v>50</v>
      </c>
    </row>
    <row r="1977" spans="5:11" x14ac:dyDescent="0.25">
      <c r="E1977">
        <v>431</v>
      </c>
      <c r="F1977" s="7">
        <v>44931</v>
      </c>
      <c r="G1977" t="s">
        <v>9</v>
      </c>
      <c r="H1977">
        <v>60</v>
      </c>
      <c r="I1977" t="s">
        <v>11</v>
      </c>
      <c r="J1977">
        <v>2</v>
      </c>
      <c r="K1977">
        <v>500</v>
      </c>
    </row>
    <row r="1978" spans="5:11" x14ac:dyDescent="0.25">
      <c r="E1978">
        <v>133</v>
      </c>
      <c r="F1978" s="7">
        <v>44973</v>
      </c>
      <c r="G1978" t="s">
        <v>7</v>
      </c>
      <c r="H1978">
        <v>20</v>
      </c>
      <c r="I1978" t="s">
        <v>11</v>
      </c>
      <c r="J1978">
        <v>3</v>
      </c>
      <c r="K1978">
        <v>300</v>
      </c>
    </row>
    <row r="1979" spans="5:11" x14ac:dyDescent="0.25">
      <c r="E1979">
        <v>1351</v>
      </c>
      <c r="F1979" s="7">
        <v>45397</v>
      </c>
      <c r="G1979" t="s">
        <v>9</v>
      </c>
      <c r="H1979">
        <v>38</v>
      </c>
      <c r="I1979" t="s">
        <v>8</v>
      </c>
      <c r="J1979">
        <v>5</v>
      </c>
      <c r="K1979">
        <v>301</v>
      </c>
    </row>
    <row r="1980" spans="5:11" x14ac:dyDescent="0.25">
      <c r="E1980">
        <v>1078</v>
      </c>
      <c r="F1980" s="7">
        <v>45636</v>
      </c>
      <c r="G1980" t="s">
        <v>9</v>
      </c>
      <c r="H1980">
        <v>53</v>
      </c>
      <c r="I1980" t="s">
        <v>10</v>
      </c>
      <c r="J1980">
        <v>5</v>
      </c>
      <c r="K1980">
        <v>56</v>
      </c>
    </row>
    <row r="1981" spans="5:11" x14ac:dyDescent="0.25">
      <c r="E1981">
        <v>909</v>
      </c>
      <c r="F1981" s="7">
        <v>45067</v>
      </c>
      <c r="G1981" t="s">
        <v>7</v>
      </c>
      <c r="H1981">
        <v>42</v>
      </c>
      <c r="I1981" t="s">
        <v>11</v>
      </c>
      <c r="J1981">
        <v>3</v>
      </c>
      <c r="K1981">
        <v>300</v>
      </c>
    </row>
    <row r="1982" spans="5:11" x14ac:dyDescent="0.25">
      <c r="E1982">
        <v>1071</v>
      </c>
      <c r="F1982" s="7">
        <v>45525</v>
      </c>
      <c r="G1982" t="s">
        <v>7</v>
      </c>
      <c r="H1982">
        <v>54</v>
      </c>
      <c r="I1982" t="s">
        <v>11</v>
      </c>
      <c r="J1982">
        <v>2</v>
      </c>
      <c r="K1982">
        <v>294</v>
      </c>
    </row>
    <row r="1983" spans="5:11" x14ac:dyDescent="0.25">
      <c r="E1983">
        <v>436</v>
      </c>
      <c r="F1983" s="7">
        <v>45206</v>
      </c>
      <c r="G1983" t="s">
        <v>9</v>
      </c>
      <c r="H1983">
        <v>35</v>
      </c>
      <c r="I1983" t="s">
        <v>11</v>
      </c>
      <c r="J1983">
        <v>4</v>
      </c>
      <c r="K1983">
        <v>300</v>
      </c>
    </row>
    <row r="1984" spans="5:11" x14ac:dyDescent="0.25">
      <c r="E1984">
        <v>712</v>
      </c>
      <c r="F1984" s="7">
        <v>44969</v>
      </c>
      <c r="G1984" t="s">
        <v>9</v>
      </c>
      <c r="H1984">
        <v>18</v>
      </c>
      <c r="I1984" t="s">
        <v>10</v>
      </c>
      <c r="J1984">
        <v>1</v>
      </c>
      <c r="K1984">
        <v>500</v>
      </c>
    </row>
    <row r="1985" spans="5:11" x14ac:dyDescent="0.25">
      <c r="E1985">
        <v>724</v>
      </c>
      <c r="F1985" s="7">
        <v>45094</v>
      </c>
      <c r="G1985" t="s">
        <v>7</v>
      </c>
      <c r="H1985">
        <v>47</v>
      </c>
      <c r="I1985" t="s">
        <v>10</v>
      </c>
      <c r="J1985">
        <v>4</v>
      </c>
      <c r="K1985">
        <v>300</v>
      </c>
    </row>
    <row r="1986" spans="5:11" x14ac:dyDescent="0.25">
      <c r="E1986">
        <v>167</v>
      </c>
      <c r="F1986" s="7">
        <v>45186</v>
      </c>
      <c r="G1986" t="s">
        <v>9</v>
      </c>
      <c r="H1986">
        <v>43</v>
      </c>
      <c r="I1986" t="s">
        <v>10</v>
      </c>
      <c r="J1986">
        <v>3</v>
      </c>
      <c r="K1986">
        <v>50</v>
      </c>
    </row>
    <row r="1987" spans="5:11" x14ac:dyDescent="0.25">
      <c r="E1987">
        <v>247</v>
      </c>
      <c r="F1987" s="7">
        <v>44994</v>
      </c>
      <c r="G1987" t="s">
        <v>7</v>
      </c>
      <c r="H1987">
        <v>26</v>
      </c>
      <c r="I1987" t="s">
        <v>10</v>
      </c>
      <c r="J1987">
        <v>3</v>
      </c>
      <c r="K1987">
        <v>300</v>
      </c>
    </row>
    <row r="1988" spans="5:11" x14ac:dyDescent="0.25">
      <c r="E1988">
        <v>478</v>
      </c>
      <c r="F1988" s="7">
        <v>45162</v>
      </c>
      <c r="G1988" t="s">
        <v>7</v>
      </c>
      <c r="H1988">
        <v>52</v>
      </c>
      <c r="I1988" t="s">
        <v>11</v>
      </c>
      <c r="J1988">
        <v>4</v>
      </c>
      <c r="K1988">
        <v>300</v>
      </c>
    </row>
    <row r="1989" spans="5:11" x14ac:dyDescent="0.25">
      <c r="E1989">
        <v>1010</v>
      </c>
      <c r="F1989" s="7">
        <v>45595</v>
      </c>
      <c r="G1989" t="s">
        <v>7</v>
      </c>
      <c r="H1989">
        <v>36</v>
      </c>
      <c r="I1989" t="s">
        <v>8</v>
      </c>
      <c r="J1989">
        <v>4</v>
      </c>
      <c r="K1989">
        <v>392</v>
      </c>
    </row>
    <row r="1990" spans="5:11" x14ac:dyDescent="0.25">
      <c r="E1990">
        <v>1417</v>
      </c>
      <c r="F1990" s="7">
        <v>45314</v>
      </c>
      <c r="G1990" t="s">
        <v>9</v>
      </c>
      <c r="H1990">
        <v>46</v>
      </c>
      <c r="I1990" t="s">
        <v>10</v>
      </c>
      <c r="J1990">
        <v>1</v>
      </c>
      <c r="K1990">
        <v>114</v>
      </c>
    </row>
    <row r="1991" spans="5:11" x14ac:dyDescent="0.25">
      <c r="E1991">
        <v>1430</v>
      </c>
      <c r="F1991" s="7">
        <v>45349</v>
      </c>
      <c r="G1991" t="s">
        <v>7</v>
      </c>
      <c r="H1991">
        <v>51</v>
      </c>
      <c r="I1991" t="s">
        <v>8</v>
      </c>
      <c r="J1991">
        <v>5</v>
      </c>
      <c r="K1991">
        <v>485</v>
      </c>
    </row>
    <row r="1992" spans="5:11" x14ac:dyDescent="0.25">
      <c r="E1992">
        <v>71</v>
      </c>
      <c r="F1992" s="7">
        <v>45121</v>
      </c>
      <c r="G1992" t="s">
        <v>9</v>
      </c>
      <c r="H1992">
        <v>51</v>
      </c>
      <c r="I1992" t="s">
        <v>8</v>
      </c>
      <c r="J1992">
        <v>4</v>
      </c>
      <c r="K1992">
        <v>25</v>
      </c>
    </row>
    <row r="1993" spans="5:11" x14ac:dyDescent="0.25">
      <c r="E1993">
        <v>456</v>
      </c>
      <c r="F1993" s="7">
        <v>45135</v>
      </c>
      <c r="G1993" t="s">
        <v>9</v>
      </c>
      <c r="H1993">
        <v>58</v>
      </c>
      <c r="I1993" t="s">
        <v>8</v>
      </c>
      <c r="J1993">
        <v>3</v>
      </c>
      <c r="K1993">
        <v>300</v>
      </c>
    </row>
    <row r="1994" spans="5:11" x14ac:dyDescent="0.25">
      <c r="E1994">
        <v>92</v>
      </c>
      <c r="F1994" s="7">
        <v>45163</v>
      </c>
      <c r="G1994" t="s">
        <v>9</v>
      </c>
      <c r="H1994">
        <v>51</v>
      </c>
      <c r="I1994" t="s">
        <v>11</v>
      </c>
      <c r="J1994">
        <v>4</v>
      </c>
      <c r="K1994">
        <v>30</v>
      </c>
    </row>
    <row r="1995" spans="5:11" x14ac:dyDescent="0.25">
      <c r="E1995">
        <v>1342</v>
      </c>
      <c r="F1995" s="7">
        <v>45610</v>
      </c>
      <c r="G1995" t="s">
        <v>7</v>
      </c>
      <c r="H1995">
        <v>24</v>
      </c>
      <c r="I1995" t="s">
        <v>11</v>
      </c>
      <c r="J1995">
        <v>1</v>
      </c>
      <c r="K1995">
        <v>77</v>
      </c>
    </row>
    <row r="1996" spans="5:11" x14ac:dyDescent="0.25">
      <c r="E1996">
        <v>506</v>
      </c>
      <c r="F1996" s="7">
        <v>45232</v>
      </c>
      <c r="G1996" t="s">
        <v>9</v>
      </c>
      <c r="H1996">
        <v>37</v>
      </c>
      <c r="I1996" t="s">
        <v>11</v>
      </c>
      <c r="J1996">
        <v>3</v>
      </c>
      <c r="K1996">
        <v>500</v>
      </c>
    </row>
    <row r="1997" spans="5:11" x14ac:dyDescent="0.25">
      <c r="E1997">
        <v>783</v>
      </c>
      <c r="F1997" s="7">
        <v>44988</v>
      </c>
      <c r="G1997" t="s">
        <v>9</v>
      </c>
      <c r="H1997">
        <v>31</v>
      </c>
      <c r="I1997" t="s">
        <v>8</v>
      </c>
      <c r="J1997">
        <v>4</v>
      </c>
      <c r="K1997">
        <v>50</v>
      </c>
    </row>
    <row r="1998" spans="5:11" x14ac:dyDescent="0.25">
      <c r="E1998">
        <v>1525</v>
      </c>
      <c r="F1998" s="7">
        <v>45479</v>
      </c>
      <c r="G1998" t="s">
        <v>9</v>
      </c>
      <c r="H1998">
        <v>49</v>
      </c>
      <c r="I1998" t="s">
        <v>10</v>
      </c>
      <c r="J1998">
        <v>7</v>
      </c>
      <c r="K1998">
        <v>482</v>
      </c>
    </row>
    <row r="1999" spans="5:11" x14ac:dyDescent="0.25">
      <c r="E1999">
        <v>836</v>
      </c>
      <c r="F1999" s="7">
        <v>45059</v>
      </c>
      <c r="G1999" t="s">
        <v>7</v>
      </c>
      <c r="H1999">
        <v>47</v>
      </c>
      <c r="I1999" t="s">
        <v>11</v>
      </c>
      <c r="J1999">
        <v>2</v>
      </c>
      <c r="K1999">
        <v>300</v>
      </c>
    </row>
    <row r="2000" spans="5:11" x14ac:dyDescent="0.25">
      <c r="E2000">
        <v>1258</v>
      </c>
      <c r="F2000" s="7">
        <v>45509</v>
      </c>
      <c r="G2000" t="s">
        <v>7</v>
      </c>
      <c r="H2000">
        <v>22</v>
      </c>
      <c r="I2000" t="s">
        <v>10</v>
      </c>
      <c r="J2000">
        <v>2</v>
      </c>
      <c r="K2000">
        <v>51</v>
      </c>
    </row>
    <row r="2001" spans="5:11" x14ac:dyDescent="0.25">
      <c r="E2001">
        <v>928</v>
      </c>
      <c r="F2001" s="7">
        <v>45056</v>
      </c>
      <c r="G2001" t="s">
        <v>7</v>
      </c>
      <c r="H2001">
        <v>54</v>
      </c>
      <c r="I2001" t="s">
        <v>10</v>
      </c>
      <c r="J2001">
        <v>4</v>
      </c>
      <c r="K2001">
        <v>50</v>
      </c>
    </row>
    <row r="2002" spans="5:11" x14ac:dyDescent="0.25">
      <c r="E2002">
        <v>289</v>
      </c>
      <c r="F2002" s="7">
        <v>45203</v>
      </c>
      <c r="G2002" t="s">
        <v>9</v>
      </c>
      <c r="H2002">
        <v>30</v>
      </c>
      <c r="I2002" t="s">
        <v>8</v>
      </c>
      <c r="J2002">
        <v>2</v>
      </c>
      <c r="K2002">
        <v>300</v>
      </c>
    </row>
    <row r="2003" spans="5:11" x14ac:dyDescent="0.25">
      <c r="E2003">
        <v>1948</v>
      </c>
      <c r="F2003" s="7">
        <v>45609</v>
      </c>
      <c r="G2003" t="s">
        <v>9</v>
      </c>
      <c r="H2003">
        <v>65</v>
      </c>
      <c r="I2003" t="s">
        <v>10</v>
      </c>
      <c r="J2003">
        <v>5</v>
      </c>
      <c r="K2003">
        <v>294</v>
      </c>
    </row>
    <row r="2004" spans="5:11" ht="15.75" thickBot="1" x14ac:dyDescent="0.3">
      <c r="E2004" s="5">
        <v>1598</v>
      </c>
      <c r="F2004" s="8">
        <v>45392</v>
      </c>
      <c r="G2004" s="5" t="s">
        <v>7</v>
      </c>
      <c r="H2004" s="5">
        <v>59</v>
      </c>
      <c r="I2004" s="5" t="s">
        <v>10</v>
      </c>
      <c r="J2004" s="5">
        <v>2</v>
      </c>
      <c r="K2004" s="5">
        <v>392</v>
      </c>
    </row>
  </sheetData>
  <autoFilter ref="E8:K1006" xr:uid="{C4DE65D4-AE2F-4225-AEE0-5E6E6E515A79}"/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94D3-F57A-47CC-A76D-542EDB28249E}">
  <sheetPr>
    <tabColor rgb="FF00B050"/>
  </sheetPr>
  <dimension ref="A2:Q2004"/>
  <sheetViews>
    <sheetView workbookViewId="0">
      <selection activeCell="K16" sqref="K16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18" style="1" bestFit="1" customWidth="1"/>
    <col min="6" max="6" width="9.75" style="1" bestFit="1" customWidth="1"/>
    <col min="7" max="8" width="9.75" style="1" customWidth="1"/>
    <col min="9" max="9" width="11.875" style="1" bestFit="1" customWidth="1"/>
    <col min="10" max="10" width="9" style="1" bestFit="1" customWidth="1"/>
    <col min="11" max="11" width="20.5" style="1" bestFit="1" customWidth="1"/>
    <col min="12" max="12" width="12.875" style="1" bestFit="1" customWidth="1"/>
    <col min="13" max="13" width="17.375" style="1" bestFit="1" customWidth="1"/>
    <col min="14" max="14" width="12.375" style="1" bestFit="1" customWidth="1"/>
    <col min="15" max="16" width="8.625" style="1"/>
    <col min="17" max="17" width="9.875" style="1" bestFit="1" customWidth="1"/>
    <col min="18" max="19" width="8.625" style="1"/>
    <col min="20" max="20" width="4.875" style="1" customWidth="1"/>
    <col min="21" max="16384" width="8.625" style="1"/>
  </cols>
  <sheetData>
    <row r="2" spans="5:17" x14ac:dyDescent="0.25">
      <c r="P2" s="1" t="s">
        <v>14</v>
      </c>
      <c r="Q2" s="11">
        <f>SUM(N9:N2004)</f>
        <v>1481872</v>
      </c>
    </row>
    <row r="3" spans="5:17" x14ac:dyDescent="0.25">
      <c r="L3" s="11">
        <f t="shared" ref="L3:M3" si="0">_xlfn.AGGREGATE(9,1,L9:L2004)</f>
        <v>6480</v>
      </c>
      <c r="M3" s="11">
        <f t="shared" si="0"/>
        <v>438787</v>
      </c>
      <c r="N3" s="11">
        <f>_xlfn.AGGREGATE(9,1,N9:N2004)</f>
        <v>1481872</v>
      </c>
      <c r="P3" s="1" t="s">
        <v>15</v>
      </c>
      <c r="Q3" s="11">
        <f>SUMPRODUCT(L9:L2004,M9:M2004)</f>
        <v>1481872</v>
      </c>
    </row>
    <row r="4" spans="5:17" x14ac:dyDescent="0.25">
      <c r="P4" s="1" t="s">
        <v>16</v>
      </c>
      <c r="Q4" s="11">
        <f t="array" ref="Q4">SUM(L9:L2004*M9:M2004)</f>
        <v>1481872</v>
      </c>
    </row>
    <row r="7" spans="5:17" ht="15.75" thickBot="1" x14ac:dyDescent="0.3"/>
    <row r="8" spans="5:17" x14ac:dyDescent="0.25">
      <c r="E8" s="6" t="s">
        <v>1</v>
      </c>
      <c r="F8" s="6" t="s">
        <v>2</v>
      </c>
      <c r="G8" s="6" t="s">
        <v>12</v>
      </c>
      <c r="H8" s="6" t="s">
        <v>13</v>
      </c>
      <c r="I8" s="6" t="s">
        <v>3</v>
      </c>
      <c r="J8" s="6" t="s">
        <v>4</v>
      </c>
      <c r="K8" s="6" t="s">
        <v>5</v>
      </c>
      <c r="L8" s="6" t="s">
        <v>0</v>
      </c>
      <c r="M8" s="6" t="s">
        <v>6</v>
      </c>
    </row>
    <row r="9" spans="5:17" x14ac:dyDescent="0.25">
      <c r="E9">
        <v>35</v>
      </c>
      <c r="F9" s="7">
        <v>45143</v>
      </c>
      <c r="G9">
        <f>YEAR(F9)</f>
        <v>2023</v>
      </c>
      <c r="H9" s="7" t="str">
        <f>TEXT(F9,"ММММ")</f>
        <v>Август</v>
      </c>
      <c r="I9" t="s">
        <v>9</v>
      </c>
      <c r="J9">
        <v>58</v>
      </c>
      <c r="K9" t="s">
        <v>8</v>
      </c>
      <c r="L9">
        <v>3</v>
      </c>
      <c r="M9">
        <v>300</v>
      </c>
      <c r="N9" s="1">
        <f>L9*M9</f>
        <v>900</v>
      </c>
    </row>
    <row r="10" spans="5:17" x14ac:dyDescent="0.25">
      <c r="E10">
        <v>522</v>
      </c>
      <c r="F10" s="7">
        <v>45193</v>
      </c>
      <c r="G10">
        <f t="shared" ref="G10:G73" si="1">YEAR(F10)</f>
        <v>2023</v>
      </c>
      <c r="H10" s="7" t="str">
        <f t="shared" ref="H10:H73" si="2">TEXT(F10,"ММММ")</f>
        <v>Сентябрь</v>
      </c>
      <c r="I10" t="s">
        <v>9</v>
      </c>
      <c r="J10">
        <v>62</v>
      </c>
      <c r="K10" t="s">
        <v>11</v>
      </c>
      <c r="L10">
        <v>1</v>
      </c>
      <c r="M10">
        <v>300</v>
      </c>
      <c r="N10" s="1">
        <f t="shared" ref="N10:N73" si="3">L10*M10</f>
        <v>300</v>
      </c>
    </row>
    <row r="11" spans="5:17" x14ac:dyDescent="0.25">
      <c r="E11">
        <v>1610</v>
      </c>
      <c r="F11" s="7">
        <v>45405</v>
      </c>
      <c r="G11">
        <f t="shared" si="1"/>
        <v>2024</v>
      </c>
      <c r="H11" s="7" t="str">
        <f t="shared" si="2"/>
        <v>Апрель</v>
      </c>
      <c r="I11" t="s">
        <v>9</v>
      </c>
      <c r="J11">
        <v>54</v>
      </c>
      <c r="K11" t="s">
        <v>10</v>
      </c>
      <c r="L11">
        <v>5</v>
      </c>
      <c r="M11">
        <v>190</v>
      </c>
      <c r="N11" s="1">
        <f t="shared" si="3"/>
        <v>950</v>
      </c>
    </row>
    <row r="12" spans="5:17" x14ac:dyDescent="0.25">
      <c r="E12">
        <v>1179</v>
      </c>
      <c r="F12" s="7">
        <v>45599</v>
      </c>
      <c r="G12">
        <f t="shared" si="1"/>
        <v>2024</v>
      </c>
      <c r="H12" s="7" t="str">
        <f t="shared" si="2"/>
        <v>Ноябрь</v>
      </c>
      <c r="I12" t="s">
        <v>7</v>
      </c>
      <c r="J12">
        <v>47</v>
      </c>
      <c r="K12" t="s">
        <v>11</v>
      </c>
      <c r="L12">
        <v>5</v>
      </c>
      <c r="M12">
        <v>286</v>
      </c>
      <c r="N12" s="1">
        <f t="shared" si="3"/>
        <v>1430</v>
      </c>
    </row>
    <row r="13" spans="5:17" x14ac:dyDescent="0.25">
      <c r="E13">
        <v>22</v>
      </c>
      <c r="F13" s="7">
        <v>45214</v>
      </c>
      <c r="G13">
        <f t="shared" si="1"/>
        <v>2023</v>
      </c>
      <c r="H13" s="7" t="str">
        <f t="shared" si="2"/>
        <v>Октябрь</v>
      </c>
      <c r="I13" t="s">
        <v>7</v>
      </c>
      <c r="J13">
        <v>18</v>
      </c>
      <c r="K13" t="s">
        <v>10</v>
      </c>
      <c r="L13">
        <v>2</v>
      </c>
      <c r="M13">
        <v>50</v>
      </c>
      <c r="N13" s="1">
        <f t="shared" si="3"/>
        <v>100</v>
      </c>
    </row>
    <row r="14" spans="5:17" x14ac:dyDescent="0.25">
      <c r="E14">
        <v>536</v>
      </c>
      <c r="F14" s="7">
        <v>45080</v>
      </c>
      <c r="G14">
        <f t="shared" si="1"/>
        <v>2023</v>
      </c>
      <c r="H14" s="7" t="str">
        <f t="shared" si="2"/>
        <v>Июнь</v>
      </c>
      <c r="I14" t="s">
        <v>9</v>
      </c>
      <c r="J14">
        <v>21</v>
      </c>
      <c r="K14" t="s">
        <v>8</v>
      </c>
      <c r="L14">
        <v>1</v>
      </c>
      <c r="M14">
        <v>500</v>
      </c>
      <c r="N14" s="1">
        <f t="shared" si="3"/>
        <v>500</v>
      </c>
    </row>
    <row r="15" spans="5:17" x14ac:dyDescent="0.25">
      <c r="E15">
        <v>1617</v>
      </c>
      <c r="F15" s="7">
        <v>45420</v>
      </c>
      <c r="G15">
        <f t="shared" si="1"/>
        <v>2024</v>
      </c>
      <c r="H15" s="7" t="str">
        <f t="shared" si="2"/>
        <v>Май</v>
      </c>
      <c r="I15" t="s">
        <v>7</v>
      </c>
      <c r="J15">
        <v>53</v>
      </c>
      <c r="K15" t="s">
        <v>11</v>
      </c>
      <c r="L15">
        <v>3</v>
      </c>
      <c r="M15">
        <v>474</v>
      </c>
      <c r="N15" s="1">
        <f t="shared" si="3"/>
        <v>1422</v>
      </c>
    </row>
    <row r="16" spans="5:17" x14ac:dyDescent="0.25">
      <c r="E16">
        <v>347</v>
      </c>
      <c r="F16" s="7">
        <v>45263</v>
      </c>
      <c r="G16">
        <f t="shared" si="1"/>
        <v>2023</v>
      </c>
      <c r="H16" s="7" t="str">
        <f t="shared" si="2"/>
        <v>Декабрь</v>
      </c>
      <c r="I16" t="s">
        <v>9</v>
      </c>
      <c r="J16">
        <v>35</v>
      </c>
      <c r="K16" t="s">
        <v>11</v>
      </c>
      <c r="L16">
        <v>2</v>
      </c>
      <c r="M16">
        <v>300</v>
      </c>
      <c r="N16" s="1">
        <f t="shared" si="3"/>
        <v>600</v>
      </c>
    </row>
    <row r="17" spans="5:14" x14ac:dyDescent="0.25">
      <c r="E17">
        <v>1782</v>
      </c>
      <c r="F17" s="7">
        <v>45582</v>
      </c>
      <c r="G17">
        <f t="shared" si="1"/>
        <v>2024</v>
      </c>
      <c r="H17" s="7" t="str">
        <f t="shared" si="2"/>
        <v>Октябрь</v>
      </c>
      <c r="I17" t="s">
        <v>7</v>
      </c>
      <c r="J17">
        <v>59</v>
      </c>
      <c r="K17" t="s">
        <v>10</v>
      </c>
      <c r="L17">
        <v>5</v>
      </c>
      <c r="M17">
        <v>97</v>
      </c>
      <c r="N17" s="1">
        <f t="shared" si="3"/>
        <v>485</v>
      </c>
    </row>
    <row r="18" spans="5:14" x14ac:dyDescent="0.25">
      <c r="E18">
        <v>1148</v>
      </c>
      <c r="F18" s="7">
        <v>45297</v>
      </c>
      <c r="G18">
        <f t="shared" si="1"/>
        <v>2024</v>
      </c>
      <c r="H18" s="7" t="str">
        <f t="shared" si="2"/>
        <v>Январь</v>
      </c>
      <c r="I18" t="s">
        <v>9</v>
      </c>
      <c r="J18">
        <v>24</v>
      </c>
      <c r="K18" t="s">
        <v>11</v>
      </c>
      <c r="L18">
        <v>1</v>
      </c>
      <c r="M18">
        <v>227</v>
      </c>
      <c r="N18" s="1">
        <f t="shared" si="3"/>
        <v>227</v>
      </c>
    </row>
    <row r="19" spans="5:14" x14ac:dyDescent="0.25">
      <c r="E19">
        <v>1180</v>
      </c>
      <c r="F19" s="7">
        <v>45458</v>
      </c>
      <c r="G19">
        <f t="shared" si="1"/>
        <v>2024</v>
      </c>
      <c r="H19" s="7" t="str">
        <f t="shared" si="2"/>
        <v>Июнь</v>
      </c>
      <c r="I19" t="s">
        <v>7</v>
      </c>
      <c r="J19">
        <v>37</v>
      </c>
      <c r="K19" t="s">
        <v>8</v>
      </c>
      <c r="L19">
        <v>2</v>
      </c>
      <c r="M19">
        <v>128</v>
      </c>
      <c r="N19" s="1">
        <f t="shared" si="3"/>
        <v>256</v>
      </c>
    </row>
    <row r="20" spans="5:14" x14ac:dyDescent="0.25">
      <c r="E20">
        <v>1305</v>
      </c>
      <c r="F20" s="7">
        <v>45509</v>
      </c>
      <c r="G20">
        <f t="shared" si="1"/>
        <v>2024</v>
      </c>
      <c r="H20" s="7" t="str">
        <f t="shared" si="2"/>
        <v>Август</v>
      </c>
      <c r="I20" t="s">
        <v>9</v>
      </c>
      <c r="J20">
        <v>19</v>
      </c>
      <c r="K20" t="s">
        <v>8</v>
      </c>
      <c r="L20">
        <v>6</v>
      </c>
      <c r="M20">
        <v>125</v>
      </c>
      <c r="N20" s="1">
        <f t="shared" si="3"/>
        <v>750</v>
      </c>
    </row>
    <row r="21" spans="5:14" x14ac:dyDescent="0.25">
      <c r="E21">
        <v>659</v>
      </c>
      <c r="F21" s="7">
        <v>45123</v>
      </c>
      <c r="G21">
        <f t="shared" si="1"/>
        <v>2023</v>
      </c>
      <c r="H21" s="7" t="str">
        <f t="shared" si="2"/>
        <v>Июль</v>
      </c>
      <c r="I21" t="s">
        <v>9</v>
      </c>
      <c r="J21">
        <v>44</v>
      </c>
      <c r="K21" t="s">
        <v>10</v>
      </c>
      <c r="L21">
        <v>4</v>
      </c>
      <c r="M21">
        <v>25</v>
      </c>
      <c r="N21" s="1">
        <f t="shared" si="3"/>
        <v>100</v>
      </c>
    </row>
    <row r="22" spans="5:14" x14ac:dyDescent="0.25">
      <c r="E22">
        <v>691</v>
      </c>
      <c r="F22" s="7">
        <v>45039</v>
      </c>
      <c r="G22">
        <f t="shared" si="1"/>
        <v>2023</v>
      </c>
      <c r="H22" s="7" t="str">
        <f t="shared" si="2"/>
        <v>Апрель</v>
      </c>
      <c r="I22" t="s">
        <v>7</v>
      </c>
      <c r="J22">
        <v>41</v>
      </c>
      <c r="K22" t="s">
        <v>8</v>
      </c>
      <c r="L22">
        <v>3</v>
      </c>
      <c r="M22">
        <v>500</v>
      </c>
      <c r="N22" s="1">
        <f t="shared" si="3"/>
        <v>1500</v>
      </c>
    </row>
    <row r="23" spans="5:14" x14ac:dyDescent="0.25">
      <c r="E23">
        <v>432</v>
      </c>
      <c r="F23" s="7">
        <v>44984</v>
      </c>
      <c r="G23">
        <f t="shared" si="1"/>
        <v>2023</v>
      </c>
      <c r="H23" s="7" t="str">
        <f t="shared" si="2"/>
        <v>Февраль</v>
      </c>
      <c r="I23" t="s">
        <v>7</v>
      </c>
      <c r="J23">
        <v>29</v>
      </c>
      <c r="K23" t="s">
        <v>8</v>
      </c>
      <c r="L23">
        <v>4</v>
      </c>
      <c r="M23">
        <v>50</v>
      </c>
      <c r="N23" s="1">
        <f t="shared" si="3"/>
        <v>200</v>
      </c>
    </row>
    <row r="24" spans="5:14" x14ac:dyDescent="0.25">
      <c r="E24">
        <v>669</v>
      </c>
      <c r="F24" s="7">
        <v>45165</v>
      </c>
      <c r="G24">
        <f t="shared" si="1"/>
        <v>2023</v>
      </c>
      <c r="H24" s="7" t="str">
        <f t="shared" si="2"/>
        <v>Август</v>
      </c>
      <c r="I24" t="s">
        <v>7</v>
      </c>
      <c r="J24">
        <v>62</v>
      </c>
      <c r="K24" t="s">
        <v>11</v>
      </c>
      <c r="L24">
        <v>3</v>
      </c>
      <c r="M24">
        <v>50</v>
      </c>
      <c r="N24" s="1">
        <f t="shared" si="3"/>
        <v>150</v>
      </c>
    </row>
    <row r="25" spans="5:14" x14ac:dyDescent="0.25">
      <c r="E25">
        <v>853</v>
      </c>
      <c r="F25" s="7">
        <v>45170</v>
      </c>
      <c r="G25">
        <f t="shared" si="1"/>
        <v>2023</v>
      </c>
      <c r="H25" s="7" t="str">
        <f t="shared" si="2"/>
        <v>Сентябрь</v>
      </c>
      <c r="I25" t="s">
        <v>7</v>
      </c>
      <c r="J25">
        <v>54</v>
      </c>
      <c r="K25" t="s">
        <v>8</v>
      </c>
      <c r="L25">
        <v>1</v>
      </c>
      <c r="M25">
        <v>25</v>
      </c>
      <c r="N25" s="1">
        <f t="shared" si="3"/>
        <v>25</v>
      </c>
    </row>
    <row r="26" spans="5:14" x14ac:dyDescent="0.25">
      <c r="E26">
        <v>683</v>
      </c>
      <c r="F26" s="7">
        <v>45079</v>
      </c>
      <c r="G26">
        <f t="shared" si="1"/>
        <v>2023</v>
      </c>
      <c r="H26" s="7" t="str">
        <f t="shared" si="2"/>
        <v>Июнь</v>
      </c>
      <c r="I26" t="s">
        <v>7</v>
      </c>
      <c r="J26">
        <v>57</v>
      </c>
      <c r="K26" t="s">
        <v>11</v>
      </c>
      <c r="L26">
        <v>2</v>
      </c>
      <c r="M26">
        <v>25</v>
      </c>
      <c r="N26" s="1">
        <f t="shared" si="3"/>
        <v>50</v>
      </c>
    </row>
    <row r="27" spans="5:14" x14ac:dyDescent="0.25">
      <c r="E27">
        <v>547</v>
      </c>
      <c r="F27" s="7">
        <v>45025</v>
      </c>
      <c r="G27">
        <f t="shared" si="1"/>
        <v>2023</v>
      </c>
      <c r="H27" s="7" t="str">
        <f t="shared" si="2"/>
        <v>Апрель</v>
      </c>
      <c r="I27" t="s">
        <v>9</v>
      </c>
      <c r="J27">
        <v>51</v>
      </c>
      <c r="K27" t="s">
        <v>10</v>
      </c>
      <c r="L27">
        <v>2</v>
      </c>
      <c r="M27">
        <v>30</v>
      </c>
      <c r="N27" s="1">
        <f t="shared" si="3"/>
        <v>60</v>
      </c>
    </row>
    <row r="28" spans="5:14" x14ac:dyDescent="0.25">
      <c r="E28">
        <v>1545</v>
      </c>
      <c r="F28" s="7">
        <v>45391</v>
      </c>
      <c r="G28">
        <f t="shared" si="1"/>
        <v>2024</v>
      </c>
      <c r="H28" s="7" t="str">
        <f t="shared" si="2"/>
        <v>Апрель</v>
      </c>
      <c r="I28" t="s">
        <v>9</v>
      </c>
      <c r="J28">
        <v>37</v>
      </c>
      <c r="K28" t="s">
        <v>10</v>
      </c>
      <c r="L28">
        <v>3</v>
      </c>
      <c r="M28">
        <v>465</v>
      </c>
      <c r="N28" s="1">
        <f t="shared" si="3"/>
        <v>1395</v>
      </c>
    </row>
    <row r="29" spans="5:14" x14ac:dyDescent="0.25">
      <c r="E29">
        <v>861</v>
      </c>
      <c r="F29" s="7">
        <v>45040</v>
      </c>
      <c r="G29">
        <f t="shared" si="1"/>
        <v>2023</v>
      </c>
      <c r="H29" s="7" t="str">
        <f t="shared" si="2"/>
        <v>Апрель</v>
      </c>
      <c r="I29" t="s">
        <v>9</v>
      </c>
      <c r="J29">
        <v>30</v>
      </c>
      <c r="K29" t="s">
        <v>11</v>
      </c>
      <c r="L29">
        <v>2</v>
      </c>
      <c r="M29">
        <v>25</v>
      </c>
      <c r="N29" s="1">
        <f t="shared" si="3"/>
        <v>50</v>
      </c>
    </row>
    <row r="30" spans="5:14" x14ac:dyDescent="0.25">
      <c r="E30">
        <v>715</v>
      </c>
      <c r="F30" s="7">
        <v>44996</v>
      </c>
      <c r="G30">
        <f t="shared" si="1"/>
        <v>2023</v>
      </c>
      <c r="H30" s="7" t="str">
        <f t="shared" si="2"/>
        <v>Март</v>
      </c>
      <c r="I30" t="s">
        <v>7</v>
      </c>
      <c r="J30">
        <v>57</v>
      </c>
      <c r="K30" t="s">
        <v>10</v>
      </c>
      <c r="L30">
        <v>1</v>
      </c>
      <c r="M30">
        <v>500</v>
      </c>
      <c r="N30" s="1">
        <f t="shared" si="3"/>
        <v>500</v>
      </c>
    </row>
    <row r="31" spans="5:14" x14ac:dyDescent="0.25">
      <c r="E31">
        <v>620</v>
      </c>
      <c r="F31" s="7">
        <v>44989</v>
      </c>
      <c r="G31">
        <f t="shared" si="1"/>
        <v>2023</v>
      </c>
      <c r="H31" s="7" t="str">
        <f t="shared" si="2"/>
        <v>Март</v>
      </c>
      <c r="I31" t="s">
        <v>9</v>
      </c>
      <c r="J31">
        <v>40</v>
      </c>
      <c r="K31" t="s">
        <v>8</v>
      </c>
      <c r="L31">
        <v>2</v>
      </c>
      <c r="M31">
        <v>500</v>
      </c>
      <c r="N31" s="1">
        <f t="shared" si="3"/>
        <v>1000</v>
      </c>
    </row>
    <row r="32" spans="5:14" x14ac:dyDescent="0.25">
      <c r="E32">
        <v>701</v>
      </c>
      <c r="F32" s="7">
        <v>45011</v>
      </c>
      <c r="G32">
        <f t="shared" si="1"/>
        <v>2023</v>
      </c>
      <c r="H32" s="7" t="str">
        <f t="shared" si="2"/>
        <v>Март</v>
      </c>
      <c r="I32" t="s">
        <v>7</v>
      </c>
      <c r="J32">
        <v>34</v>
      </c>
      <c r="K32" t="s">
        <v>11</v>
      </c>
      <c r="L32">
        <v>2</v>
      </c>
      <c r="M32">
        <v>50</v>
      </c>
      <c r="N32" s="1">
        <f t="shared" si="3"/>
        <v>100</v>
      </c>
    </row>
    <row r="33" spans="5:14" x14ac:dyDescent="0.25">
      <c r="E33">
        <v>1090</v>
      </c>
      <c r="F33" s="7">
        <v>45529</v>
      </c>
      <c r="G33">
        <f t="shared" si="1"/>
        <v>2024</v>
      </c>
      <c r="H33" s="7" t="str">
        <f t="shared" si="2"/>
        <v>Август</v>
      </c>
      <c r="I33" t="s">
        <v>9</v>
      </c>
      <c r="J33">
        <v>30</v>
      </c>
      <c r="K33" t="s">
        <v>11</v>
      </c>
      <c r="L33">
        <v>7</v>
      </c>
      <c r="M33">
        <v>54</v>
      </c>
      <c r="N33" s="1">
        <f t="shared" si="3"/>
        <v>378</v>
      </c>
    </row>
    <row r="34" spans="5:14" x14ac:dyDescent="0.25">
      <c r="E34">
        <v>1016</v>
      </c>
      <c r="F34" s="7">
        <v>45412</v>
      </c>
      <c r="G34">
        <f t="shared" si="1"/>
        <v>2024</v>
      </c>
      <c r="H34" s="7" t="str">
        <f t="shared" si="2"/>
        <v>Апрель</v>
      </c>
      <c r="I34" t="s">
        <v>9</v>
      </c>
      <c r="J34">
        <v>49</v>
      </c>
      <c r="K34" t="s">
        <v>11</v>
      </c>
      <c r="L34">
        <v>2</v>
      </c>
      <c r="M34">
        <v>177</v>
      </c>
      <c r="N34" s="1">
        <f t="shared" si="3"/>
        <v>354</v>
      </c>
    </row>
    <row r="35" spans="5:14" x14ac:dyDescent="0.25">
      <c r="E35">
        <v>1030</v>
      </c>
      <c r="F35" s="7">
        <v>45295</v>
      </c>
      <c r="G35">
        <f t="shared" si="1"/>
        <v>2024</v>
      </c>
      <c r="H35" s="7" t="str">
        <f t="shared" si="2"/>
        <v>Январь</v>
      </c>
      <c r="I35" t="s">
        <v>7</v>
      </c>
      <c r="J35">
        <v>60</v>
      </c>
      <c r="K35" t="s">
        <v>8</v>
      </c>
      <c r="L35">
        <v>7</v>
      </c>
      <c r="M35">
        <v>51</v>
      </c>
      <c r="N35" s="1">
        <f t="shared" si="3"/>
        <v>357</v>
      </c>
    </row>
    <row r="36" spans="5:14" x14ac:dyDescent="0.25">
      <c r="E36">
        <v>1133</v>
      </c>
      <c r="F36" s="7">
        <v>45348</v>
      </c>
      <c r="G36">
        <f t="shared" si="1"/>
        <v>2024</v>
      </c>
      <c r="H36" s="7" t="str">
        <f t="shared" si="2"/>
        <v>Февраль</v>
      </c>
      <c r="I36" t="s">
        <v>7</v>
      </c>
      <c r="J36">
        <v>34</v>
      </c>
      <c r="K36" t="s">
        <v>10</v>
      </c>
      <c r="L36">
        <v>7</v>
      </c>
      <c r="M36">
        <v>51</v>
      </c>
      <c r="N36" s="1">
        <f t="shared" si="3"/>
        <v>357</v>
      </c>
    </row>
    <row r="37" spans="5:14" x14ac:dyDescent="0.25">
      <c r="E37">
        <v>1177</v>
      </c>
      <c r="F37" s="7">
        <v>45564</v>
      </c>
      <c r="G37">
        <f t="shared" si="1"/>
        <v>2024</v>
      </c>
      <c r="H37" s="7" t="str">
        <f t="shared" si="2"/>
        <v>Сентябрь</v>
      </c>
      <c r="I37" t="s">
        <v>7</v>
      </c>
      <c r="J37">
        <v>29</v>
      </c>
      <c r="K37" t="s">
        <v>11</v>
      </c>
      <c r="L37">
        <v>5</v>
      </c>
      <c r="M37">
        <v>447</v>
      </c>
      <c r="N37" s="1">
        <f t="shared" si="3"/>
        <v>2235</v>
      </c>
    </row>
    <row r="38" spans="5:14" x14ac:dyDescent="0.25">
      <c r="E38">
        <v>1667</v>
      </c>
      <c r="F38" s="7">
        <v>45531</v>
      </c>
      <c r="G38">
        <f t="shared" si="1"/>
        <v>2024</v>
      </c>
      <c r="H38" s="7" t="str">
        <f t="shared" si="2"/>
        <v>Август</v>
      </c>
      <c r="I38" t="s">
        <v>7</v>
      </c>
      <c r="J38">
        <v>52</v>
      </c>
      <c r="K38" t="s">
        <v>11</v>
      </c>
      <c r="L38">
        <v>5</v>
      </c>
      <c r="M38">
        <v>479</v>
      </c>
      <c r="N38" s="1">
        <f t="shared" si="3"/>
        <v>2395</v>
      </c>
    </row>
    <row r="39" spans="5:14" x14ac:dyDescent="0.25">
      <c r="E39">
        <v>1629</v>
      </c>
      <c r="F39" s="7">
        <v>45551</v>
      </c>
      <c r="G39">
        <f t="shared" si="1"/>
        <v>2024</v>
      </c>
      <c r="H39" s="7" t="str">
        <f t="shared" si="2"/>
        <v>Сентябрь</v>
      </c>
      <c r="I39" t="s">
        <v>9</v>
      </c>
      <c r="J39">
        <v>53</v>
      </c>
      <c r="K39" t="s">
        <v>11</v>
      </c>
      <c r="L39">
        <v>5</v>
      </c>
      <c r="M39">
        <v>493</v>
      </c>
      <c r="N39" s="1">
        <f t="shared" si="3"/>
        <v>2465</v>
      </c>
    </row>
    <row r="40" spans="5:14" x14ac:dyDescent="0.25">
      <c r="E40">
        <v>716</v>
      </c>
      <c r="F40" s="7">
        <v>45163</v>
      </c>
      <c r="G40">
        <f t="shared" si="1"/>
        <v>2023</v>
      </c>
      <c r="H40" s="7" t="str">
        <f t="shared" si="2"/>
        <v>Август</v>
      </c>
      <c r="I40" t="s">
        <v>9</v>
      </c>
      <c r="J40">
        <v>59</v>
      </c>
      <c r="K40" t="s">
        <v>8</v>
      </c>
      <c r="L40">
        <v>3</v>
      </c>
      <c r="M40">
        <v>25</v>
      </c>
      <c r="N40" s="1">
        <f t="shared" si="3"/>
        <v>75</v>
      </c>
    </row>
    <row r="41" spans="5:14" x14ac:dyDescent="0.25">
      <c r="E41">
        <v>153</v>
      </c>
      <c r="F41" s="7">
        <v>45276</v>
      </c>
      <c r="G41">
        <f t="shared" si="1"/>
        <v>2023</v>
      </c>
      <c r="H41" s="7" t="str">
        <f t="shared" si="2"/>
        <v>Декабрь</v>
      </c>
      <c r="I41" t="s">
        <v>7</v>
      </c>
      <c r="J41">
        <v>63</v>
      </c>
      <c r="K41" t="s">
        <v>11</v>
      </c>
      <c r="L41">
        <v>2</v>
      </c>
      <c r="M41">
        <v>500</v>
      </c>
      <c r="N41" s="1">
        <f t="shared" si="3"/>
        <v>1000</v>
      </c>
    </row>
    <row r="42" spans="5:14" x14ac:dyDescent="0.25">
      <c r="E42">
        <v>1440</v>
      </c>
      <c r="F42" s="7">
        <v>45513</v>
      </c>
      <c r="G42">
        <f t="shared" si="1"/>
        <v>2024</v>
      </c>
      <c r="H42" s="7" t="str">
        <f t="shared" si="2"/>
        <v>Август</v>
      </c>
      <c r="I42" t="s">
        <v>7</v>
      </c>
      <c r="J42">
        <v>21</v>
      </c>
      <c r="K42" t="s">
        <v>10</v>
      </c>
      <c r="L42">
        <v>6</v>
      </c>
      <c r="M42">
        <v>215</v>
      </c>
      <c r="N42" s="1">
        <f t="shared" si="3"/>
        <v>1290</v>
      </c>
    </row>
    <row r="43" spans="5:14" x14ac:dyDescent="0.25">
      <c r="E43">
        <v>142</v>
      </c>
      <c r="F43" s="7">
        <v>44959</v>
      </c>
      <c r="G43">
        <f t="shared" si="1"/>
        <v>2023</v>
      </c>
      <c r="H43" s="7" t="str">
        <f t="shared" si="2"/>
        <v>Февраль</v>
      </c>
      <c r="I43" t="s">
        <v>7</v>
      </c>
      <c r="J43">
        <v>35</v>
      </c>
      <c r="K43" t="s">
        <v>11</v>
      </c>
      <c r="L43">
        <v>4</v>
      </c>
      <c r="M43">
        <v>300</v>
      </c>
      <c r="N43" s="1">
        <f t="shared" si="3"/>
        <v>1200</v>
      </c>
    </row>
    <row r="44" spans="5:14" x14ac:dyDescent="0.25">
      <c r="E44">
        <v>152</v>
      </c>
      <c r="F44" s="7">
        <v>44985</v>
      </c>
      <c r="G44">
        <f t="shared" si="1"/>
        <v>2023</v>
      </c>
      <c r="H44" s="7" t="str">
        <f t="shared" si="2"/>
        <v>Февраль</v>
      </c>
      <c r="I44" t="s">
        <v>7</v>
      </c>
      <c r="J44">
        <v>43</v>
      </c>
      <c r="K44" t="s">
        <v>11</v>
      </c>
      <c r="L44">
        <v>4</v>
      </c>
      <c r="M44">
        <v>500</v>
      </c>
      <c r="N44" s="1">
        <f t="shared" si="3"/>
        <v>2000</v>
      </c>
    </row>
    <row r="45" spans="5:14" x14ac:dyDescent="0.25">
      <c r="E45">
        <v>101</v>
      </c>
      <c r="F45" s="7">
        <v>44955</v>
      </c>
      <c r="G45">
        <f t="shared" si="1"/>
        <v>2023</v>
      </c>
      <c r="H45" s="7" t="str">
        <f t="shared" si="2"/>
        <v>Январь</v>
      </c>
      <c r="I45" t="s">
        <v>7</v>
      </c>
      <c r="J45">
        <v>32</v>
      </c>
      <c r="K45" t="s">
        <v>10</v>
      </c>
      <c r="L45">
        <v>2</v>
      </c>
      <c r="M45">
        <v>300</v>
      </c>
      <c r="N45" s="1">
        <f t="shared" si="3"/>
        <v>600</v>
      </c>
    </row>
    <row r="46" spans="5:14" x14ac:dyDescent="0.25">
      <c r="E46">
        <v>1709</v>
      </c>
      <c r="F46" s="7">
        <v>45305</v>
      </c>
      <c r="G46">
        <f t="shared" si="1"/>
        <v>2024</v>
      </c>
      <c r="H46" s="7" t="str">
        <f t="shared" si="2"/>
        <v>Январь</v>
      </c>
      <c r="I46" t="s">
        <v>7</v>
      </c>
      <c r="J46">
        <v>49</v>
      </c>
      <c r="K46" t="s">
        <v>8</v>
      </c>
      <c r="L46">
        <v>2</v>
      </c>
      <c r="M46">
        <v>389</v>
      </c>
      <c r="N46" s="1">
        <f t="shared" si="3"/>
        <v>778</v>
      </c>
    </row>
    <row r="47" spans="5:14" x14ac:dyDescent="0.25">
      <c r="E47">
        <v>109</v>
      </c>
      <c r="F47" s="7">
        <v>45217</v>
      </c>
      <c r="G47">
        <f t="shared" si="1"/>
        <v>2023</v>
      </c>
      <c r="H47" s="7" t="str">
        <f t="shared" si="2"/>
        <v>Октябрь</v>
      </c>
      <c r="I47" t="s">
        <v>9</v>
      </c>
      <c r="J47">
        <v>34</v>
      </c>
      <c r="K47" t="s">
        <v>11</v>
      </c>
      <c r="L47">
        <v>4</v>
      </c>
      <c r="M47">
        <v>500</v>
      </c>
      <c r="N47" s="1">
        <f t="shared" si="3"/>
        <v>2000</v>
      </c>
    </row>
    <row r="48" spans="5:14" x14ac:dyDescent="0.25">
      <c r="E48">
        <v>1959</v>
      </c>
      <c r="F48" s="7">
        <v>45610</v>
      </c>
      <c r="G48">
        <f t="shared" si="1"/>
        <v>2024</v>
      </c>
      <c r="H48" s="7" t="str">
        <f t="shared" si="2"/>
        <v>Ноябрь</v>
      </c>
      <c r="I48" t="s">
        <v>9</v>
      </c>
      <c r="J48">
        <v>25</v>
      </c>
      <c r="K48" t="s">
        <v>8</v>
      </c>
      <c r="L48">
        <v>3</v>
      </c>
      <c r="M48">
        <v>452</v>
      </c>
      <c r="N48" s="1">
        <f t="shared" si="3"/>
        <v>1356</v>
      </c>
    </row>
    <row r="49" spans="5:14" x14ac:dyDescent="0.25">
      <c r="E49">
        <v>1096</v>
      </c>
      <c r="F49" s="7">
        <v>45405</v>
      </c>
      <c r="G49">
        <f t="shared" si="1"/>
        <v>2024</v>
      </c>
      <c r="H49" s="7" t="str">
        <f t="shared" si="2"/>
        <v>Апрель</v>
      </c>
      <c r="I49" t="s">
        <v>9</v>
      </c>
      <c r="J49">
        <v>55</v>
      </c>
      <c r="K49" t="s">
        <v>8</v>
      </c>
      <c r="L49">
        <v>5</v>
      </c>
      <c r="M49">
        <v>330</v>
      </c>
      <c r="N49" s="1">
        <f t="shared" si="3"/>
        <v>1650</v>
      </c>
    </row>
    <row r="50" spans="5:14" x14ac:dyDescent="0.25">
      <c r="E50">
        <v>1850</v>
      </c>
      <c r="F50" s="7">
        <v>45646</v>
      </c>
      <c r="G50">
        <f t="shared" si="1"/>
        <v>2024</v>
      </c>
      <c r="H50" s="7" t="str">
        <f t="shared" si="2"/>
        <v>Декабрь</v>
      </c>
      <c r="I50" t="s">
        <v>7</v>
      </c>
      <c r="J50">
        <v>46</v>
      </c>
      <c r="K50" t="s">
        <v>10</v>
      </c>
      <c r="L50">
        <v>5</v>
      </c>
      <c r="M50">
        <v>184</v>
      </c>
      <c r="N50" s="1">
        <f t="shared" si="3"/>
        <v>920</v>
      </c>
    </row>
    <row r="51" spans="5:14" x14ac:dyDescent="0.25">
      <c r="E51">
        <v>113</v>
      </c>
      <c r="F51" s="7">
        <v>45182</v>
      </c>
      <c r="G51">
        <f t="shared" si="1"/>
        <v>2023</v>
      </c>
      <c r="H51" s="7" t="str">
        <f t="shared" si="2"/>
        <v>Сентябрь</v>
      </c>
      <c r="I51" t="s">
        <v>9</v>
      </c>
      <c r="J51">
        <v>41</v>
      </c>
      <c r="K51" t="s">
        <v>11</v>
      </c>
      <c r="L51">
        <v>2</v>
      </c>
      <c r="M51">
        <v>25</v>
      </c>
      <c r="N51" s="1">
        <f t="shared" si="3"/>
        <v>50</v>
      </c>
    </row>
    <row r="52" spans="5:14" x14ac:dyDescent="0.25">
      <c r="E52">
        <v>1688</v>
      </c>
      <c r="F52" s="7">
        <v>45542</v>
      </c>
      <c r="G52">
        <f t="shared" si="1"/>
        <v>2024</v>
      </c>
      <c r="H52" s="7" t="str">
        <f t="shared" si="2"/>
        <v>Сентябрь</v>
      </c>
      <c r="I52" t="s">
        <v>9</v>
      </c>
      <c r="J52">
        <v>26</v>
      </c>
      <c r="K52" t="s">
        <v>10</v>
      </c>
      <c r="L52">
        <v>1</v>
      </c>
      <c r="M52">
        <v>279</v>
      </c>
      <c r="N52" s="1">
        <f t="shared" si="3"/>
        <v>279</v>
      </c>
    </row>
    <row r="53" spans="5:14" x14ac:dyDescent="0.25">
      <c r="E53">
        <v>755</v>
      </c>
      <c r="F53" s="7">
        <v>45285</v>
      </c>
      <c r="G53">
        <f t="shared" si="1"/>
        <v>2023</v>
      </c>
      <c r="H53" s="7" t="str">
        <f t="shared" si="2"/>
        <v>Декабрь</v>
      </c>
      <c r="I53" t="s">
        <v>9</v>
      </c>
      <c r="J53">
        <v>43</v>
      </c>
      <c r="K53" t="s">
        <v>11</v>
      </c>
      <c r="L53">
        <v>4</v>
      </c>
      <c r="M53">
        <v>300</v>
      </c>
      <c r="N53" s="1">
        <f t="shared" si="3"/>
        <v>1200</v>
      </c>
    </row>
    <row r="54" spans="5:14" x14ac:dyDescent="0.25">
      <c r="E54">
        <v>416</v>
      </c>
      <c r="F54" s="7">
        <v>45251</v>
      </c>
      <c r="G54">
        <f t="shared" si="1"/>
        <v>2023</v>
      </c>
      <c r="H54" s="7" t="str">
        <f t="shared" si="2"/>
        <v>Ноябрь</v>
      </c>
      <c r="I54" t="s">
        <v>7</v>
      </c>
      <c r="J54">
        <v>43</v>
      </c>
      <c r="K54" t="s">
        <v>11</v>
      </c>
      <c r="L54">
        <v>3</v>
      </c>
      <c r="M54">
        <v>300</v>
      </c>
      <c r="N54" s="1">
        <f t="shared" si="3"/>
        <v>900</v>
      </c>
    </row>
    <row r="55" spans="5:14" x14ac:dyDescent="0.25">
      <c r="E55">
        <v>516</v>
      </c>
      <c r="F55" s="7">
        <v>45024</v>
      </c>
      <c r="G55">
        <f t="shared" si="1"/>
        <v>2023</v>
      </c>
      <c r="H55" s="7" t="str">
        <f t="shared" si="2"/>
        <v>Апрель</v>
      </c>
      <c r="I55" t="s">
        <v>9</v>
      </c>
      <c r="J55">
        <v>47</v>
      </c>
      <c r="K55" t="s">
        <v>10</v>
      </c>
      <c r="L55">
        <v>4</v>
      </c>
      <c r="M55">
        <v>25</v>
      </c>
      <c r="N55" s="1">
        <f t="shared" si="3"/>
        <v>100</v>
      </c>
    </row>
    <row r="56" spans="5:14" x14ac:dyDescent="0.25">
      <c r="E56">
        <v>825</v>
      </c>
      <c r="F56" s="7">
        <v>45239</v>
      </c>
      <c r="G56">
        <f t="shared" si="1"/>
        <v>2023</v>
      </c>
      <c r="H56" s="7" t="str">
        <f t="shared" si="2"/>
        <v>Ноябрь</v>
      </c>
      <c r="I56" t="s">
        <v>7</v>
      </c>
      <c r="J56">
        <v>61</v>
      </c>
      <c r="K56" t="s">
        <v>8</v>
      </c>
      <c r="L56">
        <v>3</v>
      </c>
      <c r="M56">
        <v>300</v>
      </c>
      <c r="N56" s="1">
        <f t="shared" si="3"/>
        <v>900</v>
      </c>
    </row>
    <row r="57" spans="5:14" x14ac:dyDescent="0.25">
      <c r="E57">
        <v>415</v>
      </c>
      <c r="F57" s="7">
        <v>44974</v>
      </c>
      <c r="G57">
        <f t="shared" si="1"/>
        <v>2023</v>
      </c>
      <c r="H57" s="7" t="str">
        <f t="shared" si="2"/>
        <v>Февраль</v>
      </c>
      <c r="I57" t="s">
        <v>7</v>
      </c>
      <c r="J57">
        <v>53</v>
      </c>
      <c r="K57" t="s">
        <v>11</v>
      </c>
      <c r="L57">
        <v>4</v>
      </c>
      <c r="M57">
        <v>500</v>
      </c>
      <c r="N57" s="1">
        <f t="shared" si="3"/>
        <v>2000</v>
      </c>
    </row>
    <row r="58" spans="5:14" x14ac:dyDescent="0.25">
      <c r="E58">
        <v>127</v>
      </c>
      <c r="F58" s="7">
        <v>45131</v>
      </c>
      <c r="G58">
        <f t="shared" si="1"/>
        <v>2023</v>
      </c>
      <c r="H58" s="7" t="str">
        <f t="shared" si="2"/>
        <v>Июль</v>
      </c>
      <c r="I58" t="s">
        <v>9</v>
      </c>
      <c r="J58">
        <v>33</v>
      </c>
      <c r="K58" t="s">
        <v>10</v>
      </c>
      <c r="L58">
        <v>2</v>
      </c>
      <c r="M58">
        <v>25</v>
      </c>
      <c r="N58" s="1">
        <f t="shared" si="3"/>
        <v>50</v>
      </c>
    </row>
    <row r="59" spans="5:14" x14ac:dyDescent="0.25">
      <c r="E59">
        <v>223</v>
      </c>
      <c r="F59" s="7">
        <v>45100</v>
      </c>
      <c r="G59">
        <f t="shared" si="1"/>
        <v>2023</v>
      </c>
      <c r="H59" s="7" t="str">
        <f t="shared" si="2"/>
        <v>Июнь</v>
      </c>
      <c r="I59" t="s">
        <v>9</v>
      </c>
      <c r="J59">
        <v>25</v>
      </c>
      <c r="K59" t="s">
        <v>10</v>
      </c>
      <c r="L59">
        <v>1</v>
      </c>
      <c r="M59">
        <v>50</v>
      </c>
      <c r="N59" s="1">
        <f t="shared" si="3"/>
        <v>50</v>
      </c>
    </row>
    <row r="60" spans="5:14" x14ac:dyDescent="0.25">
      <c r="E60">
        <v>900</v>
      </c>
      <c r="F60" s="7">
        <v>45078</v>
      </c>
      <c r="G60">
        <f t="shared" si="1"/>
        <v>2023</v>
      </c>
      <c r="H60" s="7" t="str">
        <f t="shared" si="2"/>
        <v>Июнь</v>
      </c>
      <c r="I60" t="s">
        <v>9</v>
      </c>
      <c r="J60">
        <v>54</v>
      </c>
      <c r="K60" t="s">
        <v>8</v>
      </c>
      <c r="L60">
        <v>1</v>
      </c>
      <c r="M60">
        <v>50</v>
      </c>
      <c r="N60" s="1">
        <f t="shared" si="3"/>
        <v>50</v>
      </c>
    </row>
    <row r="61" spans="5:14" x14ac:dyDescent="0.25">
      <c r="E61">
        <v>327</v>
      </c>
      <c r="F61" s="7">
        <v>45007</v>
      </c>
      <c r="G61">
        <f t="shared" si="1"/>
        <v>2023</v>
      </c>
      <c r="H61" s="7" t="str">
        <f t="shared" si="2"/>
        <v>Март</v>
      </c>
      <c r="I61" t="s">
        <v>7</v>
      </c>
      <c r="J61">
        <v>39</v>
      </c>
      <c r="K61" t="s">
        <v>8</v>
      </c>
      <c r="L61">
        <v>2</v>
      </c>
      <c r="M61">
        <v>50</v>
      </c>
      <c r="N61" s="1">
        <f t="shared" si="3"/>
        <v>100</v>
      </c>
    </row>
    <row r="62" spans="5:14" x14ac:dyDescent="0.25">
      <c r="E62">
        <v>208</v>
      </c>
      <c r="F62" s="7">
        <v>45203</v>
      </c>
      <c r="G62">
        <f t="shared" si="1"/>
        <v>2023</v>
      </c>
      <c r="H62" s="7" t="str">
        <f t="shared" si="2"/>
        <v>Октябрь</v>
      </c>
      <c r="I62" t="s">
        <v>9</v>
      </c>
      <c r="J62">
        <v>34</v>
      </c>
      <c r="K62" t="s">
        <v>11</v>
      </c>
      <c r="L62">
        <v>4</v>
      </c>
      <c r="M62">
        <v>50</v>
      </c>
      <c r="N62" s="1">
        <f t="shared" si="3"/>
        <v>200</v>
      </c>
    </row>
    <row r="63" spans="5:14" x14ac:dyDescent="0.25">
      <c r="E63">
        <v>1431</v>
      </c>
      <c r="F63" s="7">
        <v>45330</v>
      </c>
      <c r="G63">
        <f t="shared" si="1"/>
        <v>2024</v>
      </c>
      <c r="H63" s="7" t="str">
        <f t="shared" si="2"/>
        <v>Февраль</v>
      </c>
      <c r="I63" t="s">
        <v>9</v>
      </c>
      <c r="J63">
        <v>42</v>
      </c>
      <c r="K63" t="s">
        <v>11</v>
      </c>
      <c r="L63">
        <v>2</v>
      </c>
      <c r="M63">
        <v>488</v>
      </c>
      <c r="N63" s="1">
        <f t="shared" si="3"/>
        <v>976</v>
      </c>
    </row>
    <row r="64" spans="5:14" x14ac:dyDescent="0.25">
      <c r="E64">
        <v>1409</v>
      </c>
      <c r="F64" s="7">
        <v>45551</v>
      </c>
      <c r="G64">
        <f t="shared" si="1"/>
        <v>2024</v>
      </c>
      <c r="H64" s="7" t="str">
        <f t="shared" si="2"/>
        <v>Сентябрь</v>
      </c>
      <c r="I64" t="s">
        <v>9</v>
      </c>
      <c r="J64">
        <v>31</v>
      </c>
      <c r="K64" t="s">
        <v>11</v>
      </c>
      <c r="L64">
        <v>7</v>
      </c>
      <c r="M64">
        <v>123</v>
      </c>
      <c r="N64" s="1">
        <f t="shared" si="3"/>
        <v>861</v>
      </c>
    </row>
    <row r="65" spans="5:14" x14ac:dyDescent="0.25">
      <c r="E65">
        <v>1032</v>
      </c>
      <c r="F65" s="7">
        <v>45650</v>
      </c>
      <c r="G65">
        <f t="shared" si="1"/>
        <v>2024</v>
      </c>
      <c r="H65" s="7" t="str">
        <f t="shared" si="2"/>
        <v>Декабрь</v>
      </c>
      <c r="I65" t="s">
        <v>9</v>
      </c>
      <c r="J65">
        <v>32</v>
      </c>
      <c r="K65" t="s">
        <v>10</v>
      </c>
      <c r="L65">
        <v>1</v>
      </c>
      <c r="M65">
        <v>445</v>
      </c>
      <c r="N65" s="1">
        <f t="shared" si="3"/>
        <v>445</v>
      </c>
    </row>
    <row r="66" spans="5:14" x14ac:dyDescent="0.25">
      <c r="E66">
        <v>1146</v>
      </c>
      <c r="F66" s="7">
        <v>45421</v>
      </c>
      <c r="G66">
        <f t="shared" si="1"/>
        <v>2024</v>
      </c>
      <c r="H66" s="7" t="str">
        <f t="shared" si="2"/>
        <v>Май</v>
      </c>
      <c r="I66" t="s">
        <v>7</v>
      </c>
      <c r="J66">
        <v>19</v>
      </c>
      <c r="K66" t="s">
        <v>10</v>
      </c>
      <c r="L66">
        <v>4</v>
      </c>
      <c r="M66">
        <v>162</v>
      </c>
      <c r="N66" s="1">
        <f t="shared" si="3"/>
        <v>648</v>
      </c>
    </row>
    <row r="67" spans="5:14" x14ac:dyDescent="0.25">
      <c r="E67">
        <v>1558</v>
      </c>
      <c r="F67" s="7">
        <v>45439</v>
      </c>
      <c r="G67">
        <f t="shared" si="1"/>
        <v>2024</v>
      </c>
      <c r="H67" s="7" t="str">
        <f t="shared" si="2"/>
        <v>Май</v>
      </c>
      <c r="I67" t="s">
        <v>9</v>
      </c>
      <c r="J67">
        <v>61</v>
      </c>
      <c r="K67" t="s">
        <v>10</v>
      </c>
      <c r="L67">
        <v>3</v>
      </c>
      <c r="M67">
        <v>135</v>
      </c>
      <c r="N67" s="1">
        <f t="shared" si="3"/>
        <v>405</v>
      </c>
    </row>
    <row r="68" spans="5:14" x14ac:dyDescent="0.25">
      <c r="E68">
        <v>1472</v>
      </c>
      <c r="F68" s="7">
        <v>45311</v>
      </c>
      <c r="G68">
        <f t="shared" si="1"/>
        <v>2024</v>
      </c>
      <c r="H68" s="7" t="str">
        <f t="shared" si="2"/>
        <v>Январь</v>
      </c>
      <c r="I68" t="s">
        <v>7</v>
      </c>
      <c r="J68">
        <v>46</v>
      </c>
      <c r="K68" t="s">
        <v>10</v>
      </c>
      <c r="L68">
        <v>1</v>
      </c>
      <c r="M68">
        <v>224</v>
      </c>
      <c r="N68" s="1">
        <f t="shared" si="3"/>
        <v>224</v>
      </c>
    </row>
    <row r="69" spans="5:14" x14ac:dyDescent="0.25">
      <c r="E69">
        <v>255</v>
      </c>
      <c r="F69" s="7">
        <v>44975</v>
      </c>
      <c r="G69">
        <f t="shared" si="1"/>
        <v>2023</v>
      </c>
      <c r="H69" s="7" t="str">
        <f t="shared" si="2"/>
        <v>Февраль</v>
      </c>
      <c r="I69" t="s">
        <v>7</v>
      </c>
      <c r="J69">
        <v>23</v>
      </c>
      <c r="K69" t="s">
        <v>10</v>
      </c>
      <c r="L69">
        <v>2</v>
      </c>
      <c r="M69">
        <v>500</v>
      </c>
      <c r="N69" s="1">
        <f t="shared" si="3"/>
        <v>1000</v>
      </c>
    </row>
    <row r="70" spans="5:14" x14ac:dyDescent="0.25">
      <c r="E70">
        <v>1489</v>
      </c>
      <c r="F70" s="7">
        <v>45472</v>
      </c>
      <c r="G70">
        <f t="shared" si="1"/>
        <v>2024</v>
      </c>
      <c r="H70" s="7" t="str">
        <f t="shared" si="2"/>
        <v>Июнь</v>
      </c>
      <c r="I70" t="s">
        <v>7</v>
      </c>
      <c r="J70">
        <v>38</v>
      </c>
      <c r="K70" t="s">
        <v>8</v>
      </c>
      <c r="L70">
        <v>3</v>
      </c>
      <c r="M70">
        <v>47</v>
      </c>
      <c r="N70" s="1">
        <f t="shared" si="3"/>
        <v>141</v>
      </c>
    </row>
    <row r="71" spans="5:14" x14ac:dyDescent="0.25">
      <c r="E71">
        <v>1386</v>
      </c>
      <c r="F71" s="7">
        <v>45627</v>
      </c>
      <c r="G71">
        <f t="shared" si="1"/>
        <v>2024</v>
      </c>
      <c r="H71" s="7" t="str">
        <f t="shared" si="2"/>
        <v>Декабрь</v>
      </c>
      <c r="I71" t="s">
        <v>7</v>
      </c>
      <c r="J71">
        <v>32</v>
      </c>
      <c r="K71" t="s">
        <v>10</v>
      </c>
      <c r="L71">
        <v>2</v>
      </c>
      <c r="M71">
        <v>341</v>
      </c>
      <c r="N71" s="1">
        <f t="shared" si="3"/>
        <v>682</v>
      </c>
    </row>
    <row r="72" spans="5:14" x14ac:dyDescent="0.25">
      <c r="E72">
        <v>653</v>
      </c>
      <c r="F72" s="7">
        <v>45090</v>
      </c>
      <c r="G72">
        <f t="shared" si="1"/>
        <v>2023</v>
      </c>
      <c r="H72" s="7" t="str">
        <f t="shared" si="2"/>
        <v>Июнь</v>
      </c>
      <c r="I72" t="s">
        <v>9</v>
      </c>
      <c r="J72">
        <v>55</v>
      </c>
      <c r="K72" t="s">
        <v>10</v>
      </c>
      <c r="L72">
        <v>1</v>
      </c>
      <c r="M72">
        <v>500</v>
      </c>
      <c r="N72" s="1">
        <f t="shared" si="3"/>
        <v>500</v>
      </c>
    </row>
    <row r="73" spans="5:14" x14ac:dyDescent="0.25">
      <c r="E73">
        <v>1368</v>
      </c>
      <c r="F73" s="7">
        <v>45343</v>
      </c>
      <c r="G73">
        <f t="shared" si="1"/>
        <v>2024</v>
      </c>
      <c r="H73" s="7" t="str">
        <f t="shared" si="2"/>
        <v>Февраль</v>
      </c>
      <c r="I73" t="s">
        <v>9</v>
      </c>
      <c r="J73">
        <v>30</v>
      </c>
      <c r="K73" t="s">
        <v>8</v>
      </c>
      <c r="L73">
        <v>1</v>
      </c>
      <c r="M73">
        <v>319</v>
      </c>
      <c r="N73" s="1">
        <f t="shared" si="3"/>
        <v>319</v>
      </c>
    </row>
    <row r="74" spans="5:14" x14ac:dyDescent="0.25">
      <c r="E74">
        <v>1657</v>
      </c>
      <c r="F74" s="7">
        <v>45489</v>
      </c>
      <c r="G74">
        <f t="shared" ref="G74:G137" si="4">YEAR(F74)</f>
        <v>2024</v>
      </c>
      <c r="H74" s="7" t="str">
        <f t="shared" ref="H74:H137" si="5">TEXT(F74,"ММММ")</f>
        <v>Июль</v>
      </c>
      <c r="I74" t="s">
        <v>9</v>
      </c>
      <c r="J74">
        <v>46</v>
      </c>
      <c r="K74" t="s">
        <v>10</v>
      </c>
      <c r="L74">
        <v>5</v>
      </c>
      <c r="M74">
        <v>452</v>
      </c>
      <c r="N74" s="1">
        <f t="shared" ref="N74:N137" si="6">L74*M74</f>
        <v>2260</v>
      </c>
    </row>
    <row r="75" spans="5:14" x14ac:dyDescent="0.25">
      <c r="E75">
        <v>1524</v>
      </c>
      <c r="F75" s="7">
        <v>45393</v>
      </c>
      <c r="G75">
        <f t="shared" si="4"/>
        <v>2024</v>
      </c>
      <c r="H75" s="7" t="str">
        <f t="shared" si="5"/>
        <v>Апрель</v>
      </c>
      <c r="I75" t="s">
        <v>7</v>
      </c>
      <c r="J75">
        <v>63</v>
      </c>
      <c r="K75" t="s">
        <v>10</v>
      </c>
      <c r="L75">
        <v>1</v>
      </c>
      <c r="M75">
        <v>84</v>
      </c>
      <c r="N75" s="1">
        <f t="shared" si="6"/>
        <v>84</v>
      </c>
    </row>
    <row r="76" spans="5:14" x14ac:dyDescent="0.25">
      <c r="E76">
        <v>640</v>
      </c>
      <c r="F76" s="7">
        <v>45253</v>
      </c>
      <c r="G76">
        <f t="shared" si="4"/>
        <v>2023</v>
      </c>
      <c r="H76" s="7" t="str">
        <f t="shared" si="5"/>
        <v>Ноябрь</v>
      </c>
      <c r="I76" t="s">
        <v>9</v>
      </c>
      <c r="J76">
        <v>40</v>
      </c>
      <c r="K76" t="s">
        <v>11</v>
      </c>
      <c r="L76">
        <v>1</v>
      </c>
      <c r="M76">
        <v>300</v>
      </c>
      <c r="N76" s="1">
        <f t="shared" si="6"/>
        <v>300</v>
      </c>
    </row>
    <row r="77" spans="5:14" x14ac:dyDescent="0.25">
      <c r="E77">
        <v>222</v>
      </c>
      <c r="F77" s="7">
        <v>44959</v>
      </c>
      <c r="G77">
        <f t="shared" si="4"/>
        <v>2023</v>
      </c>
      <c r="H77" s="7" t="str">
        <f t="shared" si="5"/>
        <v>Февраль</v>
      </c>
      <c r="I77" t="s">
        <v>9</v>
      </c>
      <c r="J77">
        <v>64</v>
      </c>
      <c r="K77" t="s">
        <v>10</v>
      </c>
      <c r="L77">
        <v>1</v>
      </c>
      <c r="M77">
        <v>25</v>
      </c>
      <c r="N77" s="1">
        <f t="shared" si="6"/>
        <v>25</v>
      </c>
    </row>
    <row r="78" spans="5:14" x14ac:dyDescent="0.25">
      <c r="E78">
        <v>14</v>
      </c>
      <c r="F78" s="7">
        <v>44943</v>
      </c>
      <c r="G78">
        <f t="shared" si="4"/>
        <v>2023</v>
      </c>
      <c r="H78" s="7" t="str">
        <f t="shared" si="5"/>
        <v>Январь</v>
      </c>
      <c r="I78" t="s">
        <v>7</v>
      </c>
      <c r="J78">
        <v>64</v>
      </c>
      <c r="K78" t="s">
        <v>10</v>
      </c>
      <c r="L78">
        <v>4</v>
      </c>
      <c r="M78">
        <v>30</v>
      </c>
      <c r="N78" s="1">
        <f t="shared" si="6"/>
        <v>120</v>
      </c>
    </row>
    <row r="79" spans="5:14" x14ac:dyDescent="0.25">
      <c r="E79">
        <v>1492</v>
      </c>
      <c r="F79" s="7">
        <v>45497</v>
      </c>
      <c r="G79">
        <f t="shared" si="4"/>
        <v>2024</v>
      </c>
      <c r="H79" s="7" t="str">
        <f t="shared" si="5"/>
        <v>Июль</v>
      </c>
      <c r="I79" t="s">
        <v>7</v>
      </c>
      <c r="J79">
        <v>34</v>
      </c>
      <c r="K79" t="s">
        <v>8</v>
      </c>
      <c r="L79">
        <v>3</v>
      </c>
      <c r="M79">
        <v>108</v>
      </c>
      <c r="N79" s="1">
        <f t="shared" si="6"/>
        <v>324</v>
      </c>
    </row>
    <row r="80" spans="5:14" x14ac:dyDescent="0.25">
      <c r="E80">
        <v>991</v>
      </c>
      <c r="F80" s="7">
        <v>44963</v>
      </c>
      <c r="G80">
        <f t="shared" si="4"/>
        <v>2023</v>
      </c>
      <c r="H80" s="7" t="str">
        <f t="shared" si="5"/>
        <v>Февраль</v>
      </c>
      <c r="I80" t="s">
        <v>9</v>
      </c>
      <c r="J80">
        <v>48</v>
      </c>
      <c r="K80" t="s">
        <v>11</v>
      </c>
      <c r="L80">
        <v>3</v>
      </c>
      <c r="M80">
        <v>50</v>
      </c>
      <c r="N80" s="1">
        <f t="shared" si="6"/>
        <v>150</v>
      </c>
    </row>
    <row r="81" spans="5:14" x14ac:dyDescent="0.25">
      <c r="E81">
        <v>881</v>
      </c>
      <c r="F81" s="7">
        <v>45055</v>
      </c>
      <c r="G81">
        <f t="shared" si="4"/>
        <v>2023</v>
      </c>
      <c r="H81" s="7" t="str">
        <f t="shared" si="5"/>
        <v>Май</v>
      </c>
      <c r="I81" t="s">
        <v>7</v>
      </c>
      <c r="J81">
        <v>40</v>
      </c>
      <c r="K81" t="s">
        <v>11</v>
      </c>
      <c r="L81">
        <v>1</v>
      </c>
      <c r="M81">
        <v>500</v>
      </c>
      <c r="N81" s="1">
        <f t="shared" si="6"/>
        <v>500</v>
      </c>
    </row>
    <row r="82" spans="5:14" x14ac:dyDescent="0.25">
      <c r="E82">
        <v>1526</v>
      </c>
      <c r="F82" s="7">
        <v>45513</v>
      </c>
      <c r="G82">
        <f t="shared" si="4"/>
        <v>2024</v>
      </c>
      <c r="H82" s="7" t="str">
        <f t="shared" si="5"/>
        <v>Август</v>
      </c>
      <c r="I82" t="s">
        <v>9</v>
      </c>
      <c r="J82">
        <v>19</v>
      </c>
      <c r="K82" t="s">
        <v>10</v>
      </c>
      <c r="L82">
        <v>6</v>
      </c>
      <c r="M82">
        <v>72</v>
      </c>
      <c r="N82" s="1">
        <f t="shared" si="6"/>
        <v>432</v>
      </c>
    </row>
    <row r="83" spans="5:14" x14ac:dyDescent="0.25">
      <c r="E83">
        <v>407</v>
      </c>
      <c r="F83" s="7">
        <v>45031</v>
      </c>
      <c r="G83">
        <f t="shared" si="4"/>
        <v>2023</v>
      </c>
      <c r="H83" s="7" t="str">
        <f t="shared" si="5"/>
        <v>Апрель</v>
      </c>
      <c r="I83" t="s">
        <v>9</v>
      </c>
      <c r="J83">
        <v>64</v>
      </c>
      <c r="K83" t="s">
        <v>8</v>
      </c>
      <c r="L83">
        <v>1</v>
      </c>
      <c r="M83">
        <v>500</v>
      </c>
      <c r="N83" s="1">
        <f t="shared" si="6"/>
        <v>500</v>
      </c>
    </row>
    <row r="84" spans="5:14" x14ac:dyDescent="0.25">
      <c r="E84">
        <v>958</v>
      </c>
      <c r="F84" s="7">
        <v>45146</v>
      </c>
      <c r="G84">
        <f t="shared" si="4"/>
        <v>2023</v>
      </c>
      <c r="H84" s="7" t="str">
        <f t="shared" si="5"/>
        <v>Август</v>
      </c>
      <c r="I84" t="s">
        <v>7</v>
      </c>
      <c r="J84">
        <v>59</v>
      </c>
      <c r="K84" t="s">
        <v>10</v>
      </c>
      <c r="L84">
        <v>2</v>
      </c>
      <c r="M84">
        <v>30</v>
      </c>
      <c r="N84" s="1">
        <f t="shared" si="6"/>
        <v>60</v>
      </c>
    </row>
    <row r="85" spans="5:14" x14ac:dyDescent="0.25">
      <c r="E85">
        <v>1918</v>
      </c>
      <c r="F85" s="7">
        <v>45586</v>
      </c>
      <c r="G85">
        <f t="shared" si="4"/>
        <v>2024</v>
      </c>
      <c r="H85" s="7" t="str">
        <f t="shared" si="5"/>
        <v>Октябрь</v>
      </c>
      <c r="I85" t="s">
        <v>7</v>
      </c>
      <c r="J85">
        <v>62</v>
      </c>
      <c r="K85" t="s">
        <v>11</v>
      </c>
      <c r="L85">
        <v>3</v>
      </c>
      <c r="M85">
        <v>387</v>
      </c>
      <c r="N85" s="1">
        <f t="shared" si="6"/>
        <v>1161</v>
      </c>
    </row>
    <row r="86" spans="5:14" x14ac:dyDescent="0.25">
      <c r="E86">
        <v>1257</v>
      </c>
      <c r="F86" s="7">
        <v>45474</v>
      </c>
      <c r="G86">
        <f t="shared" si="4"/>
        <v>2024</v>
      </c>
      <c r="H86" s="7" t="str">
        <f t="shared" si="5"/>
        <v>Июль</v>
      </c>
      <c r="I86" t="s">
        <v>7</v>
      </c>
      <c r="J86">
        <v>21</v>
      </c>
      <c r="K86" t="s">
        <v>8</v>
      </c>
      <c r="L86">
        <v>1</v>
      </c>
      <c r="M86">
        <v>188</v>
      </c>
      <c r="N86" s="1">
        <f t="shared" si="6"/>
        <v>188</v>
      </c>
    </row>
    <row r="87" spans="5:14" x14ac:dyDescent="0.25">
      <c r="E87">
        <v>943</v>
      </c>
      <c r="F87" s="7">
        <v>44970</v>
      </c>
      <c r="G87">
        <f t="shared" si="4"/>
        <v>2023</v>
      </c>
      <c r="H87" s="7" t="str">
        <f t="shared" si="5"/>
        <v>Февраль</v>
      </c>
      <c r="I87" t="s">
        <v>7</v>
      </c>
      <c r="J87">
        <v>30</v>
      </c>
      <c r="K87" t="s">
        <v>8</v>
      </c>
      <c r="L87">
        <v>1</v>
      </c>
      <c r="M87">
        <v>25</v>
      </c>
      <c r="N87" s="1">
        <f t="shared" si="6"/>
        <v>25</v>
      </c>
    </row>
    <row r="88" spans="5:14" x14ac:dyDescent="0.25">
      <c r="E88">
        <v>1121</v>
      </c>
      <c r="F88" s="7">
        <v>45427</v>
      </c>
      <c r="G88">
        <f t="shared" si="4"/>
        <v>2024</v>
      </c>
      <c r="H88" s="7" t="str">
        <f t="shared" si="5"/>
        <v>Май</v>
      </c>
      <c r="I88" t="s">
        <v>9</v>
      </c>
      <c r="J88">
        <v>59</v>
      </c>
      <c r="K88" t="s">
        <v>11</v>
      </c>
      <c r="L88">
        <v>6</v>
      </c>
      <c r="M88">
        <v>443</v>
      </c>
      <c r="N88" s="1">
        <f t="shared" si="6"/>
        <v>2658</v>
      </c>
    </row>
    <row r="89" spans="5:14" x14ac:dyDescent="0.25">
      <c r="E89">
        <v>1106</v>
      </c>
      <c r="F89" s="7">
        <v>45401</v>
      </c>
      <c r="G89">
        <f t="shared" si="4"/>
        <v>2024</v>
      </c>
      <c r="H89" s="7" t="str">
        <f t="shared" si="5"/>
        <v>Апрель</v>
      </c>
      <c r="I89" t="s">
        <v>9</v>
      </c>
      <c r="J89">
        <v>25</v>
      </c>
      <c r="K89" t="s">
        <v>8</v>
      </c>
      <c r="L89">
        <v>6</v>
      </c>
      <c r="M89">
        <v>197</v>
      </c>
      <c r="N89" s="1">
        <f t="shared" si="6"/>
        <v>1182</v>
      </c>
    </row>
    <row r="90" spans="5:14" x14ac:dyDescent="0.25">
      <c r="E90">
        <v>692</v>
      </c>
      <c r="F90" s="7">
        <v>45066</v>
      </c>
      <c r="G90">
        <f t="shared" si="4"/>
        <v>2023</v>
      </c>
      <c r="H90" s="7" t="str">
        <f t="shared" si="5"/>
        <v>Май</v>
      </c>
      <c r="I90" t="s">
        <v>9</v>
      </c>
      <c r="J90">
        <v>39</v>
      </c>
      <c r="K90" t="s">
        <v>11</v>
      </c>
      <c r="L90">
        <v>2</v>
      </c>
      <c r="M90">
        <v>25</v>
      </c>
      <c r="N90" s="1">
        <f t="shared" si="6"/>
        <v>50</v>
      </c>
    </row>
    <row r="91" spans="5:14" x14ac:dyDescent="0.25">
      <c r="E91">
        <v>144</v>
      </c>
      <c r="F91" s="7">
        <v>45122</v>
      </c>
      <c r="G91">
        <f t="shared" si="4"/>
        <v>2023</v>
      </c>
      <c r="H91" s="7" t="str">
        <f t="shared" si="5"/>
        <v>Июль</v>
      </c>
      <c r="I91" t="s">
        <v>9</v>
      </c>
      <c r="J91">
        <v>59</v>
      </c>
      <c r="K91" t="s">
        <v>8</v>
      </c>
      <c r="L91">
        <v>3</v>
      </c>
      <c r="M91">
        <v>500</v>
      </c>
      <c r="N91" s="1">
        <f t="shared" si="6"/>
        <v>1500</v>
      </c>
    </row>
    <row r="92" spans="5:14" x14ac:dyDescent="0.25">
      <c r="E92">
        <v>636</v>
      </c>
      <c r="F92" s="7">
        <v>45170</v>
      </c>
      <c r="G92">
        <f t="shared" si="4"/>
        <v>2023</v>
      </c>
      <c r="H92" s="7" t="str">
        <f t="shared" si="5"/>
        <v>Сентябрь</v>
      </c>
      <c r="I92" t="s">
        <v>7</v>
      </c>
      <c r="J92">
        <v>43</v>
      </c>
      <c r="K92" t="s">
        <v>10</v>
      </c>
      <c r="L92">
        <v>2</v>
      </c>
      <c r="M92">
        <v>300</v>
      </c>
      <c r="N92" s="1">
        <f t="shared" si="6"/>
        <v>600</v>
      </c>
    </row>
    <row r="93" spans="5:14" x14ac:dyDescent="0.25">
      <c r="E93">
        <v>42</v>
      </c>
      <c r="F93" s="7">
        <v>44974</v>
      </c>
      <c r="G93">
        <f t="shared" si="4"/>
        <v>2023</v>
      </c>
      <c r="H93" s="7" t="str">
        <f t="shared" si="5"/>
        <v>Февраль</v>
      </c>
      <c r="I93" t="s">
        <v>7</v>
      </c>
      <c r="J93">
        <v>22</v>
      </c>
      <c r="K93" t="s">
        <v>10</v>
      </c>
      <c r="L93">
        <v>3</v>
      </c>
      <c r="M93">
        <v>300</v>
      </c>
      <c r="N93" s="1">
        <f t="shared" si="6"/>
        <v>900</v>
      </c>
    </row>
    <row r="94" spans="5:14" x14ac:dyDescent="0.25">
      <c r="E94">
        <v>424</v>
      </c>
      <c r="F94" s="7">
        <v>45061</v>
      </c>
      <c r="G94">
        <f t="shared" si="4"/>
        <v>2023</v>
      </c>
      <c r="H94" s="7" t="str">
        <f t="shared" si="5"/>
        <v>Май</v>
      </c>
      <c r="I94" t="s">
        <v>9</v>
      </c>
      <c r="J94">
        <v>55</v>
      </c>
      <c r="K94" t="s">
        <v>11</v>
      </c>
      <c r="L94">
        <v>4</v>
      </c>
      <c r="M94">
        <v>30</v>
      </c>
      <c r="N94" s="1">
        <f t="shared" si="6"/>
        <v>120</v>
      </c>
    </row>
    <row r="95" spans="5:14" x14ac:dyDescent="0.25">
      <c r="E95">
        <v>1885</v>
      </c>
      <c r="F95" s="7">
        <v>45567</v>
      </c>
      <c r="G95">
        <f t="shared" si="4"/>
        <v>2024</v>
      </c>
      <c r="H95" s="7" t="str">
        <f t="shared" si="5"/>
        <v>Октябрь</v>
      </c>
      <c r="I95" t="s">
        <v>9</v>
      </c>
      <c r="J95">
        <v>60</v>
      </c>
      <c r="K95" t="s">
        <v>11</v>
      </c>
      <c r="L95">
        <v>7</v>
      </c>
      <c r="M95">
        <v>267</v>
      </c>
      <c r="N95" s="1">
        <f t="shared" si="6"/>
        <v>1869</v>
      </c>
    </row>
    <row r="96" spans="5:14" x14ac:dyDescent="0.25">
      <c r="E96">
        <v>1300</v>
      </c>
      <c r="F96" s="7">
        <v>45293</v>
      </c>
      <c r="G96">
        <f t="shared" si="4"/>
        <v>2024</v>
      </c>
      <c r="H96" s="7" t="str">
        <f t="shared" si="5"/>
        <v>Январь</v>
      </c>
      <c r="I96" t="s">
        <v>7</v>
      </c>
      <c r="J96">
        <v>42</v>
      </c>
      <c r="K96" t="s">
        <v>11</v>
      </c>
      <c r="L96">
        <v>2</v>
      </c>
      <c r="M96">
        <v>171</v>
      </c>
      <c r="N96" s="1">
        <f t="shared" si="6"/>
        <v>342</v>
      </c>
    </row>
    <row r="97" spans="5:14" x14ac:dyDescent="0.25">
      <c r="E97">
        <v>240</v>
      </c>
      <c r="F97" s="7">
        <v>45190</v>
      </c>
      <c r="G97">
        <f t="shared" si="4"/>
        <v>2023</v>
      </c>
      <c r="H97" s="7" t="str">
        <f t="shared" si="5"/>
        <v>Сентябрь</v>
      </c>
      <c r="I97" t="s">
        <v>9</v>
      </c>
      <c r="J97">
        <v>23</v>
      </c>
      <c r="K97" t="s">
        <v>11</v>
      </c>
      <c r="L97">
        <v>3</v>
      </c>
      <c r="M97">
        <v>25</v>
      </c>
      <c r="N97" s="1">
        <f t="shared" si="6"/>
        <v>75</v>
      </c>
    </row>
    <row r="98" spans="5:14" x14ac:dyDescent="0.25">
      <c r="E98">
        <v>387</v>
      </c>
      <c r="F98" s="7">
        <v>45240</v>
      </c>
      <c r="G98">
        <f t="shared" si="4"/>
        <v>2023</v>
      </c>
      <c r="H98" s="7" t="str">
        <f t="shared" si="5"/>
        <v>Ноябрь</v>
      </c>
      <c r="I98" t="s">
        <v>7</v>
      </c>
      <c r="J98">
        <v>50</v>
      </c>
      <c r="K98" t="s">
        <v>11</v>
      </c>
      <c r="L98">
        <v>1</v>
      </c>
      <c r="M98">
        <v>25</v>
      </c>
      <c r="N98" s="1">
        <f t="shared" si="6"/>
        <v>25</v>
      </c>
    </row>
    <row r="99" spans="5:14" x14ac:dyDescent="0.25">
      <c r="E99">
        <v>1320</v>
      </c>
      <c r="F99" s="7">
        <v>45317</v>
      </c>
      <c r="G99">
        <f t="shared" si="4"/>
        <v>2024</v>
      </c>
      <c r="H99" s="7" t="str">
        <f t="shared" si="5"/>
        <v>Январь</v>
      </c>
      <c r="I99" t="s">
        <v>9</v>
      </c>
      <c r="J99">
        <v>56</v>
      </c>
      <c r="K99" t="s">
        <v>8</v>
      </c>
      <c r="L99">
        <v>6</v>
      </c>
      <c r="M99">
        <v>33</v>
      </c>
      <c r="N99" s="1">
        <f t="shared" si="6"/>
        <v>198</v>
      </c>
    </row>
    <row r="100" spans="5:14" x14ac:dyDescent="0.25">
      <c r="E100">
        <v>1634</v>
      </c>
      <c r="F100" s="7">
        <v>45536</v>
      </c>
      <c r="G100">
        <f t="shared" si="4"/>
        <v>2024</v>
      </c>
      <c r="H100" s="7" t="str">
        <f t="shared" si="5"/>
        <v>Сентябрь</v>
      </c>
      <c r="I100" t="s">
        <v>7</v>
      </c>
      <c r="J100">
        <v>31</v>
      </c>
      <c r="K100" t="s">
        <v>10</v>
      </c>
      <c r="L100">
        <v>7</v>
      </c>
      <c r="M100">
        <v>490</v>
      </c>
      <c r="N100" s="1">
        <f t="shared" si="6"/>
        <v>3430</v>
      </c>
    </row>
    <row r="101" spans="5:14" x14ac:dyDescent="0.25">
      <c r="E101">
        <v>44</v>
      </c>
      <c r="F101" s="7">
        <v>44976</v>
      </c>
      <c r="G101">
        <f t="shared" si="4"/>
        <v>2023</v>
      </c>
      <c r="H101" s="7" t="str">
        <f t="shared" si="5"/>
        <v>Февраль</v>
      </c>
      <c r="I101" t="s">
        <v>9</v>
      </c>
      <c r="J101">
        <v>22</v>
      </c>
      <c r="K101" t="s">
        <v>10</v>
      </c>
      <c r="L101">
        <v>1</v>
      </c>
      <c r="M101">
        <v>25</v>
      </c>
      <c r="N101" s="1">
        <f t="shared" si="6"/>
        <v>25</v>
      </c>
    </row>
    <row r="102" spans="5:14" x14ac:dyDescent="0.25">
      <c r="E102">
        <v>1183</v>
      </c>
      <c r="F102" s="7">
        <v>45349</v>
      </c>
      <c r="G102">
        <f t="shared" si="4"/>
        <v>2024</v>
      </c>
      <c r="H102" s="7" t="str">
        <f t="shared" si="5"/>
        <v>Февраль</v>
      </c>
      <c r="I102" t="s">
        <v>7</v>
      </c>
      <c r="J102">
        <v>50</v>
      </c>
      <c r="K102" t="s">
        <v>10</v>
      </c>
      <c r="L102">
        <v>6</v>
      </c>
      <c r="M102">
        <v>18</v>
      </c>
      <c r="N102" s="1">
        <f t="shared" si="6"/>
        <v>108</v>
      </c>
    </row>
    <row r="103" spans="5:14" x14ac:dyDescent="0.25">
      <c r="E103">
        <v>1488</v>
      </c>
      <c r="F103" s="7">
        <v>45435</v>
      </c>
      <c r="G103">
        <f t="shared" si="4"/>
        <v>2024</v>
      </c>
      <c r="H103" s="7" t="str">
        <f t="shared" si="5"/>
        <v>Май</v>
      </c>
      <c r="I103" t="s">
        <v>9</v>
      </c>
      <c r="J103">
        <v>19</v>
      </c>
      <c r="K103" t="s">
        <v>11</v>
      </c>
      <c r="L103">
        <v>6</v>
      </c>
      <c r="M103">
        <v>93</v>
      </c>
      <c r="N103" s="1">
        <f t="shared" si="6"/>
        <v>558</v>
      </c>
    </row>
    <row r="104" spans="5:14" x14ac:dyDescent="0.25">
      <c r="E104">
        <v>1787</v>
      </c>
      <c r="F104" s="7">
        <v>45631</v>
      </c>
      <c r="G104">
        <f t="shared" si="4"/>
        <v>2024</v>
      </c>
      <c r="H104" s="7" t="str">
        <f t="shared" si="5"/>
        <v>Декабрь</v>
      </c>
      <c r="I104" t="s">
        <v>9</v>
      </c>
      <c r="J104">
        <v>64</v>
      </c>
      <c r="K104" t="s">
        <v>8</v>
      </c>
      <c r="L104">
        <v>3</v>
      </c>
      <c r="M104">
        <v>404</v>
      </c>
      <c r="N104" s="1">
        <f t="shared" si="6"/>
        <v>1212</v>
      </c>
    </row>
    <row r="105" spans="5:14" x14ac:dyDescent="0.25">
      <c r="E105">
        <v>1407</v>
      </c>
      <c r="F105" s="7">
        <v>45617</v>
      </c>
      <c r="G105">
        <f t="shared" si="4"/>
        <v>2024</v>
      </c>
      <c r="H105" s="7" t="str">
        <f t="shared" si="5"/>
        <v>Ноябрь</v>
      </c>
      <c r="I105" t="s">
        <v>9</v>
      </c>
      <c r="J105">
        <v>59</v>
      </c>
      <c r="K105" t="s">
        <v>10</v>
      </c>
      <c r="L105">
        <v>2</v>
      </c>
      <c r="M105">
        <v>45</v>
      </c>
      <c r="N105" s="1">
        <f t="shared" si="6"/>
        <v>90</v>
      </c>
    </row>
    <row r="106" spans="5:14" x14ac:dyDescent="0.25">
      <c r="E106">
        <v>1210</v>
      </c>
      <c r="F106" s="7">
        <v>45497</v>
      </c>
      <c r="G106">
        <f t="shared" si="4"/>
        <v>2024</v>
      </c>
      <c r="H106" s="7" t="str">
        <f t="shared" si="5"/>
        <v>Июль</v>
      </c>
      <c r="I106" t="s">
        <v>7</v>
      </c>
      <c r="J106">
        <v>29</v>
      </c>
      <c r="K106" t="s">
        <v>8</v>
      </c>
      <c r="L106">
        <v>5</v>
      </c>
      <c r="M106">
        <v>308</v>
      </c>
      <c r="N106" s="1">
        <f t="shared" si="6"/>
        <v>1540</v>
      </c>
    </row>
    <row r="107" spans="5:14" x14ac:dyDescent="0.25">
      <c r="E107">
        <v>808</v>
      </c>
      <c r="F107" s="7">
        <v>45260</v>
      </c>
      <c r="G107">
        <f t="shared" si="4"/>
        <v>2023</v>
      </c>
      <c r="H107" s="7" t="str">
        <f t="shared" si="5"/>
        <v>Ноябрь</v>
      </c>
      <c r="I107" t="s">
        <v>7</v>
      </c>
      <c r="J107">
        <v>59</v>
      </c>
      <c r="K107" t="s">
        <v>11</v>
      </c>
      <c r="L107">
        <v>4</v>
      </c>
      <c r="M107">
        <v>25</v>
      </c>
      <c r="N107" s="1">
        <f t="shared" si="6"/>
        <v>100</v>
      </c>
    </row>
    <row r="108" spans="5:14" x14ac:dyDescent="0.25">
      <c r="E108">
        <v>1659</v>
      </c>
      <c r="F108" s="7">
        <v>45371</v>
      </c>
      <c r="G108">
        <f t="shared" si="4"/>
        <v>2024</v>
      </c>
      <c r="H108" s="7" t="str">
        <f t="shared" si="5"/>
        <v>Март</v>
      </c>
      <c r="I108" t="s">
        <v>7</v>
      </c>
      <c r="J108">
        <v>21</v>
      </c>
      <c r="K108" t="s">
        <v>10</v>
      </c>
      <c r="L108">
        <v>3</v>
      </c>
      <c r="M108">
        <v>347</v>
      </c>
      <c r="N108" s="1">
        <f t="shared" si="6"/>
        <v>1041</v>
      </c>
    </row>
    <row r="109" spans="5:14" x14ac:dyDescent="0.25">
      <c r="E109">
        <v>1391</v>
      </c>
      <c r="F109" s="7">
        <v>45446</v>
      </c>
      <c r="G109">
        <f t="shared" si="4"/>
        <v>2024</v>
      </c>
      <c r="H109" s="7" t="str">
        <f t="shared" si="5"/>
        <v>Июнь</v>
      </c>
      <c r="I109" t="s">
        <v>9</v>
      </c>
      <c r="J109">
        <v>52</v>
      </c>
      <c r="K109" t="s">
        <v>10</v>
      </c>
      <c r="L109">
        <v>5</v>
      </c>
      <c r="M109">
        <v>44</v>
      </c>
      <c r="N109" s="1">
        <f t="shared" si="6"/>
        <v>220</v>
      </c>
    </row>
    <row r="110" spans="5:14" x14ac:dyDescent="0.25">
      <c r="E110">
        <v>1080</v>
      </c>
      <c r="F110" s="7">
        <v>45652</v>
      </c>
      <c r="G110">
        <f t="shared" si="4"/>
        <v>2024</v>
      </c>
      <c r="H110" s="7" t="str">
        <f t="shared" si="5"/>
        <v>Декабрь</v>
      </c>
      <c r="I110" t="s">
        <v>9</v>
      </c>
      <c r="J110">
        <v>46</v>
      </c>
      <c r="K110" t="s">
        <v>8</v>
      </c>
      <c r="L110">
        <v>6</v>
      </c>
      <c r="M110">
        <v>143</v>
      </c>
      <c r="N110" s="1">
        <f t="shared" si="6"/>
        <v>858</v>
      </c>
    </row>
    <row r="111" spans="5:14" x14ac:dyDescent="0.25">
      <c r="E111">
        <v>412</v>
      </c>
      <c r="F111" s="7">
        <v>45177</v>
      </c>
      <c r="G111">
        <f t="shared" si="4"/>
        <v>2023</v>
      </c>
      <c r="H111" s="7" t="str">
        <f t="shared" si="5"/>
        <v>Сентябрь</v>
      </c>
      <c r="I111" t="s">
        <v>9</v>
      </c>
      <c r="J111">
        <v>44</v>
      </c>
      <c r="K111" t="s">
        <v>8</v>
      </c>
      <c r="L111">
        <v>3</v>
      </c>
      <c r="M111">
        <v>25</v>
      </c>
      <c r="N111" s="1">
        <f t="shared" si="6"/>
        <v>75</v>
      </c>
    </row>
    <row r="112" spans="5:14" x14ac:dyDescent="0.25">
      <c r="E112">
        <v>971</v>
      </c>
      <c r="F112" s="7">
        <v>45007</v>
      </c>
      <c r="G112">
        <f t="shared" si="4"/>
        <v>2023</v>
      </c>
      <c r="H112" s="7" t="str">
        <f t="shared" si="5"/>
        <v>Март</v>
      </c>
      <c r="I112" t="s">
        <v>7</v>
      </c>
      <c r="J112">
        <v>60</v>
      </c>
      <c r="K112" t="s">
        <v>10</v>
      </c>
      <c r="L112">
        <v>1</v>
      </c>
      <c r="M112">
        <v>50</v>
      </c>
      <c r="N112" s="1">
        <f t="shared" si="6"/>
        <v>50</v>
      </c>
    </row>
    <row r="113" spans="5:14" x14ac:dyDescent="0.25">
      <c r="E113">
        <v>657</v>
      </c>
      <c r="F113" s="7">
        <v>45004</v>
      </c>
      <c r="G113">
        <f t="shared" si="4"/>
        <v>2023</v>
      </c>
      <c r="H113" s="7" t="str">
        <f t="shared" si="5"/>
        <v>Март</v>
      </c>
      <c r="I113" t="s">
        <v>9</v>
      </c>
      <c r="J113">
        <v>39</v>
      </c>
      <c r="K113" t="s">
        <v>11</v>
      </c>
      <c r="L113">
        <v>1</v>
      </c>
      <c r="M113">
        <v>30</v>
      </c>
      <c r="N113" s="1">
        <f t="shared" si="6"/>
        <v>30</v>
      </c>
    </row>
    <row r="114" spans="5:14" x14ac:dyDescent="0.25">
      <c r="E114">
        <v>1174</v>
      </c>
      <c r="F114" s="7">
        <v>45484</v>
      </c>
      <c r="G114">
        <f t="shared" si="4"/>
        <v>2024</v>
      </c>
      <c r="H114" s="7" t="str">
        <f t="shared" si="5"/>
        <v>Июль</v>
      </c>
      <c r="I114" t="s">
        <v>9</v>
      </c>
      <c r="J114">
        <v>35</v>
      </c>
      <c r="K114" t="s">
        <v>8</v>
      </c>
      <c r="L114">
        <v>1</v>
      </c>
      <c r="M114">
        <v>431</v>
      </c>
      <c r="N114" s="1">
        <f t="shared" si="6"/>
        <v>431</v>
      </c>
    </row>
    <row r="115" spans="5:14" x14ac:dyDescent="0.25">
      <c r="E115">
        <v>1845</v>
      </c>
      <c r="F115" s="7">
        <v>45416</v>
      </c>
      <c r="G115">
        <f t="shared" si="4"/>
        <v>2024</v>
      </c>
      <c r="H115" s="7" t="str">
        <f t="shared" si="5"/>
        <v>Май</v>
      </c>
      <c r="I115" t="s">
        <v>7</v>
      </c>
      <c r="J115">
        <v>53</v>
      </c>
      <c r="K115" t="s">
        <v>10</v>
      </c>
      <c r="L115">
        <v>1</v>
      </c>
      <c r="M115">
        <v>359</v>
      </c>
      <c r="N115" s="1">
        <f t="shared" si="6"/>
        <v>359</v>
      </c>
    </row>
    <row r="116" spans="5:14" x14ac:dyDescent="0.25">
      <c r="E116">
        <v>508</v>
      </c>
      <c r="F116" s="7">
        <v>45103</v>
      </c>
      <c r="G116">
        <f t="shared" si="4"/>
        <v>2023</v>
      </c>
      <c r="H116" s="7" t="str">
        <f t="shared" si="5"/>
        <v>Июнь</v>
      </c>
      <c r="I116" t="s">
        <v>9</v>
      </c>
      <c r="J116">
        <v>37</v>
      </c>
      <c r="K116" t="s">
        <v>11</v>
      </c>
      <c r="L116">
        <v>3</v>
      </c>
      <c r="M116">
        <v>300</v>
      </c>
      <c r="N116" s="1">
        <f t="shared" si="6"/>
        <v>900</v>
      </c>
    </row>
    <row r="117" spans="5:14" x14ac:dyDescent="0.25">
      <c r="E117">
        <v>1953</v>
      </c>
      <c r="F117" s="7">
        <v>45519</v>
      </c>
      <c r="G117">
        <f t="shared" si="4"/>
        <v>2024</v>
      </c>
      <c r="H117" s="7" t="str">
        <f t="shared" si="5"/>
        <v>Август</v>
      </c>
      <c r="I117" t="s">
        <v>9</v>
      </c>
      <c r="J117">
        <v>42</v>
      </c>
      <c r="K117" t="s">
        <v>11</v>
      </c>
      <c r="L117">
        <v>5</v>
      </c>
      <c r="M117">
        <v>187</v>
      </c>
      <c r="N117" s="1">
        <f t="shared" si="6"/>
        <v>935</v>
      </c>
    </row>
    <row r="118" spans="5:14" x14ac:dyDescent="0.25">
      <c r="E118">
        <v>878</v>
      </c>
      <c r="F118" s="7">
        <v>45159</v>
      </c>
      <c r="G118">
        <f t="shared" si="4"/>
        <v>2023</v>
      </c>
      <c r="H118" s="7" t="str">
        <f t="shared" si="5"/>
        <v>Август</v>
      </c>
      <c r="I118" t="s">
        <v>7</v>
      </c>
      <c r="J118">
        <v>22</v>
      </c>
      <c r="K118" t="s">
        <v>8</v>
      </c>
      <c r="L118">
        <v>2</v>
      </c>
      <c r="M118">
        <v>500</v>
      </c>
      <c r="N118" s="1">
        <f t="shared" si="6"/>
        <v>1000</v>
      </c>
    </row>
    <row r="119" spans="5:14" x14ac:dyDescent="0.25">
      <c r="E119">
        <v>1229</v>
      </c>
      <c r="F119" s="7">
        <v>45328</v>
      </c>
      <c r="G119">
        <f t="shared" si="4"/>
        <v>2024</v>
      </c>
      <c r="H119" s="7" t="str">
        <f t="shared" si="5"/>
        <v>Февраль</v>
      </c>
      <c r="I119" t="s">
        <v>9</v>
      </c>
      <c r="J119">
        <v>23</v>
      </c>
      <c r="K119" t="s">
        <v>8</v>
      </c>
      <c r="L119">
        <v>3</v>
      </c>
      <c r="M119">
        <v>135</v>
      </c>
      <c r="N119" s="1">
        <f t="shared" si="6"/>
        <v>405</v>
      </c>
    </row>
    <row r="120" spans="5:14" x14ac:dyDescent="0.25">
      <c r="E120">
        <v>1679</v>
      </c>
      <c r="F120" s="7">
        <v>45295</v>
      </c>
      <c r="G120">
        <f t="shared" si="4"/>
        <v>2024</v>
      </c>
      <c r="H120" s="7" t="str">
        <f t="shared" si="5"/>
        <v>Январь</v>
      </c>
      <c r="I120" t="s">
        <v>7</v>
      </c>
      <c r="J120">
        <v>59</v>
      </c>
      <c r="K120" t="s">
        <v>8</v>
      </c>
      <c r="L120">
        <v>4</v>
      </c>
      <c r="M120">
        <v>435</v>
      </c>
      <c r="N120" s="1">
        <f t="shared" si="6"/>
        <v>1740</v>
      </c>
    </row>
    <row r="121" spans="5:14" x14ac:dyDescent="0.25">
      <c r="E121">
        <v>697</v>
      </c>
      <c r="F121" s="7">
        <v>45099</v>
      </c>
      <c r="G121">
        <f t="shared" si="4"/>
        <v>2023</v>
      </c>
      <c r="H121" s="7" t="str">
        <f t="shared" si="5"/>
        <v>Июнь</v>
      </c>
      <c r="I121" t="s">
        <v>9</v>
      </c>
      <c r="J121">
        <v>37</v>
      </c>
      <c r="K121" t="s">
        <v>10</v>
      </c>
      <c r="L121">
        <v>4</v>
      </c>
      <c r="M121">
        <v>30</v>
      </c>
      <c r="N121" s="1">
        <f t="shared" si="6"/>
        <v>120</v>
      </c>
    </row>
    <row r="122" spans="5:14" x14ac:dyDescent="0.25">
      <c r="E122">
        <v>1752</v>
      </c>
      <c r="F122" s="7">
        <v>45531</v>
      </c>
      <c r="G122">
        <f t="shared" si="4"/>
        <v>2024</v>
      </c>
      <c r="H122" s="7" t="str">
        <f t="shared" si="5"/>
        <v>Август</v>
      </c>
      <c r="I122" t="s">
        <v>9</v>
      </c>
      <c r="J122">
        <v>31</v>
      </c>
      <c r="K122" t="s">
        <v>11</v>
      </c>
      <c r="L122">
        <v>1</v>
      </c>
      <c r="M122">
        <v>121</v>
      </c>
      <c r="N122" s="1">
        <f t="shared" si="6"/>
        <v>121</v>
      </c>
    </row>
    <row r="123" spans="5:14" x14ac:dyDescent="0.25">
      <c r="E123">
        <v>617</v>
      </c>
      <c r="F123" s="7">
        <v>44952</v>
      </c>
      <c r="G123">
        <f t="shared" si="4"/>
        <v>2023</v>
      </c>
      <c r="H123" s="7" t="str">
        <f t="shared" si="5"/>
        <v>Январь</v>
      </c>
      <c r="I123" t="s">
        <v>9</v>
      </c>
      <c r="J123">
        <v>27</v>
      </c>
      <c r="K123" t="s">
        <v>8</v>
      </c>
      <c r="L123">
        <v>1</v>
      </c>
      <c r="M123">
        <v>50</v>
      </c>
      <c r="N123" s="1">
        <f t="shared" si="6"/>
        <v>50</v>
      </c>
    </row>
    <row r="124" spans="5:14" x14ac:dyDescent="0.25">
      <c r="E124">
        <v>1642</v>
      </c>
      <c r="F124" s="7">
        <v>45613</v>
      </c>
      <c r="G124">
        <f t="shared" si="4"/>
        <v>2024</v>
      </c>
      <c r="H124" s="7" t="str">
        <f t="shared" si="5"/>
        <v>Ноябрь</v>
      </c>
      <c r="I124" t="s">
        <v>9</v>
      </c>
      <c r="J124">
        <v>20</v>
      </c>
      <c r="K124" t="s">
        <v>11</v>
      </c>
      <c r="L124">
        <v>7</v>
      </c>
      <c r="M124">
        <v>375</v>
      </c>
      <c r="N124" s="1">
        <f t="shared" si="6"/>
        <v>2625</v>
      </c>
    </row>
    <row r="125" spans="5:14" x14ac:dyDescent="0.25">
      <c r="E125">
        <v>545</v>
      </c>
      <c r="F125" s="7">
        <v>45210</v>
      </c>
      <c r="G125">
        <f t="shared" si="4"/>
        <v>2023</v>
      </c>
      <c r="H125" s="7" t="str">
        <f t="shared" si="5"/>
        <v>Октябрь</v>
      </c>
      <c r="I125" t="s">
        <v>9</v>
      </c>
      <c r="J125">
        <v>36</v>
      </c>
      <c r="K125" t="s">
        <v>11</v>
      </c>
      <c r="L125">
        <v>4</v>
      </c>
      <c r="M125">
        <v>50</v>
      </c>
      <c r="N125" s="1">
        <f t="shared" si="6"/>
        <v>200</v>
      </c>
    </row>
    <row r="126" spans="5:14" x14ac:dyDescent="0.25">
      <c r="E126">
        <v>1779</v>
      </c>
      <c r="F126" s="7">
        <v>45643</v>
      </c>
      <c r="G126">
        <f t="shared" si="4"/>
        <v>2024</v>
      </c>
      <c r="H126" s="7" t="str">
        <f t="shared" si="5"/>
        <v>Декабрь</v>
      </c>
      <c r="I126" t="s">
        <v>9</v>
      </c>
      <c r="J126">
        <v>63</v>
      </c>
      <c r="K126" t="s">
        <v>10</v>
      </c>
      <c r="L126">
        <v>7</v>
      </c>
      <c r="M126">
        <v>54</v>
      </c>
      <c r="N126" s="1">
        <f t="shared" si="6"/>
        <v>378</v>
      </c>
    </row>
    <row r="127" spans="5:14" x14ac:dyDescent="0.25">
      <c r="E127">
        <v>523</v>
      </c>
      <c r="F127" s="7">
        <v>45202</v>
      </c>
      <c r="G127">
        <f t="shared" si="4"/>
        <v>2023</v>
      </c>
      <c r="H127" s="7" t="str">
        <f t="shared" si="5"/>
        <v>Октябрь</v>
      </c>
      <c r="I127" t="s">
        <v>7</v>
      </c>
      <c r="J127">
        <v>46</v>
      </c>
      <c r="K127" t="s">
        <v>8</v>
      </c>
      <c r="L127">
        <v>4</v>
      </c>
      <c r="M127">
        <v>300</v>
      </c>
      <c r="N127" s="1">
        <f t="shared" si="6"/>
        <v>1200</v>
      </c>
    </row>
    <row r="128" spans="5:14" x14ac:dyDescent="0.25">
      <c r="E128">
        <v>600</v>
      </c>
      <c r="F128" s="7">
        <v>45026</v>
      </c>
      <c r="G128">
        <f t="shared" si="4"/>
        <v>2023</v>
      </c>
      <c r="H128" s="7" t="str">
        <f t="shared" si="5"/>
        <v>Апрель</v>
      </c>
      <c r="I128" t="s">
        <v>7</v>
      </c>
      <c r="J128">
        <v>19</v>
      </c>
      <c r="K128" t="s">
        <v>10</v>
      </c>
      <c r="L128">
        <v>1</v>
      </c>
      <c r="M128">
        <v>30</v>
      </c>
      <c r="N128" s="1">
        <f t="shared" si="6"/>
        <v>30</v>
      </c>
    </row>
    <row r="129" spans="5:14" x14ac:dyDescent="0.25">
      <c r="E129">
        <v>790</v>
      </c>
      <c r="F129" s="7">
        <v>45116</v>
      </c>
      <c r="G129">
        <f t="shared" si="4"/>
        <v>2023</v>
      </c>
      <c r="H129" s="7" t="str">
        <f t="shared" si="5"/>
        <v>Июль</v>
      </c>
      <c r="I129" t="s">
        <v>9</v>
      </c>
      <c r="J129">
        <v>20</v>
      </c>
      <c r="K129" t="s">
        <v>8</v>
      </c>
      <c r="L129">
        <v>1</v>
      </c>
      <c r="M129">
        <v>50</v>
      </c>
      <c r="N129" s="1">
        <f t="shared" si="6"/>
        <v>50</v>
      </c>
    </row>
    <row r="130" spans="5:14" x14ac:dyDescent="0.25">
      <c r="E130">
        <v>1939</v>
      </c>
      <c r="F130" s="7">
        <v>45581</v>
      </c>
      <c r="G130">
        <f t="shared" si="4"/>
        <v>2024</v>
      </c>
      <c r="H130" s="7" t="str">
        <f t="shared" si="5"/>
        <v>Октябрь</v>
      </c>
      <c r="I130" t="s">
        <v>9</v>
      </c>
      <c r="J130">
        <v>52</v>
      </c>
      <c r="K130" t="s">
        <v>10</v>
      </c>
      <c r="L130">
        <v>5</v>
      </c>
      <c r="M130">
        <v>303</v>
      </c>
      <c r="N130" s="1">
        <f t="shared" si="6"/>
        <v>1515</v>
      </c>
    </row>
    <row r="131" spans="5:14" x14ac:dyDescent="0.25">
      <c r="E131">
        <v>1352</v>
      </c>
      <c r="F131" s="7">
        <v>45635</v>
      </c>
      <c r="G131">
        <f t="shared" si="4"/>
        <v>2024</v>
      </c>
      <c r="H131" s="7" t="str">
        <f t="shared" si="5"/>
        <v>Декабрь</v>
      </c>
      <c r="I131" t="s">
        <v>9</v>
      </c>
      <c r="J131">
        <v>65</v>
      </c>
      <c r="K131" t="s">
        <v>11</v>
      </c>
      <c r="L131">
        <v>7</v>
      </c>
      <c r="M131">
        <v>230</v>
      </c>
      <c r="N131" s="1">
        <f t="shared" si="6"/>
        <v>1610</v>
      </c>
    </row>
    <row r="132" spans="5:14" x14ac:dyDescent="0.25">
      <c r="E132">
        <v>225</v>
      </c>
      <c r="F132" s="7">
        <v>45228</v>
      </c>
      <c r="G132">
        <f t="shared" si="4"/>
        <v>2023</v>
      </c>
      <c r="H132" s="7" t="str">
        <f t="shared" si="5"/>
        <v>Октябрь</v>
      </c>
      <c r="I132" t="s">
        <v>9</v>
      </c>
      <c r="J132">
        <v>61</v>
      </c>
      <c r="K132" t="s">
        <v>10</v>
      </c>
      <c r="L132">
        <v>1</v>
      </c>
      <c r="M132">
        <v>50</v>
      </c>
      <c r="N132" s="1">
        <f t="shared" si="6"/>
        <v>50</v>
      </c>
    </row>
    <row r="133" spans="5:14" x14ac:dyDescent="0.25">
      <c r="E133">
        <v>1145</v>
      </c>
      <c r="F133" s="7">
        <v>45563</v>
      </c>
      <c r="G133">
        <f t="shared" si="4"/>
        <v>2024</v>
      </c>
      <c r="H133" s="7" t="str">
        <f t="shared" si="5"/>
        <v>Сентябрь</v>
      </c>
      <c r="I133" t="s">
        <v>7</v>
      </c>
      <c r="J133">
        <v>43</v>
      </c>
      <c r="K133" t="s">
        <v>11</v>
      </c>
      <c r="L133">
        <v>3</v>
      </c>
      <c r="M133">
        <v>221</v>
      </c>
      <c r="N133" s="1">
        <f t="shared" si="6"/>
        <v>663</v>
      </c>
    </row>
    <row r="134" spans="5:14" x14ac:dyDescent="0.25">
      <c r="E134">
        <v>1144</v>
      </c>
      <c r="F134" s="7">
        <v>45532</v>
      </c>
      <c r="G134">
        <f t="shared" si="4"/>
        <v>2024</v>
      </c>
      <c r="H134" s="7" t="str">
        <f t="shared" si="5"/>
        <v>Август</v>
      </c>
      <c r="I134" t="s">
        <v>7</v>
      </c>
      <c r="J134">
        <v>46</v>
      </c>
      <c r="K134" t="s">
        <v>10</v>
      </c>
      <c r="L134">
        <v>2</v>
      </c>
      <c r="M134">
        <v>186</v>
      </c>
      <c r="N134" s="1">
        <f t="shared" si="6"/>
        <v>372</v>
      </c>
    </row>
    <row r="135" spans="5:14" x14ac:dyDescent="0.25">
      <c r="E135">
        <v>492</v>
      </c>
      <c r="F135" s="7">
        <v>45255</v>
      </c>
      <c r="G135">
        <f t="shared" si="4"/>
        <v>2023</v>
      </c>
      <c r="H135" s="7" t="str">
        <f t="shared" si="5"/>
        <v>Ноябрь</v>
      </c>
      <c r="I135" t="s">
        <v>7</v>
      </c>
      <c r="J135">
        <v>41</v>
      </c>
      <c r="K135" t="s">
        <v>8</v>
      </c>
      <c r="L135">
        <v>2</v>
      </c>
      <c r="M135">
        <v>25</v>
      </c>
      <c r="N135" s="1">
        <f t="shared" si="6"/>
        <v>50</v>
      </c>
    </row>
    <row r="136" spans="5:14" x14ac:dyDescent="0.25">
      <c r="E136">
        <v>1219</v>
      </c>
      <c r="F136" s="7">
        <v>45408</v>
      </c>
      <c r="G136">
        <f t="shared" si="4"/>
        <v>2024</v>
      </c>
      <c r="H136" s="7" t="str">
        <f t="shared" si="5"/>
        <v>Апрель</v>
      </c>
      <c r="I136" t="s">
        <v>7</v>
      </c>
      <c r="J136">
        <v>45</v>
      </c>
      <c r="K136" t="s">
        <v>10</v>
      </c>
      <c r="L136">
        <v>4</v>
      </c>
      <c r="M136">
        <v>216</v>
      </c>
      <c r="N136" s="1">
        <f t="shared" si="6"/>
        <v>864</v>
      </c>
    </row>
    <row r="137" spans="5:14" x14ac:dyDescent="0.25">
      <c r="E137">
        <v>842</v>
      </c>
      <c r="F137" s="7">
        <v>45211</v>
      </c>
      <c r="G137">
        <f t="shared" si="4"/>
        <v>2023</v>
      </c>
      <c r="H137" s="7" t="str">
        <f t="shared" si="5"/>
        <v>Октябрь</v>
      </c>
      <c r="I137" t="s">
        <v>7</v>
      </c>
      <c r="J137">
        <v>35</v>
      </c>
      <c r="K137" t="s">
        <v>10</v>
      </c>
      <c r="L137">
        <v>3</v>
      </c>
      <c r="M137">
        <v>50</v>
      </c>
      <c r="N137" s="1">
        <f t="shared" si="6"/>
        <v>150</v>
      </c>
    </row>
    <row r="138" spans="5:14" x14ac:dyDescent="0.25">
      <c r="E138">
        <v>1338</v>
      </c>
      <c r="F138" s="7">
        <v>45419</v>
      </c>
      <c r="G138">
        <f t="shared" ref="G138:G201" si="7">YEAR(F138)</f>
        <v>2024</v>
      </c>
      <c r="H138" s="7" t="str">
        <f t="shared" ref="H138:H201" si="8">TEXT(F138,"ММММ")</f>
        <v>Май</v>
      </c>
      <c r="I138" t="s">
        <v>7</v>
      </c>
      <c r="J138">
        <v>20</v>
      </c>
      <c r="K138" t="s">
        <v>10</v>
      </c>
      <c r="L138">
        <v>5</v>
      </c>
      <c r="M138">
        <v>235</v>
      </c>
      <c r="N138" s="1">
        <f t="shared" ref="N138:N201" si="9">L138*M138</f>
        <v>1175</v>
      </c>
    </row>
    <row r="139" spans="5:14" x14ac:dyDescent="0.25">
      <c r="E139">
        <v>588</v>
      </c>
      <c r="F139" s="7">
        <v>45028</v>
      </c>
      <c r="G139">
        <f t="shared" si="7"/>
        <v>2023</v>
      </c>
      <c r="H139" s="7" t="str">
        <f t="shared" si="8"/>
        <v>Апрель</v>
      </c>
      <c r="I139" t="s">
        <v>9</v>
      </c>
      <c r="J139">
        <v>36</v>
      </c>
      <c r="K139" t="s">
        <v>8</v>
      </c>
      <c r="L139">
        <v>2</v>
      </c>
      <c r="M139">
        <v>500</v>
      </c>
      <c r="N139" s="1">
        <f t="shared" si="9"/>
        <v>1000</v>
      </c>
    </row>
    <row r="140" spans="5:14" x14ac:dyDescent="0.25">
      <c r="E140">
        <v>594</v>
      </c>
      <c r="F140" s="7">
        <v>45239</v>
      </c>
      <c r="G140">
        <f t="shared" si="7"/>
        <v>2023</v>
      </c>
      <c r="H140" s="7" t="str">
        <f t="shared" si="8"/>
        <v>Ноябрь</v>
      </c>
      <c r="I140" t="s">
        <v>9</v>
      </c>
      <c r="J140">
        <v>18</v>
      </c>
      <c r="K140" t="s">
        <v>10</v>
      </c>
      <c r="L140">
        <v>4</v>
      </c>
      <c r="M140">
        <v>500</v>
      </c>
      <c r="N140" s="1">
        <f t="shared" si="9"/>
        <v>2000</v>
      </c>
    </row>
    <row r="141" spans="5:14" x14ac:dyDescent="0.25">
      <c r="E141">
        <v>726</v>
      </c>
      <c r="F141" s="7">
        <v>45121</v>
      </c>
      <c r="G141">
        <f t="shared" si="7"/>
        <v>2023</v>
      </c>
      <c r="H141" s="7" t="str">
        <f t="shared" si="8"/>
        <v>Июль</v>
      </c>
      <c r="I141" t="s">
        <v>7</v>
      </c>
      <c r="J141">
        <v>51</v>
      </c>
      <c r="K141" t="s">
        <v>11</v>
      </c>
      <c r="L141">
        <v>3</v>
      </c>
      <c r="M141">
        <v>50</v>
      </c>
      <c r="N141" s="1">
        <f t="shared" si="9"/>
        <v>150</v>
      </c>
    </row>
    <row r="142" spans="5:14" x14ac:dyDescent="0.25">
      <c r="E142">
        <v>741</v>
      </c>
      <c r="F142" s="7">
        <v>44942</v>
      </c>
      <c r="G142">
        <f t="shared" si="7"/>
        <v>2023</v>
      </c>
      <c r="H142" s="7" t="str">
        <f t="shared" si="8"/>
        <v>Январь</v>
      </c>
      <c r="I142" t="s">
        <v>9</v>
      </c>
      <c r="J142">
        <v>34</v>
      </c>
      <c r="K142" t="s">
        <v>8</v>
      </c>
      <c r="L142">
        <v>4</v>
      </c>
      <c r="M142">
        <v>500</v>
      </c>
      <c r="N142" s="1">
        <f t="shared" si="9"/>
        <v>2000</v>
      </c>
    </row>
    <row r="143" spans="5:14" x14ac:dyDescent="0.25">
      <c r="E143">
        <v>1708</v>
      </c>
      <c r="F143" s="7">
        <v>45632</v>
      </c>
      <c r="G143">
        <f t="shared" si="7"/>
        <v>2024</v>
      </c>
      <c r="H143" s="7" t="str">
        <f t="shared" si="8"/>
        <v>Декабрь</v>
      </c>
      <c r="I143" t="s">
        <v>9</v>
      </c>
      <c r="J143">
        <v>42</v>
      </c>
      <c r="K143" t="s">
        <v>8</v>
      </c>
      <c r="L143">
        <v>3</v>
      </c>
      <c r="M143">
        <v>100</v>
      </c>
      <c r="N143" s="1">
        <f t="shared" si="9"/>
        <v>300</v>
      </c>
    </row>
    <row r="144" spans="5:14" x14ac:dyDescent="0.25">
      <c r="E144">
        <v>1572</v>
      </c>
      <c r="F144" s="7">
        <v>45379</v>
      </c>
      <c r="G144">
        <f t="shared" si="7"/>
        <v>2024</v>
      </c>
      <c r="H144" s="7" t="str">
        <f t="shared" si="8"/>
        <v>Март</v>
      </c>
      <c r="I144" t="s">
        <v>7</v>
      </c>
      <c r="J144">
        <v>23</v>
      </c>
      <c r="K144" t="s">
        <v>10</v>
      </c>
      <c r="L144">
        <v>6</v>
      </c>
      <c r="M144">
        <v>130</v>
      </c>
      <c r="N144" s="1">
        <f t="shared" si="9"/>
        <v>780</v>
      </c>
    </row>
    <row r="145" spans="5:14" x14ac:dyDescent="0.25">
      <c r="E145">
        <v>1156</v>
      </c>
      <c r="F145" s="7">
        <v>45349</v>
      </c>
      <c r="G145">
        <f t="shared" si="7"/>
        <v>2024</v>
      </c>
      <c r="H145" s="7" t="str">
        <f t="shared" si="8"/>
        <v>Февраль</v>
      </c>
      <c r="I145" t="s">
        <v>9</v>
      </c>
      <c r="J145">
        <v>28</v>
      </c>
      <c r="K145" t="s">
        <v>11</v>
      </c>
      <c r="L145">
        <v>3</v>
      </c>
      <c r="M145">
        <v>272</v>
      </c>
      <c r="N145" s="1">
        <f t="shared" si="9"/>
        <v>816</v>
      </c>
    </row>
    <row r="146" spans="5:14" x14ac:dyDescent="0.25">
      <c r="E146">
        <v>1853</v>
      </c>
      <c r="F146" s="7">
        <v>45657</v>
      </c>
      <c r="G146">
        <f t="shared" si="7"/>
        <v>2024</v>
      </c>
      <c r="H146" s="7" t="str">
        <f t="shared" si="8"/>
        <v>Декабрь</v>
      </c>
      <c r="I146" t="s">
        <v>7</v>
      </c>
      <c r="J146">
        <v>52</v>
      </c>
      <c r="K146" t="s">
        <v>11</v>
      </c>
      <c r="L146">
        <v>4</v>
      </c>
      <c r="M146">
        <v>111</v>
      </c>
      <c r="N146" s="1">
        <f t="shared" si="9"/>
        <v>444</v>
      </c>
    </row>
    <row r="147" spans="5:14" x14ac:dyDescent="0.25">
      <c r="E147">
        <v>1864</v>
      </c>
      <c r="F147" s="7">
        <v>45632</v>
      </c>
      <c r="G147">
        <f t="shared" si="7"/>
        <v>2024</v>
      </c>
      <c r="H147" s="7" t="str">
        <f t="shared" si="8"/>
        <v>Декабрь</v>
      </c>
      <c r="I147" t="s">
        <v>9</v>
      </c>
      <c r="J147">
        <v>37</v>
      </c>
      <c r="K147" t="s">
        <v>11</v>
      </c>
      <c r="L147">
        <v>3</v>
      </c>
      <c r="M147">
        <v>466</v>
      </c>
      <c r="N147" s="1">
        <f t="shared" si="9"/>
        <v>1398</v>
      </c>
    </row>
    <row r="148" spans="5:14" x14ac:dyDescent="0.25">
      <c r="E148">
        <v>1722</v>
      </c>
      <c r="F148" s="7">
        <v>45460</v>
      </c>
      <c r="G148">
        <f t="shared" si="7"/>
        <v>2024</v>
      </c>
      <c r="H148" s="7" t="str">
        <f t="shared" si="8"/>
        <v>Июнь</v>
      </c>
      <c r="I148" t="s">
        <v>7</v>
      </c>
      <c r="J148">
        <v>48</v>
      </c>
      <c r="K148" t="s">
        <v>10</v>
      </c>
      <c r="L148">
        <v>6</v>
      </c>
      <c r="M148">
        <v>139</v>
      </c>
      <c r="N148" s="1">
        <f t="shared" si="9"/>
        <v>834</v>
      </c>
    </row>
    <row r="149" spans="5:14" x14ac:dyDescent="0.25">
      <c r="E149">
        <v>746</v>
      </c>
      <c r="F149" s="7">
        <v>45005</v>
      </c>
      <c r="G149">
        <f t="shared" si="7"/>
        <v>2023</v>
      </c>
      <c r="H149" s="7" t="str">
        <f t="shared" si="8"/>
        <v>Март</v>
      </c>
      <c r="I149" t="s">
        <v>7</v>
      </c>
      <c r="J149">
        <v>25</v>
      </c>
      <c r="K149" t="s">
        <v>10</v>
      </c>
      <c r="L149">
        <v>3</v>
      </c>
      <c r="M149">
        <v>50</v>
      </c>
      <c r="N149" s="1">
        <f t="shared" si="9"/>
        <v>150</v>
      </c>
    </row>
    <row r="150" spans="5:14" x14ac:dyDescent="0.25">
      <c r="E150">
        <v>856</v>
      </c>
      <c r="F150" s="7">
        <v>45178</v>
      </c>
      <c r="G150">
        <f t="shared" si="7"/>
        <v>2023</v>
      </c>
      <c r="H150" s="7" t="str">
        <f t="shared" si="8"/>
        <v>Сентябрь</v>
      </c>
      <c r="I150" t="s">
        <v>7</v>
      </c>
      <c r="J150">
        <v>23</v>
      </c>
      <c r="K150" t="s">
        <v>11</v>
      </c>
      <c r="L150">
        <v>2</v>
      </c>
      <c r="M150">
        <v>50</v>
      </c>
      <c r="N150" s="1">
        <f t="shared" si="9"/>
        <v>100</v>
      </c>
    </row>
    <row r="151" spans="5:14" x14ac:dyDescent="0.25">
      <c r="E151">
        <v>434</v>
      </c>
      <c r="F151" s="7">
        <v>45280</v>
      </c>
      <c r="G151">
        <f t="shared" si="7"/>
        <v>2023</v>
      </c>
      <c r="H151" s="7" t="str">
        <f t="shared" si="8"/>
        <v>Декабрь</v>
      </c>
      <c r="I151" t="s">
        <v>9</v>
      </c>
      <c r="J151">
        <v>30</v>
      </c>
      <c r="K151" t="s">
        <v>8</v>
      </c>
      <c r="L151">
        <v>3</v>
      </c>
      <c r="M151">
        <v>300</v>
      </c>
      <c r="N151" s="1">
        <f t="shared" si="9"/>
        <v>900</v>
      </c>
    </row>
    <row r="152" spans="5:14" x14ac:dyDescent="0.25">
      <c r="E152">
        <v>676</v>
      </c>
      <c r="F152" s="7">
        <v>45283</v>
      </c>
      <c r="G152">
        <f t="shared" si="7"/>
        <v>2023</v>
      </c>
      <c r="H152" s="7" t="str">
        <f t="shared" si="8"/>
        <v>Декабрь</v>
      </c>
      <c r="I152" t="s">
        <v>9</v>
      </c>
      <c r="J152">
        <v>60</v>
      </c>
      <c r="K152" t="s">
        <v>11</v>
      </c>
      <c r="L152">
        <v>3</v>
      </c>
      <c r="M152">
        <v>300</v>
      </c>
      <c r="N152" s="1">
        <f t="shared" si="9"/>
        <v>900</v>
      </c>
    </row>
    <row r="153" spans="5:14" x14ac:dyDescent="0.25">
      <c r="E153">
        <v>1720</v>
      </c>
      <c r="F153" s="7">
        <v>45401</v>
      </c>
      <c r="G153">
        <f t="shared" si="7"/>
        <v>2024</v>
      </c>
      <c r="H153" s="7" t="str">
        <f t="shared" si="8"/>
        <v>Апрель</v>
      </c>
      <c r="I153" t="s">
        <v>7</v>
      </c>
      <c r="J153">
        <v>45</v>
      </c>
      <c r="K153" t="s">
        <v>10</v>
      </c>
      <c r="L153">
        <v>6</v>
      </c>
      <c r="M153">
        <v>357</v>
      </c>
      <c r="N153" s="1">
        <f t="shared" si="9"/>
        <v>2142</v>
      </c>
    </row>
    <row r="154" spans="5:14" x14ac:dyDescent="0.25">
      <c r="E154">
        <v>1793</v>
      </c>
      <c r="F154" s="7">
        <v>45298</v>
      </c>
      <c r="G154">
        <f t="shared" si="7"/>
        <v>2024</v>
      </c>
      <c r="H154" s="7" t="str">
        <f t="shared" si="8"/>
        <v>Январь</v>
      </c>
      <c r="I154" t="s">
        <v>7</v>
      </c>
      <c r="J154">
        <v>20</v>
      </c>
      <c r="K154" t="s">
        <v>10</v>
      </c>
      <c r="L154">
        <v>1</v>
      </c>
      <c r="M154">
        <v>491</v>
      </c>
      <c r="N154" s="1">
        <f t="shared" si="9"/>
        <v>491</v>
      </c>
    </row>
    <row r="155" spans="5:14" x14ac:dyDescent="0.25">
      <c r="E155">
        <v>183</v>
      </c>
      <c r="F155" s="7">
        <v>45177</v>
      </c>
      <c r="G155">
        <f t="shared" si="7"/>
        <v>2023</v>
      </c>
      <c r="H155" s="7" t="str">
        <f t="shared" si="8"/>
        <v>Сентябрь</v>
      </c>
      <c r="I155" t="s">
        <v>9</v>
      </c>
      <c r="J155">
        <v>43</v>
      </c>
      <c r="K155" t="s">
        <v>8</v>
      </c>
      <c r="L155">
        <v>3</v>
      </c>
      <c r="M155">
        <v>300</v>
      </c>
      <c r="N155" s="1">
        <f t="shared" si="9"/>
        <v>900</v>
      </c>
    </row>
    <row r="156" spans="5:14" x14ac:dyDescent="0.25">
      <c r="E156">
        <v>169</v>
      </c>
      <c r="F156" s="7">
        <v>45247</v>
      </c>
      <c r="G156">
        <f t="shared" si="7"/>
        <v>2023</v>
      </c>
      <c r="H156" s="7" t="str">
        <f t="shared" si="8"/>
        <v>Ноябрь</v>
      </c>
      <c r="I156" t="s">
        <v>7</v>
      </c>
      <c r="J156">
        <v>18</v>
      </c>
      <c r="K156" t="s">
        <v>8</v>
      </c>
      <c r="L156">
        <v>3</v>
      </c>
      <c r="M156">
        <v>500</v>
      </c>
      <c r="N156" s="1">
        <f t="shared" si="9"/>
        <v>1500</v>
      </c>
    </row>
    <row r="157" spans="5:14" x14ac:dyDescent="0.25">
      <c r="E157">
        <v>211</v>
      </c>
      <c r="F157" s="7">
        <v>45086</v>
      </c>
      <c r="G157">
        <f t="shared" si="7"/>
        <v>2023</v>
      </c>
      <c r="H157" s="7" t="str">
        <f t="shared" si="8"/>
        <v>Июнь</v>
      </c>
      <c r="I157" t="s">
        <v>7</v>
      </c>
      <c r="J157">
        <v>21</v>
      </c>
      <c r="K157" t="s">
        <v>10</v>
      </c>
      <c r="L157">
        <v>3</v>
      </c>
      <c r="M157">
        <v>500</v>
      </c>
      <c r="N157" s="1">
        <f t="shared" si="9"/>
        <v>1500</v>
      </c>
    </row>
    <row r="158" spans="5:14" x14ac:dyDescent="0.25">
      <c r="E158">
        <v>1263</v>
      </c>
      <c r="F158" s="7">
        <v>45627</v>
      </c>
      <c r="G158">
        <f t="shared" si="7"/>
        <v>2024</v>
      </c>
      <c r="H158" s="7" t="str">
        <f t="shared" si="8"/>
        <v>Декабрь</v>
      </c>
      <c r="I158" t="s">
        <v>9</v>
      </c>
      <c r="J158">
        <v>55</v>
      </c>
      <c r="K158" t="s">
        <v>11</v>
      </c>
      <c r="L158">
        <v>3</v>
      </c>
      <c r="M158">
        <v>233</v>
      </c>
      <c r="N158" s="1">
        <f t="shared" si="9"/>
        <v>699</v>
      </c>
    </row>
    <row r="159" spans="5:14" x14ac:dyDescent="0.25">
      <c r="E159">
        <v>1681</v>
      </c>
      <c r="F159" s="7">
        <v>45445</v>
      </c>
      <c r="G159">
        <f t="shared" si="7"/>
        <v>2024</v>
      </c>
      <c r="H159" s="7" t="str">
        <f t="shared" si="8"/>
        <v>Июнь</v>
      </c>
      <c r="I159" t="s">
        <v>7</v>
      </c>
      <c r="J159">
        <v>50</v>
      </c>
      <c r="K159" t="s">
        <v>11</v>
      </c>
      <c r="L159">
        <v>3</v>
      </c>
      <c r="M159">
        <v>26</v>
      </c>
      <c r="N159" s="1">
        <f t="shared" si="9"/>
        <v>78</v>
      </c>
    </row>
    <row r="160" spans="5:14" x14ac:dyDescent="0.25">
      <c r="E160">
        <v>1267</v>
      </c>
      <c r="F160" s="7">
        <v>45499</v>
      </c>
      <c r="G160">
        <f t="shared" si="7"/>
        <v>2024</v>
      </c>
      <c r="H160" s="7" t="str">
        <f t="shared" si="8"/>
        <v>Июль</v>
      </c>
      <c r="I160" t="s">
        <v>7</v>
      </c>
      <c r="J160">
        <v>25</v>
      </c>
      <c r="K160" t="s">
        <v>11</v>
      </c>
      <c r="L160">
        <v>1</v>
      </c>
      <c r="M160">
        <v>493</v>
      </c>
      <c r="N160" s="1">
        <f t="shared" si="9"/>
        <v>493</v>
      </c>
    </row>
    <row r="161" spans="5:14" x14ac:dyDescent="0.25">
      <c r="E161">
        <v>1876</v>
      </c>
      <c r="F161" s="7">
        <v>45525</v>
      </c>
      <c r="G161">
        <f t="shared" si="7"/>
        <v>2024</v>
      </c>
      <c r="H161" s="7" t="str">
        <f t="shared" si="8"/>
        <v>Август</v>
      </c>
      <c r="I161" t="s">
        <v>7</v>
      </c>
      <c r="J161">
        <v>63</v>
      </c>
      <c r="K161" t="s">
        <v>8</v>
      </c>
      <c r="L161">
        <v>4</v>
      </c>
      <c r="M161">
        <v>499</v>
      </c>
      <c r="N161" s="1">
        <f t="shared" si="9"/>
        <v>1996</v>
      </c>
    </row>
    <row r="162" spans="5:14" x14ac:dyDescent="0.25">
      <c r="E162">
        <v>379</v>
      </c>
      <c r="F162" s="7">
        <v>45052</v>
      </c>
      <c r="G162">
        <f t="shared" si="7"/>
        <v>2023</v>
      </c>
      <c r="H162" s="7" t="str">
        <f t="shared" si="8"/>
        <v>Май</v>
      </c>
      <c r="I162" t="s">
        <v>7</v>
      </c>
      <c r="J162">
        <v>56</v>
      </c>
      <c r="K162" t="s">
        <v>11</v>
      </c>
      <c r="L162">
        <v>2</v>
      </c>
      <c r="M162">
        <v>300</v>
      </c>
      <c r="N162" s="1">
        <f t="shared" si="9"/>
        <v>600</v>
      </c>
    </row>
    <row r="163" spans="5:14" x14ac:dyDescent="0.25">
      <c r="E163">
        <v>1294</v>
      </c>
      <c r="F163" s="7">
        <v>45539</v>
      </c>
      <c r="G163">
        <f t="shared" si="7"/>
        <v>2024</v>
      </c>
      <c r="H163" s="7" t="str">
        <f t="shared" si="8"/>
        <v>Сентябрь</v>
      </c>
      <c r="I163" t="s">
        <v>9</v>
      </c>
      <c r="J163">
        <v>60</v>
      </c>
      <c r="K163" t="s">
        <v>11</v>
      </c>
      <c r="L163">
        <v>1</v>
      </c>
      <c r="M163">
        <v>137</v>
      </c>
      <c r="N163" s="1">
        <f t="shared" si="9"/>
        <v>137</v>
      </c>
    </row>
    <row r="164" spans="5:14" x14ac:dyDescent="0.25">
      <c r="E164">
        <v>19</v>
      </c>
      <c r="F164" s="7">
        <v>45185</v>
      </c>
      <c r="G164">
        <f t="shared" si="7"/>
        <v>2023</v>
      </c>
      <c r="H164" s="7" t="str">
        <f t="shared" si="8"/>
        <v>Сентябрь</v>
      </c>
      <c r="I164" t="s">
        <v>9</v>
      </c>
      <c r="J164">
        <v>62</v>
      </c>
      <c r="K164" t="s">
        <v>10</v>
      </c>
      <c r="L164">
        <v>2</v>
      </c>
      <c r="M164">
        <v>25</v>
      </c>
      <c r="N164" s="1">
        <f t="shared" si="9"/>
        <v>50</v>
      </c>
    </row>
    <row r="165" spans="5:14" x14ac:dyDescent="0.25">
      <c r="E165">
        <v>867</v>
      </c>
      <c r="F165" s="7">
        <v>45224</v>
      </c>
      <c r="G165">
        <f t="shared" si="7"/>
        <v>2023</v>
      </c>
      <c r="H165" s="7" t="str">
        <f t="shared" si="8"/>
        <v>Октябрь</v>
      </c>
      <c r="I165" t="s">
        <v>7</v>
      </c>
      <c r="J165">
        <v>37</v>
      </c>
      <c r="K165" t="s">
        <v>8</v>
      </c>
      <c r="L165">
        <v>3</v>
      </c>
      <c r="M165">
        <v>500</v>
      </c>
      <c r="N165" s="1">
        <f t="shared" si="9"/>
        <v>1500</v>
      </c>
    </row>
    <row r="166" spans="5:14" x14ac:dyDescent="0.25">
      <c r="E166">
        <v>129</v>
      </c>
      <c r="F166" s="7">
        <v>45039</v>
      </c>
      <c r="G166">
        <f t="shared" si="7"/>
        <v>2023</v>
      </c>
      <c r="H166" s="7" t="str">
        <f t="shared" si="8"/>
        <v>Апрель</v>
      </c>
      <c r="I166" t="s">
        <v>9</v>
      </c>
      <c r="J166">
        <v>21</v>
      </c>
      <c r="K166" t="s">
        <v>8</v>
      </c>
      <c r="L166">
        <v>2</v>
      </c>
      <c r="M166">
        <v>300</v>
      </c>
      <c r="N166" s="1">
        <f t="shared" si="9"/>
        <v>600</v>
      </c>
    </row>
    <row r="167" spans="5:14" x14ac:dyDescent="0.25">
      <c r="E167">
        <v>72</v>
      </c>
      <c r="F167" s="7">
        <v>45069</v>
      </c>
      <c r="G167">
        <f t="shared" si="7"/>
        <v>2023</v>
      </c>
      <c r="H167" s="7" t="str">
        <f t="shared" si="8"/>
        <v>Май</v>
      </c>
      <c r="I167" t="s">
        <v>9</v>
      </c>
      <c r="J167">
        <v>20</v>
      </c>
      <c r="K167" t="s">
        <v>11</v>
      </c>
      <c r="L167">
        <v>4</v>
      </c>
      <c r="M167">
        <v>500</v>
      </c>
      <c r="N167" s="1">
        <f t="shared" si="9"/>
        <v>2000</v>
      </c>
    </row>
    <row r="168" spans="5:14" x14ac:dyDescent="0.25">
      <c r="E168">
        <v>1249</v>
      </c>
      <c r="F168" s="7">
        <v>45417</v>
      </c>
      <c r="G168">
        <f t="shared" si="7"/>
        <v>2024</v>
      </c>
      <c r="H168" s="7" t="str">
        <f t="shared" si="8"/>
        <v>Май</v>
      </c>
      <c r="I168" t="s">
        <v>7</v>
      </c>
      <c r="J168">
        <v>42</v>
      </c>
      <c r="K168" t="s">
        <v>11</v>
      </c>
      <c r="L168">
        <v>7</v>
      </c>
      <c r="M168">
        <v>389</v>
      </c>
      <c r="N168" s="1">
        <f t="shared" si="9"/>
        <v>2723</v>
      </c>
    </row>
    <row r="169" spans="5:14" x14ac:dyDescent="0.25">
      <c r="E169">
        <v>380</v>
      </c>
      <c r="F169" s="7">
        <v>45116</v>
      </c>
      <c r="G169">
        <f t="shared" si="7"/>
        <v>2023</v>
      </c>
      <c r="H169" s="7" t="str">
        <f t="shared" si="8"/>
        <v>Июль</v>
      </c>
      <c r="I169" t="s">
        <v>9</v>
      </c>
      <c r="J169">
        <v>44</v>
      </c>
      <c r="K169" t="s">
        <v>10</v>
      </c>
      <c r="L169">
        <v>4</v>
      </c>
      <c r="M169">
        <v>25</v>
      </c>
      <c r="N169" s="1">
        <f t="shared" si="9"/>
        <v>100</v>
      </c>
    </row>
    <row r="170" spans="5:14" x14ac:dyDescent="0.25">
      <c r="E170">
        <v>914</v>
      </c>
      <c r="F170" s="7">
        <v>45284</v>
      </c>
      <c r="G170">
        <f t="shared" si="7"/>
        <v>2023</v>
      </c>
      <c r="H170" s="7" t="str">
        <f t="shared" si="8"/>
        <v>Декабрь</v>
      </c>
      <c r="I170" t="s">
        <v>9</v>
      </c>
      <c r="J170">
        <v>32</v>
      </c>
      <c r="K170" t="s">
        <v>11</v>
      </c>
      <c r="L170">
        <v>1</v>
      </c>
      <c r="M170">
        <v>50</v>
      </c>
      <c r="N170" s="1">
        <f t="shared" si="9"/>
        <v>50</v>
      </c>
    </row>
    <row r="171" spans="5:14" x14ac:dyDescent="0.25">
      <c r="E171">
        <v>1731</v>
      </c>
      <c r="F171" s="7">
        <v>45569</v>
      </c>
      <c r="G171">
        <f t="shared" si="7"/>
        <v>2024</v>
      </c>
      <c r="H171" s="7" t="str">
        <f t="shared" si="8"/>
        <v>Октябрь</v>
      </c>
      <c r="I171" t="s">
        <v>9</v>
      </c>
      <c r="J171">
        <v>32</v>
      </c>
      <c r="K171" t="s">
        <v>10</v>
      </c>
      <c r="L171">
        <v>5</v>
      </c>
      <c r="M171">
        <v>124</v>
      </c>
      <c r="N171" s="1">
        <f t="shared" si="9"/>
        <v>620</v>
      </c>
    </row>
    <row r="172" spans="5:14" x14ac:dyDescent="0.25">
      <c r="E172">
        <v>725</v>
      </c>
      <c r="F172" s="7">
        <v>45099</v>
      </c>
      <c r="G172">
        <f t="shared" si="7"/>
        <v>2023</v>
      </c>
      <c r="H172" s="7" t="str">
        <f t="shared" si="8"/>
        <v>Июнь</v>
      </c>
      <c r="I172" t="s">
        <v>7</v>
      </c>
      <c r="J172">
        <v>55</v>
      </c>
      <c r="K172" t="s">
        <v>8</v>
      </c>
      <c r="L172">
        <v>3</v>
      </c>
      <c r="M172">
        <v>300</v>
      </c>
      <c r="N172" s="1">
        <f t="shared" si="9"/>
        <v>900</v>
      </c>
    </row>
    <row r="173" spans="5:14" x14ac:dyDescent="0.25">
      <c r="E173">
        <v>1540</v>
      </c>
      <c r="F173" s="7">
        <v>45499</v>
      </c>
      <c r="G173">
        <f t="shared" si="7"/>
        <v>2024</v>
      </c>
      <c r="H173" s="7" t="str">
        <f t="shared" si="8"/>
        <v>Июль</v>
      </c>
      <c r="I173" t="s">
        <v>7</v>
      </c>
      <c r="J173">
        <v>35</v>
      </c>
      <c r="K173" t="s">
        <v>8</v>
      </c>
      <c r="L173">
        <v>4</v>
      </c>
      <c r="M173">
        <v>343</v>
      </c>
      <c r="N173" s="1">
        <f t="shared" si="9"/>
        <v>1372</v>
      </c>
    </row>
    <row r="174" spans="5:14" x14ac:dyDescent="0.25">
      <c r="E174">
        <v>554</v>
      </c>
      <c r="F174" s="7">
        <v>45218</v>
      </c>
      <c r="G174">
        <f t="shared" si="7"/>
        <v>2023</v>
      </c>
      <c r="H174" s="7" t="str">
        <f t="shared" si="8"/>
        <v>Октябрь</v>
      </c>
      <c r="I174" t="s">
        <v>7</v>
      </c>
      <c r="J174">
        <v>25</v>
      </c>
      <c r="K174" t="s">
        <v>8</v>
      </c>
      <c r="L174">
        <v>1</v>
      </c>
      <c r="M174">
        <v>300</v>
      </c>
      <c r="N174" s="1">
        <f t="shared" si="9"/>
        <v>300</v>
      </c>
    </row>
    <row r="175" spans="5:14" x14ac:dyDescent="0.25">
      <c r="E175">
        <v>1444</v>
      </c>
      <c r="F175" s="7">
        <v>45479</v>
      </c>
      <c r="G175">
        <f t="shared" si="7"/>
        <v>2024</v>
      </c>
      <c r="H175" s="7" t="str">
        <f t="shared" si="8"/>
        <v>Июль</v>
      </c>
      <c r="I175" t="s">
        <v>7</v>
      </c>
      <c r="J175">
        <v>33</v>
      </c>
      <c r="K175" t="s">
        <v>8</v>
      </c>
      <c r="L175">
        <v>4</v>
      </c>
      <c r="M175">
        <v>235</v>
      </c>
      <c r="N175" s="1">
        <f t="shared" si="9"/>
        <v>940</v>
      </c>
    </row>
    <row r="176" spans="5:14" x14ac:dyDescent="0.25">
      <c r="E176">
        <v>1856</v>
      </c>
      <c r="F176" s="7">
        <v>45300</v>
      </c>
      <c r="G176">
        <f t="shared" si="7"/>
        <v>2024</v>
      </c>
      <c r="H176" s="7" t="str">
        <f t="shared" si="8"/>
        <v>Январь</v>
      </c>
      <c r="I176" t="s">
        <v>7</v>
      </c>
      <c r="J176">
        <v>44</v>
      </c>
      <c r="K176" t="s">
        <v>10</v>
      </c>
      <c r="L176">
        <v>2</v>
      </c>
      <c r="M176">
        <v>464</v>
      </c>
      <c r="N176" s="1">
        <f t="shared" si="9"/>
        <v>928</v>
      </c>
    </row>
    <row r="177" spans="5:14" x14ac:dyDescent="0.25">
      <c r="E177">
        <v>860</v>
      </c>
      <c r="F177" s="7">
        <v>45077</v>
      </c>
      <c r="G177">
        <f t="shared" si="7"/>
        <v>2023</v>
      </c>
      <c r="H177" s="7" t="str">
        <f t="shared" si="8"/>
        <v>Май</v>
      </c>
      <c r="I177" t="s">
        <v>7</v>
      </c>
      <c r="J177">
        <v>28</v>
      </c>
      <c r="K177" t="s">
        <v>11</v>
      </c>
      <c r="L177">
        <v>4</v>
      </c>
      <c r="M177">
        <v>300</v>
      </c>
      <c r="N177" s="1">
        <f t="shared" si="9"/>
        <v>1200</v>
      </c>
    </row>
    <row r="178" spans="5:14" x14ac:dyDescent="0.25">
      <c r="E178">
        <v>1832</v>
      </c>
      <c r="F178" s="7">
        <v>45401</v>
      </c>
      <c r="G178">
        <f t="shared" si="7"/>
        <v>2024</v>
      </c>
      <c r="H178" s="7" t="str">
        <f t="shared" si="8"/>
        <v>Апрель</v>
      </c>
      <c r="I178" t="s">
        <v>9</v>
      </c>
      <c r="J178">
        <v>46</v>
      </c>
      <c r="K178" t="s">
        <v>10</v>
      </c>
      <c r="L178">
        <v>1</v>
      </c>
      <c r="M178">
        <v>496</v>
      </c>
      <c r="N178" s="1">
        <f t="shared" si="9"/>
        <v>496</v>
      </c>
    </row>
    <row r="179" spans="5:14" x14ac:dyDescent="0.25">
      <c r="E179">
        <v>398</v>
      </c>
      <c r="F179" s="7">
        <v>44986</v>
      </c>
      <c r="G179">
        <f t="shared" si="7"/>
        <v>2023</v>
      </c>
      <c r="H179" s="7" t="str">
        <f t="shared" si="8"/>
        <v>Март</v>
      </c>
      <c r="I179" t="s">
        <v>9</v>
      </c>
      <c r="J179">
        <v>64</v>
      </c>
      <c r="K179" t="s">
        <v>8</v>
      </c>
      <c r="L179">
        <v>2</v>
      </c>
      <c r="M179">
        <v>30</v>
      </c>
      <c r="N179" s="1">
        <f t="shared" si="9"/>
        <v>60</v>
      </c>
    </row>
    <row r="180" spans="5:14" x14ac:dyDescent="0.25">
      <c r="E180">
        <v>173</v>
      </c>
      <c r="F180" s="7">
        <v>45238</v>
      </c>
      <c r="G180">
        <f t="shared" si="7"/>
        <v>2023</v>
      </c>
      <c r="H180" s="7" t="str">
        <f t="shared" si="8"/>
        <v>Ноябрь</v>
      </c>
      <c r="I180" t="s">
        <v>7</v>
      </c>
      <c r="J180">
        <v>64</v>
      </c>
      <c r="K180" t="s">
        <v>11</v>
      </c>
      <c r="L180">
        <v>4</v>
      </c>
      <c r="M180">
        <v>30</v>
      </c>
      <c r="N180" s="1">
        <f t="shared" si="9"/>
        <v>120</v>
      </c>
    </row>
    <row r="181" spans="5:14" x14ac:dyDescent="0.25">
      <c r="E181">
        <v>1054</v>
      </c>
      <c r="F181" s="7">
        <v>45443</v>
      </c>
      <c r="G181">
        <f t="shared" si="7"/>
        <v>2024</v>
      </c>
      <c r="H181" s="7" t="str">
        <f t="shared" si="8"/>
        <v>Май</v>
      </c>
      <c r="I181" t="s">
        <v>9</v>
      </c>
      <c r="J181">
        <v>42</v>
      </c>
      <c r="K181" t="s">
        <v>10</v>
      </c>
      <c r="L181">
        <v>2</v>
      </c>
      <c r="M181">
        <v>164</v>
      </c>
      <c r="N181" s="1">
        <f t="shared" si="9"/>
        <v>328</v>
      </c>
    </row>
    <row r="182" spans="5:14" x14ac:dyDescent="0.25">
      <c r="E182">
        <v>1426</v>
      </c>
      <c r="F182" s="7">
        <v>45654</v>
      </c>
      <c r="G182">
        <f t="shared" si="7"/>
        <v>2024</v>
      </c>
      <c r="H182" s="7" t="str">
        <f t="shared" si="8"/>
        <v>Декабрь</v>
      </c>
      <c r="I182" t="s">
        <v>7</v>
      </c>
      <c r="J182">
        <v>55</v>
      </c>
      <c r="K182" t="s">
        <v>11</v>
      </c>
      <c r="L182">
        <v>7</v>
      </c>
      <c r="M182">
        <v>399</v>
      </c>
      <c r="N182" s="1">
        <f t="shared" si="9"/>
        <v>2793</v>
      </c>
    </row>
    <row r="183" spans="5:14" x14ac:dyDescent="0.25">
      <c r="E183">
        <v>1778</v>
      </c>
      <c r="F183" s="7">
        <v>45447</v>
      </c>
      <c r="G183">
        <f t="shared" si="7"/>
        <v>2024</v>
      </c>
      <c r="H183" s="7" t="str">
        <f t="shared" si="8"/>
        <v>Июнь</v>
      </c>
      <c r="I183" t="s">
        <v>7</v>
      </c>
      <c r="J183">
        <v>60</v>
      </c>
      <c r="K183" t="s">
        <v>10</v>
      </c>
      <c r="L183">
        <v>5</v>
      </c>
      <c r="M183">
        <v>146</v>
      </c>
      <c r="N183" s="1">
        <f t="shared" si="9"/>
        <v>730</v>
      </c>
    </row>
    <row r="184" spans="5:14" x14ac:dyDescent="0.25">
      <c r="E184">
        <v>203</v>
      </c>
      <c r="F184" s="7">
        <v>45062</v>
      </c>
      <c r="G184">
        <f t="shared" si="7"/>
        <v>2023</v>
      </c>
      <c r="H184" s="7" t="str">
        <f t="shared" si="8"/>
        <v>Май</v>
      </c>
      <c r="I184" t="s">
        <v>7</v>
      </c>
      <c r="J184">
        <v>56</v>
      </c>
      <c r="K184" t="s">
        <v>10</v>
      </c>
      <c r="L184">
        <v>2</v>
      </c>
      <c r="M184">
        <v>500</v>
      </c>
      <c r="N184" s="1">
        <f t="shared" si="9"/>
        <v>1000</v>
      </c>
    </row>
    <row r="185" spans="5:14" x14ac:dyDescent="0.25">
      <c r="E185">
        <v>1616</v>
      </c>
      <c r="F185" s="7">
        <v>45578</v>
      </c>
      <c r="G185">
        <f t="shared" si="7"/>
        <v>2024</v>
      </c>
      <c r="H185" s="7" t="str">
        <f t="shared" si="8"/>
        <v>Октябрь</v>
      </c>
      <c r="I185" t="s">
        <v>7</v>
      </c>
      <c r="J185">
        <v>56</v>
      </c>
      <c r="K185" t="s">
        <v>11</v>
      </c>
      <c r="L185">
        <v>7</v>
      </c>
      <c r="M185">
        <v>249</v>
      </c>
      <c r="N185" s="1">
        <f t="shared" si="9"/>
        <v>1743</v>
      </c>
    </row>
    <row r="186" spans="5:14" x14ac:dyDescent="0.25">
      <c r="E186">
        <v>677</v>
      </c>
      <c r="F186" s="7">
        <v>44937</v>
      </c>
      <c r="G186">
        <f t="shared" si="7"/>
        <v>2023</v>
      </c>
      <c r="H186" s="7" t="str">
        <f t="shared" si="8"/>
        <v>Январь</v>
      </c>
      <c r="I186" t="s">
        <v>9</v>
      </c>
      <c r="J186">
        <v>18</v>
      </c>
      <c r="K186" t="s">
        <v>8</v>
      </c>
      <c r="L186">
        <v>3</v>
      </c>
      <c r="M186">
        <v>30</v>
      </c>
      <c r="N186" s="1">
        <f t="shared" si="9"/>
        <v>90</v>
      </c>
    </row>
    <row r="187" spans="5:14" x14ac:dyDescent="0.25">
      <c r="E187">
        <v>172</v>
      </c>
      <c r="F187" s="7">
        <v>45186</v>
      </c>
      <c r="G187">
        <f t="shared" si="7"/>
        <v>2023</v>
      </c>
      <c r="H187" s="7" t="str">
        <f t="shared" si="8"/>
        <v>Сентябрь</v>
      </c>
      <c r="I187" t="s">
        <v>7</v>
      </c>
      <c r="J187">
        <v>32</v>
      </c>
      <c r="K187" t="s">
        <v>8</v>
      </c>
      <c r="L187">
        <v>2</v>
      </c>
      <c r="M187">
        <v>25</v>
      </c>
      <c r="N187" s="1">
        <f t="shared" si="9"/>
        <v>50</v>
      </c>
    </row>
    <row r="188" spans="5:14" x14ac:dyDescent="0.25">
      <c r="E188">
        <v>198</v>
      </c>
      <c r="F188" s="7">
        <v>44992</v>
      </c>
      <c r="G188">
        <f t="shared" si="7"/>
        <v>2023</v>
      </c>
      <c r="H188" s="7" t="str">
        <f t="shared" si="8"/>
        <v>Март</v>
      </c>
      <c r="I188" t="s">
        <v>9</v>
      </c>
      <c r="J188">
        <v>54</v>
      </c>
      <c r="K188" t="s">
        <v>8</v>
      </c>
      <c r="L188">
        <v>3</v>
      </c>
      <c r="M188">
        <v>300</v>
      </c>
      <c r="N188" s="1">
        <f t="shared" si="9"/>
        <v>900</v>
      </c>
    </row>
    <row r="189" spans="5:14" x14ac:dyDescent="0.25">
      <c r="E189">
        <v>1957</v>
      </c>
      <c r="F189" s="7">
        <v>45449</v>
      </c>
      <c r="G189">
        <f t="shared" si="7"/>
        <v>2024</v>
      </c>
      <c r="H189" s="7" t="str">
        <f t="shared" si="8"/>
        <v>Июнь</v>
      </c>
      <c r="I189" t="s">
        <v>7</v>
      </c>
      <c r="J189">
        <v>56</v>
      </c>
      <c r="K189" t="s">
        <v>8</v>
      </c>
      <c r="L189">
        <v>5</v>
      </c>
      <c r="M189">
        <v>263</v>
      </c>
      <c r="N189" s="1">
        <f t="shared" si="9"/>
        <v>1315</v>
      </c>
    </row>
    <row r="190" spans="5:14" x14ac:dyDescent="0.25">
      <c r="E190">
        <v>599</v>
      </c>
      <c r="F190" s="7">
        <v>45221</v>
      </c>
      <c r="G190">
        <f t="shared" si="7"/>
        <v>2023</v>
      </c>
      <c r="H190" s="7" t="str">
        <f t="shared" si="8"/>
        <v>Октябрь</v>
      </c>
      <c r="I190" t="s">
        <v>9</v>
      </c>
      <c r="J190">
        <v>59</v>
      </c>
      <c r="K190" t="s">
        <v>8</v>
      </c>
      <c r="L190">
        <v>2</v>
      </c>
      <c r="M190">
        <v>500</v>
      </c>
      <c r="N190" s="1">
        <f t="shared" si="9"/>
        <v>1000</v>
      </c>
    </row>
    <row r="191" spans="5:14" x14ac:dyDescent="0.25">
      <c r="E191">
        <v>378</v>
      </c>
      <c r="F191" s="7">
        <v>44962</v>
      </c>
      <c r="G191">
        <f t="shared" si="7"/>
        <v>2023</v>
      </c>
      <c r="H191" s="7" t="str">
        <f t="shared" si="8"/>
        <v>Февраль</v>
      </c>
      <c r="I191" t="s">
        <v>9</v>
      </c>
      <c r="J191">
        <v>47</v>
      </c>
      <c r="K191" t="s">
        <v>10</v>
      </c>
      <c r="L191">
        <v>1</v>
      </c>
      <c r="M191">
        <v>25</v>
      </c>
      <c r="N191" s="1">
        <f t="shared" si="9"/>
        <v>25</v>
      </c>
    </row>
    <row r="192" spans="5:14" x14ac:dyDescent="0.25">
      <c r="E192">
        <v>281</v>
      </c>
      <c r="F192" s="7">
        <v>45163</v>
      </c>
      <c r="G192">
        <f t="shared" si="7"/>
        <v>2023</v>
      </c>
      <c r="H192" s="7" t="str">
        <f t="shared" si="8"/>
        <v>Август</v>
      </c>
      <c r="I192" t="s">
        <v>9</v>
      </c>
      <c r="J192">
        <v>64</v>
      </c>
      <c r="K192" t="s">
        <v>11</v>
      </c>
      <c r="L192">
        <v>4</v>
      </c>
      <c r="M192">
        <v>50</v>
      </c>
      <c r="N192" s="1">
        <f t="shared" si="9"/>
        <v>200</v>
      </c>
    </row>
    <row r="193" spans="5:14" x14ac:dyDescent="0.25">
      <c r="E193">
        <v>83</v>
      </c>
      <c r="F193" s="7">
        <v>45276</v>
      </c>
      <c r="G193">
        <f t="shared" si="7"/>
        <v>2023</v>
      </c>
      <c r="H193" s="7" t="str">
        <f t="shared" si="8"/>
        <v>Декабрь</v>
      </c>
      <c r="I193" t="s">
        <v>7</v>
      </c>
      <c r="J193">
        <v>54</v>
      </c>
      <c r="K193" t="s">
        <v>11</v>
      </c>
      <c r="L193">
        <v>2</v>
      </c>
      <c r="M193">
        <v>50</v>
      </c>
      <c r="N193" s="1">
        <f t="shared" si="9"/>
        <v>100</v>
      </c>
    </row>
    <row r="194" spans="5:14" x14ac:dyDescent="0.25">
      <c r="E194">
        <v>499</v>
      </c>
      <c r="F194" s="7">
        <v>44986</v>
      </c>
      <c r="G194">
        <f t="shared" si="7"/>
        <v>2023</v>
      </c>
      <c r="H194" s="7" t="str">
        <f t="shared" si="8"/>
        <v>Март</v>
      </c>
      <c r="I194" t="s">
        <v>9</v>
      </c>
      <c r="J194">
        <v>60</v>
      </c>
      <c r="K194" t="s">
        <v>8</v>
      </c>
      <c r="L194">
        <v>4</v>
      </c>
      <c r="M194">
        <v>25</v>
      </c>
      <c r="N194" s="1">
        <f t="shared" si="9"/>
        <v>100</v>
      </c>
    </row>
    <row r="195" spans="5:14" x14ac:dyDescent="0.25">
      <c r="E195">
        <v>722</v>
      </c>
      <c r="F195" s="7">
        <v>45035</v>
      </c>
      <c r="G195">
        <f t="shared" si="7"/>
        <v>2023</v>
      </c>
      <c r="H195" s="7" t="str">
        <f t="shared" si="8"/>
        <v>Апрель</v>
      </c>
      <c r="I195" t="s">
        <v>7</v>
      </c>
      <c r="J195">
        <v>61</v>
      </c>
      <c r="K195" t="s">
        <v>10</v>
      </c>
      <c r="L195">
        <v>3</v>
      </c>
      <c r="M195">
        <v>50</v>
      </c>
      <c r="N195" s="1">
        <f t="shared" si="9"/>
        <v>150</v>
      </c>
    </row>
    <row r="196" spans="5:14" x14ac:dyDescent="0.25">
      <c r="E196">
        <v>625</v>
      </c>
      <c r="F196" s="7">
        <v>45198</v>
      </c>
      <c r="G196">
        <f t="shared" si="7"/>
        <v>2023</v>
      </c>
      <c r="H196" s="7" t="str">
        <f t="shared" si="8"/>
        <v>Сентябрь</v>
      </c>
      <c r="I196" t="s">
        <v>9</v>
      </c>
      <c r="J196">
        <v>26</v>
      </c>
      <c r="K196" t="s">
        <v>10</v>
      </c>
      <c r="L196">
        <v>4</v>
      </c>
      <c r="M196">
        <v>500</v>
      </c>
      <c r="N196" s="1">
        <f t="shared" si="9"/>
        <v>2000</v>
      </c>
    </row>
    <row r="197" spans="5:14" x14ac:dyDescent="0.25">
      <c r="E197">
        <v>1647</v>
      </c>
      <c r="F197" s="7">
        <v>45439</v>
      </c>
      <c r="G197">
        <f t="shared" si="7"/>
        <v>2024</v>
      </c>
      <c r="H197" s="7" t="str">
        <f t="shared" si="8"/>
        <v>Май</v>
      </c>
      <c r="I197" t="s">
        <v>7</v>
      </c>
      <c r="J197">
        <v>18</v>
      </c>
      <c r="K197" t="s">
        <v>10</v>
      </c>
      <c r="L197">
        <v>1</v>
      </c>
      <c r="M197">
        <v>99</v>
      </c>
      <c r="N197" s="1">
        <f t="shared" si="9"/>
        <v>99</v>
      </c>
    </row>
    <row r="198" spans="5:14" x14ac:dyDescent="0.25">
      <c r="E198">
        <v>1402</v>
      </c>
      <c r="F198" s="7">
        <v>45602</v>
      </c>
      <c r="G198">
        <f t="shared" si="7"/>
        <v>2024</v>
      </c>
      <c r="H198" s="7" t="str">
        <f t="shared" si="8"/>
        <v>Ноябрь</v>
      </c>
      <c r="I198" t="s">
        <v>9</v>
      </c>
      <c r="J198">
        <v>61</v>
      </c>
      <c r="K198" t="s">
        <v>10</v>
      </c>
      <c r="L198">
        <v>3</v>
      </c>
      <c r="M198">
        <v>193</v>
      </c>
      <c r="N198" s="1">
        <f t="shared" si="9"/>
        <v>579</v>
      </c>
    </row>
    <row r="199" spans="5:14" x14ac:dyDescent="0.25">
      <c r="E199">
        <v>1691</v>
      </c>
      <c r="F199" s="7">
        <v>45516</v>
      </c>
      <c r="G199">
        <f t="shared" si="7"/>
        <v>2024</v>
      </c>
      <c r="H199" s="7" t="str">
        <f t="shared" si="8"/>
        <v>Август</v>
      </c>
      <c r="I199" t="s">
        <v>9</v>
      </c>
      <c r="J199">
        <v>20</v>
      </c>
      <c r="K199" t="s">
        <v>11</v>
      </c>
      <c r="L199">
        <v>7</v>
      </c>
      <c r="M199">
        <v>259</v>
      </c>
      <c r="N199" s="1">
        <f t="shared" si="9"/>
        <v>1813</v>
      </c>
    </row>
    <row r="200" spans="5:14" x14ac:dyDescent="0.25">
      <c r="E200">
        <v>804</v>
      </c>
      <c r="F200" s="7">
        <v>45005</v>
      </c>
      <c r="G200">
        <f t="shared" si="7"/>
        <v>2023</v>
      </c>
      <c r="H200" s="7" t="str">
        <f t="shared" si="8"/>
        <v>Март</v>
      </c>
      <c r="I200" t="s">
        <v>9</v>
      </c>
      <c r="J200">
        <v>35</v>
      </c>
      <c r="K200" t="s">
        <v>8</v>
      </c>
      <c r="L200">
        <v>3</v>
      </c>
      <c r="M200">
        <v>300</v>
      </c>
      <c r="N200" s="1">
        <f t="shared" si="9"/>
        <v>900</v>
      </c>
    </row>
    <row r="201" spans="5:14" x14ac:dyDescent="0.25">
      <c r="E201">
        <v>606</v>
      </c>
      <c r="F201" s="7">
        <v>45002</v>
      </c>
      <c r="G201">
        <f t="shared" si="7"/>
        <v>2023</v>
      </c>
      <c r="H201" s="7" t="str">
        <f t="shared" si="8"/>
        <v>Март</v>
      </c>
      <c r="I201" t="s">
        <v>7</v>
      </c>
      <c r="J201">
        <v>54</v>
      </c>
      <c r="K201" t="s">
        <v>10</v>
      </c>
      <c r="L201">
        <v>3</v>
      </c>
      <c r="M201">
        <v>25</v>
      </c>
      <c r="N201" s="1">
        <f t="shared" si="9"/>
        <v>75</v>
      </c>
    </row>
    <row r="202" spans="5:14" x14ac:dyDescent="0.25">
      <c r="E202">
        <v>582</v>
      </c>
      <c r="F202" s="7">
        <v>45098</v>
      </c>
      <c r="G202">
        <f t="shared" ref="G202:G265" si="10">YEAR(F202)</f>
        <v>2023</v>
      </c>
      <c r="H202" s="7" t="str">
        <f t="shared" ref="H202:H265" si="11">TEXT(F202,"ММММ")</f>
        <v>Июнь</v>
      </c>
      <c r="I202" t="s">
        <v>9</v>
      </c>
      <c r="J202">
        <v>24</v>
      </c>
      <c r="K202" t="s">
        <v>11</v>
      </c>
      <c r="L202">
        <v>4</v>
      </c>
      <c r="M202">
        <v>25</v>
      </c>
      <c r="N202" s="1">
        <f t="shared" ref="N202:N265" si="12">L202*M202</f>
        <v>100</v>
      </c>
    </row>
    <row r="203" spans="5:14" x14ac:dyDescent="0.25">
      <c r="E203">
        <v>1962</v>
      </c>
      <c r="F203" s="7">
        <v>45342</v>
      </c>
      <c r="G203">
        <f t="shared" si="10"/>
        <v>2024</v>
      </c>
      <c r="H203" s="7" t="str">
        <f t="shared" si="11"/>
        <v>Февраль</v>
      </c>
      <c r="I203" t="s">
        <v>7</v>
      </c>
      <c r="J203">
        <v>28</v>
      </c>
      <c r="K203" t="s">
        <v>11</v>
      </c>
      <c r="L203">
        <v>1</v>
      </c>
      <c r="M203">
        <v>483</v>
      </c>
      <c r="N203" s="1">
        <f t="shared" si="12"/>
        <v>483</v>
      </c>
    </row>
    <row r="204" spans="5:14" x14ac:dyDescent="0.25">
      <c r="E204">
        <v>1479</v>
      </c>
      <c r="F204" s="7">
        <v>45409</v>
      </c>
      <c r="G204">
        <f t="shared" si="10"/>
        <v>2024</v>
      </c>
      <c r="H204" s="7" t="str">
        <f t="shared" si="11"/>
        <v>Апрель</v>
      </c>
      <c r="I204" t="s">
        <v>9</v>
      </c>
      <c r="J204">
        <v>58</v>
      </c>
      <c r="K204" t="s">
        <v>10</v>
      </c>
      <c r="L204">
        <v>2</v>
      </c>
      <c r="M204">
        <v>374</v>
      </c>
      <c r="N204" s="1">
        <f t="shared" si="12"/>
        <v>748</v>
      </c>
    </row>
    <row r="205" spans="5:14" x14ac:dyDescent="0.25">
      <c r="E205">
        <v>417</v>
      </c>
      <c r="F205" s="7">
        <v>45143</v>
      </c>
      <c r="G205">
        <f t="shared" si="10"/>
        <v>2023</v>
      </c>
      <c r="H205" s="7" t="str">
        <f t="shared" si="11"/>
        <v>Август</v>
      </c>
      <c r="I205" t="s">
        <v>9</v>
      </c>
      <c r="J205">
        <v>60</v>
      </c>
      <c r="K205" t="s">
        <v>11</v>
      </c>
      <c r="L205">
        <v>2</v>
      </c>
      <c r="M205">
        <v>500</v>
      </c>
      <c r="N205" s="1">
        <f t="shared" si="12"/>
        <v>1000</v>
      </c>
    </row>
    <row r="206" spans="5:14" x14ac:dyDescent="0.25">
      <c r="E206">
        <v>85</v>
      </c>
      <c r="F206" s="7">
        <v>44963</v>
      </c>
      <c r="G206">
        <f t="shared" si="10"/>
        <v>2023</v>
      </c>
      <c r="H206" s="7" t="str">
        <f t="shared" si="11"/>
        <v>Февраль</v>
      </c>
      <c r="I206" t="s">
        <v>7</v>
      </c>
      <c r="J206">
        <v>31</v>
      </c>
      <c r="K206" t="s">
        <v>10</v>
      </c>
      <c r="L206">
        <v>3</v>
      </c>
      <c r="M206">
        <v>50</v>
      </c>
      <c r="N206" s="1">
        <f t="shared" si="12"/>
        <v>150</v>
      </c>
    </row>
    <row r="207" spans="5:14" x14ac:dyDescent="0.25">
      <c r="E207">
        <v>1160</v>
      </c>
      <c r="F207" s="7">
        <v>45525</v>
      </c>
      <c r="G207">
        <f t="shared" si="10"/>
        <v>2024</v>
      </c>
      <c r="H207" s="7" t="str">
        <f t="shared" si="11"/>
        <v>Август</v>
      </c>
      <c r="I207" t="s">
        <v>7</v>
      </c>
      <c r="J207">
        <v>48</v>
      </c>
      <c r="K207" t="s">
        <v>10</v>
      </c>
      <c r="L207">
        <v>3</v>
      </c>
      <c r="M207">
        <v>118</v>
      </c>
      <c r="N207" s="1">
        <f t="shared" si="12"/>
        <v>354</v>
      </c>
    </row>
    <row r="208" spans="5:14" x14ac:dyDescent="0.25">
      <c r="E208">
        <v>1596</v>
      </c>
      <c r="F208" s="7">
        <v>45615</v>
      </c>
      <c r="G208">
        <f t="shared" si="10"/>
        <v>2024</v>
      </c>
      <c r="H208" s="7" t="str">
        <f t="shared" si="11"/>
        <v>Ноябрь</v>
      </c>
      <c r="I208" t="s">
        <v>9</v>
      </c>
      <c r="J208">
        <v>32</v>
      </c>
      <c r="K208" t="s">
        <v>8</v>
      </c>
      <c r="L208">
        <v>5</v>
      </c>
      <c r="M208">
        <v>101</v>
      </c>
      <c r="N208" s="1">
        <f t="shared" si="12"/>
        <v>505</v>
      </c>
    </row>
    <row r="209" spans="5:14" x14ac:dyDescent="0.25">
      <c r="E209">
        <v>1955</v>
      </c>
      <c r="F209" s="7">
        <v>45594</v>
      </c>
      <c r="G209">
        <f t="shared" si="10"/>
        <v>2024</v>
      </c>
      <c r="H209" s="7" t="str">
        <f t="shared" si="11"/>
        <v>Октябрь</v>
      </c>
      <c r="I209" t="s">
        <v>9</v>
      </c>
      <c r="J209">
        <v>60</v>
      </c>
      <c r="K209" t="s">
        <v>11</v>
      </c>
      <c r="L209">
        <v>2</v>
      </c>
      <c r="M209">
        <v>64</v>
      </c>
      <c r="N209" s="1">
        <f t="shared" si="12"/>
        <v>128</v>
      </c>
    </row>
    <row r="210" spans="5:14" x14ac:dyDescent="0.25">
      <c r="E210">
        <v>110</v>
      </c>
      <c r="F210" s="7">
        <v>45088</v>
      </c>
      <c r="G210">
        <f t="shared" si="10"/>
        <v>2023</v>
      </c>
      <c r="H210" s="7" t="str">
        <f t="shared" si="11"/>
        <v>Июнь</v>
      </c>
      <c r="I210" t="s">
        <v>7</v>
      </c>
      <c r="J210">
        <v>27</v>
      </c>
      <c r="K210" t="s">
        <v>10</v>
      </c>
      <c r="L210">
        <v>3</v>
      </c>
      <c r="M210">
        <v>300</v>
      </c>
      <c r="N210" s="1">
        <f t="shared" si="12"/>
        <v>900</v>
      </c>
    </row>
    <row r="211" spans="5:14" x14ac:dyDescent="0.25">
      <c r="E211">
        <v>1846</v>
      </c>
      <c r="F211" s="7">
        <v>45501</v>
      </c>
      <c r="G211">
        <f t="shared" si="10"/>
        <v>2024</v>
      </c>
      <c r="H211" s="7" t="str">
        <f t="shared" si="11"/>
        <v>Июль</v>
      </c>
      <c r="I211" t="s">
        <v>9</v>
      </c>
      <c r="J211">
        <v>23</v>
      </c>
      <c r="K211" t="s">
        <v>8</v>
      </c>
      <c r="L211">
        <v>6</v>
      </c>
      <c r="M211">
        <v>138</v>
      </c>
      <c r="N211" s="1">
        <f t="shared" si="12"/>
        <v>828</v>
      </c>
    </row>
    <row r="212" spans="5:14" x14ac:dyDescent="0.25">
      <c r="E212">
        <v>989</v>
      </c>
      <c r="F212" s="7">
        <v>45286</v>
      </c>
      <c r="G212">
        <f t="shared" si="10"/>
        <v>2023</v>
      </c>
      <c r="H212" s="7" t="str">
        <f t="shared" si="11"/>
        <v>Декабрь</v>
      </c>
      <c r="I212" t="s">
        <v>9</v>
      </c>
      <c r="J212">
        <v>34</v>
      </c>
      <c r="K212" t="s">
        <v>10</v>
      </c>
      <c r="L212">
        <v>2</v>
      </c>
      <c r="M212">
        <v>50</v>
      </c>
      <c r="N212" s="1">
        <f t="shared" si="12"/>
        <v>100</v>
      </c>
    </row>
    <row r="213" spans="5:14" x14ac:dyDescent="0.25">
      <c r="E213">
        <v>1060</v>
      </c>
      <c r="F213" s="7">
        <v>45653</v>
      </c>
      <c r="G213">
        <f t="shared" si="10"/>
        <v>2024</v>
      </c>
      <c r="H213" s="7" t="str">
        <f t="shared" si="11"/>
        <v>Декабрь</v>
      </c>
      <c r="I213" t="s">
        <v>7</v>
      </c>
      <c r="J213">
        <v>49</v>
      </c>
      <c r="K213" t="s">
        <v>8</v>
      </c>
      <c r="L213">
        <v>1</v>
      </c>
      <c r="M213">
        <v>183</v>
      </c>
      <c r="N213" s="1">
        <f t="shared" si="12"/>
        <v>183</v>
      </c>
    </row>
    <row r="214" spans="5:14" x14ac:dyDescent="0.25">
      <c r="E214">
        <v>319</v>
      </c>
      <c r="F214" s="7">
        <v>44958</v>
      </c>
      <c r="G214">
        <f t="shared" si="10"/>
        <v>2023</v>
      </c>
      <c r="H214" s="7" t="str">
        <f t="shared" si="11"/>
        <v>Февраль</v>
      </c>
      <c r="I214" t="s">
        <v>9</v>
      </c>
      <c r="J214">
        <v>28</v>
      </c>
      <c r="K214" t="s">
        <v>11</v>
      </c>
      <c r="L214">
        <v>4</v>
      </c>
      <c r="M214">
        <v>300</v>
      </c>
      <c r="N214" s="1">
        <f t="shared" si="12"/>
        <v>1200</v>
      </c>
    </row>
    <row r="215" spans="5:14" x14ac:dyDescent="0.25">
      <c r="E215">
        <v>952</v>
      </c>
      <c r="F215" s="7">
        <v>45194</v>
      </c>
      <c r="G215">
        <f t="shared" si="10"/>
        <v>2023</v>
      </c>
      <c r="H215" s="7" t="str">
        <f t="shared" si="11"/>
        <v>Сентябрь</v>
      </c>
      <c r="I215" t="s">
        <v>9</v>
      </c>
      <c r="J215">
        <v>50</v>
      </c>
      <c r="K215" t="s">
        <v>11</v>
      </c>
      <c r="L215">
        <v>3</v>
      </c>
      <c r="M215">
        <v>300</v>
      </c>
      <c r="N215" s="1">
        <f t="shared" si="12"/>
        <v>900</v>
      </c>
    </row>
    <row r="216" spans="5:14" x14ac:dyDescent="0.25">
      <c r="E216">
        <v>1706</v>
      </c>
      <c r="F216" s="7">
        <v>45596</v>
      </c>
      <c r="G216">
        <f t="shared" si="10"/>
        <v>2024</v>
      </c>
      <c r="H216" s="7" t="str">
        <f t="shared" si="11"/>
        <v>Октябрь</v>
      </c>
      <c r="I216" t="s">
        <v>9</v>
      </c>
      <c r="J216">
        <v>63</v>
      </c>
      <c r="K216" t="s">
        <v>11</v>
      </c>
      <c r="L216">
        <v>6</v>
      </c>
      <c r="M216">
        <v>499</v>
      </c>
      <c r="N216" s="1">
        <f t="shared" si="12"/>
        <v>2994</v>
      </c>
    </row>
    <row r="217" spans="5:14" x14ac:dyDescent="0.25">
      <c r="E217">
        <v>147</v>
      </c>
      <c r="F217" s="7">
        <v>45197</v>
      </c>
      <c r="G217">
        <f t="shared" si="10"/>
        <v>2023</v>
      </c>
      <c r="H217" s="7" t="str">
        <f t="shared" si="11"/>
        <v>Сентябрь</v>
      </c>
      <c r="I217" t="s">
        <v>7</v>
      </c>
      <c r="J217">
        <v>23</v>
      </c>
      <c r="K217" t="s">
        <v>11</v>
      </c>
      <c r="L217">
        <v>1</v>
      </c>
      <c r="M217">
        <v>300</v>
      </c>
      <c r="N217" s="1">
        <f t="shared" si="12"/>
        <v>300</v>
      </c>
    </row>
    <row r="218" spans="5:14" x14ac:dyDescent="0.25">
      <c r="E218">
        <v>818</v>
      </c>
      <c r="F218" s="7">
        <v>45052</v>
      </c>
      <c r="G218">
        <f t="shared" si="10"/>
        <v>2023</v>
      </c>
      <c r="H218" s="7" t="str">
        <f t="shared" si="11"/>
        <v>Май</v>
      </c>
      <c r="I218" t="s">
        <v>7</v>
      </c>
      <c r="J218">
        <v>49</v>
      </c>
      <c r="K218" t="s">
        <v>11</v>
      </c>
      <c r="L218">
        <v>4</v>
      </c>
      <c r="M218">
        <v>50</v>
      </c>
      <c r="N218" s="1">
        <f t="shared" si="12"/>
        <v>200</v>
      </c>
    </row>
    <row r="219" spans="5:14" x14ac:dyDescent="0.25">
      <c r="E219">
        <v>844</v>
      </c>
      <c r="F219" s="7">
        <v>45191</v>
      </c>
      <c r="G219">
        <f t="shared" si="10"/>
        <v>2023</v>
      </c>
      <c r="H219" s="7" t="str">
        <f t="shared" si="11"/>
        <v>Сентябрь</v>
      </c>
      <c r="I219" t="s">
        <v>7</v>
      </c>
      <c r="J219">
        <v>42</v>
      </c>
      <c r="K219" t="s">
        <v>8</v>
      </c>
      <c r="L219">
        <v>1</v>
      </c>
      <c r="M219">
        <v>50</v>
      </c>
      <c r="N219" s="1">
        <f t="shared" si="12"/>
        <v>50</v>
      </c>
    </row>
    <row r="220" spans="5:14" x14ac:dyDescent="0.25">
      <c r="E220">
        <v>256</v>
      </c>
      <c r="F220" s="7">
        <v>44976</v>
      </c>
      <c r="G220">
        <f t="shared" si="10"/>
        <v>2023</v>
      </c>
      <c r="H220" s="7" t="str">
        <f t="shared" si="11"/>
        <v>Февраль</v>
      </c>
      <c r="I220" t="s">
        <v>7</v>
      </c>
      <c r="J220">
        <v>19</v>
      </c>
      <c r="K220" t="s">
        <v>8</v>
      </c>
      <c r="L220">
        <v>4</v>
      </c>
      <c r="M220">
        <v>500</v>
      </c>
      <c r="N220" s="1">
        <f t="shared" si="12"/>
        <v>2000</v>
      </c>
    </row>
    <row r="221" spans="5:14" x14ac:dyDescent="0.25">
      <c r="E221">
        <v>1625</v>
      </c>
      <c r="F221" s="7">
        <v>45597</v>
      </c>
      <c r="G221">
        <f t="shared" si="10"/>
        <v>2024</v>
      </c>
      <c r="H221" s="7" t="str">
        <f t="shared" si="11"/>
        <v>Ноябрь</v>
      </c>
      <c r="I221" t="s">
        <v>9</v>
      </c>
      <c r="J221">
        <v>62</v>
      </c>
      <c r="K221" t="s">
        <v>8</v>
      </c>
      <c r="L221">
        <v>6</v>
      </c>
      <c r="M221">
        <v>249</v>
      </c>
      <c r="N221" s="1">
        <f t="shared" si="12"/>
        <v>1494</v>
      </c>
    </row>
    <row r="222" spans="5:14" x14ac:dyDescent="0.25">
      <c r="E222">
        <v>1844</v>
      </c>
      <c r="F222" s="7">
        <v>45335</v>
      </c>
      <c r="G222">
        <f t="shared" si="10"/>
        <v>2024</v>
      </c>
      <c r="H222" s="7" t="str">
        <f t="shared" si="11"/>
        <v>Февраль</v>
      </c>
      <c r="I222" t="s">
        <v>9</v>
      </c>
      <c r="J222">
        <v>35</v>
      </c>
      <c r="K222" t="s">
        <v>10</v>
      </c>
      <c r="L222">
        <v>6</v>
      </c>
      <c r="M222">
        <v>321</v>
      </c>
      <c r="N222" s="1">
        <f t="shared" si="12"/>
        <v>1926</v>
      </c>
    </row>
    <row r="223" spans="5:14" x14ac:dyDescent="0.25">
      <c r="E223">
        <v>78</v>
      </c>
      <c r="F223" s="7">
        <v>45108</v>
      </c>
      <c r="G223">
        <f t="shared" si="10"/>
        <v>2023</v>
      </c>
      <c r="H223" s="7" t="str">
        <f t="shared" si="11"/>
        <v>Июль</v>
      </c>
      <c r="I223" t="s">
        <v>9</v>
      </c>
      <c r="J223">
        <v>47</v>
      </c>
      <c r="K223" t="s">
        <v>10</v>
      </c>
      <c r="L223">
        <v>3</v>
      </c>
      <c r="M223">
        <v>500</v>
      </c>
      <c r="N223" s="1">
        <f t="shared" si="12"/>
        <v>1500</v>
      </c>
    </row>
    <row r="224" spans="5:14" x14ac:dyDescent="0.25">
      <c r="E224">
        <v>248</v>
      </c>
      <c r="F224" s="7">
        <v>45219</v>
      </c>
      <c r="G224">
        <f t="shared" si="10"/>
        <v>2023</v>
      </c>
      <c r="H224" s="7" t="str">
        <f t="shared" si="11"/>
        <v>Октябрь</v>
      </c>
      <c r="I224" t="s">
        <v>7</v>
      </c>
      <c r="J224">
        <v>20</v>
      </c>
      <c r="K224" t="s">
        <v>10</v>
      </c>
      <c r="L224">
        <v>1</v>
      </c>
      <c r="M224">
        <v>50</v>
      </c>
      <c r="N224" s="1">
        <f t="shared" si="12"/>
        <v>50</v>
      </c>
    </row>
    <row r="225" spans="5:14" x14ac:dyDescent="0.25">
      <c r="E225">
        <v>634</v>
      </c>
      <c r="F225" s="7">
        <v>45155</v>
      </c>
      <c r="G225">
        <f t="shared" si="10"/>
        <v>2023</v>
      </c>
      <c r="H225" s="7" t="str">
        <f t="shared" si="11"/>
        <v>Август</v>
      </c>
      <c r="I225" t="s">
        <v>9</v>
      </c>
      <c r="J225">
        <v>63</v>
      </c>
      <c r="K225" t="s">
        <v>11</v>
      </c>
      <c r="L225">
        <v>3</v>
      </c>
      <c r="M225">
        <v>300</v>
      </c>
      <c r="N225" s="1">
        <f t="shared" si="12"/>
        <v>900</v>
      </c>
    </row>
    <row r="226" spans="5:14" x14ac:dyDescent="0.25">
      <c r="E226">
        <v>1403</v>
      </c>
      <c r="F226" s="7">
        <v>45400</v>
      </c>
      <c r="G226">
        <f t="shared" si="10"/>
        <v>2024</v>
      </c>
      <c r="H226" s="7" t="str">
        <f t="shared" si="11"/>
        <v>Апрель</v>
      </c>
      <c r="I226" t="s">
        <v>9</v>
      </c>
      <c r="J226">
        <v>35</v>
      </c>
      <c r="K226" t="s">
        <v>8</v>
      </c>
      <c r="L226">
        <v>1</v>
      </c>
      <c r="M226">
        <v>186</v>
      </c>
      <c r="N226" s="1">
        <f t="shared" si="12"/>
        <v>186</v>
      </c>
    </row>
    <row r="227" spans="5:14" x14ac:dyDescent="0.25">
      <c r="E227">
        <v>1297</v>
      </c>
      <c r="F227" s="7">
        <v>45322</v>
      </c>
      <c r="G227">
        <f t="shared" si="10"/>
        <v>2024</v>
      </c>
      <c r="H227" s="7" t="str">
        <f t="shared" si="11"/>
        <v>Январь</v>
      </c>
      <c r="I227" t="s">
        <v>9</v>
      </c>
      <c r="J227">
        <v>44</v>
      </c>
      <c r="K227" t="s">
        <v>11</v>
      </c>
      <c r="L227">
        <v>1</v>
      </c>
      <c r="M227">
        <v>176</v>
      </c>
      <c r="N227" s="1">
        <f t="shared" si="12"/>
        <v>176</v>
      </c>
    </row>
    <row r="228" spans="5:14" x14ac:dyDescent="0.25">
      <c r="E228">
        <v>960</v>
      </c>
      <c r="F228" s="7">
        <v>45218</v>
      </c>
      <c r="G228">
        <f t="shared" si="10"/>
        <v>2023</v>
      </c>
      <c r="H228" s="7" t="str">
        <f t="shared" si="11"/>
        <v>Октябрь</v>
      </c>
      <c r="I228" t="s">
        <v>7</v>
      </c>
      <c r="J228">
        <v>44</v>
      </c>
      <c r="K228" t="s">
        <v>10</v>
      </c>
      <c r="L228">
        <v>2</v>
      </c>
      <c r="M228">
        <v>30</v>
      </c>
      <c r="N228" s="1">
        <f t="shared" si="12"/>
        <v>60</v>
      </c>
    </row>
    <row r="229" spans="5:14" x14ac:dyDescent="0.25">
      <c r="E229">
        <v>1847</v>
      </c>
      <c r="F229" s="7">
        <v>45543</v>
      </c>
      <c r="G229">
        <f t="shared" si="10"/>
        <v>2024</v>
      </c>
      <c r="H229" s="7" t="str">
        <f t="shared" si="11"/>
        <v>Сентябрь</v>
      </c>
      <c r="I229" t="s">
        <v>7</v>
      </c>
      <c r="J229">
        <v>46</v>
      </c>
      <c r="K229" t="s">
        <v>11</v>
      </c>
      <c r="L229">
        <v>2</v>
      </c>
      <c r="M229">
        <v>419</v>
      </c>
      <c r="N229" s="1">
        <f t="shared" si="12"/>
        <v>838</v>
      </c>
    </row>
    <row r="230" spans="5:14" x14ac:dyDescent="0.25">
      <c r="E230">
        <v>1201</v>
      </c>
      <c r="F230" s="7">
        <v>45428</v>
      </c>
      <c r="G230">
        <f t="shared" si="10"/>
        <v>2024</v>
      </c>
      <c r="H230" s="7" t="str">
        <f t="shared" si="11"/>
        <v>Май</v>
      </c>
      <c r="I230" t="s">
        <v>7</v>
      </c>
      <c r="J230">
        <v>21</v>
      </c>
      <c r="K230" t="s">
        <v>10</v>
      </c>
      <c r="L230">
        <v>7</v>
      </c>
      <c r="M230">
        <v>335</v>
      </c>
      <c r="N230" s="1">
        <f t="shared" si="12"/>
        <v>2345</v>
      </c>
    </row>
    <row r="231" spans="5:14" x14ac:dyDescent="0.25">
      <c r="E231">
        <v>1333</v>
      </c>
      <c r="F231" s="7">
        <v>45638</v>
      </c>
      <c r="G231">
        <f t="shared" si="10"/>
        <v>2024</v>
      </c>
      <c r="H231" s="7" t="str">
        <f t="shared" si="11"/>
        <v>Декабрь</v>
      </c>
      <c r="I231" t="s">
        <v>9</v>
      </c>
      <c r="J231">
        <v>41</v>
      </c>
      <c r="K231" t="s">
        <v>8</v>
      </c>
      <c r="L231">
        <v>2</v>
      </c>
      <c r="M231">
        <v>80</v>
      </c>
      <c r="N231" s="1">
        <f t="shared" si="12"/>
        <v>160</v>
      </c>
    </row>
    <row r="232" spans="5:14" x14ac:dyDescent="0.25">
      <c r="E232">
        <v>920</v>
      </c>
      <c r="F232" s="7">
        <v>45220</v>
      </c>
      <c r="G232">
        <f t="shared" si="10"/>
        <v>2023</v>
      </c>
      <c r="H232" s="7" t="str">
        <f t="shared" si="11"/>
        <v>Октябрь</v>
      </c>
      <c r="I232" t="s">
        <v>7</v>
      </c>
      <c r="J232">
        <v>41</v>
      </c>
      <c r="K232" t="s">
        <v>11</v>
      </c>
      <c r="L232">
        <v>1</v>
      </c>
      <c r="M232">
        <v>50</v>
      </c>
      <c r="N232" s="1">
        <f t="shared" si="12"/>
        <v>50</v>
      </c>
    </row>
    <row r="233" spans="5:14" x14ac:dyDescent="0.25">
      <c r="E233">
        <v>1732</v>
      </c>
      <c r="F233" s="7">
        <v>45318</v>
      </c>
      <c r="G233">
        <f t="shared" si="10"/>
        <v>2024</v>
      </c>
      <c r="H233" s="7" t="str">
        <f t="shared" si="11"/>
        <v>Январь</v>
      </c>
      <c r="I233" t="s">
        <v>7</v>
      </c>
      <c r="J233">
        <v>46</v>
      </c>
      <c r="K233" t="s">
        <v>10</v>
      </c>
      <c r="L233">
        <v>2</v>
      </c>
      <c r="M233">
        <v>466</v>
      </c>
      <c r="N233" s="1">
        <f t="shared" si="12"/>
        <v>932</v>
      </c>
    </row>
    <row r="234" spans="5:14" x14ac:dyDescent="0.25">
      <c r="E234">
        <v>190</v>
      </c>
      <c r="F234" s="7">
        <v>45050</v>
      </c>
      <c r="G234">
        <f t="shared" si="10"/>
        <v>2023</v>
      </c>
      <c r="H234" s="7" t="str">
        <f t="shared" si="11"/>
        <v>Май</v>
      </c>
      <c r="I234" t="s">
        <v>9</v>
      </c>
      <c r="J234">
        <v>60</v>
      </c>
      <c r="K234" t="s">
        <v>8</v>
      </c>
      <c r="L234">
        <v>3</v>
      </c>
      <c r="M234">
        <v>30</v>
      </c>
      <c r="N234" s="1">
        <f t="shared" si="12"/>
        <v>90</v>
      </c>
    </row>
    <row r="235" spans="5:14" x14ac:dyDescent="0.25">
      <c r="E235">
        <v>992</v>
      </c>
      <c r="F235" s="7">
        <v>45278</v>
      </c>
      <c r="G235">
        <f t="shared" si="10"/>
        <v>2023</v>
      </c>
      <c r="H235" s="7" t="str">
        <f t="shared" si="11"/>
        <v>Декабрь</v>
      </c>
      <c r="I235" t="s">
        <v>9</v>
      </c>
      <c r="J235">
        <v>51</v>
      </c>
      <c r="K235" t="s">
        <v>8</v>
      </c>
      <c r="L235">
        <v>2</v>
      </c>
      <c r="M235">
        <v>500</v>
      </c>
      <c r="N235" s="1">
        <f t="shared" si="12"/>
        <v>1000</v>
      </c>
    </row>
    <row r="236" spans="5:14" x14ac:dyDescent="0.25">
      <c r="E236">
        <v>1592</v>
      </c>
      <c r="F236" s="7">
        <v>45605</v>
      </c>
      <c r="G236">
        <f t="shared" si="10"/>
        <v>2024</v>
      </c>
      <c r="H236" s="7" t="str">
        <f t="shared" si="11"/>
        <v>Ноябрь</v>
      </c>
      <c r="I236" t="s">
        <v>9</v>
      </c>
      <c r="J236">
        <v>49</v>
      </c>
      <c r="K236" t="s">
        <v>10</v>
      </c>
      <c r="L236">
        <v>6</v>
      </c>
      <c r="M236">
        <v>155</v>
      </c>
      <c r="N236" s="1">
        <f t="shared" si="12"/>
        <v>930</v>
      </c>
    </row>
    <row r="237" spans="5:14" x14ac:dyDescent="0.25">
      <c r="E237">
        <v>23</v>
      </c>
      <c r="F237" s="7">
        <v>45028</v>
      </c>
      <c r="G237">
        <f t="shared" si="10"/>
        <v>2023</v>
      </c>
      <c r="H237" s="7" t="str">
        <f t="shared" si="11"/>
        <v>Апрель</v>
      </c>
      <c r="I237" t="s">
        <v>9</v>
      </c>
      <c r="J237">
        <v>35</v>
      </c>
      <c r="K237" t="s">
        <v>10</v>
      </c>
      <c r="L237">
        <v>4</v>
      </c>
      <c r="M237">
        <v>30</v>
      </c>
      <c r="N237" s="1">
        <f t="shared" si="12"/>
        <v>120</v>
      </c>
    </row>
    <row r="238" spans="5:14" x14ac:dyDescent="0.25">
      <c r="E238">
        <v>855</v>
      </c>
      <c r="F238" s="7">
        <v>45291</v>
      </c>
      <c r="G238">
        <f t="shared" si="10"/>
        <v>2023</v>
      </c>
      <c r="H238" s="7" t="str">
        <f t="shared" si="11"/>
        <v>Декабрь</v>
      </c>
      <c r="I238" t="s">
        <v>7</v>
      </c>
      <c r="J238">
        <v>60</v>
      </c>
      <c r="K238" t="s">
        <v>11</v>
      </c>
      <c r="L238">
        <v>2</v>
      </c>
      <c r="M238">
        <v>25</v>
      </c>
      <c r="N238" s="1">
        <f t="shared" si="12"/>
        <v>50</v>
      </c>
    </row>
    <row r="239" spans="5:14" x14ac:dyDescent="0.25">
      <c r="E239">
        <v>1274</v>
      </c>
      <c r="F239" s="7">
        <v>45522</v>
      </c>
      <c r="G239">
        <f t="shared" si="10"/>
        <v>2024</v>
      </c>
      <c r="H239" s="7" t="str">
        <f t="shared" si="11"/>
        <v>Август</v>
      </c>
      <c r="I239" t="s">
        <v>7</v>
      </c>
      <c r="J239">
        <v>47</v>
      </c>
      <c r="K239" t="s">
        <v>10</v>
      </c>
      <c r="L239">
        <v>5</v>
      </c>
      <c r="M239">
        <v>154</v>
      </c>
      <c r="N239" s="1">
        <f t="shared" si="12"/>
        <v>770</v>
      </c>
    </row>
    <row r="240" spans="5:14" x14ac:dyDescent="0.25">
      <c r="E240">
        <v>1481</v>
      </c>
      <c r="F240" s="7">
        <v>45304</v>
      </c>
      <c r="G240">
        <f t="shared" si="10"/>
        <v>2024</v>
      </c>
      <c r="H240" s="7" t="str">
        <f t="shared" si="11"/>
        <v>Январь</v>
      </c>
      <c r="I240" t="s">
        <v>9</v>
      </c>
      <c r="J240">
        <v>63</v>
      </c>
      <c r="K240" t="s">
        <v>10</v>
      </c>
      <c r="L240">
        <v>2</v>
      </c>
      <c r="M240">
        <v>447</v>
      </c>
      <c r="N240" s="1">
        <f t="shared" si="12"/>
        <v>894</v>
      </c>
    </row>
    <row r="241" spans="5:14" x14ac:dyDescent="0.25">
      <c r="E241">
        <v>1204</v>
      </c>
      <c r="F241" s="7">
        <v>45509</v>
      </c>
      <c r="G241">
        <f t="shared" si="10"/>
        <v>2024</v>
      </c>
      <c r="H241" s="7" t="str">
        <f t="shared" si="11"/>
        <v>Август</v>
      </c>
      <c r="I241" t="s">
        <v>7</v>
      </c>
      <c r="J241">
        <v>28</v>
      </c>
      <c r="K241" t="s">
        <v>10</v>
      </c>
      <c r="L241">
        <v>7</v>
      </c>
      <c r="M241">
        <v>97</v>
      </c>
      <c r="N241" s="1">
        <f t="shared" si="12"/>
        <v>679</v>
      </c>
    </row>
    <row r="242" spans="5:14" x14ac:dyDescent="0.25">
      <c r="E242">
        <v>369</v>
      </c>
      <c r="F242" s="7">
        <v>45215</v>
      </c>
      <c r="G242">
        <f t="shared" si="10"/>
        <v>2023</v>
      </c>
      <c r="H242" s="7" t="str">
        <f t="shared" si="11"/>
        <v>Октябрь</v>
      </c>
      <c r="I242" t="s">
        <v>7</v>
      </c>
      <c r="J242">
        <v>23</v>
      </c>
      <c r="K242" t="s">
        <v>11</v>
      </c>
      <c r="L242">
        <v>2</v>
      </c>
      <c r="M242">
        <v>30</v>
      </c>
      <c r="N242" s="1">
        <f t="shared" si="12"/>
        <v>60</v>
      </c>
    </row>
    <row r="243" spans="5:14" x14ac:dyDescent="0.25">
      <c r="E243">
        <v>782</v>
      </c>
      <c r="F243" s="7">
        <v>45234</v>
      </c>
      <c r="G243">
        <f t="shared" si="10"/>
        <v>2023</v>
      </c>
      <c r="H243" s="7" t="str">
        <f t="shared" si="11"/>
        <v>Ноябрь</v>
      </c>
      <c r="I243" t="s">
        <v>9</v>
      </c>
      <c r="J243">
        <v>34</v>
      </c>
      <c r="K243" t="s">
        <v>11</v>
      </c>
      <c r="L243">
        <v>1</v>
      </c>
      <c r="M243">
        <v>500</v>
      </c>
      <c r="N243" s="1">
        <f t="shared" si="12"/>
        <v>500</v>
      </c>
    </row>
    <row r="244" spans="5:14" x14ac:dyDescent="0.25">
      <c r="E244">
        <v>1538</v>
      </c>
      <c r="F244" s="7">
        <v>45502</v>
      </c>
      <c r="G244">
        <f t="shared" si="10"/>
        <v>2024</v>
      </c>
      <c r="H244" s="7" t="str">
        <f t="shared" si="11"/>
        <v>Июль</v>
      </c>
      <c r="I244" t="s">
        <v>7</v>
      </c>
      <c r="J244">
        <v>47</v>
      </c>
      <c r="K244" t="s">
        <v>8</v>
      </c>
      <c r="L244">
        <v>4</v>
      </c>
      <c r="M244">
        <v>115</v>
      </c>
      <c r="N244" s="1">
        <f t="shared" si="12"/>
        <v>460</v>
      </c>
    </row>
    <row r="245" spans="5:14" x14ac:dyDescent="0.25">
      <c r="E245">
        <v>91</v>
      </c>
      <c r="F245" s="7">
        <v>45010</v>
      </c>
      <c r="G245">
        <f t="shared" si="10"/>
        <v>2023</v>
      </c>
      <c r="H245" s="7" t="str">
        <f t="shared" si="11"/>
        <v>Март</v>
      </c>
      <c r="I245" t="s">
        <v>9</v>
      </c>
      <c r="J245">
        <v>55</v>
      </c>
      <c r="K245" t="s">
        <v>11</v>
      </c>
      <c r="L245">
        <v>1</v>
      </c>
      <c r="M245">
        <v>500</v>
      </c>
      <c r="N245" s="1">
        <f t="shared" si="12"/>
        <v>500</v>
      </c>
    </row>
    <row r="246" spans="5:14" x14ac:dyDescent="0.25">
      <c r="E246">
        <v>605</v>
      </c>
      <c r="F246" s="7">
        <v>45051</v>
      </c>
      <c r="G246">
        <f t="shared" si="10"/>
        <v>2023</v>
      </c>
      <c r="H246" s="7" t="str">
        <f t="shared" si="11"/>
        <v>Май</v>
      </c>
      <c r="I246" t="s">
        <v>7</v>
      </c>
      <c r="J246">
        <v>22</v>
      </c>
      <c r="K246" t="s">
        <v>11</v>
      </c>
      <c r="L246">
        <v>1</v>
      </c>
      <c r="M246">
        <v>50</v>
      </c>
      <c r="N246" s="1">
        <f t="shared" si="12"/>
        <v>50</v>
      </c>
    </row>
    <row r="247" spans="5:14" x14ac:dyDescent="0.25">
      <c r="E247">
        <v>93</v>
      </c>
      <c r="F247" s="7">
        <v>45121</v>
      </c>
      <c r="G247">
        <f t="shared" si="10"/>
        <v>2023</v>
      </c>
      <c r="H247" s="7" t="str">
        <f t="shared" si="11"/>
        <v>Июль</v>
      </c>
      <c r="I247" t="s">
        <v>9</v>
      </c>
      <c r="J247">
        <v>35</v>
      </c>
      <c r="K247" t="s">
        <v>8</v>
      </c>
      <c r="L247">
        <v>4</v>
      </c>
      <c r="M247">
        <v>500</v>
      </c>
      <c r="N247" s="1">
        <f t="shared" si="12"/>
        <v>2000</v>
      </c>
    </row>
    <row r="248" spans="5:14" x14ac:dyDescent="0.25">
      <c r="E248">
        <v>6</v>
      </c>
      <c r="F248" s="7">
        <v>45041</v>
      </c>
      <c r="G248">
        <f t="shared" si="10"/>
        <v>2023</v>
      </c>
      <c r="H248" s="7" t="str">
        <f t="shared" si="11"/>
        <v>Апрель</v>
      </c>
      <c r="I248" t="s">
        <v>9</v>
      </c>
      <c r="J248">
        <v>45</v>
      </c>
      <c r="K248" t="s">
        <v>8</v>
      </c>
      <c r="L248">
        <v>1</v>
      </c>
      <c r="M248">
        <v>30</v>
      </c>
      <c r="N248" s="1">
        <f t="shared" si="12"/>
        <v>30</v>
      </c>
    </row>
    <row r="249" spans="5:14" x14ac:dyDescent="0.25">
      <c r="E249">
        <v>1412</v>
      </c>
      <c r="F249" s="7">
        <v>45318</v>
      </c>
      <c r="G249">
        <f t="shared" si="10"/>
        <v>2024</v>
      </c>
      <c r="H249" s="7" t="str">
        <f t="shared" si="11"/>
        <v>Январь</v>
      </c>
      <c r="I249" t="s">
        <v>7</v>
      </c>
      <c r="J249">
        <v>28</v>
      </c>
      <c r="K249" t="s">
        <v>10</v>
      </c>
      <c r="L249">
        <v>2</v>
      </c>
      <c r="M249">
        <v>351</v>
      </c>
      <c r="N249" s="1">
        <f t="shared" si="12"/>
        <v>702</v>
      </c>
    </row>
    <row r="250" spans="5:14" x14ac:dyDescent="0.25">
      <c r="E250">
        <v>70</v>
      </c>
      <c r="F250" s="7">
        <v>44978</v>
      </c>
      <c r="G250">
        <f t="shared" si="10"/>
        <v>2023</v>
      </c>
      <c r="H250" s="7" t="str">
        <f t="shared" si="11"/>
        <v>Февраль</v>
      </c>
      <c r="I250" t="s">
        <v>9</v>
      </c>
      <c r="J250">
        <v>43</v>
      </c>
      <c r="K250" t="s">
        <v>10</v>
      </c>
      <c r="L250">
        <v>1</v>
      </c>
      <c r="M250">
        <v>300</v>
      </c>
      <c r="N250" s="1">
        <f t="shared" si="12"/>
        <v>300</v>
      </c>
    </row>
    <row r="251" spans="5:14" x14ac:dyDescent="0.25">
      <c r="E251">
        <v>314</v>
      </c>
      <c r="F251" s="7">
        <v>45078</v>
      </c>
      <c r="G251">
        <f t="shared" si="10"/>
        <v>2023</v>
      </c>
      <c r="H251" s="7" t="str">
        <f t="shared" si="11"/>
        <v>Июнь</v>
      </c>
      <c r="I251" t="s">
        <v>7</v>
      </c>
      <c r="J251">
        <v>47</v>
      </c>
      <c r="K251" t="s">
        <v>10</v>
      </c>
      <c r="L251">
        <v>2</v>
      </c>
      <c r="M251">
        <v>30</v>
      </c>
      <c r="N251" s="1">
        <f t="shared" si="12"/>
        <v>60</v>
      </c>
    </row>
    <row r="252" spans="5:14" x14ac:dyDescent="0.25">
      <c r="E252">
        <v>1928</v>
      </c>
      <c r="F252" s="7">
        <v>45350</v>
      </c>
      <c r="G252">
        <f t="shared" si="10"/>
        <v>2024</v>
      </c>
      <c r="H252" s="7" t="str">
        <f t="shared" si="11"/>
        <v>Февраль</v>
      </c>
      <c r="I252" t="s">
        <v>9</v>
      </c>
      <c r="J252">
        <v>64</v>
      </c>
      <c r="K252" t="s">
        <v>8</v>
      </c>
      <c r="L252">
        <v>7</v>
      </c>
      <c r="M252">
        <v>112</v>
      </c>
      <c r="N252" s="1">
        <f t="shared" si="12"/>
        <v>784</v>
      </c>
    </row>
    <row r="253" spans="5:14" x14ac:dyDescent="0.25">
      <c r="E253">
        <v>1700</v>
      </c>
      <c r="F253" s="7">
        <v>45532</v>
      </c>
      <c r="G253">
        <f t="shared" si="10"/>
        <v>2024</v>
      </c>
      <c r="H253" s="7" t="str">
        <f t="shared" si="11"/>
        <v>Август</v>
      </c>
      <c r="I253" t="s">
        <v>9</v>
      </c>
      <c r="J253">
        <v>34</v>
      </c>
      <c r="K253" t="s">
        <v>10</v>
      </c>
      <c r="L253">
        <v>3</v>
      </c>
      <c r="M253">
        <v>254</v>
      </c>
      <c r="N253" s="1">
        <f t="shared" si="12"/>
        <v>762</v>
      </c>
    </row>
    <row r="254" spans="5:14" x14ac:dyDescent="0.25">
      <c r="E254">
        <v>260</v>
      </c>
      <c r="F254" s="7">
        <v>45143</v>
      </c>
      <c r="G254">
        <f t="shared" si="10"/>
        <v>2023</v>
      </c>
      <c r="H254" s="7" t="str">
        <f t="shared" si="11"/>
        <v>Август</v>
      </c>
      <c r="I254" t="s">
        <v>7</v>
      </c>
      <c r="J254">
        <v>21</v>
      </c>
      <c r="K254" t="s">
        <v>10</v>
      </c>
      <c r="L254">
        <v>2</v>
      </c>
      <c r="M254">
        <v>25</v>
      </c>
      <c r="N254" s="1">
        <f t="shared" si="12"/>
        <v>50</v>
      </c>
    </row>
    <row r="255" spans="5:14" x14ac:dyDescent="0.25">
      <c r="E255">
        <v>930</v>
      </c>
      <c r="F255" s="7">
        <v>44985</v>
      </c>
      <c r="G255">
        <f t="shared" si="10"/>
        <v>2023</v>
      </c>
      <c r="H255" s="7" t="str">
        <f t="shared" si="11"/>
        <v>Февраль</v>
      </c>
      <c r="I255" t="s">
        <v>9</v>
      </c>
      <c r="J255">
        <v>45</v>
      </c>
      <c r="K255" t="s">
        <v>8</v>
      </c>
      <c r="L255">
        <v>4</v>
      </c>
      <c r="M255">
        <v>25</v>
      </c>
      <c r="N255" s="1">
        <f t="shared" si="12"/>
        <v>100</v>
      </c>
    </row>
    <row r="256" spans="5:14" x14ac:dyDescent="0.25">
      <c r="E256">
        <v>1986</v>
      </c>
      <c r="F256" s="7">
        <v>45437</v>
      </c>
      <c r="G256">
        <f t="shared" si="10"/>
        <v>2024</v>
      </c>
      <c r="H256" s="7" t="str">
        <f t="shared" si="11"/>
        <v>Май</v>
      </c>
      <c r="I256" t="s">
        <v>9</v>
      </c>
      <c r="J256">
        <v>50</v>
      </c>
      <c r="K256" t="s">
        <v>8</v>
      </c>
      <c r="L256">
        <v>3</v>
      </c>
      <c r="M256">
        <v>109</v>
      </c>
      <c r="N256" s="1">
        <f t="shared" si="12"/>
        <v>327</v>
      </c>
    </row>
    <row r="257" spans="5:14" x14ac:dyDescent="0.25">
      <c r="E257">
        <v>619</v>
      </c>
      <c r="F257" s="7">
        <v>45054</v>
      </c>
      <c r="G257">
        <f t="shared" si="10"/>
        <v>2023</v>
      </c>
      <c r="H257" s="7" t="str">
        <f t="shared" si="11"/>
        <v>Май</v>
      </c>
      <c r="I257" t="s">
        <v>7</v>
      </c>
      <c r="J257">
        <v>63</v>
      </c>
      <c r="K257" t="s">
        <v>11</v>
      </c>
      <c r="L257">
        <v>3</v>
      </c>
      <c r="M257">
        <v>25</v>
      </c>
      <c r="N257" s="1">
        <f t="shared" si="12"/>
        <v>75</v>
      </c>
    </row>
    <row r="258" spans="5:14" x14ac:dyDescent="0.25">
      <c r="E258">
        <v>1433</v>
      </c>
      <c r="F258" s="7">
        <v>45369</v>
      </c>
      <c r="G258">
        <f t="shared" si="10"/>
        <v>2024</v>
      </c>
      <c r="H258" s="7" t="str">
        <f t="shared" si="11"/>
        <v>Март</v>
      </c>
      <c r="I258" t="s">
        <v>9</v>
      </c>
      <c r="J258">
        <v>49</v>
      </c>
      <c r="K258" t="s">
        <v>10</v>
      </c>
      <c r="L258">
        <v>7</v>
      </c>
      <c r="M258">
        <v>216</v>
      </c>
      <c r="N258" s="1">
        <f t="shared" si="12"/>
        <v>1512</v>
      </c>
    </row>
    <row r="259" spans="5:14" x14ac:dyDescent="0.25">
      <c r="E259">
        <v>227</v>
      </c>
      <c r="F259" s="7">
        <v>45044</v>
      </c>
      <c r="G259">
        <f t="shared" si="10"/>
        <v>2023</v>
      </c>
      <c r="H259" s="7" t="str">
        <f t="shared" si="11"/>
        <v>Апрель</v>
      </c>
      <c r="I259" t="s">
        <v>9</v>
      </c>
      <c r="J259">
        <v>59</v>
      </c>
      <c r="K259" t="s">
        <v>11</v>
      </c>
      <c r="L259">
        <v>2</v>
      </c>
      <c r="M259">
        <v>30</v>
      </c>
      <c r="N259" s="1">
        <f t="shared" si="12"/>
        <v>60</v>
      </c>
    </row>
    <row r="260" spans="5:14" x14ac:dyDescent="0.25">
      <c r="E260">
        <v>326</v>
      </c>
      <c r="F260" s="7">
        <v>45198</v>
      </c>
      <c r="G260">
        <f t="shared" si="10"/>
        <v>2023</v>
      </c>
      <c r="H260" s="7" t="str">
        <f t="shared" si="11"/>
        <v>Сентябрь</v>
      </c>
      <c r="I260" t="s">
        <v>7</v>
      </c>
      <c r="J260">
        <v>57</v>
      </c>
      <c r="K260" t="s">
        <v>11</v>
      </c>
      <c r="L260">
        <v>3</v>
      </c>
      <c r="M260">
        <v>50</v>
      </c>
      <c r="N260" s="1">
        <f t="shared" si="12"/>
        <v>150</v>
      </c>
    </row>
    <row r="261" spans="5:14" x14ac:dyDescent="0.25">
      <c r="E261">
        <v>477</v>
      </c>
      <c r="F261" s="7">
        <v>45029</v>
      </c>
      <c r="G261">
        <f t="shared" si="10"/>
        <v>2023</v>
      </c>
      <c r="H261" s="7" t="str">
        <f t="shared" si="11"/>
        <v>Апрель</v>
      </c>
      <c r="I261" t="s">
        <v>9</v>
      </c>
      <c r="J261">
        <v>58</v>
      </c>
      <c r="K261" t="s">
        <v>10</v>
      </c>
      <c r="L261">
        <v>2</v>
      </c>
      <c r="M261">
        <v>30</v>
      </c>
      <c r="N261" s="1">
        <f t="shared" si="12"/>
        <v>60</v>
      </c>
    </row>
    <row r="262" spans="5:14" x14ac:dyDescent="0.25">
      <c r="E262">
        <v>421</v>
      </c>
      <c r="F262" s="7">
        <v>45097</v>
      </c>
      <c r="G262">
        <f t="shared" si="10"/>
        <v>2023</v>
      </c>
      <c r="H262" s="7" t="str">
        <f t="shared" si="11"/>
        <v>Июнь</v>
      </c>
      <c r="I262" t="s">
        <v>9</v>
      </c>
      <c r="J262">
        <v>28</v>
      </c>
      <c r="K262" t="s">
        <v>10</v>
      </c>
      <c r="L262">
        <v>3</v>
      </c>
      <c r="M262">
        <v>30</v>
      </c>
      <c r="N262" s="1">
        <f t="shared" si="12"/>
        <v>90</v>
      </c>
    </row>
    <row r="263" spans="5:14" x14ac:dyDescent="0.25">
      <c r="E263">
        <v>1946</v>
      </c>
      <c r="F263" s="7">
        <v>45603</v>
      </c>
      <c r="G263">
        <f t="shared" si="10"/>
        <v>2024</v>
      </c>
      <c r="H263" s="7" t="str">
        <f t="shared" si="11"/>
        <v>Ноябрь</v>
      </c>
      <c r="I263" t="s">
        <v>7</v>
      </c>
      <c r="J263">
        <v>24</v>
      </c>
      <c r="K263" t="s">
        <v>10</v>
      </c>
      <c r="L263">
        <v>3</v>
      </c>
      <c r="M263">
        <v>272</v>
      </c>
      <c r="N263" s="1">
        <f t="shared" si="12"/>
        <v>816</v>
      </c>
    </row>
    <row r="264" spans="5:14" x14ac:dyDescent="0.25">
      <c r="E264">
        <v>538</v>
      </c>
      <c r="F264" s="7">
        <v>45085</v>
      </c>
      <c r="G264">
        <f t="shared" si="10"/>
        <v>2023</v>
      </c>
      <c r="H264" s="7" t="str">
        <f t="shared" si="11"/>
        <v>Июнь</v>
      </c>
      <c r="I264" t="s">
        <v>7</v>
      </c>
      <c r="J264">
        <v>25</v>
      </c>
      <c r="K264" t="s">
        <v>8</v>
      </c>
      <c r="L264">
        <v>1</v>
      </c>
      <c r="M264">
        <v>500</v>
      </c>
      <c r="N264" s="1">
        <f t="shared" si="12"/>
        <v>500</v>
      </c>
    </row>
    <row r="265" spans="5:14" x14ac:dyDescent="0.25">
      <c r="E265">
        <v>1883</v>
      </c>
      <c r="F265" s="7">
        <v>45454</v>
      </c>
      <c r="G265">
        <f t="shared" si="10"/>
        <v>2024</v>
      </c>
      <c r="H265" s="7" t="str">
        <f t="shared" si="11"/>
        <v>Июнь</v>
      </c>
      <c r="I265" t="s">
        <v>7</v>
      </c>
      <c r="J265">
        <v>29</v>
      </c>
      <c r="K265" t="s">
        <v>10</v>
      </c>
      <c r="L265">
        <v>2</v>
      </c>
      <c r="M265">
        <v>125</v>
      </c>
      <c r="N265" s="1">
        <f t="shared" si="12"/>
        <v>250</v>
      </c>
    </row>
    <row r="266" spans="5:14" x14ac:dyDescent="0.25">
      <c r="E266">
        <v>1725</v>
      </c>
      <c r="F266" s="7">
        <v>45435</v>
      </c>
      <c r="G266">
        <f t="shared" ref="G266:G329" si="13">YEAR(F266)</f>
        <v>2024</v>
      </c>
      <c r="H266" s="7" t="str">
        <f t="shared" ref="H266:H329" si="14">TEXT(F266,"ММММ")</f>
        <v>Май</v>
      </c>
      <c r="I266" t="s">
        <v>7</v>
      </c>
      <c r="J266">
        <v>23</v>
      </c>
      <c r="K266" t="s">
        <v>10</v>
      </c>
      <c r="L266">
        <v>5</v>
      </c>
      <c r="M266">
        <v>387</v>
      </c>
      <c r="N266" s="1">
        <f t="shared" ref="N266:N329" si="15">L266*M266</f>
        <v>1935</v>
      </c>
    </row>
    <row r="267" spans="5:14" x14ac:dyDescent="0.25">
      <c r="E267">
        <v>1594</v>
      </c>
      <c r="F267" s="7">
        <v>45526</v>
      </c>
      <c r="G267">
        <f t="shared" si="13"/>
        <v>2024</v>
      </c>
      <c r="H267" s="7" t="str">
        <f t="shared" si="14"/>
        <v>Август</v>
      </c>
      <c r="I267" t="s">
        <v>7</v>
      </c>
      <c r="J267">
        <v>50</v>
      </c>
      <c r="K267" t="s">
        <v>8</v>
      </c>
      <c r="L267">
        <v>3</v>
      </c>
      <c r="M267">
        <v>454</v>
      </c>
      <c r="N267" s="1">
        <f t="shared" si="15"/>
        <v>1362</v>
      </c>
    </row>
    <row r="268" spans="5:14" x14ac:dyDescent="0.25">
      <c r="E268">
        <v>65</v>
      </c>
      <c r="F268" s="7">
        <v>45265</v>
      </c>
      <c r="G268">
        <f t="shared" si="13"/>
        <v>2023</v>
      </c>
      <c r="H268" s="7" t="str">
        <f t="shared" si="14"/>
        <v>Декабрь</v>
      </c>
      <c r="I268" t="s">
        <v>7</v>
      </c>
      <c r="J268">
        <v>51</v>
      </c>
      <c r="K268" t="s">
        <v>11</v>
      </c>
      <c r="L268">
        <v>4</v>
      </c>
      <c r="M268">
        <v>500</v>
      </c>
      <c r="N268" s="1">
        <f t="shared" si="15"/>
        <v>2000</v>
      </c>
    </row>
    <row r="269" spans="5:14" x14ac:dyDescent="0.25">
      <c r="E269">
        <v>1867</v>
      </c>
      <c r="F269" s="7">
        <v>45535</v>
      </c>
      <c r="G269">
        <f t="shared" si="13"/>
        <v>2024</v>
      </c>
      <c r="H269" s="7" t="str">
        <f t="shared" si="14"/>
        <v>Август</v>
      </c>
      <c r="I269" t="s">
        <v>7</v>
      </c>
      <c r="J269">
        <v>23</v>
      </c>
      <c r="K269" t="s">
        <v>8</v>
      </c>
      <c r="L269">
        <v>2</v>
      </c>
      <c r="M269">
        <v>29</v>
      </c>
      <c r="N269" s="1">
        <f t="shared" si="15"/>
        <v>58</v>
      </c>
    </row>
    <row r="270" spans="5:14" x14ac:dyDescent="0.25">
      <c r="E270">
        <v>1723</v>
      </c>
      <c r="F270" s="7">
        <v>45465</v>
      </c>
      <c r="G270">
        <f t="shared" si="13"/>
        <v>2024</v>
      </c>
      <c r="H270" s="7" t="str">
        <f t="shared" si="14"/>
        <v>Июнь</v>
      </c>
      <c r="I270" t="s">
        <v>7</v>
      </c>
      <c r="J270">
        <v>60</v>
      </c>
      <c r="K270" t="s">
        <v>8</v>
      </c>
      <c r="L270">
        <v>4</v>
      </c>
      <c r="M270">
        <v>413</v>
      </c>
      <c r="N270" s="1">
        <f t="shared" si="15"/>
        <v>1652</v>
      </c>
    </row>
    <row r="271" spans="5:14" x14ac:dyDescent="0.25">
      <c r="E271">
        <v>1411</v>
      </c>
      <c r="F271" s="7">
        <v>45421</v>
      </c>
      <c r="G271">
        <f t="shared" si="13"/>
        <v>2024</v>
      </c>
      <c r="H271" s="7" t="str">
        <f t="shared" si="14"/>
        <v>Май</v>
      </c>
      <c r="I271" t="s">
        <v>7</v>
      </c>
      <c r="J271">
        <v>20</v>
      </c>
      <c r="K271" t="s">
        <v>8</v>
      </c>
      <c r="L271">
        <v>4</v>
      </c>
      <c r="M271">
        <v>20</v>
      </c>
      <c r="N271" s="1">
        <f t="shared" si="15"/>
        <v>80</v>
      </c>
    </row>
    <row r="272" spans="5:14" x14ac:dyDescent="0.25">
      <c r="E272">
        <v>1626</v>
      </c>
      <c r="F272" s="7">
        <v>45455</v>
      </c>
      <c r="G272">
        <f t="shared" si="13"/>
        <v>2024</v>
      </c>
      <c r="H272" s="7" t="str">
        <f t="shared" si="14"/>
        <v>Июнь</v>
      </c>
      <c r="I272" t="s">
        <v>7</v>
      </c>
      <c r="J272">
        <v>42</v>
      </c>
      <c r="K272" t="s">
        <v>11</v>
      </c>
      <c r="L272">
        <v>6</v>
      </c>
      <c r="M272">
        <v>261</v>
      </c>
      <c r="N272" s="1">
        <f t="shared" si="15"/>
        <v>1566</v>
      </c>
    </row>
    <row r="273" spans="5:14" x14ac:dyDescent="0.25">
      <c r="E273">
        <v>375</v>
      </c>
      <c r="F273" s="7">
        <v>45062</v>
      </c>
      <c r="G273">
        <f t="shared" si="13"/>
        <v>2023</v>
      </c>
      <c r="H273" s="7" t="str">
        <f t="shared" si="14"/>
        <v>Май</v>
      </c>
      <c r="I273" t="s">
        <v>9</v>
      </c>
      <c r="J273">
        <v>64</v>
      </c>
      <c r="K273" t="s">
        <v>8</v>
      </c>
      <c r="L273">
        <v>1</v>
      </c>
      <c r="M273">
        <v>30</v>
      </c>
      <c r="N273" s="1">
        <f t="shared" si="15"/>
        <v>30</v>
      </c>
    </row>
    <row r="274" spans="5:14" x14ac:dyDescent="0.25">
      <c r="E274">
        <v>1775</v>
      </c>
      <c r="F274" s="7">
        <v>45417</v>
      </c>
      <c r="G274">
        <f t="shared" si="13"/>
        <v>2024</v>
      </c>
      <c r="H274" s="7" t="str">
        <f t="shared" si="14"/>
        <v>Май</v>
      </c>
      <c r="I274" t="s">
        <v>9</v>
      </c>
      <c r="J274">
        <v>65</v>
      </c>
      <c r="K274" t="s">
        <v>11</v>
      </c>
      <c r="L274">
        <v>6</v>
      </c>
      <c r="M274">
        <v>466</v>
      </c>
      <c r="N274" s="1">
        <f t="shared" si="15"/>
        <v>2796</v>
      </c>
    </row>
    <row r="275" spans="5:14" x14ac:dyDescent="0.25">
      <c r="E275">
        <v>1996</v>
      </c>
      <c r="F275" s="7">
        <v>45394</v>
      </c>
      <c r="G275">
        <f t="shared" si="13"/>
        <v>2024</v>
      </c>
      <c r="H275" s="7" t="str">
        <f t="shared" si="14"/>
        <v>Апрель</v>
      </c>
      <c r="I275" t="s">
        <v>7</v>
      </c>
      <c r="J275">
        <v>34</v>
      </c>
      <c r="K275" t="s">
        <v>11</v>
      </c>
      <c r="L275">
        <v>3</v>
      </c>
      <c r="M275">
        <v>120</v>
      </c>
      <c r="N275" s="1">
        <f t="shared" si="15"/>
        <v>360</v>
      </c>
    </row>
    <row r="276" spans="5:14" x14ac:dyDescent="0.25">
      <c r="E276">
        <v>406</v>
      </c>
      <c r="F276" s="7">
        <v>45102</v>
      </c>
      <c r="G276">
        <f t="shared" si="13"/>
        <v>2023</v>
      </c>
      <c r="H276" s="7" t="str">
        <f t="shared" si="14"/>
        <v>Июнь</v>
      </c>
      <c r="I276" t="s">
        <v>9</v>
      </c>
      <c r="J276">
        <v>46</v>
      </c>
      <c r="K276" t="s">
        <v>11</v>
      </c>
      <c r="L276">
        <v>3</v>
      </c>
      <c r="M276">
        <v>300</v>
      </c>
      <c r="N276" s="1">
        <f t="shared" si="15"/>
        <v>900</v>
      </c>
    </row>
    <row r="277" spans="5:14" x14ac:dyDescent="0.25">
      <c r="E277">
        <v>55</v>
      </c>
      <c r="F277" s="7">
        <v>45209</v>
      </c>
      <c r="G277">
        <f t="shared" si="13"/>
        <v>2023</v>
      </c>
      <c r="H277" s="7" t="str">
        <f t="shared" si="14"/>
        <v>Октябрь</v>
      </c>
      <c r="I277" t="s">
        <v>7</v>
      </c>
      <c r="J277">
        <v>31</v>
      </c>
      <c r="K277" t="s">
        <v>8</v>
      </c>
      <c r="L277">
        <v>4</v>
      </c>
      <c r="M277">
        <v>30</v>
      </c>
      <c r="N277" s="1">
        <f t="shared" si="15"/>
        <v>120</v>
      </c>
    </row>
    <row r="278" spans="5:14" x14ac:dyDescent="0.25">
      <c r="E278">
        <v>1057</v>
      </c>
      <c r="F278" s="7">
        <v>45478</v>
      </c>
      <c r="G278">
        <f t="shared" si="13"/>
        <v>2024</v>
      </c>
      <c r="H278" s="7" t="str">
        <f t="shared" si="14"/>
        <v>Июль</v>
      </c>
      <c r="I278" t="s">
        <v>7</v>
      </c>
      <c r="J278">
        <v>33</v>
      </c>
      <c r="K278" t="s">
        <v>10</v>
      </c>
      <c r="L278">
        <v>5</v>
      </c>
      <c r="M278">
        <v>304</v>
      </c>
      <c r="N278" s="1">
        <f t="shared" si="15"/>
        <v>1520</v>
      </c>
    </row>
    <row r="279" spans="5:14" x14ac:dyDescent="0.25">
      <c r="E279">
        <v>1059</v>
      </c>
      <c r="F279" s="7">
        <v>45391</v>
      </c>
      <c r="G279">
        <f t="shared" si="13"/>
        <v>2024</v>
      </c>
      <c r="H279" s="7" t="str">
        <f t="shared" si="14"/>
        <v>Апрель</v>
      </c>
      <c r="I279" t="s">
        <v>7</v>
      </c>
      <c r="J279">
        <v>26</v>
      </c>
      <c r="K279" t="s">
        <v>8</v>
      </c>
      <c r="L279">
        <v>2</v>
      </c>
      <c r="M279">
        <v>198</v>
      </c>
      <c r="N279" s="1">
        <f t="shared" si="15"/>
        <v>396</v>
      </c>
    </row>
    <row r="280" spans="5:14" x14ac:dyDescent="0.25">
      <c r="E280">
        <v>11</v>
      </c>
      <c r="F280" s="7">
        <v>44971</v>
      </c>
      <c r="G280">
        <f t="shared" si="13"/>
        <v>2023</v>
      </c>
      <c r="H280" s="7" t="str">
        <f t="shared" si="14"/>
        <v>Февраль</v>
      </c>
      <c r="I280" t="s">
        <v>7</v>
      </c>
      <c r="J280">
        <v>23</v>
      </c>
      <c r="K280" t="s">
        <v>10</v>
      </c>
      <c r="L280">
        <v>2</v>
      </c>
      <c r="M280">
        <v>50</v>
      </c>
      <c r="N280" s="1">
        <f t="shared" si="15"/>
        <v>100</v>
      </c>
    </row>
    <row r="281" spans="5:14" x14ac:dyDescent="0.25">
      <c r="E281">
        <v>283</v>
      </c>
      <c r="F281" s="7">
        <v>44965</v>
      </c>
      <c r="G281">
        <f t="shared" si="13"/>
        <v>2023</v>
      </c>
      <c r="H281" s="7" t="str">
        <f t="shared" si="14"/>
        <v>Февраль</v>
      </c>
      <c r="I281" t="s">
        <v>7</v>
      </c>
      <c r="J281">
        <v>43</v>
      </c>
      <c r="K281" t="s">
        <v>10</v>
      </c>
      <c r="L281">
        <v>4</v>
      </c>
      <c r="M281">
        <v>50</v>
      </c>
      <c r="N281" s="1">
        <f t="shared" si="15"/>
        <v>200</v>
      </c>
    </row>
    <row r="282" spans="5:14" x14ac:dyDescent="0.25">
      <c r="E282">
        <v>1264</v>
      </c>
      <c r="F282" s="7">
        <v>45623</v>
      </c>
      <c r="G282">
        <f t="shared" si="13"/>
        <v>2024</v>
      </c>
      <c r="H282" s="7" t="str">
        <f t="shared" si="14"/>
        <v>Ноябрь</v>
      </c>
      <c r="I282" t="s">
        <v>9</v>
      </c>
      <c r="J282">
        <v>63</v>
      </c>
      <c r="K282" t="s">
        <v>8</v>
      </c>
      <c r="L282">
        <v>3</v>
      </c>
      <c r="M282">
        <v>43</v>
      </c>
      <c r="N282" s="1">
        <f t="shared" si="15"/>
        <v>129</v>
      </c>
    </row>
    <row r="283" spans="5:14" x14ac:dyDescent="0.25">
      <c r="E283">
        <v>609</v>
      </c>
      <c r="F283" s="7">
        <v>44929</v>
      </c>
      <c r="G283">
        <f t="shared" si="13"/>
        <v>2023</v>
      </c>
      <c r="H283" s="7" t="str">
        <f t="shared" si="14"/>
        <v>Январь</v>
      </c>
      <c r="I283" t="s">
        <v>9</v>
      </c>
      <c r="J283">
        <v>26</v>
      </c>
      <c r="K283" t="s">
        <v>8</v>
      </c>
      <c r="L283">
        <v>2</v>
      </c>
      <c r="M283">
        <v>300</v>
      </c>
      <c r="N283" s="1">
        <f t="shared" si="15"/>
        <v>600</v>
      </c>
    </row>
    <row r="284" spans="5:14" x14ac:dyDescent="0.25">
      <c r="E284">
        <v>1507</v>
      </c>
      <c r="F284" s="7">
        <v>45453</v>
      </c>
      <c r="G284">
        <f t="shared" si="13"/>
        <v>2024</v>
      </c>
      <c r="H284" s="7" t="str">
        <f t="shared" si="14"/>
        <v>Июнь</v>
      </c>
      <c r="I284" t="s">
        <v>9</v>
      </c>
      <c r="J284">
        <v>44</v>
      </c>
      <c r="K284" t="s">
        <v>8</v>
      </c>
      <c r="L284">
        <v>6</v>
      </c>
      <c r="M284">
        <v>303</v>
      </c>
      <c r="N284" s="1">
        <f t="shared" si="15"/>
        <v>1818</v>
      </c>
    </row>
    <row r="285" spans="5:14" x14ac:dyDescent="0.25">
      <c r="E285">
        <v>938</v>
      </c>
      <c r="F285" s="7">
        <v>44954</v>
      </c>
      <c r="G285">
        <f t="shared" si="13"/>
        <v>2023</v>
      </c>
      <c r="H285" s="7" t="str">
        <f t="shared" si="14"/>
        <v>Январь</v>
      </c>
      <c r="I285" t="s">
        <v>9</v>
      </c>
      <c r="J285">
        <v>20</v>
      </c>
      <c r="K285" t="s">
        <v>11</v>
      </c>
      <c r="L285">
        <v>1</v>
      </c>
      <c r="M285">
        <v>30</v>
      </c>
      <c r="N285" s="1">
        <f t="shared" si="15"/>
        <v>30</v>
      </c>
    </row>
    <row r="286" spans="5:14" x14ac:dyDescent="0.25">
      <c r="E286">
        <v>1474</v>
      </c>
      <c r="F286" s="7">
        <v>45406</v>
      </c>
      <c r="G286">
        <f t="shared" si="13"/>
        <v>2024</v>
      </c>
      <c r="H286" s="7" t="str">
        <f t="shared" si="14"/>
        <v>Апрель</v>
      </c>
      <c r="I286" t="s">
        <v>7</v>
      </c>
      <c r="J286">
        <v>55</v>
      </c>
      <c r="K286" t="s">
        <v>10</v>
      </c>
      <c r="L286">
        <v>1</v>
      </c>
      <c r="M286">
        <v>323</v>
      </c>
      <c r="N286" s="1">
        <f t="shared" si="15"/>
        <v>323</v>
      </c>
    </row>
    <row r="287" spans="5:14" x14ac:dyDescent="0.25">
      <c r="E287">
        <v>872</v>
      </c>
      <c r="F287" s="7">
        <v>45103</v>
      </c>
      <c r="G287">
        <f t="shared" si="13"/>
        <v>2023</v>
      </c>
      <c r="H287" s="7" t="str">
        <f t="shared" si="14"/>
        <v>Июнь</v>
      </c>
      <c r="I287" t="s">
        <v>7</v>
      </c>
      <c r="J287">
        <v>60</v>
      </c>
      <c r="K287" t="s">
        <v>8</v>
      </c>
      <c r="L287">
        <v>1</v>
      </c>
      <c r="M287">
        <v>30</v>
      </c>
      <c r="N287" s="1">
        <f t="shared" si="15"/>
        <v>30</v>
      </c>
    </row>
    <row r="288" spans="5:14" x14ac:dyDescent="0.25">
      <c r="E288">
        <v>1575</v>
      </c>
      <c r="F288" s="7">
        <v>45438</v>
      </c>
      <c r="G288">
        <f t="shared" si="13"/>
        <v>2024</v>
      </c>
      <c r="H288" s="7" t="str">
        <f t="shared" si="14"/>
        <v>Май</v>
      </c>
      <c r="I288" t="s">
        <v>9</v>
      </c>
      <c r="J288">
        <v>42</v>
      </c>
      <c r="K288" t="s">
        <v>10</v>
      </c>
      <c r="L288">
        <v>6</v>
      </c>
      <c r="M288">
        <v>190</v>
      </c>
      <c r="N288" s="1">
        <f t="shared" si="15"/>
        <v>1140</v>
      </c>
    </row>
    <row r="289" spans="5:14" x14ac:dyDescent="0.25">
      <c r="E289">
        <v>1648</v>
      </c>
      <c r="F289" s="7">
        <v>45413</v>
      </c>
      <c r="G289">
        <f t="shared" si="13"/>
        <v>2024</v>
      </c>
      <c r="H289" s="7" t="str">
        <f t="shared" si="14"/>
        <v>Май</v>
      </c>
      <c r="I289" t="s">
        <v>9</v>
      </c>
      <c r="J289">
        <v>22</v>
      </c>
      <c r="K289" t="s">
        <v>8</v>
      </c>
      <c r="L289">
        <v>6</v>
      </c>
      <c r="M289">
        <v>393</v>
      </c>
      <c r="N289" s="1">
        <f t="shared" si="15"/>
        <v>2358</v>
      </c>
    </row>
    <row r="290" spans="5:14" x14ac:dyDescent="0.25">
      <c r="E290">
        <v>1178</v>
      </c>
      <c r="F290" s="7">
        <v>45292</v>
      </c>
      <c r="G290">
        <f t="shared" si="13"/>
        <v>2024</v>
      </c>
      <c r="H290" s="7" t="str">
        <f t="shared" si="14"/>
        <v>Январь</v>
      </c>
      <c r="I290" t="s">
        <v>7</v>
      </c>
      <c r="J290">
        <v>49</v>
      </c>
      <c r="K290" t="s">
        <v>10</v>
      </c>
      <c r="L290">
        <v>1</v>
      </c>
      <c r="M290">
        <v>378</v>
      </c>
      <c r="N290" s="1">
        <f t="shared" si="15"/>
        <v>378</v>
      </c>
    </row>
    <row r="291" spans="5:14" x14ac:dyDescent="0.25">
      <c r="E291">
        <v>841</v>
      </c>
      <c r="F291" s="7">
        <v>45068</v>
      </c>
      <c r="G291">
        <f t="shared" si="13"/>
        <v>2023</v>
      </c>
      <c r="H291" s="7" t="str">
        <f t="shared" si="14"/>
        <v>Май</v>
      </c>
      <c r="I291" t="s">
        <v>7</v>
      </c>
      <c r="J291">
        <v>21</v>
      </c>
      <c r="K291" t="s">
        <v>8</v>
      </c>
      <c r="L291">
        <v>3</v>
      </c>
      <c r="M291">
        <v>500</v>
      </c>
      <c r="N291" s="1">
        <f t="shared" si="15"/>
        <v>1500</v>
      </c>
    </row>
    <row r="292" spans="5:14" x14ac:dyDescent="0.25">
      <c r="E292">
        <v>216</v>
      </c>
      <c r="F292" s="7">
        <v>45151</v>
      </c>
      <c r="G292">
        <f t="shared" si="13"/>
        <v>2023</v>
      </c>
      <c r="H292" s="7" t="str">
        <f t="shared" si="14"/>
        <v>Август</v>
      </c>
      <c r="I292" t="s">
        <v>9</v>
      </c>
      <c r="J292">
        <v>35</v>
      </c>
      <c r="K292" t="s">
        <v>11</v>
      </c>
      <c r="L292">
        <v>4</v>
      </c>
      <c r="M292">
        <v>50</v>
      </c>
      <c r="N292" s="1">
        <f t="shared" si="15"/>
        <v>200</v>
      </c>
    </row>
    <row r="293" spans="5:14" x14ac:dyDescent="0.25">
      <c r="E293">
        <v>171</v>
      </c>
      <c r="F293" s="7">
        <v>45254</v>
      </c>
      <c r="G293">
        <f t="shared" si="13"/>
        <v>2023</v>
      </c>
      <c r="H293" s="7" t="str">
        <f t="shared" si="14"/>
        <v>Ноябрь</v>
      </c>
      <c r="I293" t="s">
        <v>9</v>
      </c>
      <c r="J293">
        <v>52</v>
      </c>
      <c r="K293" t="s">
        <v>10</v>
      </c>
      <c r="L293">
        <v>3</v>
      </c>
      <c r="M293">
        <v>300</v>
      </c>
      <c r="N293" s="1">
        <f t="shared" si="15"/>
        <v>900</v>
      </c>
    </row>
    <row r="294" spans="5:14" x14ac:dyDescent="0.25">
      <c r="E294">
        <v>1226</v>
      </c>
      <c r="F294" s="7">
        <v>45594</v>
      </c>
      <c r="G294">
        <f t="shared" si="13"/>
        <v>2024</v>
      </c>
      <c r="H294" s="7" t="str">
        <f t="shared" si="14"/>
        <v>Октябрь</v>
      </c>
      <c r="I294" t="s">
        <v>7</v>
      </c>
      <c r="J294">
        <v>25</v>
      </c>
      <c r="K294" t="s">
        <v>8</v>
      </c>
      <c r="L294">
        <v>3</v>
      </c>
      <c r="M294">
        <v>491</v>
      </c>
      <c r="N294" s="1">
        <f t="shared" si="15"/>
        <v>1473</v>
      </c>
    </row>
    <row r="295" spans="5:14" x14ac:dyDescent="0.25">
      <c r="E295">
        <v>571</v>
      </c>
      <c r="F295" s="7">
        <v>45036</v>
      </c>
      <c r="G295">
        <f t="shared" si="13"/>
        <v>2023</v>
      </c>
      <c r="H295" s="7" t="str">
        <f t="shared" si="14"/>
        <v>Апрель</v>
      </c>
      <c r="I295" t="s">
        <v>7</v>
      </c>
      <c r="J295">
        <v>31</v>
      </c>
      <c r="K295" t="s">
        <v>10</v>
      </c>
      <c r="L295">
        <v>4</v>
      </c>
      <c r="M295">
        <v>500</v>
      </c>
      <c r="N295" s="1">
        <f t="shared" si="15"/>
        <v>2000</v>
      </c>
    </row>
    <row r="296" spans="5:14" x14ac:dyDescent="0.25">
      <c r="E296">
        <v>1646</v>
      </c>
      <c r="F296" s="7">
        <v>45331</v>
      </c>
      <c r="G296">
        <f t="shared" si="13"/>
        <v>2024</v>
      </c>
      <c r="H296" s="7" t="str">
        <f t="shared" si="14"/>
        <v>Февраль</v>
      </c>
      <c r="I296" t="s">
        <v>9</v>
      </c>
      <c r="J296">
        <v>30</v>
      </c>
      <c r="K296" t="s">
        <v>10</v>
      </c>
      <c r="L296">
        <v>2</v>
      </c>
      <c r="M296">
        <v>425</v>
      </c>
      <c r="N296" s="1">
        <f t="shared" si="15"/>
        <v>850</v>
      </c>
    </row>
    <row r="297" spans="5:14" x14ac:dyDescent="0.25">
      <c r="E297">
        <v>1576</v>
      </c>
      <c r="F297" s="7">
        <v>45556</v>
      </c>
      <c r="G297">
        <f t="shared" si="13"/>
        <v>2024</v>
      </c>
      <c r="H297" s="7" t="str">
        <f t="shared" si="14"/>
        <v>Сентябрь</v>
      </c>
      <c r="I297" t="s">
        <v>9</v>
      </c>
      <c r="J297">
        <v>58</v>
      </c>
      <c r="K297" t="s">
        <v>11</v>
      </c>
      <c r="L297">
        <v>5</v>
      </c>
      <c r="M297">
        <v>13</v>
      </c>
      <c r="N297" s="1">
        <f t="shared" si="15"/>
        <v>65</v>
      </c>
    </row>
    <row r="298" spans="5:14" x14ac:dyDescent="0.25">
      <c r="E298">
        <v>1020</v>
      </c>
      <c r="F298" s="7">
        <v>45580</v>
      </c>
      <c r="G298">
        <f t="shared" si="13"/>
        <v>2024</v>
      </c>
      <c r="H298" s="7" t="str">
        <f t="shared" si="14"/>
        <v>Октябрь</v>
      </c>
      <c r="I298" t="s">
        <v>7</v>
      </c>
      <c r="J298">
        <v>29</v>
      </c>
      <c r="K298" t="s">
        <v>10</v>
      </c>
      <c r="L298">
        <v>3</v>
      </c>
      <c r="M298">
        <v>262</v>
      </c>
      <c r="N298" s="1">
        <f t="shared" si="15"/>
        <v>786</v>
      </c>
    </row>
    <row r="299" spans="5:14" x14ac:dyDescent="0.25">
      <c r="E299">
        <v>1869</v>
      </c>
      <c r="F299" s="7">
        <v>45564</v>
      </c>
      <c r="G299">
        <f t="shared" si="13"/>
        <v>2024</v>
      </c>
      <c r="H299" s="7" t="str">
        <f t="shared" si="14"/>
        <v>Сентябрь</v>
      </c>
      <c r="I299" t="s">
        <v>9</v>
      </c>
      <c r="J299">
        <v>21</v>
      </c>
      <c r="K299" t="s">
        <v>11</v>
      </c>
      <c r="L299">
        <v>7</v>
      </c>
      <c r="M299">
        <v>315</v>
      </c>
      <c r="N299" s="1">
        <f t="shared" si="15"/>
        <v>2205</v>
      </c>
    </row>
    <row r="300" spans="5:14" x14ac:dyDescent="0.25">
      <c r="E300">
        <v>245</v>
      </c>
      <c r="F300" s="7">
        <v>45036</v>
      </c>
      <c r="G300">
        <f t="shared" si="13"/>
        <v>2023</v>
      </c>
      <c r="H300" s="7" t="str">
        <f t="shared" si="14"/>
        <v>Апрель</v>
      </c>
      <c r="I300" t="s">
        <v>9</v>
      </c>
      <c r="J300">
        <v>48</v>
      </c>
      <c r="K300" t="s">
        <v>11</v>
      </c>
      <c r="L300">
        <v>2</v>
      </c>
      <c r="M300">
        <v>25</v>
      </c>
      <c r="N300" s="1">
        <f t="shared" si="15"/>
        <v>50</v>
      </c>
    </row>
    <row r="301" spans="5:14" x14ac:dyDescent="0.25">
      <c r="E301">
        <v>940</v>
      </c>
      <c r="F301" s="7">
        <v>45003</v>
      </c>
      <c r="G301">
        <f t="shared" si="13"/>
        <v>2023</v>
      </c>
      <c r="H301" s="7" t="str">
        <f t="shared" si="14"/>
        <v>Март</v>
      </c>
      <c r="I301" t="s">
        <v>7</v>
      </c>
      <c r="J301">
        <v>51</v>
      </c>
      <c r="K301" t="s">
        <v>10</v>
      </c>
      <c r="L301">
        <v>3</v>
      </c>
      <c r="M301">
        <v>500</v>
      </c>
      <c r="N301" s="1">
        <f t="shared" si="15"/>
        <v>1500</v>
      </c>
    </row>
    <row r="302" spans="5:14" x14ac:dyDescent="0.25">
      <c r="E302">
        <v>74</v>
      </c>
      <c r="F302" s="7">
        <v>45252</v>
      </c>
      <c r="G302">
        <f t="shared" si="13"/>
        <v>2023</v>
      </c>
      <c r="H302" s="7" t="str">
        <f t="shared" si="14"/>
        <v>Ноябрь</v>
      </c>
      <c r="I302" t="s">
        <v>9</v>
      </c>
      <c r="J302">
        <v>18</v>
      </c>
      <c r="K302" t="s">
        <v>8</v>
      </c>
      <c r="L302">
        <v>4</v>
      </c>
      <c r="M302">
        <v>500</v>
      </c>
      <c r="N302" s="1">
        <f t="shared" si="15"/>
        <v>2000</v>
      </c>
    </row>
    <row r="303" spans="5:14" x14ac:dyDescent="0.25">
      <c r="E303">
        <v>143</v>
      </c>
      <c r="F303" s="7">
        <v>45124</v>
      </c>
      <c r="G303">
        <f t="shared" si="13"/>
        <v>2023</v>
      </c>
      <c r="H303" s="7" t="str">
        <f t="shared" si="14"/>
        <v>Июль</v>
      </c>
      <c r="I303" t="s">
        <v>9</v>
      </c>
      <c r="J303">
        <v>45</v>
      </c>
      <c r="K303" t="s">
        <v>10</v>
      </c>
      <c r="L303">
        <v>1</v>
      </c>
      <c r="M303">
        <v>50</v>
      </c>
      <c r="N303" s="1">
        <f t="shared" si="15"/>
        <v>50</v>
      </c>
    </row>
    <row r="304" spans="5:14" x14ac:dyDescent="0.25">
      <c r="E304">
        <v>978</v>
      </c>
      <c r="F304" s="7">
        <v>45136</v>
      </c>
      <c r="G304">
        <f t="shared" si="13"/>
        <v>2023</v>
      </c>
      <c r="H304" s="7" t="str">
        <f t="shared" si="14"/>
        <v>Июль</v>
      </c>
      <c r="I304" t="s">
        <v>9</v>
      </c>
      <c r="J304">
        <v>31</v>
      </c>
      <c r="K304" t="s">
        <v>11</v>
      </c>
      <c r="L304">
        <v>3</v>
      </c>
      <c r="M304">
        <v>25</v>
      </c>
      <c r="N304" s="1">
        <f t="shared" si="15"/>
        <v>75</v>
      </c>
    </row>
    <row r="305" spans="5:14" x14ac:dyDescent="0.25">
      <c r="E305">
        <v>786</v>
      </c>
      <c r="F305" s="7">
        <v>45104</v>
      </c>
      <c r="G305">
        <f t="shared" si="13"/>
        <v>2023</v>
      </c>
      <c r="H305" s="7" t="str">
        <f t="shared" si="14"/>
        <v>Июнь</v>
      </c>
      <c r="I305" t="s">
        <v>9</v>
      </c>
      <c r="J305">
        <v>52</v>
      </c>
      <c r="K305" t="s">
        <v>8</v>
      </c>
      <c r="L305">
        <v>3</v>
      </c>
      <c r="M305">
        <v>300</v>
      </c>
      <c r="N305" s="1">
        <f t="shared" si="15"/>
        <v>900</v>
      </c>
    </row>
    <row r="306" spans="5:14" x14ac:dyDescent="0.25">
      <c r="E306">
        <v>1835</v>
      </c>
      <c r="F306" s="7">
        <v>45467</v>
      </c>
      <c r="G306">
        <f t="shared" si="13"/>
        <v>2024</v>
      </c>
      <c r="H306" s="7" t="str">
        <f t="shared" si="14"/>
        <v>Июнь</v>
      </c>
      <c r="I306" t="s">
        <v>9</v>
      </c>
      <c r="J306">
        <v>49</v>
      </c>
      <c r="K306" t="s">
        <v>11</v>
      </c>
      <c r="L306">
        <v>4</v>
      </c>
      <c r="M306">
        <v>429</v>
      </c>
      <c r="N306" s="1">
        <f t="shared" si="15"/>
        <v>1716</v>
      </c>
    </row>
    <row r="307" spans="5:14" x14ac:dyDescent="0.25">
      <c r="E307">
        <v>1714</v>
      </c>
      <c r="F307" s="7">
        <v>45529</v>
      </c>
      <c r="G307">
        <f t="shared" si="13"/>
        <v>2024</v>
      </c>
      <c r="H307" s="7" t="str">
        <f t="shared" si="14"/>
        <v>Август</v>
      </c>
      <c r="I307" t="s">
        <v>9</v>
      </c>
      <c r="J307">
        <v>56</v>
      </c>
      <c r="K307" t="s">
        <v>8</v>
      </c>
      <c r="L307">
        <v>5</v>
      </c>
      <c r="M307">
        <v>95</v>
      </c>
      <c r="N307" s="1">
        <f t="shared" si="15"/>
        <v>475</v>
      </c>
    </row>
    <row r="308" spans="5:14" x14ac:dyDescent="0.25">
      <c r="E308">
        <v>1093</v>
      </c>
      <c r="F308" s="7">
        <v>45620</v>
      </c>
      <c r="G308">
        <f t="shared" si="13"/>
        <v>2024</v>
      </c>
      <c r="H308" s="7" t="str">
        <f t="shared" si="14"/>
        <v>Ноябрь</v>
      </c>
      <c r="I308" t="s">
        <v>9</v>
      </c>
      <c r="J308">
        <v>33</v>
      </c>
      <c r="K308" t="s">
        <v>10</v>
      </c>
      <c r="L308">
        <v>7</v>
      </c>
      <c r="M308">
        <v>201</v>
      </c>
      <c r="N308" s="1">
        <f t="shared" si="15"/>
        <v>1407</v>
      </c>
    </row>
    <row r="309" spans="5:14" x14ac:dyDescent="0.25">
      <c r="E309">
        <v>694</v>
      </c>
      <c r="F309" s="7">
        <v>45175</v>
      </c>
      <c r="G309">
        <f t="shared" si="13"/>
        <v>2023</v>
      </c>
      <c r="H309" s="7" t="str">
        <f t="shared" si="14"/>
        <v>Сентябрь</v>
      </c>
      <c r="I309" t="s">
        <v>9</v>
      </c>
      <c r="J309">
        <v>50</v>
      </c>
      <c r="K309" t="s">
        <v>10</v>
      </c>
      <c r="L309">
        <v>4</v>
      </c>
      <c r="M309">
        <v>50</v>
      </c>
      <c r="N309" s="1">
        <f t="shared" si="15"/>
        <v>200</v>
      </c>
    </row>
    <row r="310" spans="5:14" x14ac:dyDescent="0.25">
      <c r="E310">
        <v>303</v>
      </c>
      <c r="F310" s="7">
        <v>45126</v>
      </c>
      <c r="G310">
        <f t="shared" si="13"/>
        <v>2023</v>
      </c>
      <c r="H310" s="7" t="str">
        <f t="shared" si="14"/>
        <v>Июль</v>
      </c>
      <c r="I310" t="s">
        <v>9</v>
      </c>
      <c r="J310">
        <v>37</v>
      </c>
      <c r="K310" t="s">
        <v>11</v>
      </c>
      <c r="L310">
        <v>2</v>
      </c>
      <c r="M310">
        <v>30</v>
      </c>
      <c r="N310" s="1">
        <f t="shared" si="15"/>
        <v>60</v>
      </c>
    </row>
    <row r="311" spans="5:14" x14ac:dyDescent="0.25">
      <c r="E311">
        <v>563</v>
      </c>
      <c r="F311" s="7">
        <v>45223</v>
      </c>
      <c r="G311">
        <f t="shared" si="13"/>
        <v>2023</v>
      </c>
      <c r="H311" s="7" t="str">
        <f t="shared" si="14"/>
        <v>Октябрь</v>
      </c>
      <c r="I311" t="s">
        <v>7</v>
      </c>
      <c r="J311">
        <v>50</v>
      </c>
      <c r="K311" t="s">
        <v>11</v>
      </c>
      <c r="L311">
        <v>2</v>
      </c>
      <c r="M311">
        <v>50</v>
      </c>
      <c r="N311" s="1">
        <f t="shared" si="15"/>
        <v>100</v>
      </c>
    </row>
    <row r="312" spans="5:14" x14ac:dyDescent="0.25">
      <c r="E312">
        <v>34</v>
      </c>
      <c r="F312" s="7">
        <v>45284</v>
      </c>
      <c r="G312">
        <f t="shared" si="13"/>
        <v>2023</v>
      </c>
      <c r="H312" s="7" t="str">
        <f t="shared" si="14"/>
        <v>Декабрь</v>
      </c>
      <c r="I312" t="s">
        <v>9</v>
      </c>
      <c r="J312">
        <v>51</v>
      </c>
      <c r="K312" t="s">
        <v>10</v>
      </c>
      <c r="L312">
        <v>3</v>
      </c>
      <c r="M312">
        <v>50</v>
      </c>
      <c r="N312" s="1">
        <f t="shared" si="15"/>
        <v>150</v>
      </c>
    </row>
    <row r="313" spans="5:14" x14ac:dyDescent="0.25">
      <c r="E313">
        <v>1627</v>
      </c>
      <c r="F313" s="7">
        <v>45519</v>
      </c>
      <c r="G313">
        <f t="shared" si="13"/>
        <v>2024</v>
      </c>
      <c r="H313" s="7" t="str">
        <f t="shared" si="14"/>
        <v>Август</v>
      </c>
      <c r="I313" t="s">
        <v>7</v>
      </c>
      <c r="J313">
        <v>37</v>
      </c>
      <c r="K313" t="s">
        <v>10</v>
      </c>
      <c r="L313">
        <v>2</v>
      </c>
      <c r="M313">
        <v>452</v>
      </c>
      <c r="N313" s="1">
        <f t="shared" si="15"/>
        <v>904</v>
      </c>
    </row>
    <row r="314" spans="5:14" x14ac:dyDescent="0.25">
      <c r="E314">
        <v>1456</v>
      </c>
      <c r="F314" s="7">
        <v>45372</v>
      </c>
      <c r="G314">
        <f t="shared" si="13"/>
        <v>2024</v>
      </c>
      <c r="H314" s="7" t="str">
        <f t="shared" si="14"/>
        <v>Март</v>
      </c>
      <c r="I314" t="s">
        <v>7</v>
      </c>
      <c r="J314">
        <v>25</v>
      </c>
      <c r="K314" t="s">
        <v>10</v>
      </c>
      <c r="L314">
        <v>1</v>
      </c>
      <c r="M314">
        <v>195</v>
      </c>
      <c r="N314" s="1">
        <f t="shared" si="15"/>
        <v>195</v>
      </c>
    </row>
    <row r="315" spans="5:14" x14ac:dyDescent="0.25">
      <c r="E315">
        <v>762</v>
      </c>
      <c r="F315" s="7">
        <v>45010</v>
      </c>
      <c r="G315">
        <f t="shared" si="13"/>
        <v>2023</v>
      </c>
      <c r="H315" s="7" t="str">
        <f t="shared" si="14"/>
        <v>Март</v>
      </c>
      <c r="I315" t="s">
        <v>9</v>
      </c>
      <c r="J315">
        <v>40</v>
      </c>
      <c r="K315" t="s">
        <v>10</v>
      </c>
      <c r="L315">
        <v>1</v>
      </c>
      <c r="M315">
        <v>25</v>
      </c>
      <c r="N315" s="1">
        <f t="shared" si="15"/>
        <v>25</v>
      </c>
    </row>
    <row r="316" spans="5:14" x14ac:dyDescent="0.25">
      <c r="E316">
        <v>1970</v>
      </c>
      <c r="F316" s="7">
        <v>45415</v>
      </c>
      <c r="G316">
        <f t="shared" si="13"/>
        <v>2024</v>
      </c>
      <c r="H316" s="7" t="str">
        <f t="shared" si="14"/>
        <v>Май</v>
      </c>
      <c r="I316" t="s">
        <v>7</v>
      </c>
      <c r="J316">
        <v>46</v>
      </c>
      <c r="K316" t="s">
        <v>8</v>
      </c>
      <c r="L316">
        <v>1</v>
      </c>
      <c r="M316">
        <v>223</v>
      </c>
      <c r="N316" s="1">
        <f t="shared" si="15"/>
        <v>223</v>
      </c>
    </row>
    <row r="317" spans="5:14" x14ac:dyDescent="0.25">
      <c r="E317">
        <v>880</v>
      </c>
      <c r="F317" s="7">
        <v>45083</v>
      </c>
      <c r="G317">
        <f t="shared" si="13"/>
        <v>2023</v>
      </c>
      <c r="H317" s="7" t="str">
        <f t="shared" si="14"/>
        <v>Июнь</v>
      </c>
      <c r="I317" t="s">
        <v>9</v>
      </c>
      <c r="J317">
        <v>64</v>
      </c>
      <c r="K317" t="s">
        <v>11</v>
      </c>
      <c r="L317">
        <v>2</v>
      </c>
      <c r="M317">
        <v>25</v>
      </c>
      <c r="N317" s="1">
        <f t="shared" si="15"/>
        <v>50</v>
      </c>
    </row>
    <row r="318" spans="5:14" x14ac:dyDescent="0.25">
      <c r="E318">
        <v>486</v>
      </c>
      <c r="F318" s="7">
        <v>45131</v>
      </c>
      <c r="G318">
        <f t="shared" si="13"/>
        <v>2023</v>
      </c>
      <c r="H318" s="7" t="str">
        <f t="shared" si="14"/>
        <v>Июль</v>
      </c>
      <c r="I318" t="s">
        <v>7</v>
      </c>
      <c r="J318">
        <v>44</v>
      </c>
      <c r="K318" t="s">
        <v>10</v>
      </c>
      <c r="L318">
        <v>4</v>
      </c>
      <c r="M318">
        <v>500</v>
      </c>
      <c r="N318" s="1">
        <f t="shared" si="15"/>
        <v>2000</v>
      </c>
    </row>
    <row r="319" spans="5:14" x14ac:dyDescent="0.25">
      <c r="E319">
        <v>1721</v>
      </c>
      <c r="F319" s="7">
        <v>45525</v>
      </c>
      <c r="G319">
        <f t="shared" si="13"/>
        <v>2024</v>
      </c>
      <c r="H319" s="7" t="str">
        <f t="shared" si="14"/>
        <v>Август</v>
      </c>
      <c r="I319" t="s">
        <v>7</v>
      </c>
      <c r="J319">
        <v>31</v>
      </c>
      <c r="K319" t="s">
        <v>11</v>
      </c>
      <c r="L319">
        <v>5</v>
      </c>
      <c r="M319">
        <v>477</v>
      </c>
      <c r="N319" s="1">
        <f t="shared" si="15"/>
        <v>2385</v>
      </c>
    </row>
    <row r="320" spans="5:14" x14ac:dyDescent="0.25">
      <c r="E320">
        <v>1695</v>
      </c>
      <c r="F320" s="7">
        <v>45465</v>
      </c>
      <c r="G320">
        <f t="shared" si="13"/>
        <v>2024</v>
      </c>
      <c r="H320" s="7" t="str">
        <f t="shared" si="14"/>
        <v>Июнь</v>
      </c>
      <c r="I320" t="s">
        <v>9</v>
      </c>
      <c r="J320">
        <v>18</v>
      </c>
      <c r="K320" t="s">
        <v>10</v>
      </c>
      <c r="L320">
        <v>5</v>
      </c>
      <c r="M320">
        <v>457</v>
      </c>
      <c r="N320" s="1">
        <f t="shared" si="15"/>
        <v>2285</v>
      </c>
    </row>
    <row r="321" spans="5:14" x14ac:dyDescent="0.25">
      <c r="E321">
        <v>927</v>
      </c>
      <c r="F321" s="7">
        <v>44953</v>
      </c>
      <c r="G321">
        <f t="shared" si="13"/>
        <v>2023</v>
      </c>
      <c r="H321" s="7" t="str">
        <f t="shared" si="14"/>
        <v>Январь</v>
      </c>
      <c r="I321" t="s">
        <v>9</v>
      </c>
      <c r="J321">
        <v>23</v>
      </c>
      <c r="K321" t="s">
        <v>8</v>
      </c>
      <c r="L321">
        <v>3</v>
      </c>
      <c r="M321">
        <v>25</v>
      </c>
      <c r="N321" s="1">
        <f t="shared" si="15"/>
        <v>75</v>
      </c>
    </row>
    <row r="322" spans="5:14" x14ac:dyDescent="0.25">
      <c r="E322">
        <v>654</v>
      </c>
      <c r="F322" s="7">
        <v>45203</v>
      </c>
      <c r="G322">
        <f t="shared" si="13"/>
        <v>2023</v>
      </c>
      <c r="H322" s="7" t="str">
        <f t="shared" si="14"/>
        <v>Октябрь</v>
      </c>
      <c r="I322" t="s">
        <v>7</v>
      </c>
      <c r="J322">
        <v>29</v>
      </c>
      <c r="K322" t="s">
        <v>8</v>
      </c>
      <c r="L322">
        <v>3</v>
      </c>
      <c r="M322">
        <v>30</v>
      </c>
      <c r="N322" s="1">
        <f t="shared" si="15"/>
        <v>90</v>
      </c>
    </row>
    <row r="323" spans="5:14" x14ac:dyDescent="0.25">
      <c r="E323">
        <v>293</v>
      </c>
      <c r="F323" s="7">
        <v>45012</v>
      </c>
      <c r="G323">
        <f t="shared" si="13"/>
        <v>2023</v>
      </c>
      <c r="H323" s="7" t="str">
        <f t="shared" si="14"/>
        <v>Март</v>
      </c>
      <c r="I323" t="s">
        <v>9</v>
      </c>
      <c r="J323">
        <v>23</v>
      </c>
      <c r="K323" t="s">
        <v>10</v>
      </c>
      <c r="L323">
        <v>3</v>
      </c>
      <c r="M323">
        <v>30</v>
      </c>
      <c r="N323" s="1">
        <f t="shared" si="15"/>
        <v>90</v>
      </c>
    </row>
    <row r="324" spans="5:14" x14ac:dyDescent="0.25">
      <c r="E324">
        <v>12</v>
      </c>
      <c r="F324" s="7">
        <v>45229</v>
      </c>
      <c r="G324">
        <f t="shared" si="13"/>
        <v>2023</v>
      </c>
      <c r="H324" s="7" t="str">
        <f t="shared" si="14"/>
        <v>Октябрь</v>
      </c>
      <c r="I324" t="s">
        <v>7</v>
      </c>
      <c r="J324">
        <v>35</v>
      </c>
      <c r="K324" t="s">
        <v>8</v>
      </c>
      <c r="L324">
        <v>3</v>
      </c>
      <c r="M324">
        <v>25</v>
      </c>
      <c r="N324" s="1">
        <f t="shared" si="15"/>
        <v>75</v>
      </c>
    </row>
    <row r="325" spans="5:14" x14ac:dyDescent="0.25">
      <c r="E325">
        <v>97</v>
      </c>
      <c r="F325" s="7">
        <v>45212</v>
      </c>
      <c r="G325">
        <f t="shared" si="13"/>
        <v>2023</v>
      </c>
      <c r="H325" s="7" t="str">
        <f t="shared" si="14"/>
        <v>Октябрь</v>
      </c>
      <c r="I325" t="s">
        <v>9</v>
      </c>
      <c r="J325">
        <v>51</v>
      </c>
      <c r="K325" t="s">
        <v>8</v>
      </c>
      <c r="L325">
        <v>2</v>
      </c>
      <c r="M325">
        <v>500</v>
      </c>
      <c r="N325" s="1">
        <f t="shared" si="15"/>
        <v>1000</v>
      </c>
    </row>
    <row r="326" spans="5:14" x14ac:dyDescent="0.25">
      <c r="E326">
        <v>1442</v>
      </c>
      <c r="F326" s="7">
        <v>45313</v>
      </c>
      <c r="G326">
        <f t="shared" si="13"/>
        <v>2024</v>
      </c>
      <c r="H326" s="7" t="str">
        <f t="shared" si="14"/>
        <v>Январь</v>
      </c>
      <c r="I326" t="s">
        <v>9</v>
      </c>
      <c r="J326">
        <v>52</v>
      </c>
      <c r="K326" t="s">
        <v>11</v>
      </c>
      <c r="L326">
        <v>7</v>
      </c>
      <c r="M326">
        <v>370</v>
      </c>
      <c r="N326" s="1">
        <f t="shared" si="15"/>
        <v>2590</v>
      </c>
    </row>
    <row r="327" spans="5:14" x14ac:dyDescent="0.25">
      <c r="E327">
        <v>1888</v>
      </c>
      <c r="F327" s="7">
        <v>45391</v>
      </c>
      <c r="G327">
        <f t="shared" si="13"/>
        <v>2024</v>
      </c>
      <c r="H327" s="7" t="str">
        <f t="shared" si="14"/>
        <v>Апрель</v>
      </c>
      <c r="I327" t="s">
        <v>7</v>
      </c>
      <c r="J327">
        <v>33</v>
      </c>
      <c r="K327" t="s">
        <v>11</v>
      </c>
      <c r="L327">
        <v>5</v>
      </c>
      <c r="M327">
        <v>271</v>
      </c>
      <c r="N327" s="1">
        <f t="shared" si="15"/>
        <v>1355</v>
      </c>
    </row>
    <row r="328" spans="5:14" x14ac:dyDescent="0.25">
      <c r="E328">
        <v>366</v>
      </c>
      <c r="F328" s="7">
        <v>44931</v>
      </c>
      <c r="G328">
        <f t="shared" si="13"/>
        <v>2023</v>
      </c>
      <c r="H328" s="7" t="str">
        <f t="shared" si="14"/>
        <v>Январь</v>
      </c>
      <c r="I328" t="s">
        <v>9</v>
      </c>
      <c r="J328">
        <v>57</v>
      </c>
      <c r="K328" t="s">
        <v>11</v>
      </c>
      <c r="L328">
        <v>1</v>
      </c>
      <c r="M328">
        <v>50</v>
      </c>
      <c r="N328" s="1">
        <f t="shared" si="15"/>
        <v>50</v>
      </c>
    </row>
    <row r="329" spans="5:14" x14ac:dyDescent="0.25">
      <c r="E329">
        <v>214</v>
      </c>
      <c r="F329" s="7">
        <v>45259</v>
      </c>
      <c r="G329">
        <f t="shared" si="13"/>
        <v>2023</v>
      </c>
      <c r="H329" s="7" t="str">
        <f t="shared" si="14"/>
        <v>Ноябрь</v>
      </c>
      <c r="I329" t="s">
        <v>7</v>
      </c>
      <c r="J329">
        <v>58</v>
      </c>
      <c r="K329" t="s">
        <v>10</v>
      </c>
      <c r="L329">
        <v>3</v>
      </c>
      <c r="M329">
        <v>500</v>
      </c>
      <c r="N329" s="1">
        <f t="shared" si="15"/>
        <v>1500</v>
      </c>
    </row>
    <row r="330" spans="5:14" x14ac:dyDescent="0.25">
      <c r="E330">
        <v>907</v>
      </c>
      <c r="F330" s="7">
        <v>45200</v>
      </c>
      <c r="G330">
        <f t="shared" ref="G330:G393" si="16">YEAR(F330)</f>
        <v>2023</v>
      </c>
      <c r="H330" s="7" t="str">
        <f t="shared" ref="H330:H393" si="17">TEXT(F330,"ММММ")</f>
        <v>Октябрь</v>
      </c>
      <c r="I330" t="s">
        <v>7</v>
      </c>
      <c r="J330">
        <v>26</v>
      </c>
      <c r="K330" t="s">
        <v>11</v>
      </c>
      <c r="L330">
        <v>1</v>
      </c>
      <c r="M330">
        <v>300</v>
      </c>
      <c r="N330" s="1">
        <f t="shared" ref="N330:N393" si="18">L330*M330</f>
        <v>300</v>
      </c>
    </row>
    <row r="331" spans="5:14" x14ac:dyDescent="0.25">
      <c r="E331">
        <v>1677</v>
      </c>
      <c r="F331" s="7">
        <v>45487</v>
      </c>
      <c r="G331">
        <f t="shared" si="16"/>
        <v>2024</v>
      </c>
      <c r="H331" s="7" t="str">
        <f t="shared" si="17"/>
        <v>Июль</v>
      </c>
      <c r="I331" t="s">
        <v>9</v>
      </c>
      <c r="J331">
        <v>34</v>
      </c>
      <c r="K331" t="s">
        <v>11</v>
      </c>
      <c r="L331">
        <v>3</v>
      </c>
      <c r="M331">
        <v>217</v>
      </c>
      <c r="N331" s="1">
        <f t="shared" si="18"/>
        <v>651</v>
      </c>
    </row>
    <row r="332" spans="5:14" x14ac:dyDescent="0.25">
      <c r="E332">
        <v>1405</v>
      </c>
      <c r="F332" s="7">
        <v>45397</v>
      </c>
      <c r="G332">
        <f t="shared" si="16"/>
        <v>2024</v>
      </c>
      <c r="H332" s="7" t="str">
        <f t="shared" si="17"/>
        <v>Апрель</v>
      </c>
      <c r="I332" t="s">
        <v>9</v>
      </c>
      <c r="J332">
        <v>65</v>
      </c>
      <c r="K332" t="s">
        <v>8</v>
      </c>
      <c r="L332">
        <v>1</v>
      </c>
      <c r="M332">
        <v>169</v>
      </c>
      <c r="N332" s="1">
        <f t="shared" si="18"/>
        <v>169</v>
      </c>
    </row>
    <row r="333" spans="5:14" x14ac:dyDescent="0.25">
      <c r="E333">
        <v>1108</v>
      </c>
      <c r="F333" s="7">
        <v>45454</v>
      </c>
      <c r="G333">
        <f t="shared" si="16"/>
        <v>2024</v>
      </c>
      <c r="H333" s="7" t="str">
        <f t="shared" si="17"/>
        <v>Июнь</v>
      </c>
      <c r="I333" t="s">
        <v>7</v>
      </c>
      <c r="J333">
        <v>25</v>
      </c>
      <c r="K333" t="s">
        <v>10</v>
      </c>
      <c r="L333">
        <v>5</v>
      </c>
      <c r="M333">
        <v>438</v>
      </c>
      <c r="N333" s="1">
        <f t="shared" si="18"/>
        <v>2190</v>
      </c>
    </row>
    <row r="334" spans="5:14" x14ac:dyDescent="0.25">
      <c r="E334">
        <v>1607</v>
      </c>
      <c r="F334" s="7">
        <v>45294</v>
      </c>
      <c r="G334">
        <f t="shared" si="16"/>
        <v>2024</v>
      </c>
      <c r="H334" s="7" t="str">
        <f t="shared" si="17"/>
        <v>Январь</v>
      </c>
      <c r="I334" t="s">
        <v>9</v>
      </c>
      <c r="J334">
        <v>18</v>
      </c>
      <c r="K334" t="s">
        <v>8</v>
      </c>
      <c r="L334">
        <v>4</v>
      </c>
      <c r="M334">
        <v>401</v>
      </c>
      <c r="N334" s="1">
        <f t="shared" si="18"/>
        <v>1604</v>
      </c>
    </row>
    <row r="335" spans="5:14" x14ac:dyDescent="0.25">
      <c r="E335">
        <v>935</v>
      </c>
      <c r="F335" s="7">
        <v>45222</v>
      </c>
      <c r="G335">
        <f t="shared" si="16"/>
        <v>2023</v>
      </c>
      <c r="H335" s="7" t="str">
        <f t="shared" si="17"/>
        <v>Октябрь</v>
      </c>
      <c r="I335" t="s">
        <v>9</v>
      </c>
      <c r="J335">
        <v>62</v>
      </c>
      <c r="K335" t="s">
        <v>8</v>
      </c>
      <c r="L335">
        <v>1</v>
      </c>
      <c r="M335">
        <v>500</v>
      </c>
      <c r="N335" s="1">
        <f t="shared" si="18"/>
        <v>500</v>
      </c>
    </row>
    <row r="336" spans="5:14" x14ac:dyDescent="0.25">
      <c r="E336">
        <v>1058</v>
      </c>
      <c r="F336" s="7">
        <v>45588</v>
      </c>
      <c r="G336">
        <f t="shared" si="16"/>
        <v>2024</v>
      </c>
      <c r="H336" s="7" t="str">
        <f t="shared" si="17"/>
        <v>Октябрь</v>
      </c>
      <c r="I336" t="s">
        <v>7</v>
      </c>
      <c r="J336">
        <v>30</v>
      </c>
      <c r="K336" t="s">
        <v>8</v>
      </c>
      <c r="L336">
        <v>3</v>
      </c>
      <c r="M336">
        <v>422</v>
      </c>
      <c r="N336" s="1">
        <f t="shared" si="18"/>
        <v>1266</v>
      </c>
    </row>
    <row r="337" spans="5:14" x14ac:dyDescent="0.25">
      <c r="E337">
        <v>7</v>
      </c>
      <c r="F337" s="7">
        <v>44998</v>
      </c>
      <c r="G337">
        <f t="shared" si="16"/>
        <v>2023</v>
      </c>
      <c r="H337" s="7" t="str">
        <f t="shared" si="17"/>
        <v>Март</v>
      </c>
      <c r="I337" t="s">
        <v>7</v>
      </c>
      <c r="J337">
        <v>46</v>
      </c>
      <c r="K337" t="s">
        <v>10</v>
      </c>
      <c r="L337">
        <v>2</v>
      </c>
      <c r="M337">
        <v>25</v>
      </c>
      <c r="N337" s="1">
        <f t="shared" si="18"/>
        <v>50</v>
      </c>
    </row>
    <row r="338" spans="5:14" x14ac:dyDescent="0.25">
      <c r="E338">
        <v>1224</v>
      </c>
      <c r="F338" s="7">
        <v>45576</v>
      </c>
      <c r="G338">
        <f t="shared" si="16"/>
        <v>2024</v>
      </c>
      <c r="H338" s="7" t="str">
        <f t="shared" si="17"/>
        <v>Октябрь</v>
      </c>
      <c r="I338" t="s">
        <v>7</v>
      </c>
      <c r="J338">
        <v>30</v>
      </c>
      <c r="K338" t="s">
        <v>11</v>
      </c>
      <c r="L338">
        <v>1</v>
      </c>
      <c r="M338">
        <v>428</v>
      </c>
      <c r="N338" s="1">
        <f t="shared" si="18"/>
        <v>428</v>
      </c>
    </row>
    <row r="339" spans="5:14" x14ac:dyDescent="0.25">
      <c r="E339">
        <v>96</v>
      </c>
      <c r="F339" s="7">
        <v>45279</v>
      </c>
      <c r="G339">
        <f t="shared" si="16"/>
        <v>2023</v>
      </c>
      <c r="H339" s="7" t="str">
        <f t="shared" si="17"/>
        <v>Декабрь</v>
      </c>
      <c r="I339" t="s">
        <v>9</v>
      </c>
      <c r="J339">
        <v>44</v>
      </c>
      <c r="K339" t="s">
        <v>10</v>
      </c>
      <c r="L339">
        <v>2</v>
      </c>
      <c r="M339">
        <v>300</v>
      </c>
      <c r="N339" s="1">
        <f t="shared" si="18"/>
        <v>600</v>
      </c>
    </row>
    <row r="340" spans="5:14" x14ac:dyDescent="0.25">
      <c r="E340">
        <v>1496</v>
      </c>
      <c r="F340" s="7">
        <v>45306</v>
      </c>
      <c r="G340">
        <f t="shared" si="16"/>
        <v>2024</v>
      </c>
      <c r="H340" s="7" t="str">
        <f t="shared" si="17"/>
        <v>Январь</v>
      </c>
      <c r="I340" t="s">
        <v>7</v>
      </c>
      <c r="J340">
        <v>21</v>
      </c>
      <c r="K340" t="s">
        <v>8</v>
      </c>
      <c r="L340">
        <v>6</v>
      </c>
      <c r="M340">
        <v>44</v>
      </c>
      <c r="N340" s="1">
        <f t="shared" si="18"/>
        <v>264</v>
      </c>
    </row>
    <row r="341" spans="5:14" x14ac:dyDescent="0.25">
      <c r="E341">
        <v>979</v>
      </c>
      <c r="F341" s="7">
        <v>45157</v>
      </c>
      <c r="G341">
        <f t="shared" si="16"/>
        <v>2023</v>
      </c>
      <c r="H341" s="7" t="str">
        <f t="shared" si="17"/>
        <v>Август</v>
      </c>
      <c r="I341" t="s">
        <v>9</v>
      </c>
      <c r="J341">
        <v>30</v>
      </c>
      <c r="K341" t="s">
        <v>11</v>
      </c>
      <c r="L341">
        <v>2</v>
      </c>
      <c r="M341">
        <v>30</v>
      </c>
      <c r="N341" s="1">
        <f t="shared" si="18"/>
        <v>60</v>
      </c>
    </row>
    <row r="342" spans="5:14" x14ac:dyDescent="0.25">
      <c r="E342">
        <v>568</v>
      </c>
      <c r="F342" s="7">
        <v>45153</v>
      </c>
      <c r="G342">
        <f t="shared" si="16"/>
        <v>2023</v>
      </c>
      <c r="H342" s="7" t="str">
        <f t="shared" si="17"/>
        <v>Август</v>
      </c>
      <c r="I342" t="s">
        <v>7</v>
      </c>
      <c r="J342">
        <v>52</v>
      </c>
      <c r="K342" t="s">
        <v>11</v>
      </c>
      <c r="L342">
        <v>4</v>
      </c>
      <c r="M342">
        <v>50</v>
      </c>
      <c r="N342" s="1">
        <f t="shared" si="18"/>
        <v>200</v>
      </c>
    </row>
    <row r="343" spans="5:14" x14ac:dyDescent="0.25">
      <c r="E343">
        <v>531</v>
      </c>
      <c r="F343" s="7">
        <v>45096</v>
      </c>
      <c r="G343">
        <f t="shared" si="16"/>
        <v>2023</v>
      </c>
      <c r="H343" s="7" t="str">
        <f t="shared" si="17"/>
        <v>Июнь</v>
      </c>
      <c r="I343" t="s">
        <v>9</v>
      </c>
      <c r="J343">
        <v>64</v>
      </c>
      <c r="K343" t="s">
        <v>10</v>
      </c>
      <c r="L343">
        <v>4</v>
      </c>
      <c r="M343">
        <v>30</v>
      </c>
      <c r="N343" s="1">
        <f t="shared" si="18"/>
        <v>120</v>
      </c>
    </row>
    <row r="344" spans="5:14" x14ac:dyDescent="0.25">
      <c r="E344">
        <v>1137</v>
      </c>
      <c r="F344" s="7">
        <v>45641</v>
      </c>
      <c r="G344">
        <f t="shared" si="16"/>
        <v>2024</v>
      </c>
      <c r="H344" s="7" t="str">
        <f t="shared" si="17"/>
        <v>Декабрь</v>
      </c>
      <c r="I344" t="s">
        <v>7</v>
      </c>
      <c r="J344">
        <v>49</v>
      </c>
      <c r="K344" t="s">
        <v>8</v>
      </c>
      <c r="L344">
        <v>7</v>
      </c>
      <c r="M344">
        <v>244</v>
      </c>
      <c r="N344" s="1">
        <f t="shared" si="18"/>
        <v>1708</v>
      </c>
    </row>
    <row r="345" spans="5:14" x14ac:dyDescent="0.25">
      <c r="E345">
        <v>402</v>
      </c>
      <c r="F345" s="7">
        <v>45066</v>
      </c>
      <c r="G345">
        <f t="shared" si="16"/>
        <v>2023</v>
      </c>
      <c r="H345" s="7" t="str">
        <f t="shared" si="17"/>
        <v>Май</v>
      </c>
      <c r="I345" t="s">
        <v>7</v>
      </c>
      <c r="J345">
        <v>32</v>
      </c>
      <c r="K345" t="s">
        <v>10</v>
      </c>
      <c r="L345">
        <v>2</v>
      </c>
      <c r="M345">
        <v>300</v>
      </c>
      <c r="N345" s="1">
        <f t="shared" si="18"/>
        <v>600</v>
      </c>
    </row>
    <row r="346" spans="5:14" x14ac:dyDescent="0.25">
      <c r="E346">
        <v>548</v>
      </c>
      <c r="F346" s="7">
        <v>45142</v>
      </c>
      <c r="G346">
        <f t="shared" si="16"/>
        <v>2023</v>
      </c>
      <c r="H346" s="7" t="str">
        <f t="shared" si="17"/>
        <v>Август</v>
      </c>
      <c r="I346" t="s">
        <v>9</v>
      </c>
      <c r="J346">
        <v>50</v>
      </c>
      <c r="K346" t="s">
        <v>8</v>
      </c>
      <c r="L346">
        <v>2</v>
      </c>
      <c r="M346">
        <v>50</v>
      </c>
      <c r="N346" s="1">
        <f t="shared" si="18"/>
        <v>100</v>
      </c>
    </row>
    <row r="347" spans="5:14" x14ac:dyDescent="0.25">
      <c r="E347">
        <v>26</v>
      </c>
      <c r="F347" s="7">
        <v>45206</v>
      </c>
      <c r="G347">
        <f t="shared" si="16"/>
        <v>2023</v>
      </c>
      <c r="H347" s="7" t="str">
        <f t="shared" si="17"/>
        <v>Октябрь</v>
      </c>
      <c r="I347" t="s">
        <v>9</v>
      </c>
      <c r="J347">
        <v>28</v>
      </c>
      <c r="K347" t="s">
        <v>11</v>
      </c>
      <c r="L347">
        <v>2</v>
      </c>
      <c r="M347">
        <v>500</v>
      </c>
      <c r="N347" s="1">
        <f t="shared" si="18"/>
        <v>1000</v>
      </c>
    </row>
    <row r="348" spans="5:14" x14ac:dyDescent="0.25">
      <c r="E348">
        <v>1375</v>
      </c>
      <c r="F348" s="7">
        <v>45471</v>
      </c>
      <c r="G348">
        <f t="shared" si="16"/>
        <v>2024</v>
      </c>
      <c r="H348" s="7" t="str">
        <f t="shared" si="17"/>
        <v>Июнь</v>
      </c>
      <c r="I348" t="s">
        <v>7</v>
      </c>
      <c r="J348">
        <v>47</v>
      </c>
      <c r="K348" t="s">
        <v>8</v>
      </c>
      <c r="L348">
        <v>5</v>
      </c>
      <c r="M348">
        <v>143</v>
      </c>
      <c r="N348" s="1">
        <f t="shared" si="18"/>
        <v>715</v>
      </c>
    </row>
    <row r="349" spans="5:14" x14ac:dyDescent="0.25">
      <c r="E349">
        <v>438</v>
      </c>
      <c r="F349" s="7">
        <v>45116</v>
      </c>
      <c r="G349">
        <f t="shared" si="16"/>
        <v>2023</v>
      </c>
      <c r="H349" s="7" t="str">
        <f t="shared" si="17"/>
        <v>Июль</v>
      </c>
      <c r="I349" t="s">
        <v>7</v>
      </c>
      <c r="J349">
        <v>50</v>
      </c>
      <c r="K349" t="s">
        <v>10</v>
      </c>
      <c r="L349">
        <v>3</v>
      </c>
      <c r="M349">
        <v>25</v>
      </c>
      <c r="N349" s="1">
        <f t="shared" si="18"/>
        <v>75</v>
      </c>
    </row>
    <row r="350" spans="5:14" x14ac:dyDescent="0.25">
      <c r="E350">
        <v>1664</v>
      </c>
      <c r="F350" s="7">
        <v>45501</v>
      </c>
      <c r="G350">
        <f t="shared" si="16"/>
        <v>2024</v>
      </c>
      <c r="H350" s="7" t="str">
        <f t="shared" si="17"/>
        <v>Июль</v>
      </c>
      <c r="I350" t="s">
        <v>9</v>
      </c>
      <c r="J350">
        <v>24</v>
      </c>
      <c r="K350" t="s">
        <v>11</v>
      </c>
      <c r="L350">
        <v>4</v>
      </c>
      <c r="M350">
        <v>309</v>
      </c>
      <c r="N350" s="1">
        <f t="shared" si="18"/>
        <v>1236</v>
      </c>
    </row>
    <row r="351" spans="5:14" x14ac:dyDescent="0.25">
      <c r="E351">
        <v>1328</v>
      </c>
      <c r="F351" s="7">
        <v>45333</v>
      </c>
      <c r="G351">
        <f t="shared" si="16"/>
        <v>2024</v>
      </c>
      <c r="H351" s="7" t="str">
        <f t="shared" si="17"/>
        <v>Февраль</v>
      </c>
      <c r="I351" t="s">
        <v>7</v>
      </c>
      <c r="J351">
        <v>59</v>
      </c>
      <c r="K351" t="s">
        <v>11</v>
      </c>
      <c r="L351">
        <v>3</v>
      </c>
      <c r="M351">
        <v>319</v>
      </c>
      <c r="N351" s="1">
        <f t="shared" si="18"/>
        <v>957</v>
      </c>
    </row>
    <row r="352" spans="5:14" x14ac:dyDescent="0.25">
      <c r="E352">
        <v>243</v>
      </c>
      <c r="F352" s="7">
        <v>45269</v>
      </c>
      <c r="G352">
        <f t="shared" si="16"/>
        <v>2023</v>
      </c>
      <c r="H352" s="7" t="str">
        <f t="shared" si="17"/>
        <v>Декабрь</v>
      </c>
      <c r="I352" t="s">
        <v>7</v>
      </c>
      <c r="J352">
        <v>28</v>
      </c>
      <c r="K352" t="s">
        <v>8</v>
      </c>
      <c r="L352">
        <v>2</v>
      </c>
      <c r="M352">
        <v>50</v>
      </c>
      <c r="N352" s="1">
        <f t="shared" si="18"/>
        <v>100</v>
      </c>
    </row>
    <row r="353" spans="5:14" x14ac:dyDescent="0.25">
      <c r="E353">
        <v>891</v>
      </c>
      <c r="F353" s="7">
        <v>45037</v>
      </c>
      <c r="G353">
        <f t="shared" si="16"/>
        <v>2023</v>
      </c>
      <c r="H353" s="7" t="str">
        <f t="shared" si="17"/>
        <v>Апрель</v>
      </c>
      <c r="I353" t="s">
        <v>7</v>
      </c>
      <c r="J353">
        <v>49</v>
      </c>
      <c r="K353" t="s">
        <v>11</v>
      </c>
      <c r="L353">
        <v>1</v>
      </c>
      <c r="M353">
        <v>50</v>
      </c>
      <c r="N353" s="1">
        <f t="shared" si="18"/>
        <v>50</v>
      </c>
    </row>
    <row r="354" spans="5:14" x14ac:dyDescent="0.25">
      <c r="E354">
        <v>1230</v>
      </c>
      <c r="F354" s="7">
        <v>45655</v>
      </c>
      <c r="G354">
        <f t="shared" si="16"/>
        <v>2024</v>
      </c>
      <c r="H354" s="7" t="str">
        <f t="shared" si="17"/>
        <v>Декабрь</v>
      </c>
      <c r="I354" t="s">
        <v>9</v>
      </c>
      <c r="J354">
        <v>58</v>
      </c>
      <c r="K354" t="s">
        <v>8</v>
      </c>
      <c r="L354">
        <v>6</v>
      </c>
      <c r="M354">
        <v>133</v>
      </c>
      <c r="N354" s="1">
        <f t="shared" si="18"/>
        <v>798</v>
      </c>
    </row>
    <row r="355" spans="5:14" x14ac:dyDescent="0.25">
      <c r="E355">
        <v>1239</v>
      </c>
      <c r="F355" s="7">
        <v>45414</v>
      </c>
      <c r="G355">
        <f t="shared" si="16"/>
        <v>2024</v>
      </c>
      <c r="H355" s="7" t="str">
        <f t="shared" si="17"/>
        <v>Май</v>
      </c>
      <c r="I355" t="s">
        <v>7</v>
      </c>
      <c r="J355">
        <v>40</v>
      </c>
      <c r="K355" t="s">
        <v>10</v>
      </c>
      <c r="L355">
        <v>6</v>
      </c>
      <c r="M355">
        <v>359</v>
      </c>
      <c r="N355" s="1">
        <f t="shared" si="18"/>
        <v>2154</v>
      </c>
    </row>
    <row r="356" spans="5:14" x14ac:dyDescent="0.25">
      <c r="E356">
        <v>1194</v>
      </c>
      <c r="F356" s="7">
        <v>45565</v>
      </c>
      <c r="G356">
        <f t="shared" si="16"/>
        <v>2024</v>
      </c>
      <c r="H356" s="7" t="str">
        <f t="shared" si="17"/>
        <v>Сентябрь</v>
      </c>
      <c r="I356" t="s">
        <v>9</v>
      </c>
      <c r="J356">
        <v>56</v>
      </c>
      <c r="K356" t="s">
        <v>10</v>
      </c>
      <c r="L356">
        <v>2</v>
      </c>
      <c r="M356">
        <v>11</v>
      </c>
      <c r="N356" s="1">
        <f t="shared" si="18"/>
        <v>22</v>
      </c>
    </row>
    <row r="357" spans="5:14" x14ac:dyDescent="0.25">
      <c r="E357">
        <v>622</v>
      </c>
      <c r="F357" s="7">
        <v>44995</v>
      </c>
      <c r="G357">
        <f t="shared" si="16"/>
        <v>2023</v>
      </c>
      <c r="H357" s="7" t="str">
        <f t="shared" si="17"/>
        <v>Март</v>
      </c>
      <c r="I357" t="s">
        <v>7</v>
      </c>
      <c r="J357">
        <v>34</v>
      </c>
      <c r="K357" t="s">
        <v>10</v>
      </c>
      <c r="L357">
        <v>3</v>
      </c>
      <c r="M357">
        <v>50</v>
      </c>
      <c r="N357" s="1">
        <f t="shared" si="18"/>
        <v>150</v>
      </c>
    </row>
    <row r="358" spans="5:14" x14ac:dyDescent="0.25">
      <c r="E358">
        <v>1360</v>
      </c>
      <c r="F358" s="7">
        <v>45446</v>
      </c>
      <c r="G358">
        <f t="shared" si="16"/>
        <v>2024</v>
      </c>
      <c r="H358" s="7" t="str">
        <f t="shared" si="17"/>
        <v>Июнь</v>
      </c>
      <c r="I358" t="s">
        <v>7</v>
      </c>
      <c r="J358">
        <v>42</v>
      </c>
      <c r="K358" t="s">
        <v>8</v>
      </c>
      <c r="L358">
        <v>1</v>
      </c>
      <c r="M358">
        <v>435</v>
      </c>
      <c r="N358" s="1">
        <f t="shared" si="18"/>
        <v>435</v>
      </c>
    </row>
    <row r="359" spans="5:14" x14ac:dyDescent="0.25">
      <c r="E359">
        <v>758</v>
      </c>
      <c r="F359" s="7">
        <v>45012</v>
      </c>
      <c r="G359">
        <f t="shared" si="16"/>
        <v>2023</v>
      </c>
      <c r="H359" s="7" t="str">
        <f t="shared" si="17"/>
        <v>Март</v>
      </c>
      <c r="I359" t="s">
        <v>7</v>
      </c>
      <c r="J359">
        <v>27</v>
      </c>
      <c r="K359" t="s">
        <v>8</v>
      </c>
      <c r="L359">
        <v>1</v>
      </c>
      <c r="M359">
        <v>500</v>
      </c>
      <c r="N359" s="1">
        <f t="shared" si="18"/>
        <v>500</v>
      </c>
    </row>
    <row r="360" spans="5:14" x14ac:dyDescent="0.25">
      <c r="E360">
        <v>675</v>
      </c>
      <c r="F360" s="7">
        <v>45226</v>
      </c>
      <c r="G360">
        <f t="shared" si="16"/>
        <v>2023</v>
      </c>
      <c r="H360" s="7" t="str">
        <f t="shared" si="17"/>
        <v>Октябрь</v>
      </c>
      <c r="I360" t="s">
        <v>9</v>
      </c>
      <c r="J360">
        <v>19</v>
      </c>
      <c r="K360" t="s">
        <v>8</v>
      </c>
      <c r="L360">
        <v>3</v>
      </c>
      <c r="M360">
        <v>500</v>
      </c>
      <c r="N360" s="1">
        <f t="shared" si="18"/>
        <v>1500</v>
      </c>
    </row>
    <row r="361" spans="5:14" x14ac:dyDescent="0.25">
      <c r="E361">
        <v>564</v>
      </c>
      <c r="F361" s="7">
        <v>45237</v>
      </c>
      <c r="G361">
        <f t="shared" si="16"/>
        <v>2023</v>
      </c>
      <c r="H361" s="7" t="str">
        <f t="shared" si="17"/>
        <v>Ноябрь</v>
      </c>
      <c r="I361" t="s">
        <v>9</v>
      </c>
      <c r="J361">
        <v>45</v>
      </c>
      <c r="K361" t="s">
        <v>8</v>
      </c>
      <c r="L361">
        <v>2</v>
      </c>
      <c r="M361">
        <v>30</v>
      </c>
      <c r="N361" s="1">
        <f t="shared" si="18"/>
        <v>60</v>
      </c>
    </row>
    <row r="362" spans="5:14" x14ac:dyDescent="0.25">
      <c r="E362">
        <v>515</v>
      </c>
      <c r="F362" s="7">
        <v>45222</v>
      </c>
      <c r="G362">
        <f t="shared" si="16"/>
        <v>2023</v>
      </c>
      <c r="H362" s="7" t="str">
        <f t="shared" si="17"/>
        <v>Октябрь</v>
      </c>
      <c r="I362" t="s">
        <v>7</v>
      </c>
      <c r="J362">
        <v>30</v>
      </c>
      <c r="K362" t="s">
        <v>8</v>
      </c>
      <c r="L362">
        <v>4</v>
      </c>
      <c r="M362">
        <v>25</v>
      </c>
      <c r="N362" s="1">
        <f t="shared" si="18"/>
        <v>100</v>
      </c>
    </row>
    <row r="363" spans="5:14" x14ac:dyDescent="0.25">
      <c r="E363">
        <v>1334</v>
      </c>
      <c r="F363" s="7">
        <v>45413</v>
      </c>
      <c r="G363">
        <f t="shared" si="16"/>
        <v>2024</v>
      </c>
      <c r="H363" s="7" t="str">
        <f t="shared" si="17"/>
        <v>Май</v>
      </c>
      <c r="I363" t="s">
        <v>7</v>
      </c>
      <c r="J363">
        <v>28</v>
      </c>
      <c r="K363" t="s">
        <v>10</v>
      </c>
      <c r="L363">
        <v>1</v>
      </c>
      <c r="M363">
        <v>364</v>
      </c>
      <c r="N363" s="1">
        <f t="shared" si="18"/>
        <v>364</v>
      </c>
    </row>
    <row r="364" spans="5:14" x14ac:dyDescent="0.25">
      <c r="E364">
        <v>1123</v>
      </c>
      <c r="F364" s="7">
        <v>45512</v>
      </c>
      <c r="G364">
        <f t="shared" si="16"/>
        <v>2024</v>
      </c>
      <c r="H364" s="7" t="str">
        <f t="shared" si="17"/>
        <v>Август</v>
      </c>
      <c r="I364" t="s">
        <v>7</v>
      </c>
      <c r="J364">
        <v>49</v>
      </c>
      <c r="K364" t="s">
        <v>10</v>
      </c>
      <c r="L364">
        <v>3</v>
      </c>
      <c r="M364">
        <v>71</v>
      </c>
      <c r="N364" s="1">
        <f t="shared" si="18"/>
        <v>213</v>
      </c>
    </row>
    <row r="365" spans="5:14" x14ac:dyDescent="0.25">
      <c r="E365">
        <v>1812</v>
      </c>
      <c r="F365" s="7">
        <v>45516</v>
      </c>
      <c r="G365">
        <f t="shared" si="16"/>
        <v>2024</v>
      </c>
      <c r="H365" s="7" t="str">
        <f t="shared" si="17"/>
        <v>Август</v>
      </c>
      <c r="I365" t="s">
        <v>7</v>
      </c>
      <c r="J365">
        <v>22</v>
      </c>
      <c r="K365" t="s">
        <v>8</v>
      </c>
      <c r="L365">
        <v>4</v>
      </c>
      <c r="M365">
        <v>292</v>
      </c>
      <c r="N365" s="1">
        <f t="shared" si="18"/>
        <v>1168</v>
      </c>
    </row>
    <row r="366" spans="5:14" x14ac:dyDescent="0.25">
      <c r="E366">
        <v>1632</v>
      </c>
      <c r="F366" s="7">
        <v>45521</v>
      </c>
      <c r="G366">
        <f t="shared" si="16"/>
        <v>2024</v>
      </c>
      <c r="H366" s="7" t="str">
        <f t="shared" si="17"/>
        <v>Август</v>
      </c>
      <c r="I366" t="s">
        <v>9</v>
      </c>
      <c r="J366">
        <v>27</v>
      </c>
      <c r="K366" t="s">
        <v>11</v>
      </c>
      <c r="L366">
        <v>1</v>
      </c>
      <c r="M366">
        <v>168</v>
      </c>
      <c r="N366" s="1">
        <f t="shared" si="18"/>
        <v>168</v>
      </c>
    </row>
    <row r="367" spans="5:14" x14ac:dyDescent="0.25">
      <c r="E367">
        <v>1637</v>
      </c>
      <c r="F367" s="7">
        <v>45419</v>
      </c>
      <c r="G367">
        <f t="shared" si="16"/>
        <v>2024</v>
      </c>
      <c r="H367" s="7" t="str">
        <f t="shared" si="17"/>
        <v>Май</v>
      </c>
      <c r="I367" t="s">
        <v>9</v>
      </c>
      <c r="J367">
        <v>31</v>
      </c>
      <c r="K367" t="s">
        <v>11</v>
      </c>
      <c r="L367">
        <v>1</v>
      </c>
      <c r="M367">
        <v>198</v>
      </c>
      <c r="N367" s="1">
        <f t="shared" si="18"/>
        <v>198</v>
      </c>
    </row>
    <row r="368" spans="5:14" x14ac:dyDescent="0.25">
      <c r="E368">
        <v>1434</v>
      </c>
      <c r="F368" s="7">
        <v>45572</v>
      </c>
      <c r="G368">
        <f t="shared" si="16"/>
        <v>2024</v>
      </c>
      <c r="H368" s="7" t="str">
        <f t="shared" si="17"/>
        <v>Октябрь</v>
      </c>
      <c r="I368" t="s">
        <v>9</v>
      </c>
      <c r="J368">
        <v>42</v>
      </c>
      <c r="K368" t="s">
        <v>11</v>
      </c>
      <c r="L368">
        <v>6</v>
      </c>
      <c r="M368">
        <v>244</v>
      </c>
      <c r="N368" s="1">
        <f t="shared" si="18"/>
        <v>1464</v>
      </c>
    </row>
    <row r="369" spans="5:14" x14ac:dyDescent="0.25">
      <c r="E369">
        <v>414</v>
      </c>
      <c r="F369" s="7">
        <v>44953</v>
      </c>
      <c r="G369">
        <f t="shared" si="16"/>
        <v>2023</v>
      </c>
      <c r="H369" s="7" t="str">
        <f t="shared" si="17"/>
        <v>Январь</v>
      </c>
      <c r="I369" t="s">
        <v>7</v>
      </c>
      <c r="J369">
        <v>53</v>
      </c>
      <c r="K369" t="s">
        <v>10</v>
      </c>
      <c r="L369">
        <v>2</v>
      </c>
      <c r="M369">
        <v>30</v>
      </c>
      <c r="N369" s="1">
        <f t="shared" si="18"/>
        <v>60</v>
      </c>
    </row>
    <row r="370" spans="5:14" x14ac:dyDescent="0.25">
      <c r="E370">
        <v>931</v>
      </c>
      <c r="F370" s="7">
        <v>44960</v>
      </c>
      <c r="G370">
        <f t="shared" si="16"/>
        <v>2023</v>
      </c>
      <c r="H370" s="7" t="str">
        <f t="shared" si="17"/>
        <v>Февраль</v>
      </c>
      <c r="I370" t="s">
        <v>7</v>
      </c>
      <c r="J370">
        <v>22</v>
      </c>
      <c r="K370" t="s">
        <v>8</v>
      </c>
      <c r="L370">
        <v>1</v>
      </c>
      <c r="M370">
        <v>30</v>
      </c>
      <c r="N370" s="1">
        <f t="shared" si="18"/>
        <v>30</v>
      </c>
    </row>
    <row r="371" spans="5:14" x14ac:dyDescent="0.25">
      <c r="E371">
        <v>1023</v>
      </c>
      <c r="F371" s="7">
        <v>45652</v>
      </c>
      <c r="G371">
        <f t="shared" si="16"/>
        <v>2024</v>
      </c>
      <c r="H371" s="7" t="str">
        <f t="shared" si="17"/>
        <v>Декабрь</v>
      </c>
      <c r="I371" t="s">
        <v>9</v>
      </c>
      <c r="J371">
        <v>42</v>
      </c>
      <c r="K371" t="s">
        <v>8</v>
      </c>
      <c r="L371">
        <v>4</v>
      </c>
      <c r="M371">
        <v>73</v>
      </c>
      <c r="N371" s="1">
        <f t="shared" si="18"/>
        <v>292</v>
      </c>
    </row>
    <row r="372" spans="5:14" x14ac:dyDescent="0.25">
      <c r="E372">
        <v>496</v>
      </c>
      <c r="F372" s="7">
        <v>45201</v>
      </c>
      <c r="G372">
        <f t="shared" si="16"/>
        <v>2023</v>
      </c>
      <c r="H372" s="7" t="str">
        <f t="shared" si="17"/>
        <v>Октябрь</v>
      </c>
      <c r="I372" t="s">
        <v>7</v>
      </c>
      <c r="J372">
        <v>41</v>
      </c>
      <c r="K372" t="s">
        <v>10</v>
      </c>
      <c r="L372">
        <v>4</v>
      </c>
      <c r="M372">
        <v>30</v>
      </c>
      <c r="N372" s="1">
        <f t="shared" si="18"/>
        <v>120</v>
      </c>
    </row>
    <row r="373" spans="5:14" x14ac:dyDescent="0.25">
      <c r="E373">
        <v>57</v>
      </c>
      <c r="F373" s="7">
        <v>45248</v>
      </c>
      <c r="G373">
        <f t="shared" si="16"/>
        <v>2023</v>
      </c>
      <c r="H373" s="7" t="str">
        <f t="shared" si="17"/>
        <v>Ноябрь</v>
      </c>
      <c r="I373" t="s">
        <v>9</v>
      </c>
      <c r="J373">
        <v>63</v>
      </c>
      <c r="K373" t="s">
        <v>8</v>
      </c>
      <c r="L373">
        <v>1</v>
      </c>
      <c r="M373">
        <v>30</v>
      </c>
      <c r="N373" s="1">
        <f t="shared" si="18"/>
        <v>30</v>
      </c>
    </row>
    <row r="374" spans="5:14" x14ac:dyDescent="0.25">
      <c r="E374">
        <v>642</v>
      </c>
      <c r="F374" s="7">
        <v>45193</v>
      </c>
      <c r="G374">
        <f t="shared" si="16"/>
        <v>2023</v>
      </c>
      <c r="H374" s="7" t="str">
        <f t="shared" si="17"/>
        <v>Сентябрь</v>
      </c>
      <c r="I374" t="s">
        <v>9</v>
      </c>
      <c r="J374">
        <v>28</v>
      </c>
      <c r="K374" t="s">
        <v>11</v>
      </c>
      <c r="L374">
        <v>3</v>
      </c>
      <c r="M374">
        <v>30</v>
      </c>
      <c r="N374" s="1">
        <f t="shared" si="18"/>
        <v>90</v>
      </c>
    </row>
    <row r="375" spans="5:14" x14ac:dyDescent="0.25">
      <c r="E375">
        <v>1826</v>
      </c>
      <c r="F375" s="7">
        <v>45465</v>
      </c>
      <c r="G375">
        <f t="shared" si="16"/>
        <v>2024</v>
      </c>
      <c r="H375" s="7" t="str">
        <f t="shared" si="17"/>
        <v>Июнь</v>
      </c>
      <c r="I375" t="s">
        <v>9</v>
      </c>
      <c r="J375">
        <v>44</v>
      </c>
      <c r="K375" t="s">
        <v>10</v>
      </c>
      <c r="L375">
        <v>1</v>
      </c>
      <c r="M375">
        <v>408</v>
      </c>
      <c r="N375" s="1">
        <f t="shared" si="18"/>
        <v>408</v>
      </c>
    </row>
    <row r="376" spans="5:14" x14ac:dyDescent="0.25">
      <c r="E376">
        <v>1842</v>
      </c>
      <c r="F376" s="7">
        <v>45557</v>
      </c>
      <c r="G376">
        <f t="shared" si="16"/>
        <v>2024</v>
      </c>
      <c r="H376" s="7" t="str">
        <f t="shared" si="17"/>
        <v>Сентябрь</v>
      </c>
      <c r="I376" t="s">
        <v>7</v>
      </c>
      <c r="J376">
        <v>61</v>
      </c>
      <c r="K376" t="s">
        <v>8</v>
      </c>
      <c r="L376">
        <v>2</v>
      </c>
      <c r="M376">
        <v>369</v>
      </c>
      <c r="N376" s="1">
        <f t="shared" si="18"/>
        <v>738</v>
      </c>
    </row>
    <row r="377" spans="5:14" x14ac:dyDescent="0.25">
      <c r="E377">
        <v>1404</v>
      </c>
      <c r="F377" s="7">
        <v>45468</v>
      </c>
      <c r="G377">
        <f t="shared" si="16"/>
        <v>2024</v>
      </c>
      <c r="H377" s="7" t="str">
        <f t="shared" si="17"/>
        <v>Июнь</v>
      </c>
      <c r="I377" t="s">
        <v>9</v>
      </c>
      <c r="J377">
        <v>63</v>
      </c>
      <c r="K377" t="s">
        <v>11</v>
      </c>
      <c r="L377">
        <v>7</v>
      </c>
      <c r="M377">
        <v>190</v>
      </c>
      <c r="N377" s="1">
        <f t="shared" si="18"/>
        <v>1330</v>
      </c>
    </row>
    <row r="378" spans="5:14" x14ac:dyDescent="0.25">
      <c r="E378">
        <v>1452</v>
      </c>
      <c r="F378" s="7">
        <v>45474</v>
      </c>
      <c r="G378">
        <f t="shared" si="16"/>
        <v>2024</v>
      </c>
      <c r="H378" s="7" t="str">
        <f t="shared" si="17"/>
        <v>Июль</v>
      </c>
      <c r="I378" t="s">
        <v>7</v>
      </c>
      <c r="J378">
        <v>26</v>
      </c>
      <c r="K378" t="s">
        <v>11</v>
      </c>
      <c r="L378">
        <v>3</v>
      </c>
      <c r="M378">
        <v>339</v>
      </c>
      <c r="N378" s="1">
        <f t="shared" si="18"/>
        <v>1017</v>
      </c>
    </row>
    <row r="379" spans="5:14" x14ac:dyDescent="0.25">
      <c r="E379">
        <v>1836</v>
      </c>
      <c r="F379" s="7">
        <v>45436</v>
      </c>
      <c r="G379">
        <f t="shared" si="16"/>
        <v>2024</v>
      </c>
      <c r="H379" s="7" t="str">
        <f t="shared" si="17"/>
        <v>Май</v>
      </c>
      <c r="I379" t="s">
        <v>7</v>
      </c>
      <c r="J379">
        <v>58</v>
      </c>
      <c r="K379" t="s">
        <v>10</v>
      </c>
      <c r="L379">
        <v>6</v>
      </c>
      <c r="M379">
        <v>457</v>
      </c>
      <c r="N379" s="1">
        <f t="shared" si="18"/>
        <v>2742</v>
      </c>
    </row>
    <row r="380" spans="5:14" x14ac:dyDescent="0.25">
      <c r="E380">
        <v>656</v>
      </c>
      <c r="F380" s="7">
        <v>44997</v>
      </c>
      <c r="G380">
        <f t="shared" si="16"/>
        <v>2023</v>
      </c>
      <c r="H380" s="7" t="str">
        <f t="shared" si="17"/>
        <v>Март</v>
      </c>
      <c r="I380" t="s">
        <v>7</v>
      </c>
      <c r="J380">
        <v>59</v>
      </c>
      <c r="K380" t="s">
        <v>10</v>
      </c>
      <c r="L380">
        <v>1</v>
      </c>
      <c r="M380">
        <v>25</v>
      </c>
      <c r="N380" s="1">
        <f t="shared" si="18"/>
        <v>25</v>
      </c>
    </row>
    <row r="381" spans="5:14" x14ac:dyDescent="0.25">
      <c r="E381">
        <v>1947</v>
      </c>
      <c r="F381" s="7">
        <v>45598</v>
      </c>
      <c r="G381">
        <f t="shared" si="16"/>
        <v>2024</v>
      </c>
      <c r="H381" s="7" t="str">
        <f t="shared" si="17"/>
        <v>Ноябрь</v>
      </c>
      <c r="I381" t="s">
        <v>7</v>
      </c>
      <c r="J381">
        <v>44</v>
      </c>
      <c r="K381" t="s">
        <v>8</v>
      </c>
      <c r="L381">
        <v>7</v>
      </c>
      <c r="M381">
        <v>249</v>
      </c>
      <c r="N381" s="1">
        <f t="shared" si="18"/>
        <v>1743</v>
      </c>
    </row>
    <row r="382" spans="5:14" x14ac:dyDescent="0.25">
      <c r="E382">
        <v>1024</v>
      </c>
      <c r="F382" s="7">
        <v>45572</v>
      </c>
      <c r="G382">
        <f t="shared" si="16"/>
        <v>2024</v>
      </c>
      <c r="H382" s="7" t="str">
        <f t="shared" si="17"/>
        <v>Октябрь</v>
      </c>
      <c r="I382" t="s">
        <v>9</v>
      </c>
      <c r="J382">
        <v>63</v>
      </c>
      <c r="K382" t="s">
        <v>11</v>
      </c>
      <c r="L382">
        <v>5</v>
      </c>
      <c r="M382">
        <v>98</v>
      </c>
      <c r="N382" s="1">
        <f t="shared" si="18"/>
        <v>490</v>
      </c>
    </row>
    <row r="383" spans="5:14" x14ac:dyDescent="0.25">
      <c r="E383">
        <v>1800</v>
      </c>
      <c r="F383" s="7">
        <v>45528</v>
      </c>
      <c r="G383">
        <f t="shared" si="16"/>
        <v>2024</v>
      </c>
      <c r="H383" s="7" t="str">
        <f t="shared" si="17"/>
        <v>Август</v>
      </c>
      <c r="I383" t="s">
        <v>7</v>
      </c>
      <c r="J383">
        <v>22</v>
      </c>
      <c r="K383" t="s">
        <v>11</v>
      </c>
      <c r="L383">
        <v>7</v>
      </c>
      <c r="M383">
        <v>242</v>
      </c>
      <c r="N383" s="1">
        <f t="shared" si="18"/>
        <v>1694</v>
      </c>
    </row>
    <row r="384" spans="5:14" x14ac:dyDescent="0.25">
      <c r="E384">
        <v>82</v>
      </c>
      <c r="F384" s="7">
        <v>45286</v>
      </c>
      <c r="G384">
        <f t="shared" si="16"/>
        <v>2023</v>
      </c>
      <c r="H384" s="7" t="str">
        <f t="shared" si="17"/>
        <v>Декабрь</v>
      </c>
      <c r="I384" t="s">
        <v>9</v>
      </c>
      <c r="J384">
        <v>32</v>
      </c>
      <c r="K384" t="s">
        <v>8</v>
      </c>
      <c r="L384">
        <v>4</v>
      </c>
      <c r="M384">
        <v>50</v>
      </c>
      <c r="N384" s="1">
        <f t="shared" si="18"/>
        <v>200</v>
      </c>
    </row>
    <row r="385" spans="5:14" x14ac:dyDescent="0.25">
      <c r="E385">
        <v>1288</v>
      </c>
      <c r="F385" s="7">
        <v>45299</v>
      </c>
      <c r="G385">
        <f t="shared" si="16"/>
        <v>2024</v>
      </c>
      <c r="H385" s="7" t="str">
        <f t="shared" si="17"/>
        <v>Январь</v>
      </c>
      <c r="I385" t="s">
        <v>7</v>
      </c>
      <c r="J385">
        <v>55</v>
      </c>
      <c r="K385" t="s">
        <v>10</v>
      </c>
      <c r="L385">
        <v>4</v>
      </c>
      <c r="M385">
        <v>446</v>
      </c>
      <c r="N385" s="1">
        <f t="shared" si="18"/>
        <v>1784</v>
      </c>
    </row>
    <row r="386" spans="5:14" x14ac:dyDescent="0.25">
      <c r="E386">
        <v>763</v>
      </c>
      <c r="F386" s="7">
        <v>45086</v>
      </c>
      <c r="G386">
        <f t="shared" si="16"/>
        <v>2023</v>
      </c>
      <c r="H386" s="7" t="str">
        <f t="shared" si="17"/>
        <v>Июнь</v>
      </c>
      <c r="I386" t="s">
        <v>7</v>
      </c>
      <c r="J386">
        <v>43</v>
      </c>
      <c r="K386" t="s">
        <v>10</v>
      </c>
      <c r="L386">
        <v>4</v>
      </c>
      <c r="M386">
        <v>50</v>
      </c>
      <c r="N386" s="1">
        <f t="shared" si="18"/>
        <v>200</v>
      </c>
    </row>
    <row r="387" spans="5:14" x14ac:dyDescent="0.25">
      <c r="E387">
        <v>46</v>
      </c>
      <c r="F387" s="7">
        <v>45103</v>
      </c>
      <c r="G387">
        <f t="shared" si="16"/>
        <v>2023</v>
      </c>
      <c r="H387" s="7" t="str">
        <f t="shared" si="17"/>
        <v>Июнь</v>
      </c>
      <c r="I387" t="s">
        <v>9</v>
      </c>
      <c r="J387">
        <v>20</v>
      </c>
      <c r="K387" t="s">
        <v>11</v>
      </c>
      <c r="L387">
        <v>4</v>
      </c>
      <c r="M387">
        <v>300</v>
      </c>
      <c r="N387" s="1">
        <f t="shared" si="18"/>
        <v>1200</v>
      </c>
    </row>
    <row r="388" spans="5:14" x14ac:dyDescent="0.25">
      <c r="E388">
        <v>957</v>
      </c>
      <c r="F388" s="7">
        <v>45228</v>
      </c>
      <c r="G388">
        <f t="shared" si="16"/>
        <v>2023</v>
      </c>
      <c r="H388" s="7" t="str">
        <f t="shared" si="17"/>
        <v>Октябрь</v>
      </c>
      <c r="I388" t="s">
        <v>9</v>
      </c>
      <c r="J388">
        <v>42</v>
      </c>
      <c r="K388" t="s">
        <v>11</v>
      </c>
      <c r="L388">
        <v>2</v>
      </c>
      <c r="M388">
        <v>30</v>
      </c>
      <c r="N388" s="1">
        <f t="shared" si="18"/>
        <v>60</v>
      </c>
    </row>
    <row r="389" spans="5:14" x14ac:dyDescent="0.25">
      <c r="E389">
        <v>1969</v>
      </c>
      <c r="F389" s="7">
        <v>45373</v>
      </c>
      <c r="G389">
        <f t="shared" si="16"/>
        <v>2024</v>
      </c>
      <c r="H389" s="7" t="str">
        <f t="shared" si="17"/>
        <v>Март</v>
      </c>
      <c r="I389" t="s">
        <v>7</v>
      </c>
      <c r="J389">
        <v>58</v>
      </c>
      <c r="K389" t="s">
        <v>10</v>
      </c>
      <c r="L389">
        <v>7</v>
      </c>
      <c r="M389">
        <v>281</v>
      </c>
      <c r="N389" s="1">
        <f t="shared" si="18"/>
        <v>1967</v>
      </c>
    </row>
    <row r="390" spans="5:14" x14ac:dyDescent="0.25">
      <c r="E390">
        <v>464</v>
      </c>
      <c r="F390" s="7">
        <v>45018</v>
      </c>
      <c r="G390">
        <f t="shared" si="16"/>
        <v>2023</v>
      </c>
      <c r="H390" s="7" t="str">
        <f t="shared" si="17"/>
        <v>Апрель</v>
      </c>
      <c r="I390" t="s">
        <v>9</v>
      </c>
      <c r="J390">
        <v>43</v>
      </c>
      <c r="K390" t="s">
        <v>11</v>
      </c>
      <c r="L390">
        <v>3</v>
      </c>
      <c r="M390">
        <v>50</v>
      </c>
      <c r="N390" s="1">
        <f t="shared" si="18"/>
        <v>150</v>
      </c>
    </row>
    <row r="391" spans="5:14" x14ac:dyDescent="0.25">
      <c r="E391">
        <v>1046</v>
      </c>
      <c r="F391" s="7">
        <v>45428</v>
      </c>
      <c r="G391">
        <f t="shared" si="16"/>
        <v>2024</v>
      </c>
      <c r="H391" s="7" t="str">
        <f t="shared" si="17"/>
        <v>Май</v>
      </c>
      <c r="I391" t="s">
        <v>7</v>
      </c>
      <c r="J391">
        <v>21</v>
      </c>
      <c r="K391" t="s">
        <v>11</v>
      </c>
      <c r="L391">
        <v>2</v>
      </c>
      <c r="M391">
        <v>110</v>
      </c>
      <c r="N391" s="1">
        <f t="shared" si="18"/>
        <v>220</v>
      </c>
    </row>
    <row r="392" spans="5:14" x14ac:dyDescent="0.25">
      <c r="E392">
        <v>1987</v>
      </c>
      <c r="F392" s="7">
        <v>45652</v>
      </c>
      <c r="G392">
        <f t="shared" si="16"/>
        <v>2024</v>
      </c>
      <c r="H392" s="7" t="str">
        <f t="shared" si="17"/>
        <v>Декабрь</v>
      </c>
      <c r="I392" t="s">
        <v>9</v>
      </c>
      <c r="J392">
        <v>59</v>
      </c>
      <c r="K392" t="s">
        <v>10</v>
      </c>
      <c r="L392">
        <v>7</v>
      </c>
      <c r="M392">
        <v>418</v>
      </c>
      <c r="N392" s="1">
        <f t="shared" si="18"/>
        <v>2926</v>
      </c>
    </row>
    <row r="393" spans="5:14" x14ac:dyDescent="0.25">
      <c r="E393">
        <v>876</v>
      </c>
      <c r="F393" s="7">
        <v>45107</v>
      </c>
      <c r="G393">
        <f t="shared" si="16"/>
        <v>2023</v>
      </c>
      <c r="H393" s="7" t="str">
        <f t="shared" si="17"/>
        <v>Июнь</v>
      </c>
      <c r="I393" t="s">
        <v>9</v>
      </c>
      <c r="J393">
        <v>20</v>
      </c>
      <c r="K393" t="s">
        <v>10</v>
      </c>
      <c r="L393">
        <v>1</v>
      </c>
      <c r="M393">
        <v>30</v>
      </c>
      <c r="N393" s="1">
        <f t="shared" si="18"/>
        <v>30</v>
      </c>
    </row>
    <row r="394" spans="5:14" x14ac:dyDescent="0.25">
      <c r="E394">
        <v>1171</v>
      </c>
      <c r="F394" s="7">
        <v>45604</v>
      </c>
      <c r="G394">
        <f t="shared" ref="G394:G457" si="19">YEAR(F394)</f>
        <v>2024</v>
      </c>
      <c r="H394" s="7" t="str">
        <f t="shared" ref="H394:H457" si="20">TEXT(F394,"ММММ")</f>
        <v>Ноябрь</v>
      </c>
      <c r="I394" t="s">
        <v>7</v>
      </c>
      <c r="J394">
        <v>18</v>
      </c>
      <c r="K394" t="s">
        <v>11</v>
      </c>
      <c r="L394">
        <v>4</v>
      </c>
      <c r="M394">
        <v>339</v>
      </c>
      <c r="N394" s="1">
        <f t="shared" ref="N394:N457" si="21">L394*M394</f>
        <v>1356</v>
      </c>
    </row>
    <row r="395" spans="5:14" x14ac:dyDescent="0.25">
      <c r="E395">
        <v>1874</v>
      </c>
      <c r="F395" s="7">
        <v>45473</v>
      </c>
      <c r="G395">
        <f t="shared" si="19"/>
        <v>2024</v>
      </c>
      <c r="H395" s="7" t="str">
        <f t="shared" si="20"/>
        <v>Июнь</v>
      </c>
      <c r="I395" t="s">
        <v>9</v>
      </c>
      <c r="J395">
        <v>62</v>
      </c>
      <c r="K395" t="s">
        <v>10</v>
      </c>
      <c r="L395">
        <v>3</v>
      </c>
      <c r="M395">
        <v>339</v>
      </c>
      <c r="N395" s="1">
        <f t="shared" si="21"/>
        <v>1017</v>
      </c>
    </row>
    <row r="396" spans="5:14" x14ac:dyDescent="0.25">
      <c r="E396">
        <v>997</v>
      </c>
      <c r="F396" s="7">
        <v>45265</v>
      </c>
      <c r="G396">
        <f t="shared" si="19"/>
        <v>2023</v>
      </c>
      <c r="H396" s="7" t="str">
        <f t="shared" si="20"/>
        <v>Декабрь</v>
      </c>
      <c r="I396" t="s">
        <v>9</v>
      </c>
      <c r="J396">
        <v>36</v>
      </c>
      <c r="K396" t="s">
        <v>11</v>
      </c>
      <c r="L396">
        <v>3</v>
      </c>
      <c r="M396">
        <v>50</v>
      </c>
      <c r="N396" s="1">
        <f t="shared" si="21"/>
        <v>150</v>
      </c>
    </row>
    <row r="397" spans="5:14" x14ac:dyDescent="0.25">
      <c r="E397">
        <v>1705</v>
      </c>
      <c r="F397" s="7">
        <v>45494</v>
      </c>
      <c r="G397">
        <f t="shared" si="19"/>
        <v>2024</v>
      </c>
      <c r="H397" s="7" t="str">
        <f t="shared" si="20"/>
        <v>Июль</v>
      </c>
      <c r="I397" t="s">
        <v>9</v>
      </c>
      <c r="J397">
        <v>41</v>
      </c>
      <c r="K397" t="s">
        <v>11</v>
      </c>
      <c r="L397">
        <v>4</v>
      </c>
      <c r="M397">
        <v>78</v>
      </c>
      <c r="N397" s="1">
        <f t="shared" si="21"/>
        <v>312</v>
      </c>
    </row>
    <row r="398" spans="5:14" x14ac:dyDescent="0.25">
      <c r="E398">
        <v>1286</v>
      </c>
      <c r="F398" s="7">
        <v>45626</v>
      </c>
      <c r="G398">
        <f t="shared" si="19"/>
        <v>2024</v>
      </c>
      <c r="H398" s="7" t="str">
        <f t="shared" si="20"/>
        <v>Ноябрь</v>
      </c>
      <c r="I398" t="s">
        <v>7</v>
      </c>
      <c r="J398">
        <v>51</v>
      </c>
      <c r="K398" t="s">
        <v>11</v>
      </c>
      <c r="L398">
        <v>1</v>
      </c>
      <c r="M398">
        <v>432</v>
      </c>
      <c r="N398" s="1">
        <f t="shared" si="21"/>
        <v>432</v>
      </c>
    </row>
    <row r="399" spans="5:14" x14ac:dyDescent="0.25">
      <c r="E399">
        <v>550</v>
      </c>
      <c r="F399" s="7">
        <v>45121</v>
      </c>
      <c r="G399">
        <f t="shared" si="19"/>
        <v>2023</v>
      </c>
      <c r="H399" s="7" t="str">
        <f t="shared" si="20"/>
        <v>Июль</v>
      </c>
      <c r="I399" t="s">
        <v>7</v>
      </c>
      <c r="J399">
        <v>45</v>
      </c>
      <c r="K399" t="s">
        <v>11</v>
      </c>
      <c r="L399">
        <v>3</v>
      </c>
      <c r="M399">
        <v>300</v>
      </c>
      <c r="N399" s="1">
        <f t="shared" si="21"/>
        <v>900</v>
      </c>
    </row>
    <row r="400" spans="5:14" x14ac:dyDescent="0.25">
      <c r="E400">
        <v>1766</v>
      </c>
      <c r="F400" s="7">
        <v>45587</v>
      </c>
      <c r="G400">
        <f t="shared" si="19"/>
        <v>2024</v>
      </c>
      <c r="H400" s="7" t="str">
        <f t="shared" si="20"/>
        <v>Октябрь</v>
      </c>
      <c r="I400" t="s">
        <v>7</v>
      </c>
      <c r="J400">
        <v>65</v>
      </c>
      <c r="K400" t="s">
        <v>10</v>
      </c>
      <c r="L400">
        <v>1</v>
      </c>
      <c r="M400">
        <v>469</v>
      </c>
      <c r="N400" s="1">
        <f t="shared" si="21"/>
        <v>469</v>
      </c>
    </row>
    <row r="401" spans="5:14" x14ac:dyDescent="0.25">
      <c r="E401">
        <v>1304</v>
      </c>
      <c r="F401" s="7">
        <v>45439</v>
      </c>
      <c r="G401">
        <f t="shared" si="19"/>
        <v>2024</v>
      </c>
      <c r="H401" s="7" t="str">
        <f t="shared" si="20"/>
        <v>Май</v>
      </c>
      <c r="I401" t="s">
        <v>9</v>
      </c>
      <c r="J401">
        <v>42</v>
      </c>
      <c r="K401" t="s">
        <v>11</v>
      </c>
      <c r="L401">
        <v>2</v>
      </c>
      <c r="M401">
        <v>407</v>
      </c>
      <c r="N401" s="1">
        <f t="shared" si="21"/>
        <v>814</v>
      </c>
    </row>
    <row r="402" spans="5:14" x14ac:dyDescent="0.25">
      <c r="E402">
        <v>1934</v>
      </c>
      <c r="F402" s="7">
        <v>45615</v>
      </c>
      <c r="G402">
        <f t="shared" si="19"/>
        <v>2024</v>
      </c>
      <c r="H402" s="7" t="str">
        <f t="shared" si="20"/>
        <v>Ноябрь</v>
      </c>
      <c r="I402" t="s">
        <v>7</v>
      </c>
      <c r="J402">
        <v>42</v>
      </c>
      <c r="K402" t="s">
        <v>10</v>
      </c>
      <c r="L402">
        <v>6</v>
      </c>
      <c r="M402">
        <v>310</v>
      </c>
      <c r="N402" s="1">
        <f t="shared" si="21"/>
        <v>1860</v>
      </c>
    </row>
    <row r="403" spans="5:14" x14ac:dyDescent="0.25">
      <c r="E403">
        <v>1823</v>
      </c>
      <c r="F403" s="7">
        <v>45605</v>
      </c>
      <c r="G403">
        <f t="shared" si="19"/>
        <v>2024</v>
      </c>
      <c r="H403" s="7" t="str">
        <f t="shared" si="20"/>
        <v>Ноябрь</v>
      </c>
      <c r="I403" t="s">
        <v>7</v>
      </c>
      <c r="J403">
        <v>18</v>
      </c>
      <c r="K403" t="s">
        <v>8</v>
      </c>
      <c r="L403">
        <v>7</v>
      </c>
      <c r="M403">
        <v>271</v>
      </c>
      <c r="N403" s="1">
        <f t="shared" si="21"/>
        <v>1897</v>
      </c>
    </row>
    <row r="404" spans="5:14" x14ac:dyDescent="0.25">
      <c r="E404">
        <v>1035</v>
      </c>
      <c r="F404" s="7">
        <v>45435</v>
      </c>
      <c r="G404">
        <f t="shared" si="19"/>
        <v>2024</v>
      </c>
      <c r="H404" s="7" t="str">
        <f t="shared" si="20"/>
        <v>Май</v>
      </c>
      <c r="I404" t="s">
        <v>9</v>
      </c>
      <c r="J404">
        <v>55</v>
      </c>
      <c r="K404" t="s">
        <v>8</v>
      </c>
      <c r="L404">
        <v>7</v>
      </c>
      <c r="M404">
        <v>477</v>
      </c>
      <c r="N404" s="1">
        <f t="shared" si="21"/>
        <v>3339</v>
      </c>
    </row>
    <row r="405" spans="5:14" x14ac:dyDescent="0.25">
      <c r="E405">
        <v>1034</v>
      </c>
      <c r="F405" s="7">
        <v>45467</v>
      </c>
      <c r="G405">
        <f t="shared" si="19"/>
        <v>2024</v>
      </c>
      <c r="H405" s="7" t="str">
        <f t="shared" si="20"/>
        <v>Июнь</v>
      </c>
      <c r="I405" t="s">
        <v>7</v>
      </c>
      <c r="J405">
        <v>58</v>
      </c>
      <c r="K405" t="s">
        <v>8</v>
      </c>
      <c r="L405">
        <v>4</v>
      </c>
      <c r="M405">
        <v>395</v>
      </c>
      <c r="N405" s="1">
        <f t="shared" si="21"/>
        <v>1580</v>
      </c>
    </row>
    <row r="406" spans="5:14" x14ac:dyDescent="0.25">
      <c r="E406">
        <v>425</v>
      </c>
      <c r="F406" s="7">
        <v>45009</v>
      </c>
      <c r="G406">
        <f t="shared" si="19"/>
        <v>2023</v>
      </c>
      <c r="H406" s="7" t="str">
        <f t="shared" si="20"/>
        <v>Март</v>
      </c>
      <c r="I406" t="s">
        <v>7</v>
      </c>
      <c r="J406">
        <v>23</v>
      </c>
      <c r="K406" t="s">
        <v>11</v>
      </c>
      <c r="L406">
        <v>3</v>
      </c>
      <c r="M406">
        <v>50</v>
      </c>
      <c r="N406" s="1">
        <f t="shared" si="21"/>
        <v>150</v>
      </c>
    </row>
    <row r="407" spans="5:14" x14ac:dyDescent="0.25">
      <c r="E407">
        <v>1134</v>
      </c>
      <c r="F407" s="7">
        <v>45371</v>
      </c>
      <c r="G407">
        <f t="shared" si="19"/>
        <v>2024</v>
      </c>
      <c r="H407" s="7" t="str">
        <f t="shared" si="20"/>
        <v>Март</v>
      </c>
      <c r="I407" t="s">
        <v>7</v>
      </c>
      <c r="J407">
        <v>37</v>
      </c>
      <c r="K407" t="s">
        <v>11</v>
      </c>
      <c r="L407">
        <v>1</v>
      </c>
      <c r="M407">
        <v>197</v>
      </c>
      <c r="N407" s="1">
        <f t="shared" si="21"/>
        <v>197</v>
      </c>
    </row>
    <row r="408" spans="5:14" x14ac:dyDescent="0.25">
      <c r="E408">
        <v>613</v>
      </c>
      <c r="F408" s="7">
        <v>45017</v>
      </c>
      <c r="G408">
        <f t="shared" si="19"/>
        <v>2023</v>
      </c>
      <c r="H408" s="7" t="str">
        <f t="shared" si="20"/>
        <v>Апрель</v>
      </c>
      <c r="I408" t="s">
        <v>9</v>
      </c>
      <c r="J408">
        <v>39</v>
      </c>
      <c r="K408" t="s">
        <v>8</v>
      </c>
      <c r="L408">
        <v>4</v>
      </c>
      <c r="M408">
        <v>300</v>
      </c>
      <c r="N408" s="1">
        <f t="shared" si="21"/>
        <v>1200</v>
      </c>
    </row>
    <row r="409" spans="5:14" x14ac:dyDescent="0.25">
      <c r="E409">
        <v>1521</v>
      </c>
      <c r="F409" s="7">
        <v>45568</v>
      </c>
      <c r="G409">
        <f t="shared" si="19"/>
        <v>2024</v>
      </c>
      <c r="H409" s="7" t="str">
        <f t="shared" si="20"/>
        <v>Октябрь</v>
      </c>
      <c r="I409" t="s">
        <v>7</v>
      </c>
      <c r="J409">
        <v>59</v>
      </c>
      <c r="K409" t="s">
        <v>8</v>
      </c>
      <c r="L409">
        <v>1</v>
      </c>
      <c r="M409">
        <v>98</v>
      </c>
      <c r="N409" s="1">
        <f t="shared" si="21"/>
        <v>98</v>
      </c>
    </row>
    <row r="410" spans="5:14" x14ac:dyDescent="0.25">
      <c r="E410">
        <v>1208</v>
      </c>
      <c r="F410" s="7">
        <v>45395</v>
      </c>
      <c r="G410">
        <f t="shared" si="19"/>
        <v>2024</v>
      </c>
      <c r="H410" s="7" t="str">
        <f t="shared" si="20"/>
        <v>Апрель</v>
      </c>
      <c r="I410" t="s">
        <v>7</v>
      </c>
      <c r="J410">
        <v>22</v>
      </c>
      <c r="K410" t="s">
        <v>11</v>
      </c>
      <c r="L410">
        <v>1</v>
      </c>
      <c r="M410">
        <v>88</v>
      </c>
      <c r="N410" s="1">
        <f t="shared" si="21"/>
        <v>88</v>
      </c>
    </row>
    <row r="411" spans="5:14" x14ac:dyDescent="0.25">
      <c r="E411">
        <v>1914</v>
      </c>
      <c r="F411" s="7">
        <v>45619</v>
      </c>
      <c r="G411">
        <f t="shared" si="19"/>
        <v>2024</v>
      </c>
      <c r="H411" s="7" t="str">
        <f t="shared" si="20"/>
        <v>Ноябрь</v>
      </c>
      <c r="I411" t="s">
        <v>9</v>
      </c>
      <c r="J411">
        <v>59</v>
      </c>
      <c r="K411" t="s">
        <v>11</v>
      </c>
      <c r="L411">
        <v>3</v>
      </c>
      <c r="M411">
        <v>81</v>
      </c>
      <c r="N411" s="1">
        <f t="shared" si="21"/>
        <v>243</v>
      </c>
    </row>
    <row r="412" spans="5:14" x14ac:dyDescent="0.25">
      <c r="E412">
        <v>913</v>
      </c>
      <c r="F412" s="7">
        <v>45076</v>
      </c>
      <c r="G412">
        <f t="shared" si="19"/>
        <v>2023</v>
      </c>
      <c r="H412" s="7" t="str">
        <f t="shared" si="20"/>
        <v>Май</v>
      </c>
      <c r="I412" t="s">
        <v>9</v>
      </c>
      <c r="J412">
        <v>26</v>
      </c>
      <c r="K412" t="s">
        <v>8</v>
      </c>
      <c r="L412">
        <v>3</v>
      </c>
      <c r="M412">
        <v>30</v>
      </c>
      <c r="N412" s="1">
        <f t="shared" si="21"/>
        <v>90</v>
      </c>
    </row>
    <row r="413" spans="5:14" x14ac:dyDescent="0.25">
      <c r="E413">
        <v>1563</v>
      </c>
      <c r="F413" s="7">
        <v>45628</v>
      </c>
      <c r="G413">
        <f t="shared" si="19"/>
        <v>2024</v>
      </c>
      <c r="H413" s="7" t="str">
        <f t="shared" si="20"/>
        <v>Декабрь</v>
      </c>
      <c r="I413" t="s">
        <v>9</v>
      </c>
      <c r="J413">
        <v>30</v>
      </c>
      <c r="K413" t="s">
        <v>10</v>
      </c>
      <c r="L413">
        <v>6</v>
      </c>
      <c r="M413">
        <v>203</v>
      </c>
      <c r="N413" s="1">
        <f t="shared" si="21"/>
        <v>1218</v>
      </c>
    </row>
    <row r="414" spans="5:14" x14ac:dyDescent="0.25">
      <c r="E414">
        <v>187</v>
      </c>
      <c r="F414" s="7">
        <v>45084</v>
      </c>
      <c r="G414">
        <f t="shared" si="19"/>
        <v>2023</v>
      </c>
      <c r="H414" s="7" t="str">
        <f t="shared" si="20"/>
        <v>Июнь</v>
      </c>
      <c r="I414" t="s">
        <v>9</v>
      </c>
      <c r="J414">
        <v>64</v>
      </c>
      <c r="K414" t="s">
        <v>10</v>
      </c>
      <c r="L414">
        <v>2</v>
      </c>
      <c r="M414">
        <v>50</v>
      </c>
      <c r="N414" s="1">
        <f t="shared" si="21"/>
        <v>100</v>
      </c>
    </row>
    <row r="415" spans="5:14" x14ac:dyDescent="0.25">
      <c r="E415">
        <v>702</v>
      </c>
      <c r="F415" s="7">
        <v>45166</v>
      </c>
      <c r="G415">
        <f t="shared" si="19"/>
        <v>2023</v>
      </c>
      <c r="H415" s="7" t="str">
        <f t="shared" si="20"/>
        <v>Август</v>
      </c>
      <c r="I415" t="s">
        <v>9</v>
      </c>
      <c r="J415">
        <v>62</v>
      </c>
      <c r="K415" t="s">
        <v>10</v>
      </c>
      <c r="L415">
        <v>3</v>
      </c>
      <c r="M415">
        <v>30</v>
      </c>
      <c r="N415" s="1">
        <f t="shared" si="21"/>
        <v>90</v>
      </c>
    </row>
    <row r="416" spans="5:14" x14ac:dyDescent="0.25">
      <c r="E416">
        <v>756</v>
      </c>
      <c r="F416" s="7">
        <v>45058</v>
      </c>
      <c r="G416">
        <f t="shared" si="19"/>
        <v>2023</v>
      </c>
      <c r="H416" s="7" t="str">
        <f t="shared" si="20"/>
        <v>Май</v>
      </c>
      <c r="I416" t="s">
        <v>7</v>
      </c>
      <c r="J416">
        <v>64</v>
      </c>
      <c r="K416" t="s">
        <v>10</v>
      </c>
      <c r="L416">
        <v>4</v>
      </c>
      <c r="M416">
        <v>25</v>
      </c>
      <c r="N416" s="1">
        <f t="shared" si="21"/>
        <v>100</v>
      </c>
    </row>
    <row r="417" spans="5:14" x14ac:dyDescent="0.25">
      <c r="E417">
        <v>316</v>
      </c>
      <c r="F417" s="7">
        <v>44956</v>
      </c>
      <c r="G417">
        <f t="shared" si="19"/>
        <v>2023</v>
      </c>
      <c r="H417" s="7" t="str">
        <f t="shared" si="20"/>
        <v>Январь</v>
      </c>
      <c r="I417" t="s">
        <v>7</v>
      </c>
      <c r="J417">
        <v>22</v>
      </c>
      <c r="K417" t="s">
        <v>11</v>
      </c>
      <c r="L417">
        <v>3</v>
      </c>
      <c r="M417">
        <v>30</v>
      </c>
      <c r="N417" s="1">
        <f t="shared" si="21"/>
        <v>90</v>
      </c>
    </row>
    <row r="418" spans="5:14" x14ac:dyDescent="0.25">
      <c r="E418">
        <v>949</v>
      </c>
      <c r="F418" s="7">
        <v>45232</v>
      </c>
      <c r="G418">
        <f t="shared" si="19"/>
        <v>2023</v>
      </c>
      <c r="H418" s="7" t="str">
        <f t="shared" si="20"/>
        <v>Ноябрь</v>
      </c>
      <c r="I418" t="s">
        <v>7</v>
      </c>
      <c r="J418">
        <v>33</v>
      </c>
      <c r="K418" t="s">
        <v>8</v>
      </c>
      <c r="L418">
        <v>2</v>
      </c>
      <c r="M418">
        <v>50</v>
      </c>
      <c r="N418" s="1">
        <f t="shared" si="21"/>
        <v>100</v>
      </c>
    </row>
    <row r="419" spans="5:14" x14ac:dyDescent="0.25">
      <c r="E419">
        <v>1155</v>
      </c>
      <c r="F419" s="7">
        <v>45467</v>
      </c>
      <c r="G419">
        <f t="shared" si="19"/>
        <v>2024</v>
      </c>
      <c r="H419" s="7" t="str">
        <f t="shared" si="20"/>
        <v>Июнь</v>
      </c>
      <c r="I419" t="s">
        <v>7</v>
      </c>
      <c r="J419">
        <v>53</v>
      </c>
      <c r="K419" t="s">
        <v>11</v>
      </c>
      <c r="L419">
        <v>6</v>
      </c>
      <c r="M419">
        <v>59</v>
      </c>
      <c r="N419" s="1">
        <f t="shared" si="21"/>
        <v>354</v>
      </c>
    </row>
    <row r="420" spans="5:14" x14ac:dyDescent="0.25">
      <c r="E420">
        <v>362</v>
      </c>
      <c r="F420" s="7">
        <v>45080</v>
      </c>
      <c r="G420">
        <f t="shared" si="19"/>
        <v>2023</v>
      </c>
      <c r="H420" s="7" t="str">
        <f t="shared" si="20"/>
        <v>Июнь</v>
      </c>
      <c r="I420" t="s">
        <v>7</v>
      </c>
      <c r="J420">
        <v>64</v>
      </c>
      <c r="K420" t="s">
        <v>8</v>
      </c>
      <c r="L420">
        <v>1</v>
      </c>
      <c r="M420">
        <v>25</v>
      </c>
      <c r="N420" s="1">
        <f t="shared" si="21"/>
        <v>25</v>
      </c>
    </row>
    <row r="421" spans="5:14" x14ac:dyDescent="0.25">
      <c r="E421">
        <v>1242</v>
      </c>
      <c r="F421" s="7">
        <v>45541</v>
      </c>
      <c r="G421">
        <f t="shared" si="19"/>
        <v>2024</v>
      </c>
      <c r="H421" s="7" t="str">
        <f t="shared" si="20"/>
        <v>Сентябрь</v>
      </c>
      <c r="I421" t="s">
        <v>7</v>
      </c>
      <c r="J421">
        <v>39</v>
      </c>
      <c r="K421" t="s">
        <v>10</v>
      </c>
      <c r="L421">
        <v>1</v>
      </c>
      <c r="M421">
        <v>41</v>
      </c>
      <c r="N421" s="1">
        <f t="shared" si="21"/>
        <v>41</v>
      </c>
    </row>
    <row r="422" spans="5:14" x14ac:dyDescent="0.25">
      <c r="E422">
        <v>1340</v>
      </c>
      <c r="F422" s="7">
        <v>45597</v>
      </c>
      <c r="G422">
        <f t="shared" si="19"/>
        <v>2024</v>
      </c>
      <c r="H422" s="7" t="str">
        <f t="shared" si="20"/>
        <v>Ноябрь</v>
      </c>
      <c r="I422" t="s">
        <v>7</v>
      </c>
      <c r="J422">
        <v>47</v>
      </c>
      <c r="K422" t="s">
        <v>11</v>
      </c>
      <c r="L422">
        <v>6</v>
      </c>
      <c r="M422">
        <v>16</v>
      </c>
      <c r="N422" s="1">
        <f t="shared" si="21"/>
        <v>96</v>
      </c>
    </row>
    <row r="423" spans="5:14" x14ac:dyDescent="0.25">
      <c r="E423">
        <v>1022</v>
      </c>
      <c r="F423" s="7">
        <v>45625</v>
      </c>
      <c r="G423">
        <f t="shared" si="19"/>
        <v>2024</v>
      </c>
      <c r="H423" s="7" t="str">
        <f t="shared" si="20"/>
        <v>Ноябрь</v>
      </c>
      <c r="I423" t="s">
        <v>9</v>
      </c>
      <c r="J423">
        <v>61</v>
      </c>
      <c r="K423" t="s">
        <v>10</v>
      </c>
      <c r="L423">
        <v>7</v>
      </c>
      <c r="M423">
        <v>465</v>
      </c>
      <c r="N423" s="1">
        <f t="shared" si="21"/>
        <v>3255</v>
      </c>
    </row>
    <row r="424" spans="5:14" x14ac:dyDescent="0.25">
      <c r="E424">
        <v>996</v>
      </c>
      <c r="F424" s="7">
        <v>45228</v>
      </c>
      <c r="G424">
        <f t="shared" si="19"/>
        <v>2023</v>
      </c>
      <c r="H424" s="7" t="str">
        <f t="shared" si="20"/>
        <v>Октябрь</v>
      </c>
      <c r="I424" t="s">
        <v>9</v>
      </c>
      <c r="J424">
        <v>23</v>
      </c>
      <c r="K424" t="s">
        <v>8</v>
      </c>
      <c r="L424">
        <v>4</v>
      </c>
      <c r="M424">
        <v>25</v>
      </c>
      <c r="N424" s="1">
        <f t="shared" si="21"/>
        <v>100</v>
      </c>
    </row>
    <row r="425" spans="5:14" x14ac:dyDescent="0.25">
      <c r="E425">
        <v>1357</v>
      </c>
      <c r="F425" s="7">
        <v>45360</v>
      </c>
      <c r="G425">
        <f t="shared" si="19"/>
        <v>2024</v>
      </c>
      <c r="H425" s="7" t="str">
        <f t="shared" si="20"/>
        <v>Март</v>
      </c>
      <c r="I425" t="s">
        <v>7</v>
      </c>
      <c r="J425">
        <v>61</v>
      </c>
      <c r="K425" t="s">
        <v>10</v>
      </c>
      <c r="L425">
        <v>5</v>
      </c>
      <c r="M425">
        <v>167</v>
      </c>
      <c r="N425" s="1">
        <f t="shared" si="21"/>
        <v>835</v>
      </c>
    </row>
    <row r="426" spans="5:14" x14ac:dyDescent="0.25">
      <c r="E426">
        <v>1860</v>
      </c>
      <c r="F426" s="7">
        <v>45500</v>
      </c>
      <c r="G426">
        <f t="shared" si="19"/>
        <v>2024</v>
      </c>
      <c r="H426" s="7" t="str">
        <f t="shared" si="20"/>
        <v>Июль</v>
      </c>
      <c r="I426" t="s">
        <v>9</v>
      </c>
      <c r="J426">
        <v>22</v>
      </c>
      <c r="K426" t="s">
        <v>11</v>
      </c>
      <c r="L426">
        <v>4</v>
      </c>
      <c r="M426">
        <v>159</v>
      </c>
      <c r="N426" s="1">
        <f t="shared" si="21"/>
        <v>636</v>
      </c>
    </row>
    <row r="427" spans="5:14" x14ac:dyDescent="0.25">
      <c r="E427">
        <v>1185</v>
      </c>
      <c r="F427" s="7">
        <v>45450</v>
      </c>
      <c r="G427">
        <f t="shared" si="19"/>
        <v>2024</v>
      </c>
      <c r="H427" s="7" t="str">
        <f t="shared" si="20"/>
        <v>Июнь</v>
      </c>
      <c r="I427" t="s">
        <v>9</v>
      </c>
      <c r="J427">
        <v>59</v>
      </c>
      <c r="K427" t="s">
        <v>10</v>
      </c>
      <c r="L427">
        <v>5</v>
      </c>
      <c r="M427">
        <v>51</v>
      </c>
      <c r="N427" s="1">
        <f t="shared" si="21"/>
        <v>255</v>
      </c>
    </row>
    <row r="428" spans="5:14" x14ac:dyDescent="0.25">
      <c r="E428">
        <v>233</v>
      </c>
      <c r="F428" s="7">
        <v>45250</v>
      </c>
      <c r="G428">
        <f t="shared" si="19"/>
        <v>2023</v>
      </c>
      <c r="H428" s="7" t="str">
        <f t="shared" si="20"/>
        <v>Ноябрь</v>
      </c>
      <c r="I428" t="s">
        <v>9</v>
      </c>
      <c r="J428">
        <v>62</v>
      </c>
      <c r="K428" t="s">
        <v>11</v>
      </c>
      <c r="L428">
        <v>2</v>
      </c>
      <c r="M428">
        <v>25</v>
      </c>
      <c r="N428" s="1">
        <f t="shared" si="21"/>
        <v>50</v>
      </c>
    </row>
    <row r="429" spans="5:14" x14ac:dyDescent="0.25">
      <c r="E429">
        <v>1506</v>
      </c>
      <c r="F429" s="7">
        <v>45469</v>
      </c>
      <c r="G429">
        <f t="shared" si="19"/>
        <v>2024</v>
      </c>
      <c r="H429" s="7" t="str">
        <f t="shared" si="20"/>
        <v>Июнь</v>
      </c>
      <c r="I429" t="s">
        <v>9</v>
      </c>
      <c r="J429">
        <v>60</v>
      </c>
      <c r="K429" t="s">
        <v>11</v>
      </c>
      <c r="L429">
        <v>1</v>
      </c>
      <c r="M429">
        <v>153</v>
      </c>
      <c r="N429" s="1">
        <f t="shared" si="21"/>
        <v>153</v>
      </c>
    </row>
    <row r="430" spans="5:14" x14ac:dyDescent="0.25">
      <c r="E430">
        <v>1958</v>
      </c>
      <c r="F430" s="7">
        <v>45584</v>
      </c>
      <c r="G430">
        <f t="shared" si="19"/>
        <v>2024</v>
      </c>
      <c r="H430" s="7" t="str">
        <f t="shared" si="20"/>
        <v>Октябрь</v>
      </c>
      <c r="I430" t="s">
        <v>7</v>
      </c>
      <c r="J430">
        <v>36</v>
      </c>
      <c r="K430" t="s">
        <v>10</v>
      </c>
      <c r="L430">
        <v>5</v>
      </c>
      <c r="M430">
        <v>339</v>
      </c>
      <c r="N430" s="1">
        <f t="shared" si="21"/>
        <v>1695</v>
      </c>
    </row>
    <row r="431" spans="5:14" x14ac:dyDescent="0.25">
      <c r="E431">
        <v>389</v>
      </c>
      <c r="F431" s="7">
        <v>45197</v>
      </c>
      <c r="G431">
        <f t="shared" si="19"/>
        <v>2023</v>
      </c>
      <c r="H431" s="7" t="str">
        <f t="shared" si="20"/>
        <v>Сентябрь</v>
      </c>
      <c r="I431" t="s">
        <v>7</v>
      </c>
      <c r="J431">
        <v>39</v>
      </c>
      <c r="K431" t="s">
        <v>11</v>
      </c>
      <c r="L431">
        <v>2</v>
      </c>
      <c r="M431">
        <v>50</v>
      </c>
      <c r="N431" s="1">
        <f t="shared" si="21"/>
        <v>100</v>
      </c>
    </row>
    <row r="432" spans="5:14" x14ac:dyDescent="0.25">
      <c r="E432">
        <v>88</v>
      </c>
      <c r="F432" s="7">
        <v>45014</v>
      </c>
      <c r="G432">
        <f t="shared" si="19"/>
        <v>2023</v>
      </c>
      <c r="H432" s="7" t="str">
        <f t="shared" si="20"/>
        <v>Март</v>
      </c>
      <c r="I432" t="s">
        <v>7</v>
      </c>
      <c r="J432">
        <v>56</v>
      </c>
      <c r="K432" t="s">
        <v>10</v>
      </c>
      <c r="L432">
        <v>1</v>
      </c>
      <c r="M432">
        <v>500</v>
      </c>
      <c r="N432" s="1">
        <f t="shared" si="21"/>
        <v>500</v>
      </c>
    </row>
    <row r="433" spans="5:14" x14ac:dyDescent="0.25">
      <c r="E433">
        <v>1441</v>
      </c>
      <c r="F433" s="7">
        <v>45358</v>
      </c>
      <c r="G433">
        <f t="shared" si="19"/>
        <v>2024</v>
      </c>
      <c r="H433" s="7" t="str">
        <f t="shared" si="20"/>
        <v>Март</v>
      </c>
      <c r="I433" t="s">
        <v>9</v>
      </c>
      <c r="J433">
        <v>39</v>
      </c>
      <c r="K433" t="s">
        <v>10</v>
      </c>
      <c r="L433">
        <v>1</v>
      </c>
      <c r="M433">
        <v>290</v>
      </c>
      <c r="N433" s="1">
        <f t="shared" si="21"/>
        <v>290</v>
      </c>
    </row>
    <row r="434" spans="5:14" x14ac:dyDescent="0.25">
      <c r="E434">
        <v>475</v>
      </c>
      <c r="F434" s="7">
        <v>45167</v>
      </c>
      <c r="G434">
        <f t="shared" si="19"/>
        <v>2023</v>
      </c>
      <c r="H434" s="7" t="str">
        <f t="shared" si="20"/>
        <v>Август</v>
      </c>
      <c r="I434" t="s">
        <v>9</v>
      </c>
      <c r="J434">
        <v>27</v>
      </c>
      <c r="K434" t="s">
        <v>10</v>
      </c>
      <c r="L434">
        <v>4</v>
      </c>
      <c r="M434">
        <v>500</v>
      </c>
      <c r="N434" s="1">
        <f t="shared" si="21"/>
        <v>2000</v>
      </c>
    </row>
    <row r="435" spans="5:14" x14ac:dyDescent="0.25">
      <c r="E435">
        <v>933</v>
      </c>
      <c r="F435" s="7">
        <v>45178</v>
      </c>
      <c r="G435">
        <f t="shared" si="19"/>
        <v>2023</v>
      </c>
      <c r="H435" s="7" t="str">
        <f t="shared" si="20"/>
        <v>Сентябрь</v>
      </c>
      <c r="I435" t="s">
        <v>9</v>
      </c>
      <c r="J435">
        <v>34</v>
      </c>
      <c r="K435" t="s">
        <v>8</v>
      </c>
      <c r="L435">
        <v>1</v>
      </c>
      <c r="M435">
        <v>50</v>
      </c>
      <c r="N435" s="1">
        <f t="shared" si="21"/>
        <v>50</v>
      </c>
    </row>
    <row r="436" spans="5:14" x14ac:dyDescent="0.25">
      <c r="E436">
        <v>1051</v>
      </c>
      <c r="F436" s="7">
        <v>45486</v>
      </c>
      <c r="G436">
        <f t="shared" si="19"/>
        <v>2024</v>
      </c>
      <c r="H436" s="7" t="str">
        <f t="shared" si="20"/>
        <v>Июль</v>
      </c>
      <c r="I436" t="s">
        <v>7</v>
      </c>
      <c r="J436">
        <v>51</v>
      </c>
      <c r="K436" t="s">
        <v>11</v>
      </c>
      <c r="L436">
        <v>2</v>
      </c>
      <c r="M436">
        <v>160</v>
      </c>
      <c r="N436" s="1">
        <f t="shared" si="21"/>
        <v>320</v>
      </c>
    </row>
    <row r="437" spans="5:14" x14ac:dyDescent="0.25">
      <c r="E437">
        <v>397</v>
      </c>
      <c r="F437" s="7">
        <v>45062</v>
      </c>
      <c r="G437">
        <f t="shared" si="19"/>
        <v>2023</v>
      </c>
      <c r="H437" s="7" t="str">
        <f t="shared" si="20"/>
        <v>Май</v>
      </c>
      <c r="I437" t="s">
        <v>9</v>
      </c>
      <c r="J437">
        <v>48</v>
      </c>
      <c r="K437" t="s">
        <v>10</v>
      </c>
      <c r="L437">
        <v>2</v>
      </c>
      <c r="M437">
        <v>300</v>
      </c>
      <c r="N437" s="1">
        <f t="shared" si="21"/>
        <v>600</v>
      </c>
    </row>
    <row r="438" spans="5:14" x14ac:dyDescent="0.25">
      <c r="E438">
        <v>1676</v>
      </c>
      <c r="F438" s="7">
        <v>45587</v>
      </c>
      <c r="G438">
        <f t="shared" si="19"/>
        <v>2024</v>
      </c>
      <c r="H438" s="7" t="str">
        <f t="shared" si="20"/>
        <v>Октябрь</v>
      </c>
      <c r="I438" t="s">
        <v>9</v>
      </c>
      <c r="J438">
        <v>18</v>
      </c>
      <c r="K438" t="s">
        <v>10</v>
      </c>
      <c r="L438">
        <v>4</v>
      </c>
      <c r="M438">
        <v>297</v>
      </c>
      <c r="N438" s="1">
        <f t="shared" si="21"/>
        <v>1188</v>
      </c>
    </row>
    <row r="439" spans="5:14" x14ac:dyDescent="0.25">
      <c r="E439">
        <v>1275</v>
      </c>
      <c r="F439" s="7">
        <v>45364</v>
      </c>
      <c r="G439">
        <f t="shared" si="19"/>
        <v>2024</v>
      </c>
      <c r="H439" s="7" t="str">
        <f t="shared" si="20"/>
        <v>Март</v>
      </c>
      <c r="I439" t="s">
        <v>9</v>
      </c>
      <c r="J439">
        <v>65</v>
      </c>
      <c r="K439" t="s">
        <v>10</v>
      </c>
      <c r="L439">
        <v>3</v>
      </c>
      <c r="M439">
        <v>166</v>
      </c>
      <c r="N439" s="1">
        <f t="shared" si="21"/>
        <v>498</v>
      </c>
    </row>
    <row r="440" spans="5:14" x14ac:dyDescent="0.25">
      <c r="E440">
        <v>1765</v>
      </c>
      <c r="F440" s="7">
        <v>45452</v>
      </c>
      <c r="G440">
        <f t="shared" si="19"/>
        <v>2024</v>
      </c>
      <c r="H440" s="7" t="str">
        <f t="shared" si="20"/>
        <v>Июнь</v>
      </c>
      <c r="I440" t="s">
        <v>9</v>
      </c>
      <c r="J440">
        <v>20</v>
      </c>
      <c r="K440" t="s">
        <v>11</v>
      </c>
      <c r="L440">
        <v>1</v>
      </c>
      <c r="M440">
        <v>118</v>
      </c>
      <c r="N440" s="1">
        <f t="shared" si="21"/>
        <v>118</v>
      </c>
    </row>
    <row r="441" spans="5:14" x14ac:dyDescent="0.25">
      <c r="E441">
        <v>1582</v>
      </c>
      <c r="F441" s="7">
        <v>45413</v>
      </c>
      <c r="G441">
        <f t="shared" si="19"/>
        <v>2024</v>
      </c>
      <c r="H441" s="7" t="str">
        <f t="shared" si="20"/>
        <v>Май</v>
      </c>
      <c r="I441" t="s">
        <v>9</v>
      </c>
      <c r="J441">
        <v>23</v>
      </c>
      <c r="K441" t="s">
        <v>10</v>
      </c>
      <c r="L441">
        <v>3</v>
      </c>
      <c r="M441">
        <v>217</v>
      </c>
      <c r="N441" s="1">
        <f t="shared" si="21"/>
        <v>651</v>
      </c>
    </row>
    <row r="442" spans="5:14" x14ac:dyDescent="0.25">
      <c r="E442">
        <v>578</v>
      </c>
      <c r="F442" s="7">
        <v>45190</v>
      </c>
      <c r="G442">
        <f t="shared" si="19"/>
        <v>2023</v>
      </c>
      <c r="H442" s="7" t="str">
        <f t="shared" si="20"/>
        <v>Сентябрь</v>
      </c>
      <c r="I442" t="s">
        <v>9</v>
      </c>
      <c r="J442">
        <v>38</v>
      </c>
      <c r="K442" t="s">
        <v>11</v>
      </c>
      <c r="L442">
        <v>1</v>
      </c>
      <c r="M442">
        <v>30</v>
      </c>
      <c r="N442" s="1">
        <f t="shared" si="21"/>
        <v>30</v>
      </c>
    </row>
    <row r="443" spans="5:14" x14ac:dyDescent="0.25">
      <c r="E443">
        <v>1406</v>
      </c>
      <c r="F443" s="7">
        <v>45644</v>
      </c>
      <c r="G443">
        <f t="shared" si="19"/>
        <v>2024</v>
      </c>
      <c r="H443" s="7" t="str">
        <f t="shared" si="20"/>
        <v>Декабрь</v>
      </c>
      <c r="I443" t="s">
        <v>9</v>
      </c>
      <c r="J443">
        <v>52</v>
      </c>
      <c r="K443" t="s">
        <v>11</v>
      </c>
      <c r="L443">
        <v>5</v>
      </c>
      <c r="M443">
        <v>155</v>
      </c>
      <c r="N443" s="1">
        <f t="shared" si="21"/>
        <v>775</v>
      </c>
    </row>
    <row r="444" spans="5:14" x14ac:dyDescent="0.25">
      <c r="E444">
        <v>774</v>
      </c>
      <c r="F444" s="7">
        <v>45230</v>
      </c>
      <c r="G444">
        <f t="shared" si="19"/>
        <v>2023</v>
      </c>
      <c r="H444" s="7" t="str">
        <f t="shared" si="20"/>
        <v>Октябрь</v>
      </c>
      <c r="I444" t="s">
        <v>7</v>
      </c>
      <c r="J444">
        <v>35</v>
      </c>
      <c r="K444" t="s">
        <v>10</v>
      </c>
      <c r="L444">
        <v>3</v>
      </c>
      <c r="M444">
        <v>30</v>
      </c>
      <c r="N444" s="1">
        <f t="shared" si="21"/>
        <v>90</v>
      </c>
    </row>
    <row r="445" spans="5:14" x14ac:dyDescent="0.25">
      <c r="E445">
        <v>1534</v>
      </c>
      <c r="F445" s="7">
        <v>45446</v>
      </c>
      <c r="G445">
        <f t="shared" si="19"/>
        <v>2024</v>
      </c>
      <c r="H445" s="7" t="str">
        <f t="shared" si="20"/>
        <v>Июнь</v>
      </c>
      <c r="I445" t="s">
        <v>9</v>
      </c>
      <c r="J445">
        <v>22</v>
      </c>
      <c r="K445" t="s">
        <v>8</v>
      </c>
      <c r="L445">
        <v>5</v>
      </c>
      <c r="M445">
        <v>442</v>
      </c>
      <c r="N445" s="1">
        <f t="shared" si="21"/>
        <v>2210</v>
      </c>
    </row>
    <row r="446" spans="5:14" x14ac:dyDescent="0.25">
      <c r="E446">
        <v>322</v>
      </c>
      <c r="F446" s="7">
        <v>44952</v>
      </c>
      <c r="G446">
        <f t="shared" si="19"/>
        <v>2023</v>
      </c>
      <c r="H446" s="7" t="str">
        <f t="shared" si="20"/>
        <v>Январь</v>
      </c>
      <c r="I446" t="s">
        <v>9</v>
      </c>
      <c r="J446">
        <v>29</v>
      </c>
      <c r="K446" t="s">
        <v>8</v>
      </c>
      <c r="L446">
        <v>3</v>
      </c>
      <c r="M446">
        <v>300</v>
      </c>
      <c r="N446" s="1">
        <f t="shared" si="21"/>
        <v>900</v>
      </c>
    </row>
    <row r="447" spans="5:14" x14ac:dyDescent="0.25">
      <c r="E447">
        <v>1111</v>
      </c>
      <c r="F447" s="7">
        <v>45548</v>
      </c>
      <c r="G447">
        <f t="shared" si="19"/>
        <v>2024</v>
      </c>
      <c r="H447" s="7" t="str">
        <f t="shared" si="20"/>
        <v>Сентябрь</v>
      </c>
      <c r="I447" t="s">
        <v>9</v>
      </c>
      <c r="J447">
        <v>46</v>
      </c>
      <c r="K447" t="s">
        <v>11</v>
      </c>
      <c r="L447">
        <v>4</v>
      </c>
      <c r="M447">
        <v>485</v>
      </c>
      <c r="N447" s="1">
        <f t="shared" si="21"/>
        <v>1940</v>
      </c>
    </row>
    <row r="448" spans="5:14" x14ac:dyDescent="0.25">
      <c r="E448">
        <v>864</v>
      </c>
      <c r="F448" s="7">
        <v>45051</v>
      </c>
      <c r="G448">
        <f t="shared" si="19"/>
        <v>2023</v>
      </c>
      <c r="H448" s="7" t="str">
        <f t="shared" si="20"/>
        <v>Май</v>
      </c>
      <c r="I448" t="s">
        <v>7</v>
      </c>
      <c r="J448">
        <v>24</v>
      </c>
      <c r="K448" t="s">
        <v>11</v>
      </c>
      <c r="L448">
        <v>1</v>
      </c>
      <c r="M448">
        <v>50</v>
      </c>
      <c r="N448" s="1">
        <f t="shared" si="21"/>
        <v>50</v>
      </c>
    </row>
    <row r="449" spans="5:14" x14ac:dyDescent="0.25">
      <c r="E449">
        <v>934</v>
      </c>
      <c r="F449" s="7">
        <v>44964</v>
      </c>
      <c r="G449">
        <f t="shared" si="19"/>
        <v>2023</v>
      </c>
      <c r="H449" s="7" t="str">
        <f t="shared" si="20"/>
        <v>Февраль</v>
      </c>
      <c r="I449" t="s">
        <v>7</v>
      </c>
      <c r="J449">
        <v>57</v>
      </c>
      <c r="K449" t="s">
        <v>8</v>
      </c>
      <c r="L449">
        <v>4</v>
      </c>
      <c r="M449">
        <v>50</v>
      </c>
      <c r="N449" s="1">
        <f t="shared" si="21"/>
        <v>200</v>
      </c>
    </row>
    <row r="450" spans="5:14" x14ac:dyDescent="0.25">
      <c r="E450">
        <v>1509</v>
      </c>
      <c r="F450" s="7">
        <v>45603</v>
      </c>
      <c r="G450">
        <f t="shared" si="19"/>
        <v>2024</v>
      </c>
      <c r="H450" s="7" t="str">
        <f t="shared" si="20"/>
        <v>Ноябрь</v>
      </c>
      <c r="I450" t="s">
        <v>9</v>
      </c>
      <c r="J450">
        <v>50</v>
      </c>
      <c r="K450" t="s">
        <v>8</v>
      </c>
      <c r="L450">
        <v>7</v>
      </c>
      <c r="M450">
        <v>129</v>
      </c>
      <c r="N450" s="1">
        <f t="shared" si="21"/>
        <v>903</v>
      </c>
    </row>
    <row r="451" spans="5:14" x14ac:dyDescent="0.25">
      <c r="E451">
        <v>1604</v>
      </c>
      <c r="F451" s="7">
        <v>45368</v>
      </c>
      <c r="G451">
        <f t="shared" si="19"/>
        <v>2024</v>
      </c>
      <c r="H451" s="7" t="str">
        <f t="shared" si="20"/>
        <v>Март</v>
      </c>
      <c r="I451" t="s">
        <v>7</v>
      </c>
      <c r="J451">
        <v>38</v>
      </c>
      <c r="K451" t="s">
        <v>10</v>
      </c>
      <c r="L451">
        <v>1</v>
      </c>
      <c r="M451">
        <v>422</v>
      </c>
      <c r="N451" s="1">
        <f t="shared" si="21"/>
        <v>422</v>
      </c>
    </row>
    <row r="452" spans="5:14" x14ac:dyDescent="0.25">
      <c r="E452">
        <v>671</v>
      </c>
      <c r="F452" s="7">
        <v>44958</v>
      </c>
      <c r="G452">
        <f t="shared" si="19"/>
        <v>2023</v>
      </c>
      <c r="H452" s="7" t="str">
        <f t="shared" si="20"/>
        <v>Февраль</v>
      </c>
      <c r="I452" t="s">
        <v>9</v>
      </c>
      <c r="J452">
        <v>43</v>
      </c>
      <c r="K452" t="s">
        <v>10</v>
      </c>
      <c r="L452">
        <v>3</v>
      </c>
      <c r="M452">
        <v>500</v>
      </c>
      <c r="N452" s="1">
        <f t="shared" si="21"/>
        <v>1500</v>
      </c>
    </row>
    <row r="453" spans="5:14" x14ac:dyDescent="0.25">
      <c r="E453">
        <v>1745</v>
      </c>
      <c r="F453" s="7">
        <v>45415</v>
      </c>
      <c r="G453">
        <f t="shared" si="19"/>
        <v>2024</v>
      </c>
      <c r="H453" s="7" t="str">
        <f t="shared" si="20"/>
        <v>Май</v>
      </c>
      <c r="I453" t="s">
        <v>7</v>
      </c>
      <c r="J453">
        <v>38</v>
      </c>
      <c r="K453" t="s">
        <v>8</v>
      </c>
      <c r="L453">
        <v>7</v>
      </c>
      <c r="M453">
        <v>69</v>
      </c>
      <c r="N453" s="1">
        <f t="shared" si="21"/>
        <v>483</v>
      </c>
    </row>
    <row r="454" spans="5:14" x14ac:dyDescent="0.25">
      <c r="E454">
        <v>1963</v>
      </c>
      <c r="F454" s="7">
        <v>45399</v>
      </c>
      <c r="G454">
        <f t="shared" si="19"/>
        <v>2024</v>
      </c>
      <c r="H454" s="7" t="str">
        <f t="shared" si="20"/>
        <v>Апрель</v>
      </c>
      <c r="I454" t="s">
        <v>7</v>
      </c>
      <c r="J454">
        <v>50</v>
      </c>
      <c r="K454" t="s">
        <v>8</v>
      </c>
      <c r="L454">
        <v>3</v>
      </c>
      <c r="M454">
        <v>139</v>
      </c>
      <c r="N454" s="1">
        <f t="shared" si="21"/>
        <v>417</v>
      </c>
    </row>
    <row r="455" spans="5:14" x14ac:dyDescent="0.25">
      <c r="E455">
        <v>39</v>
      </c>
      <c r="F455" s="7">
        <v>45037</v>
      </c>
      <c r="G455">
        <f t="shared" si="19"/>
        <v>2023</v>
      </c>
      <c r="H455" s="7" t="str">
        <f t="shared" si="20"/>
        <v>Апрель</v>
      </c>
      <c r="I455" t="s">
        <v>7</v>
      </c>
      <c r="J455">
        <v>23</v>
      </c>
      <c r="K455" t="s">
        <v>10</v>
      </c>
      <c r="L455">
        <v>4</v>
      </c>
      <c r="M455">
        <v>30</v>
      </c>
      <c r="N455" s="1">
        <f t="shared" si="21"/>
        <v>120</v>
      </c>
    </row>
    <row r="456" spans="5:14" x14ac:dyDescent="0.25">
      <c r="E456">
        <v>401</v>
      </c>
      <c r="F456" s="7">
        <v>45006</v>
      </c>
      <c r="G456">
        <f t="shared" si="19"/>
        <v>2023</v>
      </c>
      <c r="H456" s="7" t="str">
        <f t="shared" si="20"/>
        <v>Март</v>
      </c>
      <c r="I456" t="s">
        <v>9</v>
      </c>
      <c r="J456">
        <v>41</v>
      </c>
      <c r="K456" t="s">
        <v>10</v>
      </c>
      <c r="L456">
        <v>2</v>
      </c>
      <c r="M456">
        <v>300</v>
      </c>
      <c r="N456" s="1">
        <f t="shared" si="21"/>
        <v>600</v>
      </c>
    </row>
    <row r="457" spans="5:14" x14ac:dyDescent="0.25">
      <c r="E457">
        <v>1683</v>
      </c>
      <c r="F457" s="7">
        <v>45507</v>
      </c>
      <c r="G457">
        <f t="shared" si="19"/>
        <v>2024</v>
      </c>
      <c r="H457" s="7" t="str">
        <f t="shared" si="20"/>
        <v>Август</v>
      </c>
      <c r="I457" t="s">
        <v>9</v>
      </c>
      <c r="J457">
        <v>30</v>
      </c>
      <c r="K457" t="s">
        <v>11</v>
      </c>
      <c r="L457">
        <v>5</v>
      </c>
      <c r="M457">
        <v>328</v>
      </c>
      <c r="N457" s="1">
        <f t="shared" si="21"/>
        <v>1640</v>
      </c>
    </row>
    <row r="458" spans="5:14" x14ac:dyDescent="0.25">
      <c r="E458">
        <v>1301</v>
      </c>
      <c r="F458" s="7">
        <v>45492</v>
      </c>
      <c r="G458">
        <f t="shared" ref="G458:G521" si="22">YEAR(F458)</f>
        <v>2024</v>
      </c>
      <c r="H458" s="7" t="str">
        <f t="shared" ref="H458:H521" si="23">TEXT(F458,"ММММ")</f>
        <v>Июль</v>
      </c>
      <c r="I458" t="s">
        <v>9</v>
      </c>
      <c r="J458">
        <v>26</v>
      </c>
      <c r="K458" t="s">
        <v>11</v>
      </c>
      <c r="L458">
        <v>6</v>
      </c>
      <c r="M458">
        <v>297</v>
      </c>
      <c r="N458" s="1">
        <f t="shared" ref="N458:N521" si="24">L458*M458</f>
        <v>1782</v>
      </c>
    </row>
    <row r="459" spans="5:14" x14ac:dyDescent="0.25">
      <c r="E459">
        <v>1593</v>
      </c>
      <c r="F459" s="7">
        <v>45329</v>
      </c>
      <c r="G459">
        <f t="shared" si="22"/>
        <v>2024</v>
      </c>
      <c r="H459" s="7" t="str">
        <f t="shared" si="23"/>
        <v>Февраль</v>
      </c>
      <c r="I459" t="s">
        <v>9</v>
      </c>
      <c r="J459">
        <v>62</v>
      </c>
      <c r="K459" t="s">
        <v>11</v>
      </c>
      <c r="L459">
        <v>5</v>
      </c>
      <c r="M459">
        <v>458</v>
      </c>
      <c r="N459" s="1">
        <f t="shared" si="24"/>
        <v>2290</v>
      </c>
    </row>
    <row r="460" spans="5:14" x14ac:dyDescent="0.25">
      <c r="E460">
        <v>1221</v>
      </c>
      <c r="F460" s="7">
        <v>45466</v>
      </c>
      <c r="G460">
        <f t="shared" si="22"/>
        <v>2024</v>
      </c>
      <c r="H460" s="7" t="str">
        <f t="shared" si="23"/>
        <v>Июнь</v>
      </c>
      <c r="I460" t="s">
        <v>9</v>
      </c>
      <c r="J460">
        <v>18</v>
      </c>
      <c r="K460" t="s">
        <v>10</v>
      </c>
      <c r="L460">
        <v>3</v>
      </c>
      <c r="M460">
        <v>184</v>
      </c>
      <c r="N460" s="1">
        <f t="shared" si="24"/>
        <v>552</v>
      </c>
    </row>
    <row r="461" spans="5:14" x14ac:dyDescent="0.25">
      <c r="E461">
        <v>1475</v>
      </c>
      <c r="F461" s="7">
        <v>45395</v>
      </c>
      <c r="G461">
        <f t="shared" si="22"/>
        <v>2024</v>
      </c>
      <c r="H461" s="7" t="str">
        <f t="shared" si="23"/>
        <v>Апрель</v>
      </c>
      <c r="I461" t="s">
        <v>9</v>
      </c>
      <c r="J461">
        <v>56</v>
      </c>
      <c r="K461" t="s">
        <v>10</v>
      </c>
      <c r="L461">
        <v>7</v>
      </c>
      <c r="M461">
        <v>146</v>
      </c>
      <c r="N461" s="1">
        <f t="shared" si="24"/>
        <v>1022</v>
      </c>
    </row>
    <row r="462" spans="5:14" x14ac:dyDescent="0.25">
      <c r="E462">
        <v>823</v>
      </c>
      <c r="F462" s="7">
        <v>45164</v>
      </c>
      <c r="G462">
        <f t="shared" si="22"/>
        <v>2023</v>
      </c>
      <c r="H462" s="7" t="str">
        <f t="shared" si="23"/>
        <v>Август</v>
      </c>
      <c r="I462" t="s">
        <v>9</v>
      </c>
      <c r="J462">
        <v>46</v>
      </c>
      <c r="K462" t="s">
        <v>8</v>
      </c>
      <c r="L462">
        <v>1</v>
      </c>
      <c r="M462">
        <v>25</v>
      </c>
      <c r="N462" s="1">
        <f t="shared" si="24"/>
        <v>25</v>
      </c>
    </row>
    <row r="463" spans="5:14" x14ac:dyDescent="0.25">
      <c r="E463">
        <v>1978</v>
      </c>
      <c r="F463" s="7">
        <v>45645</v>
      </c>
      <c r="G463">
        <f t="shared" si="22"/>
        <v>2024</v>
      </c>
      <c r="H463" s="7" t="str">
        <f t="shared" si="23"/>
        <v>Декабрь</v>
      </c>
      <c r="I463" t="s">
        <v>9</v>
      </c>
      <c r="J463">
        <v>19</v>
      </c>
      <c r="K463" t="s">
        <v>8</v>
      </c>
      <c r="L463">
        <v>7</v>
      </c>
      <c r="M463">
        <v>29</v>
      </c>
      <c r="N463" s="1">
        <f t="shared" si="24"/>
        <v>203</v>
      </c>
    </row>
    <row r="464" spans="5:14" x14ac:dyDescent="0.25">
      <c r="E464">
        <v>1418</v>
      </c>
      <c r="F464" s="7">
        <v>45293</v>
      </c>
      <c r="G464">
        <f t="shared" si="22"/>
        <v>2024</v>
      </c>
      <c r="H464" s="7" t="str">
        <f t="shared" si="23"/>
        <v>Январь</v>
      </c>
      <c r="I464" t="s">
        <v>9</v>
      </c>
      <c r="J464">
        <v>41</v>
      </c>
      <c r="K464" t="s">
        <v>10</v>
      </c>
      <c r="L464">
        <v>6</v>
      </c>
      <c r="M464">
        <v>127</v>
      </c>
      <c r="N464" s="1">
        <f t="shared" si="24"/>
        <v>762</v>
      </c>
    </row>
    <row r="465" spans="5:14" x14ac:dyDescent="0.25">
      <c r="E465">
        <v>641</v>
      </c>
      <c r="F465" s="7">
        <v>45068</v>
      </c>
      <c r="G465">
        <f t="shared" si="22"/>
        <v>2023</v>
      </c>
      <c r="H465" s="7" t="str">
        <f t="shared" si="23"/>
        <v>Май</v>
      </c>
      <c r="I465" t="s">
        <v>9</v>
      </c>
      <c r="J465">
        <v>54</v>
      </c>
      <c r="K465" t="s">
        <v>10</v>
      </c>
      <c r="L465">
        <v>4</v>
      </c>
      <c r="M465">
        <v>25</v>
      </c>
      <c r="N465" s="1">
        <f t="shared" si="24"/>
        <v>100</v>
      </c>
    </row>
    <row r="466" spans="5:14" x14ac:dyDescent="0.25">
      <c r="E466">
        <v>336</v>
      </c>
      <c r="F466" s="7">
        <v>45047</v>
      </c>
      <c r="G466">
        <f t="shared" si="22"/>
        <v>2023</v>
      </c>
      <c r="H466" s="7" t="str">
        <f t="shared" si="23"/>
        <v>Май</v>
      </c>
      <c r="I466" t="s">
        <v>7</v>
      </c>
      <c r="J466">
        <v>38</v>
      </c>
      <c r="K466" t="s">
        <v>10</v>
      </c>
      <c r="L466">
        <v>1</v>
      </c>
      <c r="M466">
        <v>500</v>
      </c>
      <c r="N466" s="1">
        <f t="shared" si="24"/>
        <v>500</v>
      </c>
    </row>
    <row r="467" spans="5:14" x14ac:dyDescent="0.25">
      <c r="E467">
        <v>576</v>
      </c>
      <c r="F467" s="7">
        <v>44970</v>
      </c>
      <c r="G467">
        <f t="shared" si="22"/>
        <v>2023</v>
      </c>
      <c r="H467" s="7" t="str">
        <f t="shared" si="23"/>
        <v>Февраль</v>
      </c>
      <c r="I467" t="s">
        <v>7</v>
      </c>
      <c r="J467">
        <v>21</v>
      </c>
      <c r="K467" t="s">
        <v>8</v>
      </c>
      <c r="L467">
        <v>4</v>
      </c>
      <c r="M467">
        <v>500</v>
      </c>
      <c r="N467" s="1">
        <f t="shared" si="24"/>
        <v>2000</v>
      </c>
    </row>
    <row r="468" spans="5:14" x14ac:dyDescent="0.25">
      <c r="E468">
        <v>1854</v>
      </c>
      <c r="F468" s="7">
        <v>45544</v>
      </c>
      <c r="G468">
        <f t="shared" si="22"/>
        <v>2024</v>
      </c>
      <c r="H468" s="7" t="str">
        <f t="shared" si="23"/>
        <v>Сентябрь</v>
      </c>
      <c r="I468" t="s">
        <v>7</v>
      </c>
      <c r="J468">
        <v>64</v>
      </c>
      <c r="K468" t="s">
        <v>11</v>
      </c>
      <c r="L468">
        <v>5</v>
      </c>
      <c r="M468">
        <v>329</v>
      </c>
      <c r="N468" s="1">
        <f t="shared" si="24"/>
        <v>1645</v>
      </c>
    </row>
    <row r="469" spans="5:14" x14ac:dyDescent="0.25">
      <c r="E469">
        <v>767</v>
      </c>
      <c r="F469" s="7">
        <v>45086</v>
      </c>
      <c r="G469">
        <f t="shared" si="22"/>
        <v>2023</v>
      </c>
      <c r="H469" s="7" t="str">
        <f t="shared" si="23"/>
        <v>Июнь</v>
      </c>
      <c r="I469" t="s">
        <v>9</v>
      </c>
      <c r="J469">
        <v>31</v>
      </c>
      <c r="K469" t="s">
        <v>11</v>
      </c>
      <c r="L469">
        <v>4</v>
      </c>
      <c r="M469">
        <v>30</v>
      </c>
      <c r="N469" s="1">
        <f t="shared" si="24"/>
        <v>120</v>
      </c>
    </row>
    <row r="470" spans="5:14" x14ac:dyDescent="0.25">
      <c r="E470">
        <v>174</v>
      </c>
      <c r="F470" s="7">
        <v>45028</v>
      </c>
      <c r="G470">
        <f t="shared" si="22"/>
        <v>2023</v>
      </c>
      <c r="H470" s="7" t="str">
        <f t="shared" si="23"/>
        <v>Апрель</v>
      </c>
      <c r="I470" t="s">
        <v>9</v>
      </c>
      <c r="J470">
        <v>39</v>
      </c>
      <c r="K470" t="s">
        <v>8</v>
      </c>
      <c r="L470">
        <v>1</v>
      </c>
      <c r="M470">
        <v>300</v>
      </c>
      <c r="N470" s="1">
        <f t="shared" si="24"/>
        <v>300</v>
      </c>
    </row>
    <row r="471" spans="5:14" x14ac:dyDescent="0.25">
      <c r="E471">
        <v>1606</v>
      </c>
      <c r="F471" s="7">
        <v>45645</v>
      </c>
      <c r="G471">
        <f t="shared" si="22"/>
        <v>2024</v>
      </c>
      <c r="H471" s="7" t="str">
        <f t="shared" si="23"/>
        <v>Декабрь</v>
      </c>
      <c r="I471" t="s">
        <v>9</v>
      </c>
      <c r="J471">
        <v>35</v>
      </c>
      <c r="K471" t="s">
        <v>10</v>
      </c>
      <c r="L471">
        <v>5</v>
      </c>
      <c r="M471">
        <v>236</v>
      </c>
      <c r="N471" s="1">
        <f t="shared" si="24"/>
        <v>1180</v>
      </c>
    </row>
    <row r="472" spans="5:14" x14ac:dyDescent="0.25">
      <c r="E472">
        <v>1599</v>
      </c>
      <c r="F472" s="7">
        <v>45649</v>
      </c>
      <c r="G472">
        <f t="shared" si="22"/>
        <v>2024</v>
      </c>
      <c r="H472" s="7" t="str">
        <f t="shared" si="23"/>
        <v>Декабрь</v>
      </c>
      <c r="I472" t="s">
        <v>9</v>
      </c>
      <c r="J472">
        <v>42</v>
      </c>
      <c r="K472" t="s">
        <v>11</v>
      </c>
      <c r="L472">
        <v>1</v>
      </c>
      <c r="M472">
        <v>53</v>
      </c>
      <c r="N472" s="1">
        <f t="shared" si="24"/>
        <v>53</v>
      </c>
    </row>
    <row r="473" spans="5:14" x14ac:dyDescent="0.25">
      <c r="E473">
        <v>521</v>
      </c>
      <c r="F473" s="7">
        <v>44927</v>
      </c>
      <c r="G473">
        <f t="shared" si="22"/>
        <v>2023</v>
      </c>
      <c r="H473" s="7" t="str">
        <f t="shared" si="23"/>
        <v>Январь</v>
      </c>
      <c r="I473" t="s">
        <v>7</v>
      </c>
      <c r="J473">
        <v>46</v>
      </c>
      <c r="K473" t="s">
        <v>8</v>
      </c>
      <c r="L473">
        <v>3</v>
      </c>
      <c r="M473">
        <v>500</v>
      </c>
      <c r="N473" s="1">
        <f t="shared" si="24"/>
        <v>1500</v>
      </c>
    </row>
    <row r="474" spans="5:14" x14ac:dyDescent="0.25">
      <c r="E474">
        <v>666</v>
      </c>
      <c r="F474" s="7">
        <v>45135</v>
      </c>
      <c r="G474">
        <f t="shared" si="22"/>
        <v>2023</v>
      </c>
      <c r="H474" s="7" t="str">
        <f t="shared" si="23"/>
        <v>Июль</v>
      </c>
      <c r="I474" t="s">
        <v>9</v>
      </c>
      <c r="J474">
        <v>62</v>
      </c>
      <c r="K474" t="s">
        <v>11</v>
      </c>
      <c r="L474">
        <v>3</v>
      </c>
      <c r="M474">
        <v>50</v>
      </c>
      <c r="N474" s="1">
        <f t="shared" si="24"/>
        <v>150</v>
      </c>
    </row>
    <row r="475" spans="5:14" x14ac:dyDescent="0.25">
      <c r="E475">
        <v>1073</v>
      </c>
      <c r="F475" s="7">
        <v>45479</v>
      </c>
      <c r="G475">
        <f t="shared" si="22"/>
        <v>2024</v>
      </c>
      <c r="H475" s="7" t="str">
        <f t="shared" si="23"/>
        <v>Июль</v>
      </c>
      <c r="I475" t="s">
        <v>7</v>
      </c>
      <c r="J475">
        <v>23</v>
      </c>
      <c r="K475" t="s">
        <v>8</v>
      </c>
      <c r="L475">
        <v>3</v>
      </c>
      <c r="M475">
        <v>247</v>
      </c>
      <c r="N475" s="1">
        <f t="shared" si="24"/>
        <v>741</v>
      </c>
    </row>
    <row r="476" spans="5:14" x14ac:dyDescent="0.25">
      <c r="E476">
        <v>1873</v>
      </c>
      <c r="F476" s="7">
        <v>45462</v>
      </c>
      <c r="G476">
        <f t="shared" si="22"/>
        <v>2024</v>
      </c>
      <c r="H476" s="7" t="str">
        <f t="shared" si="23"/>
        <v>Июнь</v>
      </c>
      <c r="I476" t="s">
        <v>9</v>
      </c>
      <c r="J476">
        <v>20</v>
      </c>
      <c r="K476" t="s">
        <v>10</v>
      </c>
      <c r="L476">
        <v>5</v>
      </c>
      <c r="M476">
        <v>75</v>
      </c>
      <c r="N476" s="1">
        <f t="shared" si="24"/>
        <v>375</v>
      </c>
    </row>
    <row r="477" spans="5:14" x14ac:dyDescent="0.25">
      <c r="E477">
        <v>948</v>
      </c>
      <c r="F477" s="7">
        <v>45237</v>
      </c>
      <c r="G477">
        <f t="shared" si="22"/>
        <v>2023</v>
      </c>
      <c r="H477" s="7" t="str">
        <f t="shared" si="23"/>
        <v>Ноябрь</v>
      </c>
      <c r="I477" t="s">
        <v>7</v>
      </c>
      <c r="J477">
        <v>36</v>
      </c>
      <c r="K477" t="s">
        <v>10</v>
      </c>
      <c r="L477">
        <v>3</v>
      </c>
      <c r="M477">
        <v>300</v>
      </c>
      <c r="N477" s="1">
        <f t="shared" si="24"/>
        <v>900</v>
      </c>
    </row>
    <row r="478" spans="5:14" x14ac:dyDescent="0.25">
      <c r="E478">
        <v>121</v>
      </c>
      <c r="F478" s="7">
        <v>45214</v>
      </c>
      <c r="G478">
        <f t="shared" si="22"/>
        <v>2023</v>
      </c>
      <c r="H478" s="7" t="str">
        <f t="shared" si="23"/>
        <v>Октябрь</v>
      </c>
      <c r="I478" t="s">
        <v>9</v>
      </c>
      <c r="J478">
        <v>28</v>
      </c>
      <c r="K478" t="s">
        <v>11</v>
      </c>
      <c r="L478">
        <v>4</v>
      </c>
      <c r="M478">
        <v>50</v>
      </c>
      <c r="N478" s="1">
        <f t="shared" si="24"/>
        <v>200</v>
      </c>
    </row>
    <row r="479" spans="5:14" x14ac:dyDescent="0.25">
      <c r="E479">
        <v>1003</v>
      </c>
      <c r="F479" s="7">
        <v>45418</v>
      </c>
      <c r="G479">
        <f t="shared" si="22"/>
        <v>2024</v>
      </c>
      <c r="H479" s="7" t="str">
        <f t="shared" si="23"/>
        <v>Май</v>
      </c>
      <c r="I479" t="s">
        <v>7</v>
      </c>
      <c r="J479">
        <v>46</v>
      </c>
      <c r="K479" t="s">
        <v>8</v>
      </c>
      <c r="L479">
        <v>2</v>
      </c>
      <c r="M479">
        <v>385</v>
      </c>
      <c r="N479" s="1">
        <f t="shared" si="24"/>
        <v>770</v>
      </c>
    </row>
    <row r="480" spans="5:14" x14ac:dyDescent="0.25">
      <c r="E480">
        <v>1188</v>
      </c>
      <c r="F480" s="7">
        <v>45416</v>
      </c>
      <c r="G480">
        <f t="shared" si="22"/>
        <v>2024</v>
      </c>
      <c r="H480" s="7" t="str">
        <f t="shared" si="23"/>
        <v>Май</v>
      </c>
      <c r="I480" t="s">
        <v>9</v>
      </c>
      <c r="J480">
        <v>28</v>
      </c>
      <c r="K480" t="s">
        <v>8</v>
      </c>
      <c r="L480">
        <v>5</v>
      </c>
      <c r="M480">
        <v>430</v>
      </c>
      <c r="N480" s="1">
        <f t="shared" si="24"/>
        <v>2150</v>
      </c>
    </row>
    <row r="481" spans="5:14" x14ac:dyDescent="0.25">
      <c r="E481">
        <v>583</v>
      </c>
      <c r="F481" s="7">
        <v>44974</v>
      </c>
      <c r="G481">
        <f t="shared" si="22"/>
        <v>2023</v>
      </c>
      <c r="H481" s="7" t="str">
        <f t="shared" si="23"/>
        <v>Февраль</v>
      </c>
      <c r="I481" t="s">
        <v>9</v>
      </c>
      <c r="J481">
        <v>27</v>
      </c>
      <c r="K481" t="s">
        <v>8</v>
      </c>
      <c r="L481">
        <v>4</v>
      </c>
      <c r="M481">
        <v>50</v>
      </c>
      <c r="N481" s="1">
        <f t="shared" si="24"/>
        <v>200</v>
      </c>
    </row>
    <row r="482" spans="5:14" x14ac:dyDescent="0.25">
      <c r="E482">
        <v>1737</v>
      </c>
      <c r="F482" s="7">
        <v>45626</v>
      </c>
      <c r="G482">
        <f t="shared" si="22"/>
        <v>2024</v>
      </c>
      <c r="H482" s="7" t="str">
        <f t="shared" si="23"/>
        <v>Ноябрь</v>
      </c>
      <c r="I482" t="s">
        <v>7</v>
      </c>
      <c r="J482">
        <v>30</v>
      </c>
      <c r="K482" t="s">
        <v>10</v>
      </c>
      <c r="L482">
        <v>7</v>
      </c>
      <c r="M482">
        <v>374</v>
      </c>
      <c r="N482" s="1">
        <f t="shared" si="24"/>
        <v>2618</v>
      </c>
    </row>
    <row r="483" spans="5:14" x14ac:dyDescent="0.25">
      <c r="E483">
        <v>1517</v>
      </c>
      <c r="F483" s="7">
        <v>45655</v>
      </c>
      <c r="G483">
        <f t="shared" si="22"/>
        <v>2024</v>
      </c>
      <c r="H483" s="7" t="str">
        <f t="shared" si="23"/>
        <v>Декабрь</v>
      </c>
      <c r="I483" t="s">
        <v>9</v>
      </c>
      <c r="J483">
        <v>28</v>
      </c>
      <c r="K483" t="s">
        <v>11</v>
      </c>
      <c r="L483">
        <v>7</v>
      </c>
      <c r="M483">
        <v>324</v>
      </c>
      <c r="N483" s="1">
        <f t="shared" si="24"/>
        <v>2268</v>
      </c>
    </row>
    <row r="484" spans="5:14" x14ac:dyDescent="0.25">
      <c r="E484">
        <v>1624</v>
      </c>
      <c r="F484" s="7">
        <v>45579</v>
      </c>
      <c r="G484">
        <f t="shared" si="22"/>
        <v>2024</v>
      </c>
      <c r="H484" s="7" t="str">
        <f t="shared" si="23"/>
        <v>Октябрь</v>
      </c>
      <c r="I484" t="s">
        <v>7</v>
      </c>
      <c r="J484">
        <v>25</v>
      </c>
      <c r="K484" t="s">
        <v>10</v>
      </c>
      <c r="L484">
        <v>4</v>
      </c>
      <c r="M484">
        <v>352</v>
      </c>
      <c r="N484" s="1">
        <f t="shared" si="24"/>
        <v>1408</v>
      </c>
    </row>
    <row r="485" spans="5:14" x14ac:dyDescent="0.25">
      <c r="E485">
        <v>668</v>
      </c>
      <c r="F485" s="7">
        <v>45204</v>
      </c>
      <c r="G485">
        <f t="shared" si="22"/>
        <v>2023</v>
      </c>
      <c r="H485" s="7" t="str">
        <f t="shared" si="23"/>
        <v>Октябрь</v>
      </c>
      <c r="I485" t="s">
        <v>7</v>
      </c>
      <c r="J485">
        <v>27</v>
      </c>
      <c r="K485" t="s">
        <v>8</v>
      </c>
      <c r="L485">
        <v>1</v>
      </c>
      <c r="M485">
        <v>30</v>
      </c>
      <c r="N485" s="1">
        <f t="shared" si="24"/>
        <v>30</v>
      </c>
    </row>
    <row r="486" spans="5:14" x14ac:dyDescent="0.25">
      <c r="E486">
        <v>272</v>
      </c>
      <c r="F486" s="7">
        <v>45054</v>
      </c>
      <c r="G486">
        <f t="shared" si="22"/>
        <v>2023</v>
      </c>
      <c r="H486" s="7" t="str">
        <f t="shared" si="23"/>
        <v>Май</v>
      </c>
      <c r="I486" t="s">
        <v>9</v>
      </c>
      <c r="J486">
        <v>22</v>
      </c>
      <c r="K486" t="s">
        <v>8</v>
      </c>
      <c r="L486">
        <v>1</v>
      </c>
      <c r="M486">
        <v>50</v>
      </c>
      <c r="N486" s="1">
        <f t="shared" si="24"/>
        <v>50</v>
      </c>
    </row>
    <row r="487" spans="5:14" x14ac:dyDescent="0.25">
      <c r="E487">
        <v>1925</v>
      </c>
      <c r="F487" s="7">
        <v>45318</v>
      </c>
      <c r="G487">
        <f t="shared" si="22"/>
        <v>2024</v>
      </c>
      <c r="H487" s="7" t="str">
        <f t="shared" si="23"/>
        <v>Январь</v>
      </c>
      <c r="I487" t="s">
        <v>9</v>
      </c>
      <c r="J487">
        <v>51</v>
      </c>
      <c r="K487" t="s">
        <v>8</v>
      </c>
      <c r="L487">
        <v>5</v>
      </c>
      <c r="M487">
        <v>350</v>
      </c>
      <c r="N487" s="1">
        <f t="shared" si="24"/>
        <v>1750</v>
      </c>
    </row>
    <row r="488" spans="5:14" x14ac:dyDescent="0.25">
      <c r="E488">
        <v>267</v>
      </c>
      <c r="F488" s="7">
        <v>44977</v>
      </c>
      <c r="G488">
        <f t="shared" si="22"/>
        <v>2023</v>
      </c>
      <c r="H488" s="7" t="str">
        <f t="shared" si="23"/>
        <v>Февраль</v>
      </c>
      <c r="I488" t="s">
        <v>9</v>
      </c>
      <c r="J488">
        <v>28</v>
      </c>
      <c r="K488" t="s">
        <v>11</v>
      </c>
      <c r="L488">
        <v>1</v>
      </c>
      <c r="M488">
        <v>30</v>
      </c>
      <c r="N488" s="1">
        <f t="shared" si="24"/>
        <v>30</v>
      </c>
    </row>
    <row r="489" spans="5:14" x14ac:dyDescent="0.25">
      <c r="E489">
        <v>1298</v>
      </c>
      <c r="F489" s="7">
        <v>45377</v>
      </c>
      <c r="G489">
        <f t="shared" si="22"/>
        <v>2024</v>
      </c>
      <c r="H489" s="7" t="str">
        <f t="shared" si="23"/>
        <v>Март</v>
      </c>
      <c r="I489" t="s">
        <v>7</v>
      </c>
      <c r="J489">
        <v>42</v>
      </c>
      <c r="K489" t="s">
        <v>10</v>
      </c>
      <c r="L489">
        <v>4</v>
      </c>
      <c r="M489">
        <v>187</v>
      </c>
      <c r="N489" s="1">
        <f t="shared" si="24"/>
        <v>748</v>
      </c>
    </row>
    <row r="490" spans="5:14" x14ac:dyDescent="0.25">
      <c r="E490">
        <v>1240</v>
      </c>
      <c r="F490" s="7">
        <v>45435</v>
      </c>
      <c r="G490">
        <f t="shared" si="22"/>
        <v>2024</v>
      </c>
      <c r="H490" s="7" t="str">
        <f t="shared" si="23"/>
        <v>Май</v>
      </c>
      <c r="I490" t="s">
        <v>9</v>
      </c>
      <c r="J490">
        <v>23</v>
      </c>
      <c r="K490" t="s">
        <v>11</v>
      </c>
      <c r="L490">
        <v>7</v>
      </c>
      <c r="M490">
        <v>268</v>
      </c>
      <c r="N490" s="1">
        <f t="shared" si="24"/>
        <v>1876</v>
      </c>
    </row>
    <row r="491" spans="5:14" x14ac:dyDescent="0.25">
      <c r="E491">
        <v>242</v>
      </c>
      <c r="F491" s="7">
        <v>45069</v>
      </c>
      <c r="G491">
        <f t="shared" si="22"/>
        <v>2023</v>
      </c>
      <c r="H491" s="7" t="str">
        <f t="shared" si="23"/>
        <v>Май</v>
      </c>
      <c r="I491" t="s">
        <v>9</v>
      </c>
      <c r="J491">
        <v>47</v>
      </c>
      <c r="K491" t="s">
        <v>11</v>
      </c>
      <c r="L491">
        <v>3</v>
      </c>
      <c r="M491">
        <v>300</v>
      </c>
      <c r="N491" s="1">
        <f t="shared" si="24"/>
        <v>900</v>
      </c>
    </row>
    <row r="492" spans="5:14" x14ac:dyDescent="0.25">
      <c r="E492">
        <v>572</v>
      </c>
      <c r="F492" s="7">
        <v>45188</v>
      </c>
      <c r="G492">
        <f t="shared" si="22"/>
        <v>2023</v>
      </c>
      <c r="H492" s="7" t="str">
        <f t="shared" si="23"/>
        <v>Сентябрь</v>
      </c>
      <c r="I492" t="s">
        <v>7</v>
      </c>
      <c r="J492">
        <v>49</v>
      </c>
      <c r="K492" t="s">
        <v>8</v>
      </c>
      <c r="L492">
        <v>2</v>
      </c>
      <c r="M492">
        <v>30</v>
      </c>
      <c r="N492" s="1">
        <f t="shared" si="24"/>
        <v>60</v>
      </c>
    </row>
    <row r="493" spans="5:14" x14ac:dyDescent="0.25">
      <c r="E493">
        <v>1309</v>
      </c>
      <c r="F493" s="7">
        <v>45542</v>
      </c>
      <c r="G493">
        <f t="shared" si="22"/>
        <v>2024</v>
      </c>
      <c r="H493" s="7" t="str">
        <f t="shared" si="23"/>
        <v>Сентябрь</v>
      </c>
      <c r="I493" t="s">
        <v>7</v>
      </c>
      <c r="J493">
        <v>61</v>
      </c>
      <c r="K493" t="s">
        <v>10</v>
      </c>
      <c r="L493">
        <v>3</v>
      </c>
      <c r="M493">
        <v>253</v>
      </c>
      <c r="N493" s="1">
        <f t="shared" si="24"/>
        <v>759</v>
      </c>
    </row>
    <row r="494" spans="5:14" x14ac:dyDescent="0.25">
      <c r="E494">
        <v>1673</v>
      </c>
      <c r="F494" s="7">
        <v>45592</v>
      </c>
      <c r="G494">
        <f t="shared" si="22"/>
        <v>2024</v>
      </c>
      <c r="H494" s="7" t="str">
        <f t="shared" si="23"/>
        <v>Октябрь</v>
      </c>
      <c r="I494" t="s">
        <v>9</v>
      </c>
      <c r="J494">
        <v>39</v>
      </c>
      <c r="K494" t="s">
        <v>8</v>
      </c>
      <c r="L494">
        <v>7</v>
      </c>
      <c r="M494">
        <v>255</v>
      </c>
      <c r="N494" s="1">
        <f t="shared" si="24"/>
        <v>1785</v>
      </c>
    </row>
    <row r="495" spans="5:14" x14ac:dyDescent="0.25">
      <c r="E495">
        <v>1341</v>
      </c>
      <c r="F495" s="7">
        <v>45312</v>
      </c>
      <c r="G495">
        <f t="shared" si="22"/>
        <v>2024</v>
      </c>
      <c r="H495" s="7" t="str">
        <f t="shared" si="23"/>
        <v>Январь</v>
      </c>
      <c r="I495" t="s">
        <v>9</v>
      </c>
      <c r="J495">
        <v>37</v>
      </c>
      <c r="K495" t="s">
        <v>8</v>
      </c>
      <c r="L495">
        <v>6</v>
      </c>
      <c r="M495">
        <v>370</v>
      </c>
      <c r="N495" s="1">
        <f t="shared" si="24"/>
        <v>2220</v>
      </c>
    </row>
    <row r="496" spans="5:14" x14ac:dyDescent="0.25">
      <c r="E496">
        <v>41</v>
      </c>
      <c r="F496" s="7">
        <v>44979</v>
      </c>
      <c r="G496">
        <f t="shared" si="22"/>
        <v>2023</v>
      </c>
      <c r="H496" s="7" t="str">
        <f t="shared" si="23"/>
        <v>Февраль</v>
      </c>
      <c r="I496" t="s">
        <v>7</v>
      </c>
      <c r="J496">
        <v>34</v>
      </c>
      <c r="K496" t="s">
        <v>10</v>
      </c>
      <c r="L496">
        <v>2</v>
      </c>
      <c r="M496">
        <v>25</v>
      </c>
      <c r="N496" s="1">
        <f t="shared" si="24"/>
        <v>50</v>
      </c>
    </row>
    <row r="497" spans="5:14" x14ac:dyDescent="0.25">
      <c r="E497">
        <v>1343</v>
      </c>
      <c r="F497" s="7">
        <v>45333</v>
      </c>
      <c r="G497">
        <f t="shared" si="22"/>
        <v>2024</v>
      </c>
      <c r="H497" s="7" t="str">
        <f t="shared" si="23"/>
        <v>Февраль</v>
      </c>
      <c r="I497" t="s">
        <v>7</v>
      </c>
      <c r="J497">
        <v>32</v>
      </c>
      <c r="K497" t="s">
        <v>10</v>
      </c>
      <c r="L497">
        <v>1</v>
      </c>
      <c r="M497">
        <v>311</v>
      </c>
      <c r="N497" s="1">
        <f t="shared" si="24"/>
        <v>311</v>
      </c>
    </row>
    <row r="498" spans="5:14" x14ac:dyDescent="0.25">
      <c r="E498">
        <v>1372</v>
      </c>
      <c r="F498" s="7">
        <v>45552</v>
      </c>
      <c r="G498">
        <f t="shared" si="22"/>
        <v>2024</v>
      </c>
      <c r="H498" s="7" t="str">
        <f t="shared" si="23"/>
        <v>Сентябрь</v>
      </c>
      <c r="I498" t="s">
        <v>7</v>
      </c>
      <c r="J498">
        <v>47</v>
      </c>
      <c r="K498" t="s">
        <v>10</v>
      </c>
      <c r="L498">
        <v>6</v>
      </c>
      <c r="M498">
        <v>121</v>
      </c>
      <c r="N498" s="1">
        <f t="shared" si="24"/>
        <v>726</v>
      </c>
    </row>
    <row r="499" spans="5:14" x14ac:dyDescent="0.25">
      <c r="E499">
        <v>218</v>
      </c>
      <c r="F499" s="7">
        <v>45158</v>
      </c>
      <c r="G499">
        <f t="shared" si="22"/>
        <v>2023</v>
      </c>
      <c r="H499" s="7" t="str">
        <f t="shared" si="23"/>
        <v>Август</v>
      </c>
      <c r="I499" t="s">
        <v>9</v>
      </c>
      <c r="J499">
        <v>53</v>
      </c>
      <c r="K499" t="s">
        <v>11</v>
      </c>
      <c r="L499">
        <v>3</v>
      </c>
      <c r="M499">
        <v>30</v>
      </c>
      <c r="N499" s="1">
        <f t="shared" si="24"/>
        <v>90</v>
      </c>
    </row>
    <row r="500" spans="5:14" x14ac:dyDescent="0.25">
      <c r="E500">
        <v>1435</v>
      </c>
      <c r="F500" s="7">
        <v>45310</v>
      </c>
      <c r="G500">
        <f t="shared" si="22"/>
        <v>2024</v>
      </c>
      <c r="H500" s="7" t="str">
        <f t="shared" si="23"/>
        <v>Январь</v>
      </c>
      <c r="I500" t="s">
        <v>9</v>
      </c>
      <c r="J500">
        <v>28</v>
      </c>
      <c r="K500" t="s">
        <v>10</v>
      </c>
      <c r="L500">
        <v>7</v>
      </c>
      <c r="M500">
        <v>231</v>
      </c>
      <c r="N500" s="1">
        <f t="shared" si="24"/>
        <v>1617</v>
      </c>
    </row>
    <row r="501" spans="5:14" x14ac:dyDescent="0.25">
      <c r="E501">
        <v>784</v>
      </c>
      <c r="F501" s="7">
        <v>45216</v>
      </c>
      <c r="G501">
        <f t="shared" si="22"/>
        <v>2023</v>
      </c>
      <c r="H501" s="7" t="str">
        <f t="shared" si="23"/>
        <v>Октябрь</v>
      </c>
      <c r="I501" t="s">
        <v>7</v>
      </c>
      <c r="J501">
        <v>48</v>
      </c>
      <c r="K501" t="s">
        <v>10</v>
      </c>
      <c r="L501">
        <v>4</v>
      </c>
      <c r="M501">
        <v>25</v>
      </c>
      <c r="N501" s="1">
        <f t="shared" si="24"/>
        <v>100</v>
      </c>
    </row>
    <row r="502" spans="5:14" x14ac:dyDescent="0.25">
      <c r="E502">
        <v>1377</v>
      </c>
      <c r="F502" s="7">
        <v>45418</v>
      </c>
      <c r="G502">
        <f t="shared" si="22"/>
        <v>2024</v>
      </c>
      <c r="H502" s="7" t="str">
        <f t="shared" si="23"/>
        <v>Май</v>
      </c>
      <c r="I502" t="s">
        <v>7</v>
      </c>
      <c r="J502">
        <v>43</v>
      </c>
      <c r="K502" t="s">
        <v>11</v>
      </c>
      <c r="L502">
        <v>3</v>
      </c>
      <c r="M502">
        <v>222</v>
      </c>
      <c r="N502" s="1">
        <f t="shared" si="24"/>
        <v>666</v>
      </c>
    </row>
    <row r="503" spans="5:14" x14ac:dyDescent="0.25">
      <c r="E503">
        <v>1977</v>
      </c>
      <c r="F503" s="7">
        <v>45523</v>
      </c>
      <c r="G503">
        <f t="shared" si="22"/>
        <v>2024</v>
      </c>
      <c r="H503" s="7" t="str">
        <f t="shared" si="23"/>
        <v>Август</v>
      </c>
      <c r="I503" t="s">
        <v>9</v>
      </c>
      <c r="J503">
        <v>26</v>
      </c>
      <c r="K503" t="s">
        <v>11</v>
      </c>
      <c r="L503">
        <v>5</v>
      </c>
      <c r="M503">
        <v>11</v>
      </c>
      <c r="N503" s="1">
        <f t="shared" si="24"/>
        <v>55</v>
      </c>
    </row>
    <row r="504" spans="5:14" x14ac:dyDescent="0.25">
      <c r="E504">
        <v>470</v>
      </c>
      <c r="F504" s="7">
        <v>45008</v>
      </c>
      <c r="G504">
        <f t="shared" si="22"/>
        <v>2023</v>
      </c>
      <c r="H504" s="7" t="str">
        <f t="shared" si="23"/>
        <v>Март</v>
      </c>
      <c r="I504" t="s">
        <v>7</v>
      </c>
      <c r="J504">
        <v>32</v>
      </c>
      <c r="K504" t="s">
        <v>10</v>
      </c>
      <c r="L504">
        <v>3</v>
      </c>
      <c r="M504">
        <v>50</v>
      </c>
      <c r="N504" s="1">
        <f t="shared" si="24"/>
        <v>150</v>
      </c>
    </row>
    <row r="505" spans="5:14" x14ac:dyDescent="0.25">
      <c r="E505">
        <v>1067</v>
      </c>
      <c r="F505" s="7">
        <v>45412</v>
      </c>
      <c r="G505">
        <f t="shared" si="22"/>
        <v>2024</v>
      </c>
      <c r="H505" s="7" t="str">
        <f t="shared" si="23"/>
        <v>Апрель</v>
      </c>
      <c r="I505" t="s">
        <v>9</v>
      </c>
      <c r="J505">
        <v>49</v>
      </c>
      <c r="K505" t="s">
        <v>8</v>
      </c>
      <c r="L505">
        <v>2</v>
      </c>
      <c r="M505">
        <v>448</v>
      </c>
      <c r="N505" s="1">
        <f t="shared" si="24"/>
        <v>896</v>
      </c>
    </row>
    <row r="506" spans="5:14" x14ac:dyDescent="0.25">
      <c r="E506">
        <v>94</v>
      </c>
      <c r="F506" s="7">
        <v>45065</v>
      </c>
      <c r="G506">
        <f t="shared" si="22"/>
        <v>2023</v>
      </c>
      <c r="H506" s="7" t="str">
        <f t="shared" si="23"/>
        <v>Май</v>
      </c>
      <c r="I506" t="s">
        <v>9</v>
      </c>
      <c r="J506">
        <v>47</v>
      </c>
      <c r="K506" t="s">
        <v>8</v>
      </c>
      <c r="L506">
        <v>2</v>
      </c>
      <c r="M506">
        <v>500</v>
      </c>
      <c r="N506" s="1">
        <f t="shared" si="24"/>
        <v>1000</v>
      </c>
    </row>
    <row r="507" spans="5:14" x14ac:dyDescent="0.25">
      <c r="E507">
        <v>1371</v>
      </c>
      <c r="F507" s="7">
        <v>45402</v>
      </c>
      <c r="G507">
        <f t="shared" si="22"/>
        <v>2024</v>
      </c>
      <c r="H507" s="7" t="str">
        <f t="shared" si="23"/>
        <v>Апрель</v>
      </c>
      <c r="I507" t="s">
        <v>9</v>
      </c>
      <c r="J507">
        <v>48</v>
      </c>
      <c r="K507" t="s">
        <v>8</v>
      </c>
      <c r="L507">
        <v>3</v>
      </c>
      <c r="M507">
        <v>469</v>
      </c>
      <c r="N507" s="1">
        <f t="shared" si="24"/>
        <v>1407</v>
      </c>
    </row>
    <row r="508" spans="5:14" x14ac:dyDescent="0.25">
      <c r="E508">
        <v>1938</v>
      </c>
      <c r="F508" s="7">
        <v>45369</v>
      </c>
      <c r="G508">
        <f t="shared" si="22"/>
        <v>2024</v>
      </c>
      <c r="H508" s="7" t="str">
        <f t="shared" si="23"/>
        <v>Март</v>
      </c>
      <c r="I508" t="s">
        <v>7</v>
      </c>
      <c r="J508">
        <v>31</v>
      </c>
      <c r="K508" t="s">
        <v>10</v>
      </c>
      <c r="L508">
        <v>2</v>
      </c>
      <c r="M508">
        <v>485</v>
      </c>
      <c r="N508" s="1">
        <f t="shared" si="24"/>
        <v>970</v>
      </c>
    </row>
    <row r="509" spans="5:14" x14ac:dyDescent="0.25">
      <c r="E509">
        <v>1696</v>
      </c>
      <c r="F509" s="7">
        <v>45635</v>
      </c>
      <c r="G509">
        <f t="shared" si="22"/>
        <v>2024</v>
      </c>
      <c r="H509" s="7" t="str">
        <f t="shared" si="23"/>
        <v>Декабрь</v>
      </c>
      <c r="I509" t="s">
        <v>7</v>
      </c>
      <c r="J509">
        <v>20</v>
      </c>
      <c r="K509" t="s">
        <v>11</v>
      </c>
      <c r="L509">
        <v>6</v>
      </c>
      <c r="M509">
        <v>435</v>
      </c>
      <c r="N509" s="1">
        <f t="shared" si="24"/>
        <v>2610</v>
      </c>
    </row>
    <row r="510" spans="5:14" x14ac:dyDescent="0.25">
      <c r="E510">
        <v>981</v>
      </c>
      <c r="F510" s="7">
        <v>45231</v>
      </c>
      <c r="G510">
        <f t="shared" si="22"/>
        <v>2023</v>
      </c>
      <c r="H510" s="7" t="str">
        <f t="shared" si="23"/>
        <v>Ноябрь</v>
      </c>
      <c r="I510" t="s">
        <v>9</v>
      </c>
      <c r="J510">
        <v>29</v>
      </c>
      <c r="K510" t="s">
        <v>10</v>
      </c>
      <c r="L510">
        <v>1</v>
      </c>
      <c r="M510">
        <v>300</v>
      </c>
      <c r="N510" s="1">
        <f t="shared" si="24"/>
        <v>300</v>
      </c>
    </row>
    <row r="511" spans="5:14" x14ac:dyDescent="0.25">
      <c r="E511">
        <v>244</v>
      </c>
      <c r="F511" s="7">
        <v>45175</v>
      </c>
      <c r="G511">
        <f t="shared" si="22"/>
        <v>2023</v>
      </c>
      <c r="H511" s="7" t="str">
        <f t="shared" si="23"/>
        <v>Сентябрь</v>
      </c>
      <c r="I511" t="s">
        <v>7</v>
      </c>
      <c r="J511">
        <v>47</v>
      </c>
      <c r="K511" t="s">
        <v>10</v>
      </c>
      <c r="L511">
        <v>3</v>
      </c>
      <c r="M511">
        <v>30</v>
      </c>
      <c r="N511" s="1">
        <f t="shared" si="24"/>
        <v>90</v>
      </c>
    </row>
    <row r="512" spans="5:14" x14ac:dyDescent="0.25">
      <c r="E512">
        <v>1852</v>
      </c>
      <c r="F512" s="7">
        <v>45623</v>
      </c>
      <c r="G512">
        <f t="shared" si="22"/>
        <v>2024</v>
      </c>
      <c r="H512" s="7" t="str">
        <f t="shared" si="23"/>
        <v>Ноябрь</v>
      </c>
      <c r="I512" t="s">
        <v>7</v>
      </c>
      <c r="J512">
        <v>26</v>
      </c>
      <c r="K512" t="s">
        <v>11</v>
      </c>
      <c r="L512">
        <v>1</v>
      </c>
      <c r="M512">
        <v>378</v>
      </c>
      <c r="N512" s="1">
        <f t="shared" si="24"/>
        <v>378</v>
      </c>
    </row>
    <row r="513" spans="5:14" x14ac:dyDescent="0.25">
      <c r="E513">
        <v>678</v>
      </c>
      <c r="F513" s="7">
        <v>45221</v>
      </c>
      <c r="G513">
        <f t="shared" si="22"/>
        <v>2023</v>
      </c>
      <c r="H513" s="7" t="str">
        <f t="shared" si="23"/>
        <v>Октябрь</v>
      </c>
      <c r="I513" t="s">
        <v>9</v>
      </c>
      <c r="J513">
        <v>53</v>
      </c>
      <c r="K513" t="s">
        <v>10</v>
      </c>
      <c r="L513">
        <v>3</v>
      </c>
      <c r="M513">
        <v>300</v>
      </c>
      <c r="N513" s="1">
        <f t="shared" si="24"/>
        <v>900</v>
      </c>
    </row>
    <row r="514" spans="5:14" x14ac:dyDescent="0.25">
      <c r="E514">
        <v>60</v>
      </c>
      <c r="F514" s="7">
        <v>45222</v>
      </c>
      <c r="G514">
        <f t="shared" si="22"/>
        <v>2023</v>
      </c>
      <c r="H514" s="7" t="str">
        <f t="shared" si="23"/>
        <v>Октябрь</v>
      </c>
      <c r="I514" t="s">
        <v>7</v>
      </c>
      <c r="J514">
        <v>30</v>
      </c>
      <c r="K514" t="s">
        <v>8</v>
      </c>
      <c r="L514">
        <v>3</v>
      </c>
      <c r="M514">
        <v>50</v>
      </c>
      <c r="N514" s="1">
        <f t="shared" si="24"/>
        <v>150</v>
      </c>
    </row>
    <row r="515" spans="5:14" x14ac:dyDescent="0.25">
      <c r="E515">
        <v>1820</v>
      </c>
      <c r="F515" s="7">
        <v>45417</v>
      </c>
      <c r="G515">
        <f t="shared" si="22"/>
        <v>2024</v>
      </c>
      <c r="H515" s="7" t="str">
        <f t="shared" si="23"/>
        <v>Май</v>
      </c>
      <c r="I515" t="s">
        <v>7</v>
      </c>
      <c r="J515">
        <v>22</v>
      </c>
      <c r="K515" t="s">
        <v>10</v>
      </c>
      <c r="L515">
        <v>4</v>
      </c>
      <c r="M515">
        <v>101</v>
      </c>
      <c r="N515" s="1">
        <f t="shared" si="24"/>
        <v>404</v>
      </c>
    </row>
    <row r="516" spans="5:14" x14ac:dyDescent="0.25">
      <c r="E516">
        <v>519</v>
      </c>
      <c r="F516" s="7">
        <v>45289</v>
      </c>
      <c r="G516">
        <f t="shared" si="22"/>
        <v>2023</v>
      </c>
      <c r="H516" s="7" t="str">
        <f t="shared" si="23"/>
        <v>Декабрь</v>
      </c>
      <c r="I516" t="s">
        <v>9</v>
      </c>
      <c r="J516">
        <v>49</v>
      </c>
      <c r="K516" t="s">
        <v>11</v>
      </c>
      <c r="L516">
        <v>4</v>
      </c>
      <c r="M516">
        <v>25</v>
      </c>
      <c r="N516" s="1">
        <f t="shared" si="24"/>
        <v>100</v>
      </c>
    </row>
    <row r="517" spans="5:14" x14ac:dyDescent="0.25">
      <c r="E517">
        <v>1795</v>
      </c>
      <c r="F517" s="7">
        <v>45543</v>
      </c>
      <c r="G517">
        <f t="shared" si="22"/>
        <v>2024</v>
      </c>
      <c r="H517" s="7" t="str">
        <f t="shared" si="23"/>
        <v>Сентябрь</v>
      </c>
      <c r="I517" t="s">
        <v>7</v>
      </c>
      <c r="J517">
        <v>25</v>
      </c>
      <c r="K517" t="s">
        <v>11</v>
      </c>
      <c r="L517">
        <v>1</v>
      </c>
      <c r="M517">
        <v>273</v>
      </c>
      <c r="N517" s="1">
        <f t="shared" si="24"/>
        <v>273</v>
      </c>
    </row>
    <row r="518" spans="5:14" x14ac:dyDescent="0.25">
      <c r="E518">
        <v>809</v>
      </c>
      <c r="F518" s="7">
        <v>45065</v>
      </c>
      <c r="G518">
        <f t="shared" si="22"/>
        <v>2023</v>
      </c>
      <c r="H518" s="7" t="str">
        <f t="shared" si="23"/>
        <v>Май</v>
      </c>
      <c r="I518" t="s">
        <v>7</v>
      </c>
      <c r="J518">
        <v>61</v>
      </c>
      <c r="K518" t="s">
        <v>8</v>
      </c>
      <c r="L518">
        <v>2</v>
      </c>
      <c r="M518">
        <v>25</v>
      </c>
      <c r="N518" s="1">
        <f t="shared" si="24"/>
        <v>50</v>
      </c>
    </row>
    <row r="519" spans="5:14" x14ac:dyDescent="0.25">
      <c r="E519">
        <v>941</v>
      </c>
      <c r="F519" s="7">
        <v>45215</v>
      </c>
      <c r="G519">
        <f t="shared" si="22"/>
        <v>2023</v>
      </c>
      <c r="H519" s="7" t="str">
        <f t="shared" si="23"/>
        <v>Октябрь</v>
      </c>
      <c r="I519" t="s">
        <v>9</v>
      </c>
      <c r="J519">
        <v>57</v>
      </c>
      <c r="K519" t="s">
        <v>10</v>
      </c>
      <c r="L519">
        <v>4</v>
      </c>
      <c r="M519">
        <v>300</v>
      </c>
      <c r="N519" s="1">
        <f t="shared" si="24"/>
        <v>1200</v>
      </c>
    </row>
    <row r="520" spans="5:14" x14ac:dyDescent="0.25">
      <c r="E520">
        <v>1483</v>
      </c>
      <c r="F520" s="7">
        <v>45391</v>
      </c>
      <c r="G520">
        <f t="shared" si="22"/>
        <v>2024</v>
      </c>
      <c r="H520" s="7" t="str">
        <f t="shared" si="23"/>
        <v>Апрель</v>
      </c>
      <c r="I520" t="s">
        <v>9</v>
      </c>
      <c r="J520">
        <v>55</v>
      </c>
      <c r="K520" t="s">
        <v>11</v>
      </c>
      <c r="L520">
        <v>7</v>
      </c>
      <c r="M520">
        <v>243</v>
      </c>
      <c r="N520" s="1">
        <f t="shared" si="24"/>
        <v>1701</v>
      </c>
    </row>
    <row r="521" spans="5:14" x14ac:dyDescent="0.25">
      <c r="E521">
        <v>1319</v>
      </c>
      <c r="F521" s="7">
        <v>45321</v>
      </c>
      <c r="G521">
        <f t="shared" si="22"/>
        <v>2024</v>
      </c>
      <c r="H521" s="7" t="str">
        <f t="shared" si="23"/>
        <v>Январь</v>
      </c>
      <c r="I521" t="s">
        <v>7</v>
      </c>
      <c r="J521">
        <v>46</v>
      </c>
      <c r="K521" t="s">
        <v>11</v>
      </c>
      <c r="L521">
        <v>3</v>
      </c>
      <c r="M521">
        <v>88</v>
      </c>
      <c r="N521" s="1">
        <f t="shared" si="24"/>
        <v>264</v>
      </c>
    </row>
    <row r="522" spans="5:14" x14ac:dyDescent="0.25">
      <c r="E522">
        <v>1792</v>
      </c>
      <c r="F522" s="7">
        <v>45467</v>
      </c>
      <c r="G522">
        <f t="shared" ref="G522:G585" si="25">YEAR(F522)</f>
        <v>2024</v>
      </c>
      <c r="H522" s="7" t="str">
        <f t="shared" ref="H522:H585" si="26">TEXT(F522,"ММММ")</f>
        <v>Июнь</v>
      </c>
      <c r="I522" t="s">
        <v>7</v>
      </c>
      <c r="J522">
        <v>47</v>
      </c>
      <c r="K522" t="s">
        <v>8</v>
      </c>
      <c r="L522">
        <v>2</v>
      </c>
      <c r="M522">
        <v>340</v>
      </c>
      <c r="N522" s="1">
        <f t="shared" ref="N522:N585" si="27">L522*M522</f>
        <v>680</v>
      </c>
    </row>
    <row r="523" spans="5:14" x14ac:dyDescent="0.25">
      <c r="E523">
        <v>1125</v>
      </c>
      <c r="F523" s="7">
        <v>45497</v>
      </c>
      <c r="G523">
        <f t="shared" si="25"/>
        <v>2024</v>
      </c>
      <c r="H523" s="7" t="str">
        <f t="shared" si="26"/>
        <v>Июль</v>
      </c>
      <c r="I523" t="s">
        <v>9</v>
      </c>
      <c r="J523">
        <v>34</v>
      </c>
      <c r="K523" t="s">
        <v>10</v>
      </c>
      <c r="L523">
        <v>7</v>
      </c>
      <c r="M523">
        <v>466</v>
      </c>
      <c r="N523" s="1">
        <f t="shared" si="27"/>
        <v>3262</v>
      </c>
    </row>
    <row r="524" spans="5:14" x14ac:dyDescent="0.25">
      <c r="E524">
        <v>1382</v>
      </c>
      <c r="F524" s="7">
        <v>45571</v>
      </c>
      <c r="G524">
        <f t="shared" si="25"/>
        <v>2024</v>
      </c>
      <c r="H524" s="7" t="str">
        <f t="shared" si="26"/>
        <v>Октябрь</v>
      </c>
      <c r="I524" t="s">
        <v>7</v>
      </c>
      <c r="J524">
        <v>19</v>
      </c>
      <c r="K524" t="s">
        <v>11</v>
      </c>
      <c r="L524">
        <v>1</v>
      </c>
      <c r="M524">
        <v>366</v>
      </c>
      <c r="N524" s="1">
        <f t="shared" si="27"/>
        <v>366</v>
      </c>
    </row>
    <row r="525" spans="5:14" x14ac:dyDescent="0.25">
      <c r="E525">
        <v>1203</v>
      </c>
      <c r="F525" s="7">
        <v>45603</v>
      </c>
      <c r="G525">
        <f t="shared" si="25"/>
        <v>2024</v>
      </c>
      <c r="H525" s="7" t="str">
        <f t="shared" si="26"/>
        <v>Ноябрь</v>
      </c>
      <c r="I525" t="s">
        <v>9</v>
      </c>
      <c r="J525">
        <v>55</v>
      </c>
      <c r="K525" t="s">
        <v>10</v>
      </c>
      <c r="L525">
        <v>1</v>
      </c>
      <c r="M525">
        <v>238</v>
      </c>
      <c r="N525" s="1">
        <f t="shared" si="27"/>
        <v>238</v>
      </c>
    </row>
    <row r="526" spans="5:14" x14ac:dyDescent="0.25">
      <c r="E526">
        <v>562</v>
      </c>
      <c r="F526" s="7">
        <v>45147</v>
      </c>
      <c r="G526">
        <f t="shared" si="25"/>
        <v>2023</v>
      </c>
      <c r="H526" s="7" t="str">
        <f t="shared" si="26"/>
        <v>Август</v>
      </c>
      <c r="I526" t="s">
        <v>7</v>
      </c>
      <c r="J526">
        <v>20</v>
      </c>
      <c r="K526" t="s">
        <v>10</v>
      </c>
      <c r="L526">
        <v>2</v>
      </c>
      <c r="M526">
        <v>30</v>
      </c>
      <c r="N526" s="1">
        <f t="shared" si="27"/>
        <v>60</v>
      </c>
    </row>
    <row r="527" spans="5:14" x14ac:dyDescent="0.25">
      <c r="E527">
        <v>852</v>
      </c>
      <c r="F527" s="7">
        <v>45280</v>
      </c>
      <c r="G527">
        <f t="shared" si="25"/>
        <v>2023</v>
      </c>
      <c r="H527" s="7" t="str">
        <f t="shared" si="26"/>
        <v>Декабрь</v>
      </c>
      <c r="I527" t="s">
        <v>7</v>
      </c>
      <c r="J527">
        <v>29</v>
      </c>
      <c r="K527" t="s">
        <v>10</v>
      </c>
      <c r="L527">
        <v>1</v>
      </c>
      <c r="M527">
        <v>50</v>
      </c>
      <c r="N527" s="1">
        <f t="shared" si="27"/>
        <v>50</v>
      </c>
    </row>
    <row r="528" spans="5:14" x14ac:dyDescent="0.25">
      <c r="E528">
        <v>1897</v>
      </c>
      <c r="F528" s="7">
        <v>45392</v>
      </c>
      <c r="G528">
        <f t="shared" si="25"/>
        <v>2024</v>
      </c>
      <c r="H528" s="7" t="str">
        <f t="shared" si="26"/>
        <v>Апрель</v>
      </c>
      <c r="I528" t="s">
        <v>7</v>
      </c>
      <c r="J528">
        <v>55</v>
      </c>
      <c r="K528" t="s">
        <v>11</v>
      </c>
      <c r="L528">
        <v>4</v>
      </c>
      <c r="M528">
        <v>286</v>
      </c>
      <c r="N528" s="1">
        <f t="shared" si="27"/>
        <v>1144</v>
      </c>
    </row>
    <row r="529" spans="5:14" x14ac:dyDescent="0.25">
      <c r="E529">
        <v>1362</v>
      </c>
      <c r="F529" s="7">
        <v>45454</v>
      </c>
      <c r="G529">
        <f t="shared" si="25"/>
        <v>2024</v>
      </c>
      <c r="H529" s="7" t="str">
        <f t="shared" si="26"/>
        <v>Июнь</v>
      </c>
      <c r="I529" t="s">
        <v>7</v>
      </c>
      <c r="J529">
        <v>51</v>
      </c>
      <c r="K529" t="s">
        <v>10</v>
      </c>
      <c r="L529">
        <v>5</v>
      </c>
      <c r="M529">
        <v>406</v>
      </c>
      <c r="N529" s="1">
        <f t="shared" si="27"/>
        <v>2030</v>
      </c>
    </row>
    <row r="530" spans="5:14" x14ac:dyDescent="0.25">
      <c r="E530">
        <v>556</v>
      </c>
      <c r="F530" s="7">
        <v>45134</v>
      </c>
      <c r="G530">
        <f t="shared" si="25"/>
        <v>2023</v>
      </c>
      <c r="H530" s="7" t="str">
        <f t="shared" si="26"/>
        <v>Июль</v>
      </c>
      <c r="I530" t="s">
        <v>9</v>
      </c>
      <c r="J530">
        <v>20</v>
      </c>
      <c r="K530" t="s">
        <v>8</v>
      </c>
      <c r="L530">
        <v>3</v>
      </c>
      <c r="M530">
        <v>30</v>
      </c>
      <c r="N530" s="1">
        <f t="shared" si="27"/>
        <v>90</v>
      </c>
    </row>
    <row r="531" spans="5:14" x14ac:dyDescent="0.25">
      <c r="E531">
        <v>1961</v>
      </c>
      <c r="F531" s="7">
        <v>45605</v>
      </c>
      <c r="G531">
        <f t="shared" si="25"/>
        <v>2024</v>
      </c>
      <c r="H531" s="7" t="str">
        <f t="shared" si="26"/>
        <v>Ноябрь</v>
      </c>
      <c r="I531" t="s">
        <v>7</v>
      </c>
      <c r="J531">
        <v>34</v>
      </c>
      <c r="K531" t="s">
        <v>10</v>
      </c>
      <c r="L531">
        <v>7</v>
      </c>
      <c r="M531">
        <v>496</v>
      </c>
      <c r="N531" s="1">
        <f t="shared" si="27"/>
        <v>3472</v>
      </c>
    </row>
    <row r="532" spans="5:14" x14ac:dyDescent="0.25">
      <c r="E532">
        <v>258</v>
      </c>
      <c r="F532" s="7">
        <v>45147</v>
      </c>
      <c r="G532">
        <f t="shared" si="25"/>
        <v>2023</v>
      </c>
      <c r="H532" s="7" t="str">
        <f t="shared" si="26"/>
        <v>Август</v>
      </c>
      <c r="I532" t="s">
        <v>9</v>
      </c>
      <c r="J532">
        <v>45</v>
      </c>
      <c r="K532" t="s">
        <v>10</v>
      </c>
      <c r="L532">
        <v>4</v>
      </c>
      <c r="M532">
        <v>50</v>
      </c>
      <c r="N532" s="1">
        <f t="shared" si="27"/>
        <v>200</v>
      </c>
    </row>
    <row r="533" spans="5:14" x14ac:dyDescent="0.25">
      <c r="E533">
        <v>988</v>
      </c>
      <c r="F533" s="7">
        <v>45071</v>
      </c>
      <c r="G533">
        <f t="shared" si="25"/>
        <v>2023</v>
      </c>
      <c r="H533" s="7" t="str">
        <f t="shared" si="26"/>
        <v>Май</v>
      </c>
      <c r="I533" t="s">
        <v>9</v>
      </c>
      <c r="J533">
        <v>58</v>
      </c>
      <c r="K533" t="s">
        <v>8</v>
      </c>
      <c r="L533">
        <v>2</v>
      </c>
      <c r="M533">
        <v>500</v>
      </c>
      <c r="N533" s="1">
        <f t="shared" si="27"/>
        <v>1000</v>
      </c>
    </row>
    <row r="534" spans="5:14" x14ac:dyDescent="0.25">
      <c r="E534">
        <v>1671</v>
      </c>
      <c r="F534" s="7">
        <v>45508</v>
      </c>
      <c r="G534">
        <f t="shared" si="25"/>
        <v>2024</v>
      </c>
      <c r="H534" s="7" t="str">
        <f t="shared" si="26"/>
        <v>Август</v>
      </c>
      <c r="I534" t="s">
        <v>9</v>
      </c>
      <c r="J534">
        <v>20</v>
      </c>
      <c r="K534" t="s">
        <v>10</v>
      </c>
      <c r="L534">
        <v>6</v>
      </c>
      <c r="M534">
        <v>93</v>
      </c>
      <c r="N534" s="1">
        <f t="shared" si="27"/>
        <v>558</v>
      </c>
    </row>
    <row r="535" spans="5:14" x14ac:dyDescent="0.25">
      <c r="E535">
        <v>1633</v>
      </c>
      <c r="F535" s="7">
        <v>45374</v>
      </c>
      <c r="G535">
        <f t="shared" si="25"/>
        <v>2024</v>
      </c>
      <c r="H535" s="7" t="str">
        <f t="shared" si="26"/>
        <v>Март</v>
      </c>
      <c r="I535" t="s">
        <v>9</v>
      </c>
      <c r="J535">
        <v>56</v>
      </c>
      <c r="K535" t="s">
        <v>8</v>
      </c>
      <c r="L535">
        <v>2</v>
      </c>
      <c r="M535">
        <v>384</v>
      </c>
      <c r="N535" s="1">
        <f t="shared" si="27"/>
        <v>768</v>
      </c>
    </row>
    <row r="536" spans="5:14" x14ac:dyDescent="0.25">
      <c r="E536">
        <v>308</v>
      </c>
      <c r="F536" s="7">
        <v>45283</v>
      </c>
      <c r="G536">
        <f t="shared" si="25"/>
        <v>2023</v>
      </c>
      <c r="H536" s="7" t="str">
        <f t="shared" si="26"/>
        <v>Декабрь</v>
      </c>
      <c r="I536" t="s">
        <v>9</v>
      </c>
      <c r="J536">
        <v>26</v>
      </c>
      <c r="K536" t="s">
        <v>8</v>
      </c>
      <c r="L536">
        <v>1</v>
      </c>
      <c r="M536">
        <v>25</v>
      </c>
      <c r="N536" s="1">
        <f t="shared" si="27"/>
        <v>25</v>
      </c>
    </row>
    <row r="537" spans="5:14" x14ac:dyDescent="0.25">
      <c r="E537">
        <v>681</v>
      </c>
      <c r="F537" s="7">
        <v>44930</v>
      </c>
      <c r="G537">
        <f t="shared" si="25"/>
        <v>2023</v>
      </c>
      <c r="H537" s="7" t="str">
        <f t="shared" si="26"/>
        <v>Январь</v>
      </c>
      <c r="I537" t="s">
        <v>7</v>
      </c>
      <c r="J537">
        <v>38</v>
      </c>
      <c r="K537" t="s">
        <v>8</v>
      </c>
      <c r="L537">
        <v>2</v>
      </c>
      <c r="M537">
        <v>500</v>
      </c>
      <c r="N537" s="1">
        <f t="shared" si="27"/>
        <v>1000</v>
      </c>
    </row>
    <row r="538" spans="5:14" x14ac:dyDescent="0.25">
      <c r="E538">
        <v>1570</v>
      </c>
      <c r="F538" s="7">
        <v>45554</v>
      </c>
      <c r="G538">
        <f t="shared" si="25"/>
        <v>2024</v>
      </c>
      <c r="H538" s="7" t="str">
        <f t="shared" si="26"/>
        <v>Сентябрь</v>
      </c>
      <c r="I538" t="s">
        <v>7</v>
      </c>
      <c r="J538">
        <v>23</v>
      </c>
      <c r="K538" t="s">
        <v>8</v>
      </c>
      <c r="L538">
        <v>4</v>
      </c>
      <c r="M538">
        <v>403</v>
      </c>
      <c r="N538" s="1">
        <f t="shared" si="27"/>
        <v>1612</v>
      </c>
    </row>
    <row r="539" spans="5:14" x14ac:dyDescent="0.25">
      <c r="E539">
        <v>1810</v>
      </c>
      <c r="F539" s="7">
        <v>45540</v>
      </c>
      <c r="G539">
        <f t="shared" si="25"/>
        <v>2024</v>
      </c>
      <c r="H539" s="7" t="str">
        <f t="shared" si="26"/>
        <v>Сентябрь</v>
      </c>
      <c r="I539" t="s">
        <v>9</v>
      </c>
      <c r="J539">
        <v>55</v>
      </c>
      <c r="K539" t="s">
        <v>10</v>
      </c>
      <c r="L539">
        <v>2</v>
      </c>
      <c r="M539">
        <v>113</v>
      </c>
      <c r="N539" s="1">
        <f t="shared" si="27"/>
        <v>226</v>
      </c>
    </row>
    <row r="540" spans="5:14" x14ac:dyDescent="0.25">
      <c r="E540">
        <v>897</v>
      </c>
      <c r="F540" s="7">
        <v>45071</v>
      </c>
      <c r="G540">
        <f t="shared" si="25"/>
        <v>2023</v>
      </c>
      <c r="H540" s="7" t="str">
        <f t="shared" si="26"/>
        <v>Май</v>
      </c>
      <c r="I540" t="s">
        <v>7</v>
      </c>
      <c r="J540">
        <v>26</v>
      </c>
      <c r="K540" t="s">
        <v>10</v>
      </c>
      <c r="L540">
        <v>2</v>
      </c>
      <c r="M540">
        <v>300</v>
      </c>
      <c r="N540" s="1">
        <f t="shared" si="27"/>
        <v>600</v>
      </c>
    </row>
    <row r="541" spans="5:14" x14ac:dyDescent="0.25">
      <c r="E541">
        <v>1044</v>
      </c>
      <c r="F541" s="7">
        <v>45469</v>
      </c>
      <c r="G541">
        <f t="shared" si="25"/>
        <v>2024</v>
      </c>
      <c r="H541" s="7" t="str">
        <f t="shared" si="26"/>
        <v>Июнь</v>
      </c>
      <c r="I541" t="s">
        <v>9</v>
      </c>
      <c r="J541">
        <v>34</v>
      </c>
      <c r="K541" t="s">
        <v>11</v>
      </c>
      <c r="L541">
        <v>7</v>
      </c>
      <c r="M541">
        <v>370</v>
      </c>
      <c r="N541" s="1">
        <f t="shared" si="27"/>
        <v>2590</v>
      </c>
    </row>
    <row r="542" spans="5:14" x14ac:dyDescent="0.25">
      <c r="E542">
        <v>953</v>
      </c>
      <c r="F542" s="7">
        <v>45121</v>
      </c>
      <c r="G542">
        <f t="shared" si="25"/>
        <v>2023</v>
      </c>
      <c r="H542" s="7" t="str">
        <f t="shared" si="26"/>
        <v>Июль</v>
      </c>
      <c r="I542" t="s">
        <v>7</v>
      </c>
      <c r="J542">
        <v>58</v>
      </c>
      <c r="K542" t="s">
        <v>10</v>
      </c>
      <c r="L542">
        <v>1</v>
      </c>
      <c r="M542">
        <v>25</v>
      </c>
      <c r="N542" s="1">
        <f t="shared" si="27"/>
        <v>25</v>
      </c>
    </row>
    <row r="543" spans="5:14" x14ac:dyDescent="0.25">
      <c r="E543">
        <v>787</v>
      </c>
      <c r="F543" s="7">
        <v>45199</v>
      </c>
      <c r="G543">
        <f t="shared" si="25"/>
        <v>2023</v>
      </c>
      <c r="H543" s="7" t="str">
        <f t="shared" si="26"/>
        <v>Сентябрь</v>
      </c>
      <c r="I543" t="s">
        <v>9</v>
      </c>
      <c r="J543">
        <v>61</v>
      </c>
      <c r="K543" t="s">
        <v>10</v>
      </c>
      <c r="L543">
        <v>4</v>
      </c>
      <c r="M543">
        <v>500</v>
      </c>
      <c r="N543" s="1">
        <f t="shared" si="27"/>
        <v>2000</v>
      </c>
    </row>
    <row r="544" spans="5:14" x14ac:dyDescent="0.25">
      <c r="E544">
        <v>1895</v>
      </c>
      <c r="F544" s="7">
        <v>45437</v>
      </c>
      <c r="G544">
        <f t="shared" si="25"/>
        <v>2024</v>
      </c>
      <c r="H544" s="7" t="str">
        <f t="shared" si="26"/>
        <v>Май</v>
      </c>
      <c r="I544" t="s">
        <v>7</v>
      </c>
      <c r="J544">
        <v>25</v>
      </c>
      <c r="K544" t="s">
        <v>10</v>
      </c>
      <c r="L544">
        <v>4</v>
      </c>
      <c r="M544">
        <v>473</v>
      </c>
      <c r="N544" s="1">
        <f t="shared" si="27"/>
        <v>1892</v>
      </c>
    </row>
    <row r="545" spans="5:14" x14ac:dyDescent="0.25">
      <c r="E545">
        <v>573</v>
      </c>
      <c r="F545" s="7">
        <v>45169</v>
      </c>
      <c r="G545">
        <f t="shared" si="25"/>
        <v>2023</v>
      </c>
      <c r="H545" s="7" t="str">
        <f t="shared" si="26"/>
        <v>Август</v>
      </c>
      <c r="I545" t="s">
        <v>9</v>
      </c>
      <c r="J545">
        <v>63</v>
      </c>
      <c r="K545" t="s">
        <v>11</v>
      </c>
      <c r="L545">
        <v>2</v>
      </c>
      <c r="M545">
        <v>25</v>
      </c>
      <c r="N545" s="1">
        <f t="shared" si="27"/>
        <v>50</v>
      </c>
    </row>
    <row r="546" spans="5:14" x14ac:dyDescent="0.25">
      <c r="E546">
        <v>887</v>
      </c>
      <c r="F546" s="7">
        <v>45201</v>
      </c>
      <c r="G546">
        <f t="shared" si="25"/>
        <v>2023</v>
      </c>
      <c r="H546" s="7" t="str">
        <f t="shared" si="26"/>
        <v>Октябрь</v>
      </c>
      <c r="I546" t="s">
        <v>9</v>
      </c>
      <c r="J546">
        <v>35</v>
      </c>
      <c r="K546" t="s">
        <v>11</v>
      </c>
      <c r="L546">
        <v>1</v>
      </c>
      <c r="M546">
        <v>50</v>
      </c>
      <c r="N546" s="1">
        <f t="shared" si="27"/>
        <v>50</v>
      </c>
    </row>
    <row r="547" spans="5:14" x14ac:dyDescent="0.25">
      <c r="E547">
        <v>1246</v>
      </c>
      <c r="F547" s="7">
        <v>45585</v>
      </c>
      <c r="G547">
        <f t="shared" si="25"/>
        <v>2024</v>
      </c>
      <c r="H547" s="7" t="str">
        <f t="shared" si="26"/>
        <v>Октябрь</v>
      </c>
      <c r="I547" t="s">
        <v>7</v>
      </c>
      <c r="J547">
        <v>63</v>
      </c>
      <c r="K547" t="s">
        <v>10</v>
      </c>
      <c r="L547">
        <v>5</v>
      </c>
      <c r="M547">
        <v>38</v>
      </c>
      <c r="N547" s="1">
        <f t="shared" si="27"/>
        <v>190</v>
      </c>
    </row>
    <row r="548" spans="5:14" x14ac:dyDescent="0.25">
      <c r="E548">
        <v>1422</v>
      </c>
      <c r="F548" s="7">
        <v>45427</v>
      </c>
      <c r="G548">
        <f t="shared" si="25"/>
        <v>2024</v>
      </c>
      <c r="H548" s="7" t="str">
        <f t="shared" si="26"/>
        <v>Май</v>
      </c>
      <c r="I548" t="s">
        <v>9</v>
      </c>
      <c r="J548">
        <v>42</v>
      </c>
      <c r="K548" t="s">
        <v>11</v>
      </c>
      <c r="L548">
        <v>2</v>
      </c>
      <c r="M548">
        <v>446</v>
      </c>
      <c r="N548" s="1">
        <f t="shared" si="27"/>
        <v>892</v>
      </c>
    </row>
    <row r="549" spans="5:14" x14ac:dyDescent="0.25">
      <c r="E549">
        <v>1153</v>
      </c>
      <c r="F549" s="7">
        <v>45429</v>
      </c>
      <c r="G549">
        <f t="shared" si="25"/>
        <v>2024</v>
      </c>
      <c r="H549" s="7" t="str">
        <f t="shared" si="26"/>
        <v>Май</v>
      </c>
      <c r="I549" t="s">
        <v>7</v>
      </c>
      <c r="J549">
        <v>19</v>
      </c>
      <c r="K549" t="s">
        <v>11</v>
      </c>
      <c r="L549">
        <v>1</v>
      </c>
      <c r="M549">
        <v>28</v>
      </c>
      <c r="N549" s="1">
        <f t="shared" si="27"/>
        <v>28</v>
      </c>
    </row>
    <row r="550" spans="5:14" x14ac:dyDescent="0.25">
      <c r="E550">
        <v>268</v>
      </c>
      <c r="F550" s="7">
        <v>44958</v>
      </c>
      <c r="G550">
        <f t="shared" si="25"/>
        <v>2023</v>
      </c>
      <c r="H550" s="7" t="str">
        <f t="shared" si="26"/>
        <v>Февраль</v>
      </c>
      <c r="I550" t="s">
        <v>7</v>
      </c>
      <c r="J550">
        <v>25</v>
      </c>
      <c r="K550" t="s">
        <v>10</v>
      </c>
      <c r="L550">
        <v>4</v>
      </c>
      <c r="M550">
        <v>500</v>
      </c>
      <c r="N550" s="1">
        <f t="shared" si="27"/>
        <v>2000</v>
      </c>
    </row>
    <row r="551" spans="5:14" x14ac:dyDescent="0.25">
      <c r="E551">
        <v>939</v>
      </c>
      <c r="F551" s="7">
        <v>45004</v>
      </c>
      <c r="G551">
        <f t="shared" si="25"/>
        <v>2023</v>
      </c>
      <c r="H551" s="7" t="str">
        <f t="shared" si="26"/>
        <v>Март</v>
      </c>
      <c r="I551" t="s">
        <v>9</v>
      </c>
      <c r="J551">
        <v>57</v>
      </c>
      <c r="K551" t="s">
        <v>10</v>
      </c>
      <c r="L551">
        <v>2</v>
      </c>
      <c r="M551">
        <v>25</v>
      </c>
      <c r="N551" s="1">
        <f t="shared" si="27"/>
        <v>50</v>
      </c>
    </row>
    <row r="552" spans="5:14" x14ac:dyDescent="0.25">
      <c r="E552">
        <v>1754</v>
      </c>
      <c r="F552" s="7">
        <v>45424</v>
      </c>
      <c r="G552">
        <f t="shared" si="25"/>
        <v>2024</v>
      </c>
      <c r="H552" s="7" t="str">
        <f t="shared" si="26"/>
        <v>Май</v>
      </c>
      <c r="I552" t="s">
        <v>7</v>
      </c>
      <c r="J552">
        <v>62</v>
      </c>
      <c r="K552" t="s">
        <v>10</v>
      </c>
      <c r="L552">
        <v>5</v>
      </c>
      <c r="M552">
        <v>373</v>
      </c>
      <c r="N552" s="1">
        <f t="shared" si="27"/>
        <v>1865</v>
      </c>
    </row>
    <row r="553" spans="5:14" x14ac:dyDescent="0.25">
      <c r="E553">
        <v>1321</v>
      </c>
      <c r="F553" s="7">
        <v>45592</v>
      </c>
      <c r="G553">
        <f t="shared" si="25"/>
        <v>2024</v>
      </c>
      <c r="H553" s="7" t="str">
        <f t="shared" si="26"/>
        <v>Октябрь</v>
      </c>
      <c r="I553" t="s">
        <v>9</v>
      </c>
      <c r="J553">
        <v>27</v>
      </c>
      <c r="K553" t="s">
        <v>11</v>
      </c>
      <c r="L553">
        <v>5</v>
      </c>
      <c r="M553">
        <v>395</v>
      </c>
      <c r="N553" s="1">
        <f t="shared" si="27"/>
        <v>1975</v>
      </c>
    </row>
    <row r="554" spans="5:14" x14ac:dyDescent="0.25">
      <c r="E554">
        <v>151</v>
      </c>
      <c r="F554" s="7">
        <v>45275</v>
      </c>
      <c r="G554">
        <f t="shared" si="25"/>
        <v>2023</v>
      </c>
      <c r="H554" s="7" t="str">
        <f t="shared" si="26"/>
        <v>Декабрь</v>
      </c>
      <c r="I554" t="s">
        <v>7</v>
      </c>
      <c r="J554">
        <v>29</v>
      </c>
      <c r="K554" t="s">
        <v>10</v>
      </c>
      <c r="L554">
        <v>1</v>
      </c>
      <c r="M554">
        <v>50</v>
      </c>
      <c r="N554" s="1">
        <f t="shared" si="27"/>
        <v>50</v>
      </c>
    </row>
    <row r="555" spans="5:14" x14ac:dyDescent="0.25">
      <c r="E555">
        <v>713</v>
      </c>
      <c r="F555" s="7">
        <v>45256</v>
      </c>
      <c r="G555">
        <f t="shared" si="25"/>
        <v>2023</v>
      </c>
      <c r="H555" s="7" t="str">
        <f t="shared" si="26"/>
        <v>Ноябрь</v>
      </c>
      <c r="I555" t="s">
        <v>9</v>
      </c>
      <c r="J555">
        <v>42</v>
      </c>
      <c r="K555" t="s">
        <v>8</v>
      </c>
      <c r="L555">
        <v>4</v>
      </c>
      <c r="M555">
        <v>25</v>
      </c>
      <c r="N555" s="1">
        <f t="shared" si="27"/>
        <v>100</v>
      </c>
    </row>
    <row r="556" spans="5:14" x14ac:dyDescent="0.25">
      <c r="E556">
        <v>812</v>
      </c>
      <c r="F556" s="7">
        <v>45174</v>
      </c>
      <c r="G556">
        <f t="shared" si="25"/>
        <v>2023</v>
      </c>
      <c r="H556" s="7" t="str">
        <f t="shared" si="26"/>
        <v>Сентябрь</v>
      </c>
      <c r="I556" t="s">
        <v>9</v>
      </c>
      <c r="J556">
        <v>59</v>
      </c>
      <c r="K556" t="s">
        <v>10</v>
      </c>
      <c r="L556">
        <v>1</v>
      </c>
      <c r="M556">
        <v>500</v>
      </c>
      <c r="N556" s="1">
        <f t="shared" si="27"/>
        <v>500</v>
      </c>
    </row>
    <row r="557" spans="5:14" x14ac:dyDescent="0.25">
      <c r="E557">
        <v>221</v>
      </c>
      <c r="F557" s="7">
        <v>45042</v>
      </c>
      <c r="G557">
        <f t="shared" si="25"/>
        <v>2023</v>
      </c>
      <c r="H557" s="7" t="str">
        <f t="shared" si="26"/>
        <v>Апрель</v>
      </c>
      <c r="I557" t="s">
        <v>7</v>
      </c>
      <c r="J557">
        <v>51</v>
      </c>
      <c r="K557" t="s">
        <v>10</v>
      </c>
      <c r="L557">
        <v>4</v>
      </c>
      <c r="M557">
        <v>30</v>
      </c>
      <c r="N557" s="1">
        <f t="shared" si="27"/>
        <v>120</v>
      </c>
    </row>
    <row r="558" spans="5:14" x14ac:dyDescent="0.25">
      <c r="E558">
        <v>1459</v>
      </c>
      <c r="F558" s="7">
        <v>45383</v>
      </c>
      <c r="G558">
        <f t="shared" si="25"/>
        <v>2024</v>
      </c>
      <c r="H558" s="7" t="str">
        <f t="shared" si="26"/>
        <v>Апрель</v>
      </c>
      <c r="I558" t="s">
        <v>7</v>
      </c>
      <c r="J558">
        <v>25</v>
      </c>
      <c r="K558" t="s">
        <v>11</v>
      </c>
      <c r="L558">
        <v>6</v>
      </c>
      <c r="M558">
        <v>162</v>
      </c>
      <c r="N558" s="1">
        <f t="shared" si="27"/>
        <v>972</v>
      </c>
    </row>
    <row r="559" spans="5:14" x14ac:dyDescent="0.25">
      <c r="E559">
        <v>664</v>
      </c>
      <c r="F559" s="7">
        <v>44959</v>
      </c>
      <c r="G559">
        <f t="shared" si="25"/>
        <v>2023</v>
      </c>
      <c r="H559" s="7" t="str">
        <f t="shared" si="26"/>
        <v>Февраль</v>
      </c>
      <c r="I559" t="s">
        <v>7</v>
      </c>
      <c r="J559">
        <v>51</v>
      </c>
      <c r="K559" t="s">
        <v>11</v>
      </c>
      <c r="L559">
        <v>3</v>
      </c>
      <c r="M559">
        <v>50</v>
      </c>
      <c r="N559" s="1">
        <f t="shared" si="27"/>
        <v>150</v>
      </c>
    </row>
    <row r="560" spans="5:14" x14ac:dyDescent="0.25">
      <c r="E560">
        <v>442</v>
      </c>
      <c r="F560" s="7">
        <v>45147</v>
      </c>
      <c r="G560">
        <f t="shared" si="25"/>
        <v>2023</v>
      </c>
      <c r="H560" s="7" t="str">
        <f t="shared" si="26"/>
        <v>Август</v>
      </c>
      <c r="I560" t="s">
        <v>7</v>
      </c>
      <c r="J560">
        <v>29</v>
      </c>
      <c r="K560" t="s">
        <v>10</v>
      </c>
      <c r="L560">
        <v>2</v>
      </c>
      <c r="M560">
        <v>300</v>
      </c>
      <c r="N560" s="1">
        <f t="shared" si="27"/>
        <v>600</v>
      </c>
    </row>
    <row r="561" spans="5:14" x14ac:dyDescent="0.25">
      <c r="E561">
        <v>430</v>
      </c>
      <c r="F561" s="7">
        <v>45214</v>
      </c>
      <c r="G561">
        <f t="shared" si="25"/>
        <v>2023</v>
      </c>
      <c r="H561" s="7" t="str">
        <f t="shared" si="26"/>
        <v>Октябрь</v>
      </c>
      <c r="I561" t="s">
        <v>7</v>
      </c>
      <c r="J561">
        <v>63</v>
      </c>
      <c r="K561" t="s">
        <v>11</v>
      </c>
      <c r="L561">
        <v>4</v>
      </c>
      <c r="M561">
        <v>300</v>
      </c>
      <c r="N561" s="1">
        <f t="shared" si="27"/>
        <v>1200</v>
      </c>
    </row>
    <row r="562" spans="5:14" x14ac:dyDescent="0.25">
      <c r="E562">
        <v>1595</v>
      </c>
      <c r="F562" s="7">
        <v>45505</v>
      </c>
      <c r="G562">
        <f t="shared" si="25"/>
        <v>2024</v>
      </c>
      <c r="H562" s="7" t="str">
        <f t="shared" si="26"/>
        <v>Август</v>
      </c>
      <c r="I562" t="s">
        <v>7</v>
      </c>
      <c r="J562">
        <v>55</v>
      </c>
      <c r="K562" t="s">
        <v>8</v>
      </c>
      <c r="L562">
        <v>6</v>
      </c>
      <c r="M562">
        <v>128</v>
      </c>
      <c r="N562" s="1">
        <f t="shared" si="27"/>
        <v>768</v>
      </c>
    </row>
    <row r="563" spans="5:14" x14ac:dyDescent="0.25">
      <c r="E563">
        <v>1099</v>
      </c>
      <c r="F563" s="7">
        <v>45320</v>
      </c>
      <c r="G563">
        <f t="shared" si="25"/>
        <v>2024</v>
      </c>
      <c r="H563" s="7" t="str">
        <f t="shared" si="26"/>
        <v>Январь</v>
      </c>
      <c r="I563" t="s">
        <v>7</v>
      </c>
      <c r="J563">
        <v>45</v>
      </c>
      <c r="K563" t="s">
        <v>10</v>
      </c>
      <c r="L563">
        <v>7</v>
      </c>
      <c r="M563">
        <v>395</v>
      </c>
      <c r="N563" s="1">
        <f t="shared" si="27"/>
        <v>2765</v>
      </c>
    </row>
    <row r="564" spans="5:14" x14ac:dyDescent="0.25">
      <c r="E564">
        <v>1515</v>
      </c>
      <c r="F564" s="7">
        <v>45423</v>
      </c>
      <c r="G564">
        <f t="shared" si="25"/>
        <v>2024</v>
      </c>
      <c r="H564" s="7" t="str">
        <f t="shared" si="26"/>
        <v>Май</v>
      </c>
      <c r="I564" t="s">
        <v>9</v>
      </c>
      <c r="J564">
        <v>48</v>
      </c>
      <c r="K564" t="s">
        <v>10</v>
      </c>
      <c r="L564">
        <v>2</v>
      </c>
      <c r="M564">
        <v>185</v>
      </c>
      <c r="N564" s="1">
        <f t="shared" si="27"/>
        <v>370</v>
      </c>
    </row>
    <row r="565" spans="5:14" x14ac:dyDescent="0.25">
      <c r="E565">
        <v>1135</v>
      </c>
      <c r="F565" s="7">
        <v>45614</v>
      </c>
      <c r="G565">
        <f t="shared" si="25"/>
        <v>2024</v>
      </c>
      <c r="H565" s="7" t="str">
        <f t="shared" si="26"/>
        <v>Ноябрь</v>
      </c>
      <c r="I565" t="s">
        <v>7</v>
      </c>
      <c r="J565">
        <v>33</v>
      </c>
      <c r="K565" t="s">
        <v>8</v>
      </c>
      <c r="L565">
        <v>2</v>
      </c>
      <c r="M565">
        <v>293</v>
      </c>
      <c r="N565" s="1">
        <f t="shared" si="27"/>
        <v>586</v>
      </c>
    </row>
    <row r="566" spans="5:14" x14ac:dyDescent="0.25">
      <c r="E566">
        <v>593</v>
      </c>
      <c r="F566" s="7">
        <v>45170</v>
      </c>
      <c r="G566">
        <f t="shared" si="25"/>
        <v>2023</v>
      </c>
      <c r="H566" s="7" t="str">
        <f t="shared" si="26"/>
        <v>Сентябрь</v>
      </c>
      <c r="I566" t="s">
        <v>9</v>
      </c>
      <c r="J566">
        <v>19</v>
      </c>
      <c r="K566" t="s">
        <v>11</v>
      </c>
      <c r="L566">
        <v>2</v>
      </c>
      <c r="M566">
        <v>300</v>
      </c>
      <c r="N566" s="1">
        <f t="shared" si="27"/>
        <v>600</v>
      </c>
    </row>
    <row r="567" spans="5:14" x14ac:dyDescent="0.25">
      <c r="E567">
        <v>484</v>
      </c>
      <c r="F567" s="7">
        <v>45264</v>
      </c>
      <c r="G567">
        <f t="shared" si="25"/>
        <v>2023</v>
      </c>
      <c r="H567" s="7" t="str">
        <f t="shared" si="26"/>
        <v>Декабрь</v>
      </c>
      <c r="I567" t="s">
        <v>7</v>
      </c>
      <c r="J567">
        <v>24</v>
      </c>
      <c r="K567" t="s">
        <v>11</v>
      </c>
      <c r="L567">
        <v>1</v>
      </c>
      <c r="M567">
        <v>30</v>
      </c>
      <c r="N567" s="1">
        <f t="shared" si="27"/>
        <v>30</v>
      </c>
    </row>
    <row r="568" spans="5:14" x14ac:dyDescent="0.25">
      <c r="E568">
        <v>493</v>
      </c>
      <c r="F568" s="7">
        <v>45187</v>
      </c>
      <c r="G568">
        <f t="shared" si="25"/>
        <v>2023</v>
      </c>
      <c r="H568" s="7" t="str">
        <f t="shared" si="26"/>
        <v>Сентябрь</v>
      </c>
      <c r="I568" t="s">
        <v>9</v>
      </c>
      <c r="J568">
        <v>42</v>
      </c>
      <c r="K568" t="s">
        <v>8</v>
      </c>
      <c r="L568">
        <v>4</v>
      </c>
      <c r="M568">
        <v>50</v>
      </c>
      <c r="N568" s="1">
        <f t="shared" si="27"/>
        <v>200</v>
      </c>
    </row>
    <row r="569" spans="5:14" x14ac:dyDescent="0.25">
      <c r="E569">
        <v>356</v>
      </c>
      <c r="F569" s="7">
        <v>45049</v>
      </c>
      <c r="G569">
        <f t="shared" si="25"/>
        <v>2023</v>
      </c>
      <c r="H569" s="7" t="str">
        <f t="shared" si="26"/>
        <v>Май</v>
      </c>
      <c r="I569" t="s">
        <v>9</v>
      </c>
      <c r="J569">
        <v>40</v>
      </c>
      <c r="K569" t="s">
        <v>11</v>
      </c>
      <c r="L569">
        <v>3</v>
      </c>
      <c r="M569">
        <v>25</v>
      </c>
      <c r="N569" s="1">
        <f t="shared" si="27"/>
        <v>75</v>
      </c>
    </row>
    <row r="570" spans="5:14" x14ac:dyDescent="0.25">
      <c r="E570">
        <v>1663</v>
      </c>
      <c r="F570" s="7">
        <v>45505</v>
      </c>
      <c r="G570">
        <f t="shared" si="25"/>
        <v>2024</v>
      </c>
      <c r="H570" s="7" t="str">
        <f t="shared" si="26"/>
        <v>Август</v>
      </c>
      <c r="I570" t="s">
        <v>9</v>
      </c>
      <c r="J570">
        <v>27</v>
      </c>
      <c r="K570" t="s">
        <v>11</v>
      </c>
      <c r="L570">
        <v>3</v>
      </c>
      <c r="M570">
        <v>349</v>
      </c>
      <c r="N570" s="1">
        <f t="shared" si="27"/>
        <v>1047</v>
      </c>
    </row>
    <row r="571" spans="5:14" x14ac:dyDescent="0.25">
      <c r="E571">
        <v>1138</v>
      </c>
      <c r="F571" s="7">
        <v>45509</v>
      </c>
      <c r="G571">
        <f t="shared" si="25"/>
        <v>2024</v>
      </c>
      <c r="H571" s="7" t="str">
        <f t="shared" si="26"/>
        <v>Август</v>
      </c>
      <c r="I571" t="s">
        <v>7</v>
      </c>
      <c r="J571">
        <v>24</v>
      </c>
      <c r="K571" t="s">
        <v>11</v>
      </c>
      <c r="L571">
        <v>3</v>
      </c>
      <c r="M571">
        <v>191</v>
      </c>
      <c r="N571" s="1">
        <f t="shared" si="27"/>
        <v>573</v>
      </c>
    </row>
    <row r="572" spans="5:14" x14ac:dyDescent="0.25">
      <c r="E572">
        <v>542</v>
      </c>
      <c r="F572" s="7">
        <v>45133</v>
      </c>
      <c r="G572">
        <f t="shared" si="25"/>
        <v>2023</v>
      </c>
      <c r="H572" s="7" t="str">
        <f t="shared" si="26"/>
        <v>Июль</v>
      </c>
      <c r="I572" t="s">
        <v>7</v>
      </c>
      <c r="J572">
        <v>49</v>
      </c>
      <c r="K572" t="s">
        <v>8</v>
      </c>
      <c r="L572">
        <v>2</v>
      </c>
      <c r="M572">
        <v>300</v>
      </c>
      <c r="N572" s="1">
        <f t="shared" si="27"/>
        <v>600</v>
      </c>
    </row>
    <row r="573" spans="5:14" x14ac:dyDescent="0.25">
      <c r="E573">
        <v>1445</v>
      </c>
      <c r="F573" s="7">
        <v>45312</v>
      </c>
      <c r="G573">
        <f t="shared" si="25"/>
        <v>2024</v>
      </c>
      <c r="H573" s="7" t="str">
        <f t="shared" si="26"/>
        <v>Январь</v>
      </c>
      <c r="I573" t="s">
        <v>9</v>
      </c>
      <c r="J573">
        <v>34</v>
      </c>
      <c r="K573" t="s">
        <v>8</v>
      </c>
      <c r="L573">
        <v>6</v>
      </c>
      <c r="M573">
        <v>260</v>
      </c>
      <c r="N573" s="1">
        <f t="shared" si="27"/>
        <v>1560</v>
      </c>
    </row>
    <row r="574" spans="5:14" x14ac:dyDescent="0.25">
      <c r="E574">
        <v>1470</v>
      </c>
      <c r="F574" s="7">
        <v>45347</v>
      </c>
      <c r="G574">
        <f t="shared" si="25"/>
        <v>2024</v>
      </c>
      <c r="H574" s="7" t="str">
        <f t="shared" si="26"/>
        <v>Февраль</v>
      </c>
      <c r="I574" t="s">
        <v>7</v>
      </c>
      <c r="J574">
        <v>55</v>
      </c>
      <c r="K574" t="s">
        <v>8</v>
      </c>
      <c r="L574">
        <v>1</v>
      </c>
      <c r="M574">
        <v>121</v>
      </c>
      <c r="N574" s="1">
        <f t="shared" si="27"/>
        <v>121</v>
      </c>
    </row>
    <row r="575" spans="5:14" x14ac:dyDescent="0.25">
      <c r="E575">
        <v>1167</v>
      </c>
      <c r="F575" s="7">
        <v>45613</v>
      </c>
      <c r="G575">
        <f t="shared" si="25"/>
        <v>2024</v>
      </c>
      <c r="H575" s="7" t="str">
        <f t="shared" si="26"/>
        <v>Ноябрь</v>
      </c>
      <c r="I575" t="s">
        <v>7</v>
      </c>
      <c r="J575">
        <v>64</v>
      </c>
      <c r="K575" t="s">
        <v>8</v>
      </c>
      <c r="L575">
        <v>6</v>
      </c>
      <c r="M575">
        <v>140</v>
      </c>
      <c r="N575" s="1">
        <f t="shared" si="27"/>
        <v>840</v>
      </c>
    </row>
    <row r="576" spans="5:14" x14ac:dyDescent="0.25">
      <c r="E576">
        <v>1118</v>
      </c>
      <c r="F576" s="7">
        <v>45419</v>
      </c>
      <c r="G576">
        <f t="shared" si="25"/>
        <v>2024</v>
      </c>
      <c r="H576" s="7" t="str">
        <f t="shared" si="26"/>
        <v>Май</v>
      </c>
      <c r="I576" t="s">
        <v>7</v>
      </c>
      <c r="J576">
        <v>18</v>
      </c>
      <c r="K576" t="s">
        <v>8</v>
      </c>
      <c r="L576">
        <v>6</v>
      </c>
      <c r="M576">
        <v>318</v>
      </c>
      <c r="N576" s="1">
        <f t="shared" si="27"/>
        <v>1908</v>
      </c>
    </row>
    <row r="577" spans="5:14" x14ac:dyDescent="0.25">
      <c r="E577">
        <v>785</v>
      </c>
      <c r="F577" s="7">
        <v>44948</v>
      </c>
      <c r="G577">
        <f t="shared" si="25"/>
        <v>2023</v>
      </c>
      <c r="H577" s="7" t="str">
        <f t="shared" si="26"/>
        <v>Январь</v>
      </c>
      <c r="I577" t="s">
        <v>7</v>
      </c>
      <c r="J577">
        <v>41</v>
      </c>
      <c r="K577" t="s">
        <v>11</v>
      </c>
      <c r="L577">
        <v>1</v>
      </c>
      <c r="M577">
        <v>25</v>
      </c>
      <c r="N577" s="1">
        <f t="shared" si="27"/>
        <v>25</v>
      </c>
    </row>
    <row r="578" spans="5:14" x14ac:dyDescent="0.25">
      <c r="E578">
        <v>1450</v>
      </c>
      <c r="F578" s="7">
        <v>45634</v>
      </c>
      <c r="G578">
        <f t="shared" si="25"/>
        <v>2024</v>
      </c>
      <c r="H578" s="7" t="str">
        <f t="shared" si="26"/>
        <v>Декабрь</v>
      </c>
      <c r="I578" t="s">
        <v>9</v>
      </c>
      <c r="J578">
        <v>18</v>
      </c>
      <c r="K578" t="s">
        <v>10</v>
      </c>
      <c r="L578">
        <v>3</v>
      </c>
      <c r="M578">
        <v>27</v>
      </c>
      <c r="N578" s="1">
        <f t="shared" si="27"/>
        <v>81</v>
      </c>
    </row>
    <row r="579" spans="5:14" x14ac:dyDescent="0.25">
      <c r="E579">
        <v>579</v>
      </c>
      <c r="F579" s="7">
        <v>45266</v>
      </c>
      <c r="G579">
        <f t="shared" si="25"/>
        <v>2023</v>
      </c>
      <c r="H579" s="7" t="str">
        <f t="shared" si="26"/>
        <v>Декабрь</v>
      </c>
      <c r="I579" t="s">
        <v>9</v>
      </c>
      <c r="J579">
        <v>31</v>
      </c>
      <c r="K579" t="s">
        <v>10</v>
      </c>
      <c r="L579">
        <v>3</v>
      </c>
      <c r="M579">
        <v>500</v>
      </c>
      <c r="N579" s="1">
        <f t="shared" si="27"/>
        <v>1500</v>
      </c>
    </row>
    <row r="580" spans="5:14" x14ac:dyDescent="0.25">
      <c r="E580">
        <v>1713</v>
      </c>
      <c r="F580" s="7">
        <v>45362</v>
      </c>
      <c r="G580">
        <f t="shared" si="25"/>
        <v>2024</v>
      </c>
      <c r="H580" s="7" t="str">
        <f t="shared" si="26"/>
        <v>Март</v>
      </c>
      <c r="I580" t="s">
        <v>7</v>
      </c>
      <c r="J580">
        <v>31</v>
      </c>
      <c r="K580" t="s">
        <v>10</v>
      </c>
      <c r="L580">
        <v>2</v>
      </c>
      <c r="M580">
        <v>346</v>
      </c>
      <c r="N580" s="1">
        <f t="shared" si="27"/>
        <v>692</v>
      </c>
    </row>
    <row r="581" spans="5:14" x14ac:dyDescent="0.25">
      <c r="E581">
        <v>1260</v>
      </c>
      <c r="F581" s="7">
        <v>45532</v>
      </c>
      <c r="G581">
        <f t="shared" si="25"/>
        <v>2024</v>
      </c>
      <c r="H581" s="7" t="str">
        <f t="shared" si="26"/>
        <v>Август</v>
      </c>
      <c r="I581" t="s">
        <v>7</v>
      </c>
      <c r="J581">
        <v>64</v>
      </c>
      <c r="K581" t="s">
        <v>8</v>
      </c>
      <c r="L581">
        <v>2</v>
      </c>
      <c r="M581">
        <v>308</v>
      </c>
      <c r="N581" s="1">
        <f t="shared" si="27"/>
        <v>616</v>
      </c>
    </row>
    <row r="582" spans="5:14" x14ac:dyDescent="0.25">
      <c r="E582">
        <v>454</v>
      </c>
      <c r="F582" s="7">
        <v>45108</v>
      </c>
      <c r="G582">
        <f t="shared" si="25"/>
        <v>2023</v>
      </c>
      <c r="H582" s="7" t="str">
        <f t="shared" si="26"/>
        <v>Июль</v>
      </c>
      <c r="I582" t="s">
        <v>7</v>
      </c>
      <c r="J582">
        <v>31</v>
      </c>
      <c r="K582" t="s">
        <v>11</v>
      </c>
      <c r="L582">
        <v>4</v>
      </c>
      <c r="M582">
        <v>25</v>
      </c>
      <c r="N582" s="1">
        <f t="shared" si="27"/>
        <v>100</v>
      </c>
    </row>
    <row r="583" spans="5:14" x14ac:dyDescent="0.25">
      <c r="E583">
        <v>1376</v>
      </c>
      <c r="F583" s="7">
        <v>45327</v>
      </c>
      <c r="G583">
        <f t="shared" si="25"/>
        <v>2024</v>
      </c>
      <c r="H583" s="7" t="str">
        <f t="shared" si="26"/>
        <v>Февраль</v>
      </c>
      <c r="I583" t="s">
        <v>9</v>
      </c>
      <c r="J583">
        <v>50</v>
      </c>
      <c r="K583" t="s">
        <v>10</v>
      </c>
      <c r="L583">
        <v>6</v>
      </c>
      <c r="M583">
        <v>33</v>
      </c>
      <c r="N583" s="1">
        <f t="shared" si="27"/>
        <v>198</v>
      </c>
    </row>
    <row r="584" spans="5:14" x14ac:dyDescent="0.25">
      <c r="E584">
        <v>1050</v>
      </c>
      <c r="F584" s="7">
        <v>45356</v>
      </c>
      <c r="G584">
        <f t="shared" si="25"/>
        <v>2024</v>
      </c>
      <c r="H584" s="7" t="str">
        <f t="shared" si="26"/>
        <v>Март</v>
      </c>
      <c r="I584" t="s">
        <v>9</v>
      </c>
      <c r="J584">
        <v>57</v>
      </c>
      <c r="K584" t="s">
        <v>8</v>
      </c>
      <c r="L584">
        <v>1</v>
      </c>
      <c r="M584">
        <v>423</v>
      </c>
      <c r="N584" s="1">
        <f t="shared" si="27"/>
        <v>423</v>
      </c>
    </row>
    <row r="585" spans="5:14" x14ac:dyDescent="0.25">
      <c r="E585">
        <v>1568</v>
      </c>
      <c r="F585" s="7">
        <v>45638</v>
      </c>
      <c r="G585">
        <f t="shared" si="25"/>
        <v>2024</v>
      </c>
      <c r="H585" s="7" t="str">
        <f t="shared" si="26"/>
        <v>Декабрь</v>
      </c>
      <c r="I585" t="s">
        <v>9</v>
      </c>
      <c r="J585">
        <v>43</v>
      </c>
      <c r="K585" t="s">
        <v>11</v>
      </c>
      <c r="L585">
        <v>5</v>
      </c>
      <c r="M585">
        <v>288</v>
      </c>
      <c r="N585" s="1">
        <f t="shared" si="27"/>
        <v>1440</v>
      </c>
    </row>
    <row r="586" spans="5:14" x14ac:dyDescent="0.25">
      <c r="E586">
        <v>148</v>
      </c>
      <c r="F586" s="7">
        <v>45055</v>
      </c>
      <c r="G586">
        <f t="shared" ref="G586:G649" si="28">YEAR(F586)</f>
        <v>2023</v>
      </c>
      <c r="H586" s="7" t="str">
        <f t="shared" ref="H586:H649" si="29">TEXT(F586,"ММММ")</f>
        <v>Май</v>
      </c>
      <c r="I586" t="s">
        <v>7</v>
      </c>
      <c r="J586">
        <v>18</v>
      </c>
      <c r="K586" t="s">
        <v>10</v>
      </c>
      <c r="L586">
        <v>2</v>
      </c>
      <c r="M586">
        <v>30</v>
      </c>
      <c r="N586" s="1">
        <f t="shared" ref="N586:N649" si="30">L586*M586</f>
        <v>60</v>
      </c>
    </row>
    <row r="587" spans="5:14" x14ac:dyDescent="0.25">
      <c r="E587">
        <v>863</v>
      </c>
      <c r="F587" s="7">
        <v>45281</v>
      </c>
      <c r="G587">
        <f t="shared" si="28"/>
        <v>2023</v>
      </c>
      <c r="H587" s="7" t="str">
        <f t="shared" si="29"/>
        <v>Декабрь</v>
      </c>
      <c r="I587" t="s">
        <v>9</v>
      </c>
      <c r="J587">
        <v>42</v>
      </c>
      <c r="K587" t="s">
        <v>10</v>
      </c>
      <c r="L587">
        <v>1</v>
      </c>
      <c r="M587">
        <v>300</v>
      </c>
      <c r="N587" s="1">
        <f t="shared" si="30"/>
        <v>300</v>
      </c>
    </row>
    <row r="588" spans="5:14" x14ac:dyDescent="0.25">
      <c r="E588">
        <v>1202</v>
      </c>
      <c r="F588" s="7">
        <v>45563</v>
      </c>
      <c r="G588">
        <f t="shared" si="28"/>
        <v>2024</v>
      </c>
      <c r="H588" s="7" t="str">
        <f t="shared" si="29"/>
        <v>Сентябрь</v>
      </c>
      <c r="I588" t="s">
        <v>7</v>
      </c>
      <c r="J588">
        <v>51</v>
      </c>
      <c r="K588" t="s">
        <v>8</v>
      </c>
      <c r="L588">
        <v>2</v>
      </c>
      <c r="M588">
        <v>486</v>
      </c>
      <c r="N588" s="1">
        <f t="shared" si="30"/>
        <v>972</v>
      </c>
    </row>
    <row r="589" spans="5:14" x14ac:dyDescent="0.25">
      <c r="E589">
        <v>1522</v>
      </c>
      <c r="F589" s="7">
        <v>45644</v>
      </c>
      <c r="G589">
        <f t="shared" si="28"/>
        <v>2024</v>
      </c>
      <c r="H589" s="7" t="str">
        <f t="shared" si="29"/>
        <v>Декабрь</v>
      </c>
      <c r="I589" t="s">
        <v>9</v>
      </c>
      <c r="J589">
        <v>20</v>
      </c>
      <c r="K589" t="s">
        <v>8</v>
      </c>
      <c r="L589">
        <v>6</v>
      </c>
      <c r="M589">
        <v>482</v>
      </c>
      <c r="N589" s="1">
        <f t="shared" si="30"/>
        <v>2892</v>
      </c>
    </row>
    <row r="590" spans="5:14" x14ac:dyDescent="0.25">
      <c r="E590">
        <v>604</v>
      </c>
      <c r="F590" s="7">
        <v>45131</v>
      </c>
      <c r="G590">
        <f t="shared" si="28"/>
        <v>2023</v>
      </c>
      <c r="H590" s="7" t="str">
        <f t="shared" si="29"/>
        <v>Июль</v>
      </c>
      <c r="I590" t="s">
        <v>7</v>
      </c>
      <c r="J590">
        <v>37</v>
      </c>
      <c r="K590" t="s">
        <v>11</v>
      </c>
      <c r="L590">
        <v>2</v>
      </c>
      <c r="M590">
        <v>500</v>
      </c>
      <c r="N590" s="1">
        <f t="shared" si="30"/>
        <v>1000</v>
      </c>
    </row>
    <row r="591" spans="5:14" x14ac:dyDescent="0.25">
      <c r="E591">
        <v>1675</v>
      </c>
      <c r="F591" s="7">
        <v>45302</v>
      </c>
      <c r="G591">
        <f t="shared" si="28"/>
        <v>2024</v>
      </c>
      <c r="H591" s="7" t="str">
        <f t="shared" si="29"/>
        <v>Январь</v>
      </c>
      <c r="I591" t="s">
        <v>9</v>
      </c>
      <c r="J591">
        <v>33</v>
      </c>
      <c r="K591" t="s">
        <v>8</v>
      </c>
      <c r="L591">
        <v>3</v>
      </c>
      <c r="M591">
        <v>290</v>
      </c>
      <c r="N591" s="1">
        <f t="shared" si="30"/>
        <v>870</v>
      </c>
    </row>
    <row r="592" spans="5:14" x14ac:dyDescent="0.25">
      <c r="E592">
        <v>363</v>
      </c>
      <c r="F592" s="7">
        <v>45161</v>
      </c>
      <c r="G592">
        <f t="shared" si="28"/>
        <v>2023</v>
      </c>
      <c r="H592" s="7" t="str">
        <f t="shared" si="29"/>
        <v>Август</v>
      </c>
      <c r="I592" t="s">
        <v>9</v>
      </c>
      <c r="J592">
        <v>19</v>
      </c>
      <c r="K592" t="s">
        <v>8</v>
      </c>
      <c r="L592">
        <v>1</v>
      </c>
      <c r="M592">
        <v>500</v>
      </c>
      <c r="N592" s="1">
        <f t="shared" si="30"/>
        <v>500</v>
      </c>
    </row>
    <row r="593" spans="5:14" x14ac:dyDescent="0.25">
      <c r="E593">
        <v>1692</v>
      </c>
      <c r="F593" s="7">
        <v>45541</v>
      </c>
      <c r="G593">
        <f t="shared" si="28"/>
        <v>2024</v>
      </c>
      <c r="H593" s="7" t="str">
        <f t="shared" si="29"/>
        <v>Сентябрь</v>
      </c>
      <c r="I593" t="s">
        <v>9</v>
      </c>
      <c r="J593">
        <v>61</v>
      </c>
      <c r="K593" t="s">
        <v>10</v>
      </c>
      <c r="L593">
        <v>2</v>
      </c>
      <c r="M593">
        <v>230</v>
      </c>
      <c r="N593" s="1">
        <f t="shared" si="30"/>
        <v>460</v>
      </c>
    </row>
    <row r="594" spans="5:14" x14ac:dyDescent="0.25">
      <c r="E594">
        <v>1911</v>
      </c>
      <c r="F594" s="7">
        <v>45442</v>
      </c>
      <c r="G594">
        <f t="shared" si="28"/>
        <v>2024</v>
      </c>
      <c r="H594" s="7" t="str">
        <f t="shared" si="29"/>
        <v>Май</v>
      </c>
      <c r="I594" t="s">
        <v>9</v>
      </c>
      <c r="J594">
        <v>64</v>
      </c>
      <c r="K594" t="s">
        <v>8</v>
      </c>
      <c r="L594">
        <v>6</v>
      </c>
      <c r="M594">
        <v>101</v>
      </c>
      <c r="N594" s="1">
        <f t="shared" si="30"/>
        <v>606</v>
      </c>
    </row>
    <row r="595" spans="5:14" x14ac:dyDescent="0.25">
      <c r="E595">
        <v>700</v>
      </c>
      <c r="F595" s="7">
        <v>45134</v>
      </c>
      <c r="G595">
        <f t="shared" si="28"/>
        <v>2023</v>
      </c>
      <c r="H595" s="7" t="str">
        <f t="shared" si="29"/>
        <v>Июль</v>
      </c>
      <c r="I595" t="s">
        <v>9</v>
      </c>
      <c r="J595">
        <v>60</v>
      </c>
      <c r="K595" t="s">
        <v>10</v>
      </c>
      <c r="L595">
        <v>2</v>
      </c>
      <c r="M595">
        <v>300</v>
      </c>
      <c r="N595" s="1">
        <f t="shared" si="30"/>
        <v>600</v>
      </c>
    </row>
    <row r="596" spans="5:14" x14ac:dyDescent="0.25">
      <c r="E596">
        <v>1367</v>
      </c>
      <c r="F596" s="7">
        <v>45581</v>
      </c>
      <c r="G596">
        <f t="shared" si="28"/>
        <v>2024</v>
      </c>
      <c r="H596" s="7" t="str">
        <f t="shared" si="29"/>
        <v>Октябрь</v>
      </c>
      <c r="I596" t="s">
        <v>7</v>
      </c>
      <c r="J596">
        <v>47</v>
      </c>
      <c r="K596" t="s">
        <v>11</v>
      </c>
      <c r="L596">
        <v>7</v>
      </c>
      <c r="M596">
        <v>340</v>
      </c>
      <c r="N596" s="1">
        <f t="shared" si="30"/>
        <v>2380</v>
      </c>
    </row>
    <row r="597" spans="5:14" x14ac:dyDescent="0.25">
      <c r="E597">
        <v>643</v>
      </c>
      <c r="F597" s="7">
        <v>45175</v>
      </c>
      <c r="G597">
        <f t="shared" si="28"/>
        <v>2023</v>
      </c>
      <c r="H597" s="7" t="str">
        <f t="shared" si="29"/>
        <v>Сентябрь</v>
      </c>
      <c r="I597" t="s">
        <v>7</v>
      </c>
      <c r="J597">
        <v>23</v>
      </c>
      <c r="K597" t="s">
        <v>8</v>
      </c>
      <c r="L597">
        <v>3</v>
      </c>
      <c r="M597">
        <v>25</v>
      </c>
      <c r="N597" s="1">
        <f t="shared" si="30"/>
        <v>75</v>
      </c>
    </row>
    <row r="598" spans="5:14" x14ac:dyDescent="0.25">
      <c r="E598">
        <v>1348</v>
      </c>
      <c r="F598" s="7">
        <v>45560</v>
      </c>
      <c r="G598">
        <f t="shared" si="28"/>
        <v>2024</v>
      </c>
      <c r="H598" s="7" t="str">
        <f t="shared" si="29"/>
        <v>Сентябрь</v>
      </c>
      <c r="I598" t="s">
        <v>9</v>
      </c>
      <c r="J598">
        <v>38</v>
      </c>
      <c r="K598" t="s">
        <v>10</v>
      </c>
      <c r="L598">
        <v>1</v>
      </c>
      <c r="M598">
        <v>239</v>
      </c>
      <c r="N598" s="1">
        <f t="shared" si="30"/>
        <v>239</v>
      </c>
    </row>
    <row r="599" spans="5:14" x14ac:dyDescent="0.25">
      <c r="E599">
        <v>795</v>
      </c>
      <c r="F599" s="7">
        <v>44933</v>
      </c>
      <c r="G599">
        <f t="shared" si="28"/>
        <v>2023</v>
      </c>
      <c r="H599" s="7" t="str">
        <f t="shared" si="29"/>
        <v>Январь</v>
      </c>
      <c r="I599" t="s">
        <v>7</v>
      </c>
      <c r="J599">
        <v>40</v>
      </c>
      <c r="K599" t="s">
        <v>10</v>
      </c>
      <c r="L599">
        <v>3</v>
      </c>
      <c r="M599">
        <v>25</v>
      </c>
      <c r="N599" s="1">
        <f t="shared" si="30"/>
        <v>75</v>
      </c>
    </row>
    <row r="600" spans="5:14" x14ac:dyDescent="0.25">
      <c r="E600">
        <v>577</v>
      </c>
      <c r="F600" s="7">
        <v>45072</v>
      </c>
      <c r="G600">
        <f t="shared" si="28"/>
        <v>2023</v>
      </c>
      <c r="H600" s="7" t="str">
        <f t="shared" si="29"/>
        <v>Май</v>
      </c>
      <c r="I600" t="s">
        <v>9</v>
      </c>
      <c r="J600">
        <v>54</v>
      </c>
      <c r="K600" t="s">
        <v>10</v>
      </c>
      <c r="L600">
        <v>4</v>
      </c>
      <c r="M600">
        <v>30</v>
      </c>
      <c r="N600" s="1">
        <f t="shared" si="30"/>
        <v>120</v>
      </c>
    </row>
    <row r="601" spans="5:14" x14ac:dyDescent="0.25">
      <c r="E601">
        <v>1499</v>
      </c>
      <c r="F601" s="7">
        <v>45384</v>
      </c>
      <c r="G601">
        <f t="shared" si="28"/>
        <v>2024</v>
      </c>
      <c r="H601" s="7" t="str">
        <f t="shared" si="29"/>
        <v>Апрель</v>
      </c>
      <c r="I601" t="s">
        <v>7</v>
      </c>
      <c r="J601">
        <v>53</v>
      </c>
      <c r="K601" t="s">
        <v>11</v>
      </c>
      <c r="L601">
        <v>1</v>
      </c>
      <c r="M601">
        <v>309</v>
      </c>
      <c r="N601" s="1">
        <f t="shared" si="30"/>
        <v>309</v>
      </c>
    </row>
    <row r="602" spans="5:14" x14ac:dyDescent="0.25">
      <c r="E602">
        <v>1291</v>
      </c>
      <c r="F602" s="7">
        <v>45378</v>
      </c>
      <c r="G602">
        <f t="shared" si="28"/>
        <v>2024</v>
      </c>
      <c r="H602" s="7" t="str">
        <f t="shared" si="29"/>
        <v>Март</v>
      </c>
      <c r="I602" t="s">
        <v>9</v>
      </c>
      <c r="J602">
        <v>40</v>
      </c>
      <c r="K602" t="s">
        <v>10</v>
      </c>
      <c r="L602">
        <v>1</v>
      </c>
      <c r="M602">
        <v>173</v>
      </c>
      <c r="N602" s="1">
        <f t="shared" si="30"/>
        <v>173</v>
      </c>
    </row>
    <row r="603" spans="5:14" x14ac:dyDescent="0.25">
      <c r="E603">
        <v>1702</v>
      </c>
      <c r="F603" s="7">
        <v>45611</v>
      </c>
      <c r="G603">
        <f t="shared" si="28"/>
        <v>2024</v>
      </c>
      <c r="H603" s="7" t="str">
        <f t="shared" si="29"/>
        <v>Ноябрь</v>
      </c>
      <c r="I603" t="s">
        <v>7</v>
      </c>
      <c r="J603">
        <v>54</v>
      </c>
      <c r="K603" t="s">
        <v>11</v>
      </c>
      <c r="L603">
        <v>7</v>
      </c>
      <c r="M603">
        <v>295</v>
      </c>
      <c r="N603" s="1">
        <f t="shared" si="30"/>
        <v>2065</v>
      </c>
    </row>
    <row r="604" spans="5:14" x14ac:dyDescent="0.25">
      <c r="E604">
        <v>439</v>
      </c>
      <c r="F604" s="7">
        <v>45225</v>
      </c>
      <c r="G604">
        <f t="shared" si="28"/>
        <v>2023</v>
      </c>
      <c r="H604" s="7" t="str">
        <f t="shared" si="29"/>
        <v>Октябрь</v>
      </c>
      <c r="I604" t="s">
        <v>7</v>
      </c>
      <c r="J604">
        <v>64</v>
      </c>
      <c r="K604" t="s">
        <v>10</v>
      </c>
      <c r="L604">
        <v>2</v>
      </c>
      <c r="M604">
        <v>300</v>
      </c>
      <c r="N604" s="1">
        <f t="shared" si="30"/>
        <v>600</v>
      </c>
    </row>
    <row r="605" spans="5:14" x14ac:dyDescent="0.25">
      <c r="E605">
        <v>1013</v>
      </c>
      <c r="F605" s="7">
        <v>45307</v>
      </c>
      <c r="G605">
        <f t="shared" si="28"/>
        <v>2024</v>
      </c>
      <c r="H605" s="7" t="str">
        <f t="shared" si="29"/>
        <v>Январь</v>
      </c>
      <c r="I605" t="s">
        <v>9</v>
      </c>
      <c r="J605">
        <v>25</v>
      </c>
      <c r="K605" t="s">
        <v>11</v>
      </c>
      <c r="L605">
        <v>7</v>
      </c>
      <c r="M605">
        <v>311</v>
      </c>
      <c r="N605" s="1">
        <f t="shared" si="30"/>
        <v>2177</v>
      </c>
    </row>
    <row r="606" spans="5:14" x14ac:dyDescent="0.25">
      <c r="E606">
        <v>616</v>
      </c>
      <c r="F606" s="7">
        <v>45164</v>
      </c>
      <c r="G606">
        <f t="shared" si="28"/>
        <v>2023</v>
      </c>
      <c r="H606" s="7" t="str">
        <f t="shared" si="29"/>
        <v>Август</v>
      </c>
      <c r="I606" t="s">
        <v>7</v>
      </c>
      <c r="J606">
        <v>34</v>
      </c>
      <c r="K606" t="s">
        <v>11</v>
      </c>
      <c r="L606">
        <v>1</v>
      </c>
      <c r="M606">
        <v>30</v>
      </c>
      <c r="N606" s="1">
        <f t="shared" si="30"/>
        <v>30</v>
      </c>
    </row>
    <row r="607" spans="5:14" x14ac:dyDescent="0.25">
      <c r="E607">
        <v>1465</v>
      </c>
      <c r="F607" s="7">
        <v>45635</v>
      </c>
      <c r="G607">
        <f t="shared" si="28"/>
        <v>2024</v>
      </c>
      <c r="H607" s="7" t="str">
        <f t="shared" si="29"/>
        <v>Декабрь</v>
      </c>
      <c r="I607" t="s">
        <v>7</v>
      </c>
      <c r="J607">
        <v>34</v>
      </c>
      <c r="K607" t="s">
        <v>11</v>
      </c>
      <c r="L607">
        <v>6</v>
      </c>
      <c r="M607">
        <v>363</v>
      </c>
      <c r="N607" s="1">
        <f t="shared" si="30"/>
        <v>2178</v>
      </c>
    </row>
    <row r="608" spans="5:14" x14ac:dyDescent="0.25">
      <c r="E608">
        <v>1982</v>
      </c>
      <c r="F608" s="7">
        <v>45308</v>
      </c>
      <c r="G608">
        <f t="shared" si="28"/>
        <v>2024</v>
      </c>
      <c r="H608" s="7" t="str">
        <f t="shared" si="29"/>
        <v>Январь</v>
      </c>
      <c r="I608" t="s">
        <v>9</v>
      </c>
      <c r="J608">
        <v>27</v>
      </c>
      <c r="K608" t="s">
        <v>10</v>
      </c>
      <c r="L608">
        <v>6</v>
      </c>
      <c r="M608">
        <v>406</v>
      </c>
      <c r="N608" s="1">
        <f t="shared" si="30"/>
        <v>2436</v>
      </c>
    </row>
    <row r="609" spans="5:14" x14ac:dyDescent="0.25">
      <c r="E609">
        <v>1142</v>
      </c>
      <c r="F609" s="7">
        <v>45488</v>
      </c>
      <c r="G609">
        <f t="shared" si="28"/>
        <v>2024</v>
      </c>
      <c r="H609" s="7" t="str">
        <f t="shared" si="29"/>
        <v>Июль</v>
      </c>
      <c r="I609" t="s">
        <v>9</v>
      </c>
      <c r="J609">
        <v>41</v>
      </c>
      <c r="K609" t="s">
        <v>8</v>
      </c>
      <c r="L609">
        <v>2</v>
      </c>
      <c r="M609">
        <v>436</v>
      </c>
      <c r="N609" s="1">
        <f t="shared" si="30"/>
        <v>872</v>
      </c>
    </row>
    <row r="610" spans="5:14" x14ac:dyDescent="0.25">
      <c r="E610">
        <v>621</v>
      </c>
      <c r="F610" s="7">
        <v>45160</v>
      </c>
      <c r="G610">
        <f t="shared" si="28"/>
        <v>2023</v>
      </c>
      <c r="H610" s="7" t="str">
        <f t="shared" si="29"/>
        <v>Август</v>
      </c>
      <c r="I610" t="s">
        <v>9</v>
      </c>
      <c r="J610">
        <v>49</v>
      </c>
      <c r="K610" t="s">
        <v>8</v>
      </c>
      <c r="L610">
        <v>3</v>
      </c>
      <c r="M610">
        <v>25</v>
      </c>
      <c r="N610" s="1">
        <f t="shared" si="30"/>
        <v>75</v>
      </c>
    </row>
    <row r="611" spans="5:14" x14ac:dyDescent="0.25">
      <c r="E611">
        <v>1271</v>
      </c>
      <c r="F611" s="7">
        <v>45391</v>
      </c>
      <c r="G611">
        <f t="shared" si="28"/>
        <v>2024</v>
      </c>
      <c r="H611" s="7" t="str">
        <f t="shared" si="29"/>
        <v>Апрель</v>
      </c>
      <c r="I611" t="s">
        <v>9</v>
      </c>
      <c r="J611">
        <v>55</v>
      </c>
      <c r="K611" t="s">
        <v>10</v>
      </c>
      <c r="L611">
        <v>4</v>
      </c>
      <c r="M611">
        <v>415</v>
      </c>
      <c r="N611" s="1">
        <f t="shared" si="30"/>
        <v>1660</v>
      </c>
    </row>
    <row r="612" spans="5:14" x14ac:dyDescent="0.25">
      <c r="E612">
        <v>1868</v>
      </c>
      <c r="F612" s="7">
        <v>45576</v>
      </c>
      <c r="G612">
        <f t="shared" si="28"/>
        <v>2024</v>
      </c>
      <c r="H612" s="7" t="str">
        <f t="shared" si="29"/>
        <v>Октябрь</v>
      </c>
      <c r="I612" t="s">
        <v>9</v>
      </c>
      <c r="J612">
        <v>42</v>
      </c>
      <c r="K612" t="s">
        <v>8</v>
      </c>
      <c r="L612">
        <v>3</v>
      </c>
      <c r="M612">
        <v>352</v>
      </c>
      <c r="N612" s="1">
        <f t="shared" si="30"/>
        <v>1056</v>
      </c>
    </row>
    <row r="613" spans="5:14" x14ac:dyDescent="0.25">
      <c r="E613">
        <v>1259</v>
      </c>
      <c r="F613" s="7">
        <v>45503</v>
      </c>
      <c r="G613">
        <f t="shared" si="28"/>
        <v>2024</v>
      </c>
      <c r="H613" s="7" t="str">
        <f t="shared" si="29"/>
        <v>Июль</v>
      </c>
      <c r="I613" t="s">
        <v>9</v>
      </c>
      <c r="J613">
        <v>42</v>
      </c>
      <c r="K613" t="s">
        <v>8</v>
      </c>
      <c r="L613">
        <v>5</v>
      </c>
      <c r="M613">
        <v>55</v>
      </c>
      <c r="N613" s="1">
        <f t="shared" si="30"/>
        <v>275</v>
      </c>
    </row>
    <row r="614" spans="5:14" x14ac:dyDescent="0.25">
      <c r="E614">
        <v>448</v>
      </c>
      <c r="F614" s="7">
        <v>45110</v>
      </c>
      <c r="G614">
        <f t="shared" si="28"/>
        <v>2023</v>
      </c>
      <c r="H614" s="7" t="str">
        <f t="shared" si="29"/>
        <v>Июль</v>
      </c>
      <c r="I614" t="s">
        <v>7</v>
      </c>
      <c r="J614">
        <v>25</v>
      </c>
      <c r="K614" t="s">
        <v>11</v>
      </c>
      <c r="L614">
        <v>4</v>
      </c>
      <c r="M614">
        <v>50</v>
      </c>
      <c r="N614" s="1">
        <f t="shared" si="30"/>
        <v>200</v>
      </c>
    </row>
    <row r="615" spans="5:14" x14ac:dyDescent="0.25">
      <c r="E615">
        <v>1743</v>
      </c>
      <c r="F615" s="7">
        <v>45611</v>
      </c>
      <c r="G615">
        <f t="shared" si="28"/>
        <v>2024</v>
      </c>
      <c r="H615" s="7" t="str">
        <f t="shared" si="29"/>
        <v>Ноябрь</v>
      </c>
      <c r="I615" t="s">
        <v>7</v>
      </c>
      <c r="J615">
        <v>50</v>
      </c>
      <c r="K615" t="s">
        <v>8</v>
      </c>
      <c r="L615">
        <v>3</v>
      </c>
      <c r="M615">
        <v>224</v>
      </c>
      <c r="N615" s="1">
        <f t="shared" si="30"/>
        <v>672</v>
      </c>
    </row>
    <row r="616" spans="5:14" x14ac:dyDescent="0.25">
      <c r="E616">
        <v>612</v>
      </c>
      <c r="F616" s="7">
        <v>45039</v>
      </c>
      <c r="G616">
        <f t="shared" si="28"/>
        <v>2023</v>
      </c>
      <c r="H616" s="7" t="str">
        <f t="shared" si="29"/>
        <v>Апрель</v>
      </c>
      <c r="I616" t="s">
        <v>9</v>
      </c>
      <c r="J616">
        <v>52</v>
      </c>
      <c r="K616" t="s">
        <v>10</v>
      </c>
      <c r="L616">
        <v>3</v>
      </c>
      <c r="M616">
        <v>30</v>
      </c>
      <c r="N616" s="1">
        <f t="shared" si="30"/>
        <v>90</v>
      </c>
    </row>
    <row r="617" spans="5:14" x14ac:dyDescent="0.25">
      <c r="E617">
        <v>333</v>
      </c>
      <c r="F617" s="7">
        <v>45231</v>
      </c>
      <c r="G617">
        <f t="shared" si="28"/>
        <v>2023</v>
      </c>
      <c r="H617" s="7" t="str">
        <f t="shared" si="29"/>
        <v>Ноябрь</v>
      </c>
      <c r="I617" t="s">
        <v>7</v>
      </c>
      <c r="J617">
        <v>31</v>
      </c>
      <c r="K617" t="s">
        <v>11</v>
      </c>
      <c r="L617">
        <v>3</v>
      </c>
      <c r="M617">
        <v>300</v>
      </c>
      <c r="N617" s="1">
        <f t="shared" si="30"/>
        <v>900</v>
      </c>
    </row>
    <row r="618" spans="5:14" x14ac:dyDescent="0.25">
      <c r="E618">
        <v>1335</v>
      </c>
      <c r="F618" s="7">
        <v>45499</v>
      </c>
      <c r="G618">
        <f t="shared" si="28"/>
        <v>2024</v>
      </c>
      <c r="H618" s="7" t="str">
        <f t="shared" si="29"/>
        <v>Июль</v>
      </c>
      <c r="I618" t="s">
        <v>7</v>
      </c>
      <c r="J618">
        <v>43</v>
      </c>
      <c r="K618" t="s">
        <v>8</v>
      </c>
      <c r="L618">
        <v>6</v>
      </c>
      <c r="M618">
        <v>20</v>
      </c>
      <c r="N618" s="1">
        <f t="shared" si="30"/>
        <v>120</v>
      </c>
    </row>
    <row r="619" spans="5:14" x14ac:dyDescent="0.25">
      <c r="E619">
        <v>460</v>
      </c>
      <c r="F619" s="7">
        <v>45010</v>
      </c>
      <c r="G619">
        <f t="shared" si="28"/>
        <v>2023</v>
      </c>
      <c r="H619" s="7" t="str">
        <f t="shared" si="29"/>
        <v>Март</v>
      </c>
      <c r="I619" t="s">
        <v>9</v>
      </c>
      <c r="J619">
        <v>18</v>
      </c>
      <c r="K619" t="s">
        <v>8</v>
      </c>
      <c r="L619">
        <v>2</v>
      </c>
      <c r="M619">
        <v>500</v>
      </c>
      <c r="N619" s="1">
        <f t="shared" si="30"/>
        <v>1000</v>
      </c>
    </row>
    <row r="620" spans="5:14" x14ac:dyDescent="0.25">
      <c r="E620">
        <v>1326</v>
      </c>
      <c r="F620" s="7">
        <v>45321</v>
      </c>
      <c r="G620">
        <f t="shared" si="28"/>
        <v>2024</v>
      </c>
      <c r="H620" s="7" t="str">
        <f t="shared" si="29"/>
        <v>Январь</v>
      </c>
      <c r="I620" t="s">
        <v>9</v>
      </c>
      <c r="J620">
        <v>26</v>
      </c>
      <c r="K620" t="s">
        <v>11</v>
      </c>
      <c r="L620">
        <v>3</v>
      </c>
      <c r="M620">
        <v>460</v>
      </c>
      <c r="N620" s="1">
        <f t="shared" si="30"/>
        <v>1380</v>
      </c>
    </row>
    <row r="621" spans="5:14" x14ac:dyDescent="0.25">
      <c r="E621">
        <v>998</v>
      </c>
      <c r="F621" s="7">
        <v>45028</v>
      </c>
      <c r="G621">
        <f t="shared" si="28"/>
        <v>2023</v>
      </c>
      <c r="H621" s="7" t="str">
        <f t="shared" si="29"/>
        <v>Апрель</v>
      </c>
      <c r="I621" t="s">
        <v>7</v>
      </c>
      <c r="J621">
        <v>47</v>
      </c>
      <c r="K621" t="s">
        <v>11</v>
      </c>
      <c r="L621">
        <v>4</v>
      </c>
      <c r="M621">
        <v>30</v>
      </c>
      <c r="N621" s="1">
        <f t="shared" si="30"/>
        <v>120</v>
      </c>
    </row>
    <row r="622" spans="5:14" x14ac:dyDescent="0.25">
      <c r="E622">
        <v>332</v>
      </c>
      <c r="F622" s="7">
        <v>44962</v>
      </c>
      <c r="G622">
        <f t="shared" si="28"/>
        <v>2023</v>
      </c>
      <c r="H622" s="7" t="str">
        <f t="shared" si="29"/>
        <v>Февраль</v>
      </c>
      <c r="I622" t="s">
        <v>9</v>
      </c>
      <c r="J622">
        <v>54</v>
      </c>
      <c r="K622" t="s">
        <v>11</v>
      </c>
      <c r="L622">
        <v>4</v>
      </c>
      <c r="M622">
        <v>300</v>
      </c>
      <c r="N622" s="1">
        <f t="shared" si="30"/>
        <v>1200</v>
      </c>
    </row>
    <row r="623" spans="5:14" x14ac:dyDescent="0.25">
      <c r="E623">
        <v>87</v>
      </c>
      <c r="F623" s="7">
        <v>45252</v>
      </c>
      <c r="G623">
        <f t="shared" si="28"/>
        <v>2023</v>
      </c>
      <c r="H623" s="7" t="str">
        <f t="shared" si="29"/>
        <v>Ноябрь</v>
      </c>
      <c r="I623" t="s">
        <v>9</v>
      </c>
      <c r="J623">
        <v>28</v>
      </c>
      <c r="K623" t="s">
        <v>8</v>
      </c>
      <c r="L623">
        <v>2</v>
      </c>
      <c r="M623">
        <v>50</v>
      </c>
      <c r="N623" s="1">
        <f t="shared" si="30"/>
        <v>100</v>
      </c>
    </row>
    <row r="624" spans="5:14" x14ac:dyDescent="0.25">
      <c r="E624">
        <v>533</v>
      </c>
      <c r="F624" s="7">
        <v>45087</v>
      </c>
      <c r="G624">
        <f t="shared" si="28"/>
        <v>2023</v>
      </c>
      <c r="H624" s="7" t="str">
        <f t="shared" si="29"/>
        <v>Июнь</v>
      </c>
      <c r="I624" t="s">
        <v>7</v>
      </c>
      <c r="J624">
        <v>45</v>
      </c>
      <c r="K624" t="s">
        <v>10</v>
      </c>
      <c r="L624">
        <v>2</v>
      </c>
      <c r="M624">
        <v>500</v>
      </c>
      <c r="N624" s="1">
        <f t="shared" si="30"/>
        <v>1000</v>
      </c>
    </row>
    <row r="625" spans="5:14" x14ac:dyDescent="0.25">
      <c r="E625">
        <v>645</v>
      </c>
      <c r="F625" s="7">
        <v>45049</v>
      </c>
      <c r="G625">
        <f t="shared" si="28"/>
        <v>2023</v>
      </c>
      <c r="H625" s="7" t="str">
        <f t="shared" si="29"/>
        <v>Май</v>
      </c>
      <c r="I625" t="s">
        <v>7</v>
      </c>
      <c r="J625">
        <v>38</v>
      </c>
      <c r="K625" t="s">
        <v>10</v>
      </c>
      <c r="L625">
        <v>3</v>
      </c>
      <c r="M625">
        <v>30</v>
      </c>
      <c r="N625" s="1">
        <f t="shared" si="30"/>
        <v>90</v>
      </c>
    </row>
    <row r="626" spans="5:14" x14ac:dyDescent="0.25">
      <c r="E626">
        <v>90</v>
      </c>
      <c r="F626" s="7">
        <v>45052</v>
      </c>
      <c r="G626">
        <f t="shared" si="28"/>
        <v>2023</v>
      </c>
      <c r="H626" s="7" t="str">
        <f t="shared" si="29"/>
        <v>Май</v>
      </c>
      <c r="I626" t="s">
        <v>9</v>
      </c>
      <c r="J626">
        <v>51</v>
      </c>
      <c r="K626" t="s">
        <v>11</v>
      </c>
      <c r="L626">
        <v>1</v>
      </c>
      <c r="M626">
        <v>30</v>
      </c>
      <c r="N626" s="1">
        <f t="shared" si="30"/>
        <v>30</v>
      </c>
    </row>
    <row r="627" spans="5:14" x14ac:dyDescent="0.25">
      <c r="E627">
        <v>1217</v>
      </c>
      <c r="F627" s="7">
        <v>45354</v>
      </c>
      <c r="G627">
        <f t="shared" si="28"/>
        <v>2024</v>
      </c>
      <c r="H627" s="7" t="str">
        <f t="shared" si="29"/>
        <v>Март</v>
      </c>
      <c r="I627" t="s">
        <v>7</v>
      </c>
      <c r="J627">
        <v>24</v>
      </c>
      <c r="K627" t="s">
        <v>8</v>
      </c>
      <c r="L627">
        <v>2</v>
      </c>
      <c r="M627">
        <v>131</v>
      </c>
      <c r="N627" s="1">
        <f t="shared" si="30"/>
        <v>262</v>
      </c>
    </row>
    <row r="628" spans="5:14" x14ac:dyDescent="0.25">
      <c r="E628">
        <v>193</v>
      </c>
      <c r="F628" s="7">
        <v>44970</v>
      </c>
      <c r="G628">
        <f t="shared" si="28"/>
        <v>2023</v>
      </c>
      <c r="H628" s="7" t="str">
        <f t="shared" si="29"/>
        <v>Февраль</v>
      </c>
      <c r="I628" t="s">
        <v>7</v>
      </c>
      <c r="J628">
        <v>35</v>
      </c>
      <c r="K628" t="s">
        <v>8</v>
      </c>
      <c r="L628">
        <v>3</v>
      </c>
      <c r="M628">
        <v>500</v>
      </c>
      <c r="N628" s="1">
        <f t="shared" si="30"/>
        <v>1500</v>
      </c>
    </row>
    <row r="629" spans="5:14" x14ac:dyDescent="0.25">
      <c r="E629">
        <v>1124</v>
      </c>
      <c r="F629" s="7">
        <v>45591</v>
      </c>
      <c r="G629">
        <f t="shared" si="28"/>
        <v>2024</v>
      </c>
      <c r="H629" s="7" t="str">
        <f t="shared" si="29"/>
        <v>Октябрь</v>
      </c>
      <c r="I629" t="s">
        <v>9</v>
      </c>
      <c r="J629">
        <v>26</v>
      </c>
      <c r="K629" t="s">
        <v>10</v>
      </c>
      <c r="L629">
        <v>7</v>
      </c>
      <c r="M629">
        <v>238</v>
      </c>
      <c r="N629" s="1">
        <f t="shared" si="30"/>
        <v>1666</v>
      </c>
    </row>
    <row r="630" spans="5:14" x14ac:dyDescent="0.25">
      <c r="E630">
        <v>104</v>
      </c>
      <c r="F630" s="7">
        <v>45088</v>
      </c>
      <c r="G630">
        <f t="shared" si="28"/>
        <v>2023</v>
      </c>
      <c r="H630" s="7" t="str">
        <f t="shared" si="29"/>
        <v>Июнь</v>
      </c>
      <c r="I630" t="s">
        <v>9</v>
      </c>
      <c r="J630">
        <v>34</v>
      </c>
      <c r="K630" t="s">
        <v>8</v>
      </c>
      <c r="L630">
        <v>2</v>
      </c>
      <c r="M630">
        <v>500</v>
      </c>
      <c r="N630" s="1">
        <f t="shared" si="30"/>
        <v>1000</v>
      </c>
    </row>
    <row r="631" spans="5:14" x14ac:dyDescent="0.25">
      <c r="E631">
        <v>495</v>
      </c>
      <c r="F631" s="7">
        <v>45274</v>
      </c>
      <c r="G631">
        <f t="shared" si="28"/>
        <v>2023</v>
      </c>
      <c r="H631" s="7" t="str">
        <f t="shared" si="29"/>
        <v>Декабрь</v>
      </c>
      <c r="I631" t="s">
        <v>7</v>
      </c>
      <c r="J631">
        <v>23</v>
      </c>
      <c r="K631" t="s">
        <v>10</v>
      </c>
      <c r="L631">
        <v>2</v>
      </c>
      <c r="M631">
        <v>300</v>
      </c>
      <c r="N631" s="1">
        <f t="shared" si="30"/>
        <v>600</v>
      </c>
    </row>
    <row r="632" spans="5:14" x14ac:dyDescent="0.25">
      <c r="E632">
        <v>1975</v>
      </c>
      <c r="F632" s="7">
        <v>45293</v>
      </c>
      <c r="G632">
        <f t="shared" si="28"/>
        <v>2024</v>
      </c>
      <c r="H632" s="7" t="str">
        <f t="shared" si="29"/>
        <v>Январь</v>
      </c>
      <c r="I632" t="s">
        <v>9</v>
      </c>
      <c r="J632">
        <v>51</v>
      </c>
      <c r="K632" t="s">
        <v>8</v>
      </c>
      <c r="L632">
        <v>7</v>
      </c>
      <c r="M632">
        <v>143</v>
      </c>
      <c r="N632" s="1">
        <f t="shared" si="30"/>
        <v>1001</v>
      </c>
    </row>
    <row r="633" spans="5:14" x14ac:dyDescent="0.25">
      <c r="E633">
        <v>1247</v>
      </c>
      <c r="F633" s="7">
        <v>45588</v>
      </c>
      <c r="G633">
        <f t="shared" si="28"/>
        <v>2024</v>
      </c>
      <c r="H633" s="7" t="str">
        <f t="shared" si="29"/>
        <v>Октябрь</v>
      </c>
      <c r="I633" t="s">
        <v>7</v>
      </c>
      <c r="J633">
        <v>49</v>
      </c>
      <c r="K633" t="s">
        <v>11</v>
      </c>
      <c r="L633">
        <v>7</v>
      </c>
      <c r="M633">
        <v>382</v>
      </c>
      <c r="N633" s="1">
        <f t="shared" si="30"/>
        <v>2674</v>
      </c>
    </row>
    <row r="634" spans="5:14" x14ac:dyDescent="0.25">
      <c r="E634">
        <v>1839</v>
      </c>
      <c r="F634" s="7">
        <v>45434</v>
      </c>
      <c r="G634">
        <f t="shared" si="28"/>
        <v>2024</v>
      </c>
      <c r="H634" s="7" t="str">
        <f t="shared" si="29"/>
        <v>Май</v>
      </c>
      <c r="I634" t="s">
        <v>7</v>
      </c>
      <c r="J634">
        <v>43</v>
      </c>
      <c r="K634" t="s">
        <v>8</v>
      </c>
      <c r="L634">
        <v>4</v>
      </c>
      <c r="M634">
        <v>308</v>
      </c>
      <c r="N634" s="1">
        <f t="shared" si="30"/>
        <v>1232</v>
      </c>
    </row>
    <row r="635" spans="5:14" x14ac:dyDescent="0.25">
      <c r="E635">
        <v>1243</v>
      </c>
      <c r="F635" s="7">
        <v>45402</v>
      </c>
      <c r="G635">
        <f t="shared" si="28"/>
        <v>2024</v>
      </c>
      <c r="H635" s="7" t="str">
        <f t="shared" si="29"/>
        <v>Апрель</v>
      </c>
      <c r="I635" t="s">
        <v>9</v>
      </c>
      <c r="J635">
        <v>47</v>
      </c>
      <c r="K635" t="s">
        <v>11</v>
      </c>
      <c r="L635">
        <v>3</v>
      </c>
      <c r="M635">
        <v>469</v>
      </c>
      <c r="N635" s="1">
        <f t="shared" si="30"/>
        <v>1407</v>
      </c>
    </row>
    <row r="636" spans="5:14" x14ac:dyDescent="0.25">
      <c r="E636">
        <v>45</v>
      </c>
      <c r="F636" s="7">
        <v>45110</v>
      </c>
      <c r="G636">
        <f t="shared" si="28"/>
        <v>2023</v>
      </c>
      <c r="H636" s="7" t="str">
        <f t="shared" si="29"/>
        <v>Июль</v>
      </c>
      <c r="I636" t="s">
        <v>9</v>
      </c>
      <c r="J636">
        <v>55</v>
      </c>
      <c r="K636" t="s">
        <v>11</v>
      </c>
      <c r="L636">
        <v>1</v>
      </c>
      <c r="M636">
        <v>30</v>
      </c>
      <c r="N636" s="1">
        <f t="shared" si="30"/>
        <v>30</v>
      </c>
    </row>
    <row r="637" spans="5:14" x14ac:dyDescent="0.25">
      <c r="E637">
        <v>1742</v>
      </c>
      <c r="F637" s="7">
        <v>45302</v>
      </c>
      <c r="G637">
        <f t="shared" si="28"/>
        <v>2024</v>
      </c>
      <c r="H637" s="7" t="str">
        <f t="shared" si="29"/>
        <v>Январь</v>
      </c>
      <c r="I637" t="s">
        <v>9</v>
      </c>
      <c r="J637">
        <v>58</v>
      </c>
      <c r="K637" t="s">
        <v>10</v>
      </c>
      <c r="L637">
        <v>3</v>
      </c>
      <c r="M637">
        <v>337</v>
      </c>
      <c r="N637" s="1">
        <f t="shared" si="30"/>
        <v>1011</v>
      </c>
    </row>
    <row r="638" spans="5:14" x14ac:dyDescent="0.25">
      <c r="E638">
        <v>1011</v>
      </c>
      <c r="F638" s="7">
        <v>45509</v>
      </c>
      <c r="G638">
        <f t="shared" si="28"/>
        <v>2024</v>
      </c>
      <c r="H638" s="7" t="str">
        <f t="shared" si="29"/>
        <v>Август</v>
      </c>
      <c r="I638" t="s">
        <v>7</v>
      </c>
      <c r="J638">
        <v>34</v>
      </c>
      <c r="K638" t="s">
        <v>11</v>
      </c>
      <c r="L638">
        <v>5</v>
      </c>
      <c r="M638">
        <v>299</v>
      </c>
      <c r="N638" s="1">
        <f t="shared" si="30"/>
        <v>1495</v>
      </c>
    </row>
    <row r="639" spans="5:14" x14ac:dyDescent="0.25">
      <c r="E639">
        <v>1154</v>
      </c>
      <c r="F639" s="7">
        <v>45621</v>
      </c>
      <c r="G639">
        <f t="shared" si="28"/>
        <v>2024</v>
      </c>
      <c r="H639" s="7" t="str">
        <f t="shared" si="29"/>
        <v>Ноябрь</v>
      </c>
      <c r="I639" t="s">
        <v>9</v>
      </c>
      <c r="J639">
        <v>37</v>
      </c>
      <c r="K639" t="s">
        <v>10</v>
      </c>
      <c r="L639">
        <v>5</v>
      </c>
      <c r="M639">
        <v>498</v>
      </c>
      <c r="N639" s="1">
        <f t="shared" si="30"/>
        <v>2490</v>
      </c>
    </row>
    <row r="640" spans="5:14" x14ac:dyDescent="0.25">
      <c r="E640">
        <v>1670</v>
      </c>
      <c r="F640" s="7">
        <v>45398</v>
      </c>
      <c r="G640">
        <f t="shared" si="28"/>
        <v>2024</v>
      </c>
      <c r="H640" s="7" t="str">
        <f t="shared" si="29"/>
        <v>Апрель</v>
      </c>
      <c r="I640" t="s">
        <v>9</v>
      </c>
      <c r="J640">
        <v>33</v>
      </c>
      <c r="K640" t="s">
        <v>10</v>
      </c>
      <c r="L640">
        <v>4</v>
      </c>
      <c r="M640">
        <v>198</v>
      </c>
      <c r="N640" s="1">
        <f t="shared" si="30"/>
        <v>792</v>
      </c>
    </row>
    <row r="641" spans="5:14" x14ac:dyDescent="0.25">
      <c r="E641">
        <v>776</v>
      </c>
      <c r="F641" s="7">
        <v>45248</v>
      </c>
      <c r="G641">
        <f t="shared" si="28"/>
        <v>2023</v>
      </c>
      <c r="H641" s="7" t="str">
        <f t="shared" si="29"/>
        <v>Ноябрь</v>
      </c>
      <c r="I641" t="s">
        <v>9</v>
      </c>
      <c r="J641">
        <v>47</v>
      </c>
      <c r="K641" t="s">
        <v>8</v>
      </c>
      <c r="L641">
        <v>4</v>
      </c>
      <c r="M641">
        <v>25</v>
      </c>
      <c r="N641" s="1">
        <f t="shared" si="30"/>
        <v>100</v>
      </c>
    </row>
    <row r="642" spans="5:14" x14ac:dyDescent="0.25">
      <c r="E642">
        <v>1490</v>
      </c>
      <c r="F642" s="7">
        <v>45621</v>
      </c>
      <c r="G642">
        <f t="shared" si="28"/>
        <v>2024</v>
      </c>
      <c r="H642" s="7" t="str">
        <f t="shared" si="29"/>
        <v>Ноябрь</v>
      </c>
      <c r="I642" t="s">
        <v>7</v>
      </c>
      <c r="J642">
        <v>49</v>
      </c>
      <c r="K642" t="s">
        <v>8</v>
      </c>
      <c r="L642">
        <v>7</v>
      </c>
      <c r="M642">
        <v>314</v>
      </c>
      <c r="N642" s="1">
        <f t="shared" si="30"/>
        <v>2198</v>
      </c>
    </row>
    <row r="643" spans="5:14" x14ac:dyDescent="0.25">
      <c r="E643">
        <v>339</v>
      </c>
      <c r="F643" s="7">
        <v>45218</v>
      </c>
      <c r="G643">
        <f t="shared" si="28"/>
        <v>2023</v>
      </c>
      <c r="H643" s="7" t="str">
        <f t="shared" si="29"/>
        <v>Октябрь</v>
      </c>
      <c r="I643" t="s">
        <v>9</v>
      </c>
      <c r="J643">
        <v>36</v>
      </c>
      <c r="K643" t="s">
        <v>10</v>
      </c>
      <c r="L643">
        <v>4</v>
      </c>
      <c r="M643">
        <v>300</v>
      </c>
      <c r="N643" s="1">
        <f t="shared" si="30"/>
        <v>1200</v>
      </c>
    </row>
    <row r="644" spans="5:14" x14ac:dyDescent="0.25">
      <c r="E644">
        <v>449</v>
      </c>
      <c r="F644" s="7">
        <v>45034</v>
      </c>
      <c r="G644">
        <f t="shared" si="28"/>
        <v>2023</v>
      </c>
      <c r="H644" s="7" t="str">
        <f t="shared" si="29"/>
        <v>Апрель</v>
      </c>
      <c r="I644" t="s">
        <v>9</v>
      </c>
      <c r="J644">
        <v>59</v>
      </c>
      <c r="K644" t="s">
        <v>8</v>
      </c>
      <c r="L644">
        <v>2</v>
      </c>
      <c r="M644">
        <v>25</v>
      </c>
      <c r="N644" s="1">
        <f t="shared" si="30"/>
        <v>50</v>
      </c>
    </row>
    <row r="645" spans="5:14" x14ac:dyDescent="0.25">
      <c r="E645">
        <v>1733</v>
      </c>
      <c r="F645" s="7">
        <v>45472</v>
      </c>
      <c r="G645">
        <f t="shared" si="28"/>
        <v>2024</v>
      </c>
      <c r="H645" s="7" t="str">
        <f t="shared" si="29"/>
        <v>Июнь</v>
      </c>
      <c r="I645" t="s">
        <v>9</v>
      </c>
      <c r="J645">
        <v>18</v>
      </c>
      <c r="K645" t="s">
        <v>10</v>
      </c>
      <c r="L645">
        <v>4</v>
      </c>
      <c r="M645">
        <v>292</v>
      </c>
      <c r="N645" s="1">
        <f t="shared" si="30"/>
        <v>1168</v>
      </c>
    </row>
    <row r="646" spans="5:14" x14ac:dyDescent="0.25">
      <c r="E646">
        <v>340</v>
      </c>
      <c r="F646" s="7">
        <v>45053</v>
      </c>
      <c r="G646">
        <f t="shared" si="28"/>
        <v>2023</v>
      </c>
      <c r="H646" s="7" t="str">
        <f t="shared" si="29"/>
        <v>Май</v>
      </c>
      <c r="I646" t="s">
        <v>7</v>
      </c>
      <c r="J646">
        <v>31</v>
      </c>
      <c r="K646" t="s">
        <v>10</v>
      </c>
      <c r="L646">
        <v>4</v>
      </c>
      <c r="M646">
        <v>50</v>
      </c>
      <c r="N646" s="1">
        <f t="shared" si="30"/>
        <v>200</v>
      </c>
    </row>
    <row r="647" spans="5:14" x14ac:dyDescent="0.25">
      <c r="E647">
        <v>5</v>
      </c>
      <c r="F647" s="7">
        <v>45052</v>
      </c>
      <c r="G647">
        <f t="shared" si="28"/>
        <v>2023</v>
      </c>
      <c r="H647" s="7" t="str">
        <f t="shared" si="29"/>
        <v>Май</v>
      </c>
      <c r="I647" t="s">
        <v>7</v>
      </c>
      <c r="J647">
        <v>30</v>
      </c>
      <c r="K647" t="s">
        <v>8</v>
      </c>
      <c r="L647">
        <v>2</v>
      </c>
      <c r="M647">
        <v>50</v>
      </c>
      <c r="N647" s="1">
        <f t="shared" si="30"/>
        <v>100</v>
      </c>
    </row>
    <row r="648" spans="5:14" x14ac:dyDescent="0.25">
      <c r="E648">
        <v>1038</v>
      </c>
      <c r="F648" s="7">
        <v>45465</v>
      </c>
      <c r="G648">
        <f t="shared" si="28"/>
        <v>2024</v>
      </c>
      <c r="H648" s="7" t="str">
        <f t="shared" si="29"/>
        <v>Июнь</v>
      </c>
      <c r="I648" t="s">
        <v>7</v>
      </c>
      <c r="J648">
        <v>22</v>
      </c>
      <c r="K648" t="s">
        <v>8</v>
      </c>
      <c r="L648">
        <v>7</v>
      </c>
      <c r="M648">
        <v>55</v>
      </c>
      <c r="N648" s="1">
        <f t="shared" si="30"/>
        <v>385</v>
      </c>
    </row>
    <row r="649" spans="5:14" x14ac:dyDescent="0.25">
      <c r="E649">
        <v>86</v>
      </c>
      <c r="F649" s="7">
        <v>45238</v>
      </c>
      <c r="G649">
        <f t="shared" si="28"/>
        <v>2023</v>
      </c>
      <c r="H649" s="7" t="str">
        <f t="shared" si="29"/>
        <v>Ноябрь</v>
      </c>
      <c r="I649" t="s">
        <v>7</v>
      </c>
      <c r="J649">
        <v>19</v>
      </c>
      <c r="K649" t="s">
        <v>8</v>
      </c>
      <c r="L649">
        <v>3</v>
      </c>
      <c r="M649">
        <v>30</v>
      </c>
      <c r="N649" s="1">
        <f t="shared" si="30"/>
        <v>90</v>
      </c>
    </row>
    <row r="650" spans="5:14" x14ac:dyDescent="0.25">
      <c r="E650">
        <v>1813</v>
      </c>
      <c r="F650" s="7">
        <v>45596</v>
      </c>
      <c r="G650">
        <f t="shared" ref="G650:G713" si="31">YEAR(F650)</f>
        <v>2024</v>
      </c>
      <c r="H650" s="7" t="str">
        <f t="shared" ref="H650:H713" si="32">TEXT(F650,"ММММ")</f>
        <v>Октябрь</v>
      </c>
      <c r="I650" t="s">
        <v>7</v>
      </c>
      <c r="J650">
        <v>65</v>
      </c>
      <c r="K650" t="s">
        <v>8</v>
      </c>
      <c r="L650">
        <v>6</v>
      </c>
      <c r="M650">
        <v>398</v>
      </c>
      <c r="N650" s="1">
        <f t="shared" ref="N650:N713" si="33">L650*M650</f>
        <v>2388</v>
      </c>
    </row>
    <row r="651" spans="5:14" x14ac:dyDescent="0.25">
      <c r="E651">
        <v>1917</v>
      </c>
      <c r="F651" s="7">
        <v>45298</v>
      </c>
      <c r="G651">
        <f t="shared" si="31"/>
        <v>2024</v>
      </c>
      <c r="H651" s="7" t="str">
        <f t="shared" si="32"/>
        <v>Январь</v>
      </c>
      <c r="I651" t="s">
        <v>7</v>
      </c>
      <c r="J651">
        <v>30</v>
      </c>
      <c r="K651" t="s">
        <v>11</v>
      </c>
      <c r="L651">
        <v>6</v>
      </c>
      <c r="M651">
        <v>489</v>
      </c>
      <c r="N651" s="1">
        <f t="shared" si="33"/>
        <v>2934</v>
      </c>
    </row>
    <row r="652" spans="5:14" x14ac:dyDescent="0.25">
      <c r="E652">
        <v>1550</v>
      </c>
      <c r="F652" s="7">
        <v>45382</v>
      </c>
      <c r="G652">
        <f t="shared" si="31"/>
        <v>2024</v>
      </c>
      <c r="H652" s="7" t="str">
        <f t="shared" si="32"/>
        <v>Март</v>
      </c>
      <c r="I652" t="s">
        <v>7</v>
      </c>
      <c r="J652">
        <v>53</v>
      </c>
      <c r="K652" t="s">
        <v>10</v>
      </c>
      <c r="L652">
        <v>4</v>
      </c>
      <c r="M652">
        <v>268</v>
      </c>
      <c r="N652" s="1">
        <f t="shared" si="33"/>
        <v>1072</v>
      </c>
    </row>
    <row r="653" spans="5:14" x14ac:dyDescent="0.25">
      <c r="E653">
        <v>262</v>
      </c>
      <c r="F653" s="7">
        <v>45166</v>
      </c>
      <c r="G653">
        <f t="shared" si="31"/>
        <v>2023</v>
      </c>
      <c r="H653" s="7" t="str">
        <f t="shared" si="32"/>
        <v>Август</v>
      </c>
      <c r="I653" t="s">
        <v>7</v>
      </c>
      <c r="J653">
        <v>23</v>
      </c>
      <c r="K653" t="s">
        <v>8</v>
      </c>
      <c r="L653">
        <v>2</v>
      </c>
      <c r="M653">
        <v>30</v>
      </c>
      <c r="N653" s="1">
        <f t="shared" si="33"/>
        <v>60</v>
      </c>
    </row>
    <row r="654" spans="5:14" x14ac:dyDescent="0.25">
      <c r="E654">
        <v>1583</v>
      </c>
      <c r="F654" s="7">
        <v>45637</v>
      </c>
      <c r="G654">
        <f t="shared" si="31"/>
        <v>2024</v>
      </c>
      <c r="H654" s="7" t="str">
        <f t="shared" si="32"/>
        <v>Декабрь</v>
      </c>
      <c r="I654" t="s">
        <v>7</v>
      </c>
      <c r="J654">
        <v>25</v>
      </c>
      <c r="K654" t="s">
        <v>11</v>
      </c>
      <c r="L654">
        <v>3</v>
      </c>
      <c r="M654">
        <v>115</v>
      </c>
      <c r="N654" s="1">
        <f t="shared" si="33"/>
        <v>345</v>
      </c>
    </row>
    <row r="655" spans="5:14" x14ac:dyDescent="0.25">
      <c r="E655">
        <v>815</v>
      </c>
      <c r="F655" s="7">
        <v>45230</v>
      </c>
      <c r="G655">
        <f t="shared" si="31"/>
        <v>2023</v>
      </c>
      <c r="H655" s="7" t="str">
        <f t="shared" si="32"/>
        <v>Октябрь</v>
      </c>
      <c r="I655" t="s">
        <v>7</v>
      </c>
      <c r="J655">
        <v>30</v>
      </c>
      <c r="K655" t="s">
        <v>8</v>
      </c>
      <c r="L655">
        <v>4</v>
      </c>
      <c r="M655">
        <v>50</v>
      </c>
      <c r="N655" s="1">
        <f t="shared" si="33"/>
        <v>200</v>
      </c>
    </row>
    <row r="656" spans="5:14" x14ac:dyDescent="0.25">
      <c r="E656">
        <v>1115</v>
      </c>
      <c r="F656" s="7">
        <v>45366</v>
      </c>
      <c r="G656">
        <f t="shared" si="31"/>
        <v>2024</v>
      </c>
      <c r="H656" s="7" t="str">
        <f t="shared" si="32"/>
        <v>Март</v>
      </c>
      <c r="I656" t="s">
        <v>7</v>
      </c>
      <c r="J656">
        <v>38</v>
      </c>
      <c r="K656" t="s">
        <v>11</v>
      </c>
      <c r="L656">
        <v>4</v>
      </c>
      <c r="M656">
        <v>43</v>
      </c>
      <c r="N656" s="1">
        <f t="shared" si="33"/>
        <v>172</v>
      </c>
    </row>
    <row r="657" spans="5:14" x14ac:dyDescent="0.25">
      <c r="E657">
        <v>995</v>
      </c>
      <c r="F657" s="7">
        <v>45247</v>
      </c>
      <c r="G657">
        <f t="shared" si="31"/>
        <v>2023</v>
      </c>
      <c r="H657" s="7" t="str">
        <f t="shared" si="32"/>
        <v>Ноябрь</v>
      </c>
      <c r="I657" t="s">
        <v>7</v>
      </c>
      <c r="J657">
        <v>52</v>
      </c>
      <c r="K657" t="s">
        <v>8</v>
      </c>
      <c r="L657">
        <v>3</v>
      </c>
      <c r="M657">
        <v>30</v>
      </c>
      <c r="N657" s="1">
        <f t="shared" si="33"/>
        <v>90</v>
      </c>
    </row>
    <row r="658" spans="5:14" x14ac:dyDescent="0.25">
      <c r="E658">
        <v>899</v>
      </c>
      <c r="F658" s="7">
        <v>45026</v>
      </c>
      <c r="G658">
        <f t="shared" si="31"/>
        <v>2023</v>
      </c>
      <c r="H658" s="7" t="str">
        <f t="shared" si="32"/>
        <v>Апрель</v>
      </c>
      <c r="I658" t="s">
        <v>7</v>
      </c>
      <c r="J658">
        <v>31</v>
      </c>
      <c r="K658" t="s">
        <v>11</v>
      </c>
      <c r="L658">
        <v>1</v>
      </c>
      <c r="M658">
        <v>30</v>
      </c>
      <c r="N658" s="1">
        <f t="shared" si="33"/>
        <v>30</v>
      </c>
    </row>
    <row r="659" spans="5:14" x14ac:dyDescent="0.25">
      <c r="E659">
        <v>1591</v>
      </c>
      <c r="F659" s="7">
        <v>45536</v>
      </c>
      <c r="G659">
        <f t="shared" si="31"/>
        <v>2024</v>
      </c>
      <c r="H659" s="7" t="str">
        <f t="shared" si="32"/>
        <v>Сентябрь</v>
      </c>
      <c r="I659" t="s">
        <v>9</v>
      </c>
      <c r="J659">
        <v>26</v>
      </c>
      <c r="K659" t="s">
        <v>11</v>
      </c>
      <c r="L659">
        <v>5</v>
      </c>
      <c r="M659">
        <v>211</v>
      </c>
      <c r="N659" s="1">
        <f t="shared" si="33"/>
        <v>1055</v>
      </c>
    </row>
    <row r="660" spans="5:14" x14ac:dyDescent="0.25">
      <c r="E660">
        <v>345</v>
      </c>
      <c r="F660" s="7">
        <v>44968</v>
      </c>
      <c r="G660">
        <f t="shared" si="31"/>
        <v>2023</v>
      </c>
      <c r="H660" s="7" t="str">
        <f t="shared" si="32"/>
        <v>Февраль</v>
      </c>
      <c r="I660" t="s">
        <v>7</v>
      </c>
      <c r="J660">
        <v>59</v>
      </c>
      <c r="K660" t="s">
        <v>10</v>
      </c>
      <c r="L660">
        <v>2</v>
      </c>
      <c r="M660">
        <v>500</v>
      </c>
      <c r="N660" s="1">
        <f t="shared" si="33"/>
        <v>1000</v>
      </c>
    </row>
    <row r="661" spans="5:14" x14ac:dyDescent="0.25">
      <c r="E661">
        <v>1652</v>
      </c>
      <c r="F661" s="7">
        <v>45569</v>
      </c>
      <c r="G661">
        <f t="shared" si="31"/>
        <v>2024</v>
      </c>
      <c r="H661" s="7" t="str">
        <f t="shared" si="32"/>
        <v>Октябрь</v>
      </c>
      <c r="I661" t="s">
        <v>7</v>
      </c>
      <c r="J661">
        <v>36</v>
      </c>
      <c r="K661" t="s">
        <v>8</v>
      </c>
      <c r="L661">
        <v>4</v>
      </c>
      <c r="M661">
        <v>495</v>
      </c>
      <c r="N661" s="1">
        <f t="shared" si="33"/>
        <v>1980</v>
      </c>
    </row>
    <row r="662" spans="5:14" x14ac:dyDescent="0.25">
      <c r="E662">
        <v>883</v>
      </c>
      <c r="F662" s="7">
        <v>44988</v>
      </c>
      <c r="G662">
        <f t="shared" si="31"/>
        <v>2023</v>
      </c>
      <c r="H662" s="7" t="str">
        <f t="shared" si="32"/>
        <v>Март</v>
      </c>
      <c r="I662" t="s">
        <v>9</v>
      </c>
      <c r="J662">
        <v>52</v>
      </c>
      <c r="K662" t="s">
        <v>10</v>
      </c>
      <c r="L662">
        <v>4</v>
      </c>
      <c r="M662">
        <v>30</v>
      </c>
      <c r="N662" s="1">
        <f t="shared" si="33"/>
        <v>120</v>
      </c>
    </row>
    <row r="663" spans="5:14" x14ac:dyDescent="0.25">
      <c r="E663">
        <v>1287</v>
      </c>
      <c r="F663" s="7">
        <v>45569</v>
      </c>
      <c r="G663">
        <f t="shared" si="31"/>
        <v>2024</v>
      </c>
      <c r="H663" s="7" t="str">
        <f t="shared" si="32"/>
        <v>Октябрь</v>
      </c>
      <c r="I663" t="s">
        <v>9</v>
      </c>
      <c r="J663">
        <v>45</v>
      </c>
      <c r="K663" t="s">
        <v>8</v>
      </c>
      <c r="L663">
        <v>1</v>
      </c>
      <c r="M663">
        <v>260</v>
      </c>
      <c r="N663" s="1">
        <f t="shared" si="33"/>
        <v>260</v>
      </c>
    </row>
    <row r="664" spans="5:14" x14ac:dyDescent="0.25">
      <c r="E664">
        <v>1228</v>
      </c>
      <c r="F664" s="7">
        <v>45295</v>
      </c>
      <c r="G664">
        <f t="shared" si="31"/>
        <v>2024</v>
      </c>
      <c r="H664" s="7" t="str">
        <f t="shared" si="32"/>
        <v>Январь</v>
      </c>
      <c r="I664" t="s">
        <v>9</v>
      </c>
      <c r="J664">
        <v>27</v>
      </c>
      <c r="K664" t="s">
        <v>10</v>
      </c>
      <c r="L664">
        <v>1</v>
      </c>
      <c r="M664">
        <v>247</v>
      </c>
      <c r="N664" s="1">
        <f t="shared" si="33"/>
        <v>247</v>
      </c>
    </row>
    <row r="665" spans="5:14" x14ac:dyDescent="0.25">
      <c r="E665">
        <v>915</v>
      </c>
      <c r="F665" s="7">
        <v>44991</v>
      </c>
      <c r="G665">
        <f t="shared" si="31"/>
        <v>2023</v>
      </c>
      <c r="H665" s="7" t="str">
        <f t="shared" si="32"/>
        <v>Март</v>
      </c>
      <c r="I665" t="s">
        <v>9</v>
      </c>
      <c r="J665">
        <v>57</v>
      </c>
      <c r="K665" t="s">
        <v>11</v>
      </c>
      <c r="L665">
        <v>4</v>
      </c>
      <c r="M665">
        <v>50</v>
      </c>
      <c r="N665" s="1">
        <f t="shared" si="33"/>
        <v>200</v>
      </c>
    </row>
    <row r="666" spans="5:14" x14ac:dyDescent="0.25">
      <c r="E666">
        <v>185</v>
      </c>
      <c r="F666" s="7">
        <v>44984</v>
      </c>
      <c r="G666">
        <f t="shared" si="31"/>
        <v>2023</v>
      </c>
      <c r="H666" s="7" t="str">
        <f t="shared" si="32"/>
        <v>Февраль</v>
      </c>
      <c r="I666" t="s">
        <v>7</v>
      </c>
      <c r="J666">
        <v>24</v>
      </c>
      <c r="K666" t="s">
        <v>10</v>
      </c>
      <c r="L666">
        <v>1</v>
      </c>
      <c r="M666">
        <v>25</v>
      </c>
      <c r="N666" s="1">
        <f t="shared" si="33"/>
        <v>25</v>
      </c>
    </row>
    <row r="667" spans="5:14" x14ac:dyDescent="0.25">
      <c r="E667">
        <v>615</v>
      </c>
      <c r="F667" s="7">
        <v>45192</v>
      </c>
      <c r="G667">
        <f t="shared" si="31"/>
        <v>2023</v>
      </c>
      <c r="H667" s="7" t="str">
        <f t="shared" si="32"/>
        <v>Сентябрь</v>
      </c>
      <c r="I667" t="s">
        <v>7</v>
      </c>
      <c r="J667">
        <v>41</v>
      </c>
      <c r="K667" t="s">
        <v>10</v>
      </c>
      <c r="L667">
        <v>2</v>
      </c>
      <c r="M667">
        <v>50</v>
      </c>
      <c r="N667" s="1">
        <f t="shared" si="33"/>
        <v>100</v>
      </c>
    </row>
    <row r="668" spans="5:14" x14ac:dyDescent="0.25">
      <c r="E668">
        <v>1019</v>
      </c>
      <c r="F668" s="7">
        <v>45305</v>
      </c>
      <c r="G668">
        <f t="shared" si="31"/>
        <v>2024</v>
      </c>
      <c r="H668" s="7" t="str">
        <f t="shared" si="32"/>
        <v>Январь</v>
      </c>
      <c r="I668" t="s">
        <v>9</v>
      </c>
      <c r="J668">
        <v>49</v>
      </c>
      <c r="K668" t="s">
        <v>8</v>
      </c>
      <c r="L668">
        <v>2</v>
      </c>
      <c r="M668">
        <v>150</v>
      </c>
      <c r="N668" s="1">
        <f t="shared" si="33"/>
        <v>300</v>
      </c>
    </row>
    <row r="669" spans="5:14" x14ac:dyDescent="0.25">
      <c r="E669">
        <v>969</v>
      </c>
      <c r="F669" s="7">
        <v>45265</v>
      </c>
      <c r="G669">
        <f t="shared" si="31"/>
        <v>2023</v>
      </c>
      <c r="H669" s="7" t="str">
        <f t="shared" si="32"/>
        <v>Декабрь</v>
      </c>
      <c r="I669" t="s">
        <v>9</v>
      </c>
      <c r="J669">
        <v>27</v>
      </c>
      <c r="K669" t="s">
        <v>11</v>
      </c>
      <c r="L669">
        <v>4</v>
      </c>
      <c r="M669">
        <v>50</v>
      </c>
      <c r="N669" s="1">
        <f t="shared" si="33"/>
        <v>200</v>
      </c>
    </row>
    <row r="670" spans="5:14" x14ac:dyDescent="0.25">
      <c r="E670">
        <v>238</v>
      </c>
      <c r="F670" s="7">
        <v>45096</v>
      </c>
      <c r="G670">
        <f t="shared" si="31"/>
        <v>2023</v>
      </c>
      <c r="H670" s="7" t="str">
        <f t="shared" si="32"/>
        <v>Июнь</v>
      </c>
      <c r="I670" t="s">
        <v>7</v>
      </c>
      <c r="J670">
        <v>38</v>
      </c>
      <c r="K670" t="s">
        <v>11</v>
      </c>
      <c r="L670">
        <v>3</v>
      </c>
      <c r="M670">
        <v>500</v>
      </c>
      <c r="N670" s="1">
        <f t="shared" si="33"/>
        <v>1500</v>
      </c>
    </row>
    <row r="671" spans="5:14" x14ac:dyDescent="0.25">
      <c r="E671">
        <v>252</v>
      </c>
      <c r="F671" s="7">
        <v>45169</v>
      </c>
      <c r="G671">
        <f t="shared" si="31"/>
        <v>2023</v>
      </c>
      <c r="H671" s="7" t="str">
        <f t="shared" si="32"/>
        <v>Август</v>
      </c>
      <c r="I671" t="s">
        <v>9</v>
      </c>
      <c r="J671">
        <v>53</v>
      </c>
      <c r="K671" t="s">
        <v>10</v>
      </c>
      <c r="L671">
        <v>4</v>
      </c>
      <c r="M671">
        <v>500</v>
      </c>
      <c r="N671" s="1">
        <f t="shared" si="33"/>
        <v>2000</v>
      </c>
    </row>
    <row r="672" spans="5:14" x14ac:dyDescent="0.25">
      <c r="E672">
        <v>534</v>
      </c>
      <c r="F672" s="7">
        <v>45266</v>
      </c>
      <c r="G672">
        <f t="shared" si="31"/>
        <v>2023</v>
      </c>
      <c r="H672" s="7" t="str">
        <f t="shared" si="32"/>
        <v>Декабрь</v>
      </c>
      <c r="I672" t="s">
        <v>7</v>
      </c>
      <c r="J672">
        <v>47</v>
      </c>
      <c r="K672" t="s">
        <v>8</v>
      </c>
      <c r="L672">
        <v>3</v>
      </c>
      <c r="M672">
        <v>30</v>
      </c>
      <c r="N672" s="1">
        <f t="shared" si="33"/>
        <v>90</v>
      </c>
    </row>
    <row r="673" spans="5:14" x14ac:dyDescent="0.25">
      <c r="E673">
        <v>1510</v>
      </c>
      <c r="F673" s="7">
        <v>45554</v>
      </c>
      <c r="G673">
        <f t="shared" si="31"/>
        <v>2024</v>
      </c>
      <c r="H673" s="7" t="str">
        <f t="shared" si="32"/>
        <v>Сентябрь</v>
      </c>
      <c r="I673" t="s">
        <v>7</v>
      </c>
      <c r="J673">
        <v>45</v>
      </c>
      <c r="K673" t="s">
        <v>11</v>
      </c>
      <c r="L673">
        <v>2</v>
      </c>
      <c r="M673">
        <v>330</v>
      </c>
      <c r="N673" s="1">
        <f t="shared" si="33"/>
        <v>660</v>
      </c>
    </row>
    <row r="674" spans="5:14" x14ac:dyDescent="0.25">
      <c r="E674">
        <v>1322</v>
      </c>
      <c r="F674" s="7">
        <v>45537</v>
      </c>
      <c r="G674">
        <f t="shared" si="31"/>
        <v>2024</v>
      </c>
      <c r="H674" s="7" t="str">
        <f t="shared" si="32"/>
        <v>Сентябрь</v>
      </c>
      <c r="I674" t="s">
        <v>9</v>
      </c>
      <c r="J674">
        <v>63</v>
      </c>
      <c r="K674" t="s">
        <v>11</v>
      </c>
      <c r="L674">
        <v>6</v>
      </c>
      <c r="M674">
        <v>77</v>
      </c>
      <c r="N674" s="1">
        <f t="shared" si="33"/>
        <v>462</v>
      </c>
    </row>
    <row r="675" spans="5:14" x14ac:dyDescent="0.25">
      <c r="E675">
        <v>1941</v>
      </c>
      <c r="F675" s="7">
        <v>45335</v>
      </c>
      <c r="G675">
        <f t="shared" si="31"/>
        <v>2024</v>
      </c>
      <c r="H675" s="7" t="str">
        <f t="shared" si="32"/>
        <v>Февраль</v>
      </c>
      <c r="I675" t="s">
        <v>7</v>
      </c>
      <c r="J675">
        <v>61</v>
      </c>
      <c r="K675" t="s">
        <v>8</v>
      </c>
      <c r="L675">
        <v>6</v>
      </c>
      <c r="M675">
        <v>448</v>
      </c>
      <c r="N675" s="1">
        <f t="shared" si="33"/>
        <v>2688</v>
      </c>
    </row>
    <row r="676" spans="5:14" x14ac:dyDescent="0.25">
      <c r="E676">
        <v>1192</v>
      </c>
      <c r="F676" s="7">
        <v>45541</v>
      </c>
      <c r="G676">
        <f t="shared" si="31"/>
        <v>2024</v>
      </c>
      <c r="H676" s="7" t="str">
        <f t="shared" si="32"/>
        <v>Сентябрь</v>
      </c>
      <c r="I676" t="s">
        <v>7</v>
      </c>
      <c r="J676">
        <v>26</v>
      </c>
      <c r="K676" t="s">
        <v>10</v>
      </c>
      <c r="L676">
        <v>5</v>
      </c>
      <c r="M676">
        <v>328</v>
      </c>
      <c r="N676" s="1">
        <f t="shared" si="33"/>
        <v>1640</v>
      </c>
    </row>
    <row r="677" spans="5:14" x14ac:dyDescent="0.25">
      <c r="E677">
        <v>126</v>
      </c>
      <c r="F677" s="7">
        <v>45225</v>
      </c>
      <c r="G677">
        <f t="shared" si="31"/>
        <v>2023</v>
      </c>
      <c r="H677" s="7" t="str">
        <f t="shared" si="32"/>
        <v>Октябрь</v>
      </c>
      <c r="I677" t="s">
        <v>9</v>
      </c>
      <c r="J677">
        <v>28</v>
      </c>
      <c r="K677" t="s">
        <v>10</v>
      </c>
      <c r="L677">
        <v>3</v>
      </c>
      <c r="M677">
        <v>30</v>
      </c>
      <c r="N677" s="1">
        <f t="shared" si="33"/>
        <v>90</v>
      </c>
    </row>
    <row r="678" spans="5:14" x14ac:dyDescent="0.25">
      <c r="E678">
        <v>1031</v>
      </c>
      <c r="F678" s="7">
        <v>45374</v>
      </c>
      <c r="G678">
        <f t="shared" si="31"/>
        <v>2024</v>
      </c>
      <c r="H678" s="7" t="str">
        <f t="shared" si="32"/>
        <v>Март</v>
      </c>
      <c r="I678" t="s">
        <v>9</v>
      </c>
      <c r="J678">
        <v>31</v>
      </c>
      <c r="K678" t="s">
        <v>11</v>
      </c>
      <c r="L678">
        <v>1</v>
      </c>
      <c r="M678">
        <v>296</v>
      </c>
      <c r="N678" s="1">
        <f t="shared" si="33"/>
        <v>296</v>
      </c>
    </row>
    <row r="679" spans="5:14" x14ac:dyDescent="0.25">
      <c r="E679">
        <v>388</v>
      </c>
      <c r="F679" s="7">
        <v>45261</v>
      </c>
      <c r="G679">
        <f t="shared" si="31"/>
        <v>2023</v>
      </c>
      <c r="H679" s="7" t="str">
        <f t="shared" si="32"/>
        <v>Декабрь</v>
      </c>
      <c r="I679" t="s">
        <v>7</v>
      </c>
      <c r="J679">
        <v>21</v>
      </c>
      <c r="K679" t="s">
        <v>10</v>
      </c>
      <c r="L679">
        <v>2</v>
      </c>
      <c r="M679">
        <v>25</v>
      </c>
      <c r="N679" s="1">
        <f t="shared" si="33"/>
        <v>50</v>
      </c>
    </row>
    <row r="680" spans="5:14" x14ac:dyDescent="0.25">
      <c r="E680">
        <v>1359</v>
      </c>
      <c r="F680" s="7">
        <v>45623</v>
      </c>
      <c r="G680">
        <f t="shared" si="31"/>
        <v>2024</v>
      </c>
      <c r="H680" s="7" t="str">
        <f t="shared" si="32"/>
        <v>Ноябрь</v>
      </c>
      <c r="I680" t="s">
        <v>7</v>
      </c>
      <c r="J680">
        <v>51</v>
      </c>
      <c r="K680" t="s">
        <v>10</v>
      </c>
      <c r="L680">
        <v>4</v>
      </c>
      <c r="M680">
        <v>53</v>
      </c>
      <c r="N680" s="1">
        <f t="shared" si="33"/>
        <v>212</v>
      </c>
    </row>
    <row r="681" spans="5:14" x14ac:dyDescent="0.25">
      <c r="E681">
        <v>1132</v>
      </c>
      <c r="F681" s="7">
        <v>45316</v>
      </c>
      <c r="G681">
        <f t="shared" si="31"/>
        <v>2024</v>
      </c>
      <c r="H681" s="7" t="str">
        <f t="shared" si="32"/>
        <v>Январь</v>
      </c>
      <c r="I681" t="s">
        <v>7</v>
      </c>
      <c r="J681">
        <v>30</v>
      </c>
      <c r="K681" t="s">
        <v>11</v>
      </c>
      <c r="L681">
        <v>5</v>
      </c>
      <c r="M681">
        <v>450</v>
      </c>
      <c r="N681" s="1">
        <f t="shared" si="33"/>
        <v>2250</v>
      </c>
    </row>
    <row r="682" spans="5:14" x14ac:dyDescent="0.25">
      <c r="E682">
        <v>1580</v>
      </c>
      <c r="F682" s="7">
        <v>45464</v>
      </c>
      <c r="G682">
        <f t="shared" si="31"/>
        <v>2024</v>
      </c>
      <c r="H682" s="7" t="str">
        <f t="shared" si="32"/>
        <v>Июнь</v>
      </c>
      <c r="I682" t="s">
        <v>9</v>
      </c>
      <c r="J682">
        <v>56</v>
      </c>
      <c r="K682" t="s">
        <v>11</v>
      </c>
      <c r="L682">
        <v>5</v>
      </c>
      <c r="M682">
        <v>431</v>
      </c>
      <c r="N682" s="1">
        <f t="shared" si="33"/>
        <v>2155</v>
      </c>
    </row>
    <row r="683" spans="5:14" x14ac:dyDescent="0.25">
      <c r="E683">
        <v>833</v>
      </c>
      <c r="F683" s="7">
        <v>45176</v>
      </c>
      <c r="G683">
        <f t="shared" si="31"/>
        <v>2023</v>
      </c>
      <c r="H683" s="7" t="str">
        <f t="shared" si="32"/>
        <v>Сентябрь</v>
      </c>
      <c r="I683" t="s">
        <v>7</v>
      </c>
      <c r="J683">
        <v>37</v>
      </c>
      <c r="K683" t="s">
        <v>10</v>
      </c>
      <c r="L683">
        <v>4</v>
      </c>
      <c r="M683">
        <v>50</v>
      </c>
      <c r="N683" s="1">
        <f t="shared" si="33"/>
        <v>200</v>
      </c>
    </row>
    <row r="684" spans="5:14" x14ac:dyDescent="0.25">
      <c r="E684">
        <v>182</v>
      </c>
      <c r="F684" s="7">
        <v>45092</v>
      </c>
      <c r="G684">
        <f t="shared" si="31"/>
        <v>2023</v>
      </c>
      <c r="H684" s="7" t="str">
        <f t="shared" si="32"/>
        <v>Июнь</v>
      </c>
      <c r="I684" t="s">
        <v>7</v>
      </c>
      <c r="J684">
        <v>62</v>
      </c>
      <c r="K684" t="s">
        <v>8</v>
      </c>
      <c r="L684">
        <v>4</v>
      </c>
      <c r="M684">
        <v>30</v>
      </c>
      <c r="N684" s="1">
        <f t="shared" si="33"/>
        <v>120</v>
      </c>
    </row>
    <row r="685" spans="5:14" x14ac:dyDescent="0.25">
      <c r="E685">
        <v>1323</v>
      </c>
      <c r="F685" s="7">
        <v>45550</v>
      </c>
      <c r="G685">
        <f t="shared" si="31"/>
        <v>2024</v>
      </c>
      <c r="H685" s="7" t="str">
        <f t="shared" si="32"/>
        <v>Сентябрь</v>
      </c>
      <c r="I685" t="s">
        <v>9</v>
      </c>
      <c r="J685">
        <v>53</v>
      </c>
      <c r="K685" t="s">
        <v>10</v>
      </c>
      <c r="L685">
        <v>6</v>
      </c>
      <c r="M685">
        <v>205</v>
      </c>
      <c r="N685" s="1">
        <f t="shared" si="33"/>
        <v>1230</v>
      </c>
    </row>
    <row r="686" spans="5:14" x14ac:dyDescent="0.25">
      <c r="E686">
        <v>158</v>
      </c>
      <c r="F686" s="7">
        <v>44984</v>
      </c>
      <c r="G686">
        <f t="shared" si="31"/>
        <v>2023</v>
      </c>
      <c r="H686" s="7" t="str">
        <f t="shared" si="32"/>
        <v>Февраль</v>
      </c>
      <c r="I686" t="s">
        <v>9</v>
      </c>
      <c r="J686">
        <v>44</v>
      </c>
      <c r="K686" t="s">
        <v>11</v>
      </c>
      <c r="L686">
        <v>2</v>
      </c>
      <c r="M686">
        <v>300</v>
      </c>
      <c r="N686" s="1">
        <f t="shared" si="33"/>
        <v>600</v>
      </c>
    </row>
    <row r="687" spans="5:14" x14ac:dyDescent="0.25">
      <c r="E687">
        <v>1157</v>
      </c>
      <c r="F687" s="7">
        <v>45443</v>
      </c>
      <c r="G687">
        <f t="shared" si="31"/>
        <v>2024</v>
      </c>
      <c r="H687" s="7" t="str">
        <f t="shared" si="32"/>
        <v>Май</v>
      </c>
      <c r="I687" t="s">
        <v>7</v>
      </c>
      <c r="J687">
        <v>23</v>
      </c>
      <c r="K687" t="s">
        <v>10</v>
      </c>
      <c r="L687">
        <v>3</v>
      </c>
      <c r="M687">
        <v>239</v>
      </c>
      <c r="N687" s="1">
        <f t="shared" si="33"/>
        <v>717</v>
      </c>
    </row>
    <row r="688" spans="5:14" x14ac:dyDescent="0.25">
      <c r="E688">
        <v>1764</v>
      </c>
      <c r="F688" s="7">
        <v>45305</v>
      </c>
      <c r="G688">
        <f t="shared" si="31"/>
        <v>2024</v>
      </c>
      <c r="H688" s="7" t="str">
        <f t="shared" si="32"/>
        <v>Январь</v>
      </c>
      <c r="I688" t="s">
        <v>9</v>
      </c>
      <c r="J688">
        <v>44</v>
      </c>
      <c r="K688" t="s">
        <v>8</v>
      </c>
      <c r="L688">
        <v>1</v>
      </c>
      <c r="M688">
        <v>499</v>
      </c>
      <c r="N688" s="1">
        <f t="shared" si="33"/>
        <v>499</v>
      </c>
    </row>
    <row r="689" spans="5:14" x14ac:dyDescent="0.25">
      <c r="E689">
        <v>1690</v>
      </c>
      <c r="F689" s="7">
        <v>45432</v>
      </c>
      <c r="G689">
        <f t="shared" si="31"/>
        <v>2024</v>
      </c>
      <c r="H689" s="7" t="str">
        <f t="shared" si="32"/>
        <v>Май</v>
      </c>
      <c r="I689" t="s">
        <v>9</v>
      </c>
      <c r="J689">
        <v>27</v>
      </c>
      <c r="K689" t="s">
        <v>11</v>
      </c>
      <c r="L689">
        <v>7</v>
      </c>
      <c r="M689">
        <v>144</v>
      </c>
      <c r="N689" s="1">
        <f t="shared" si="33"/>
        <v>1008</v>
      </c>
    </row>
    <row r="690" spans="5:14" x14ac:dyDescent="0.25">
      <c r="E690">
        <v>805</v>
      </c>
      <c r="F690" s="7">
        <v>45149</v>
      </c>
      <c r="G690">
        <f t="shared" si="31"/>
        <v>2023</v>
      </c>
      <c r="H690" s="7" t="str">
        <f t="shared" si="32"/>
        <v>Август</v>
      </c>
      <c r="I690" t="s">
        <v>9</v>
      </c>
      <c r="J690">
        <v>50</v>
      </c>
      <c r="K690" t="s">
        <v>11</v>
      </c>
      <c r="L690">
        <v>4</v>
      </c>
      <c r="M690">
        <v>50</v>
      </c>
      <c r="N690" s="1">
        <f t="shared" si="33"/>
        <v>200</v>
      </c>
    </row>
    <row r="691" spans="5:14" x14ac:dyDescent="0.25">
      <c r="E691">
        <v>1597</v>
      </c>
      <c r="F691" s="7">
        <v>45587</v>
      </c>
      <c r="G691">
        <f t="shared" si="31"/>
        <v>2024</v>
      </c>
      <c r="H691" s="7" t="str">
        <f t="shared" si="32"/>
        <v>Октябрь</v>
      </c>
      <c r="I691" t="s">
        <v>9</v>
      </c>
      <c r="J691">
        <v>59</v>
      </c>
      <c r="K691" t="s">
        <v>8</v>
      </c>
      <c r="L691">
        <v>6</v>
      </c>
      <c r="M691">
        <v>500</v>
      </c>
      <c r="N691" s="1">
        <f t="shared" si="33"/>
        <v>3000</v>
      </c>
    </row>
    <row r="692" spans="5:14" x14ac:dyDescent="0.25">
      <c r="E692">
        <v>769</v>
      </c>
      <c r="F692" s="7">
        <v>45273</v>
      </c>
      <c r="G692">
        <f t="shared" si="31"/>
        <v>2023</v>
      </c>
      <c r="H692" s="7" t="str">
        <f t="shared" si="32"/>
        <v>Декабрь</v>
      </c>
      <c r="I692" t="s">
        <v>7</v>
      </c>
      <c r="J692">
        <v>24</v>
      </c>
      <c r="K692" t="s">
        <v>11</v>
      </c>
      <c r="L692">
        <v>2</v>
      </c>
      <c r="M692">
        <v>25</v>
      </c>
      <c r="N692" s="1">
        <f t="shared" si="33"/>
        <v>50</v>
      </c>
    </row>
    <row r="693" spans="5:14" x14ac:dyDescent="0.25">
      <c r="E693">
        <v>1497</v>
      </c>
      <c r="F693" s="7">
        <v>45352</v>
      </c>
      <c r="G693">
        <f t="shared" si="31"/>
        <v>2024</v>
      </c>
      <c r="H693" s="7" t="str">
        <f t="shared" si="32"/>
        <v>Март</v>
      </c>
      <c r="I693" t="s">
        <v>9</v>
      </c>
      <c r="J693">
        <v>18</v>
      </c>
      <c r="K693" t="s">
        <v>8</v>
      </c>
      <c r="L693">
        <v>2</v>
      </c>
      <c r="M693">
        <v>449</v>
      </c>
      <c r="N693" s="1">
        <f t="shared" si="33"/>
        <v>898</v>
      </c>
    </row>
    <row r="694" spans="5:14" x14ac:dyDescent="0.25">
      <c r="E694">
        <v>1097</v>
      </c>
      <c r="F694" s="7">
        <v>45643</v>
      </c>
      <c r="G694">
        <f t="shared" si="31"/>
        <v>2024</v>
      </c>
      <c r="H694" s="7" t="str">
        <f t="shared" si="32"/>
        <v>Декабрь</v>
      </c>
      <c r="I694" t="s">
        <v>9</v>
      </c>
      <c r="J694">
        <v>27</v>
      </c>
      <c r="K694" t="s">
        <v>11</v>
      </c>
      <c r="L694">
        <v>6</v>
      </c>
      <c r="M694">
        <v>319</v>
      </c>
      <c r="N694" s="1">
        <f t="shared" si="33"/>
        <v>1914</v>
      </c>
    </row>
    <row r="695" spans="5:14" x14ac:dyDescent="0.25">
      <c r="E695">
        <v>916</v>
      </c>
      <c r="F695" s="7">
        <v>45253</v>
      </c>
      <c r="G695">
        <f t="shared" si="31"/>
        <v>2023</v>
      </c>
      <c r="H695" s="7" t="str">
        <f t="shared" si="32"/>
        <v>Ноябрь</v>
      </c>
      <c r="I695" t="s">
        <v>9</v>
      </c>
      <c r="J695">
        <v>42</v>
      </c>
      <c r="K695" t="s">
        <v>11</v>
      </c>
      <c r="L695">
        <v>3</v>
      </c>
      <c r="M695">
        <v>30</v>
      </c>
      <c r="N695" s="1">
        <f t="shared" si="33"/>
        <v>90</v>
      </c>
    </row>
    <row r="696" spans="5:14" x14ac:dyDescent="0.25">
      <c r="E696">
        <v>742</v>
      </c>
      <c r="F696" s="7">
        <v>45053</v>
      </c>
      <c r="G696">
        <f t="shared" si="31"/>
        <v>2023</v>
      </c>
      <c r="H696" s="7" t="str">
        <f t="shared" si="32"/>
        <v>Май</v>
      </c>
      <c r="I696" t="s">
        <v>7</v>
      </c>
      <c r="J696">
        <v>40</v>
      </c>
      <c r="K696" t="s">
        <v>11</v>
      </c>
      <c r="L696">
        <v>1</v>
      </c>
      <c r="M696">
        <v>25</v>
      </c>
      <c r="N696" s="1">
        <f t="shared" si="33"/>
        <v>25</v>
      </c>
    </row>
    <row r="697" spans="5:14" x14ac:dyDescent="0.25">
      <c r="E697">
        <v>1281</v>
      </c>
      <c r="F697" s="7">
        <v>45330</v>
      </c>
      <c r="G697">
        <f t="shared" si="31"/>
        <v>2024</v>
      </c>
      <c r="H697" s="7" t="str">
        <f t="shared" si="32"/>
        <v>Февраль</v>
      </c>
      <c r="I697" t="s">
        <v>7</v>
      </c>
      <c r="J697">
        <v>24</v>
      </c>
      <c r="K697" t="s">
        <v>10</v>
      </c>
      <c r="L697">
        <v>5</v>
      </c>
      <c r="M697">
        <v>261</v>
      </c>
      <c r="N697" s="1">
        <f t="shared" si="33"/>
        <v>1305</v>
      </c>
    </row>
    <row r="698" spans="5:14" x14ac:dyDescent="0.25">
      <c r="E698">
        <v>827</v>
      </c>
      <c r="F698" s="7">
        <v>45121</v>
      </c>
      <c r="G698">
        <f t="shared" si="31"/>
        <v>2023</v>
      </c>
      <c r="H698" s="7" t="str">
        <f t="shared" si="32"/>
        <v>Июль</v>
      </c>
      <c r="I698" t="s">
        <v>7</v>
      </c>
      <c r="J698">
        <v>61</v>
      </c>
      <c r="K698" t="s">
        <v>8</v>
      </c>
      <c r="L698">
        <v>3</v>
      </c>
      <c r="M698">
        <v>30</v>
      </c>
      <c r="N698" s="1">
        <f t="shared" si="33"/>
        <v>90</v>
      </c>
    </row>
    <row r="699" spans="5:14" x14ac:dyDescent="0.25">
      <c r="E699">
        <v>1746</v>
      </c>
      <c r="F699" s="7">
        <v>45357</v>
      </c>
      <c r="G699">
        <f t="shared" si="31"/>
        <v>2024</v>
      </c>
      <c r="H699" s="7" t="str">
        <f t="shared" si="32"/>
        <v>Март</v>
      </c>
      <c r="I699" t="s">
        <v>9</v>
      </c>
      <c r="J699">
        <v>38</v>
      </c>
      <c r="K699" t="s">
        <v>10</v>
      </c>
      <c r="L699">
        <v>5</v>
      </c>
      <c r="M699">
        <v>340</v>
      </c>
      <c r="N699" s="1">
        <f t="shared" si="33"/>
        <v>1700</v>
      </c>
    </row>
    <row r="700" spans="5:14" x14ac:dyDescent="0.25">
      <c r="E700">
        <v>1285</v>
      </c>
      <c r="F700" s="7">
        <v>45317</v>
      </c>
      <c r="G700">
        <f t="shared" si="31"/>
        <v>2024</v>
      </c>
      <c r="H700" s="7" t="str">
        <f t="shared" si="32"/>
        <v>Январь</v>
      </c>
      <c r="I700" t="s">
        <v>7</v>
      </c>
      <c r="J700">
        <v>61</v>
      </c>
      <c r="K700" t="s">
        <v>10</v>
      </c>
      <c r="L700">
        <v>6</v>
      </c>
      <c r="M700">
        <v>289</v>
      </c>
      <c r="N700" s="1">
        <f t="shared" si="33"/>
        <v>1734</v>
      </c>
    </row>
    <row r="701" spans="5:14" x14ac:dyDescent="0.25">
      <c r="E701">
        <v>455</v>
      </c>
      <c r="F701" s="7">
        <v>45213</v>
      </c>
      <c r="G701">
        <f t="shared" si="31"/>
        <v>2023</v>
      </c>
      <c r="H701" s="7" t="str">
        <f t="shared" si="32"/>
        <v>Октябрь</v>
      </c>
      <c r="I701" t="s">
        <v>7</v>
      </c>
      <c r="J701">
        <v>57</v>
      </c>
      <c r="K701" t="s">
        <v>11</v>
      </c>
      <c r="L701">
        <v>2</v>
      </c>
      <c r="M701">
        <v>30</v>
      </c>
      <c r="N701" s="1">
        <f t="shared" si="33"/>
        <v>60</v>
      </c>
    </row>
    <row r="702" spans="5:14" x14ac:dyDescent="0.25">
      <c r="E702">
        <v>1573</v>
      </c>
      <c r="F702" s="7">
        <v>45630</v>
      </c>
      <c r="G702">
        <f t="shared" si="31"/>
        <v>2024</v>
      </c>
      <c r="H702" s="7" t="str">
        <f t="shared" si="32"/>
        <v>Декабрь</v>
      </c>
      <c r="I702" t="s">
        <v>9</v>
      </c>
      <c r="J702">
        <v>31</v>
      </c>
      <c r="K702" t="s">
        <v>8</v>
      </c>
      <c r="L702">
        <v>6</v>
      </c>
      <c r="M702">
        <v>250</v>
      </c>
      <c r="N702" s="1">
        <f t="shared" si="33"/>
        <v>1500</v>
      </c>
    </row>
    <row r="703" spans="5:14" x14ac:dyDescent="0.25">
      <c r="E703">
        <v>1169</v>
      </c>
      <c r="F703" s="7">
        <v>45620</v>
      </c>
      <c r="G703">
        <f t="shared" si="31"/>
        <v>2024</v>
      </c>
      <c r="H703" s="7" t="str">
        <f t="shared" si="32"/>
        <v>Ноябрь</v>
      </c>
      <c r="I703" t="s">
        <v>9</v>
      </c>
      <c r="J703">
        <v>57</v>
      </c>
      <c r="K703" t="s">
        <v>10</v>
      </c>
      <c r="L703">
        <v>7</v>
      </c>
      <c r="M703">
        <v>217</v>
      </c>
      <c r="N703" s="1">
        <f t="shared" si="33"/>
        <v>1519</v>
      </c>
    </row>
    <row r="704" spans="5:14" x14ac:dyDescent="0.25">
      <c r="E704">
        <v>184</v>
      </c>
      <c r="F704" s="7">
        <v>44936</v>
      </c>
      <c r="G704">
        <f t="shared" si="31"/>
        <v>2023</v>
      </c>
      <c r="H704" s="7" t="str">
        <f t="shared" si="32"/>
        <v>Январь</v>
      </c>
      <c r="I704" t="s">
        <v>7</v>
      </c>
      <c r="J704">
        <v>31</v>
      </c>
      <c r="K704" t="s">
        <v>11</v>
      </c>
      <c r="L704">
        <v>4</v>
      </c>
      <c r="M704">
        <v>50</v>
      </c>
      <c r="N704" s="1">
        <f t="shared" si="33"/>
        <v>200</v>
      </c>
    </row>
    <row r="705" spans="5:14" x14ac:dyDescent="0.25">
      <c r="E705">
        <v>67</v>
      </c>
      <c r="F705" s="7">
        <v>45075</v>
      </c>
      <c r="G705">
        <f t="shared" si="31"/>
        <v>2023</v>
      </c>
      <c r="H705" s="7" t="str">
        <f t="shared" si="32"/>
        <v>Май</v>
      </c>
      <c r="I705" t="s">
        <v>9</v>
      </c>
      <c r="J705">
        <v>48</v>
      </c>
      <c r="K705" t="s">
        <v>8</v>
      </c>
      <c r="L705">
        <v>4</v>
      </c>
      <c r="M705">
        <v>300</v>
      </c>
      <c r="N705" s="1">
        <f t="shared" si="33"/>
        <v>1200</v>
      </c>
    </row>
    <row r="706" spans="5:14" x14ac:dyDescent="0.25">
      <c r="E706">
        <v>618</v>
      </c>
      <c r="F706" s="7">
        <v>45212</v>
      </c>
      <c r="G706">
        <f t="shared" si="31"/>
        <v>2023</v>
      </c>
      <c r="H706" s="7" t="str">
        <f t="shared" si="32"/>
        <v>Октябрь</v>
      </c>
      <c r="I706" t="s">
        <v>7</v>
      </c>
      <c r="J706">
        <v>47</v>
      </c>
      <c r="K706" t="s">
        <v>11</v>
      </c>
      <c r="L706">
        <v>4</v>
      </c>
      <c r="M706">
        <v>25</v>
      </c>
      <c r="N706" s="1">
        <f t="shared" si="33"/>
        <v>100</v>
      </c>
    </row>
    <row r="707" spans="5:14" x14ac:dyDescent="0.25">
      <c r="E707">
        <v>1220</v>
      </c>
      <c r="F707" s="7">
        <v>45324</v>
      </c>
      <c r="G707">
        <f t="shared" si="31"/>
        <v>2024</v>
      </c>
      <c r="H707" s="7" t="str">
        <f t="shared" si="32"/>
        <v>Февраль</v>
      </c>
      <c r="I707" t="s">
        <v>9</v>
      </c>
      <c r="J707">
        <v>31</v>
      </c>
      <c r="K707" t="s">
        <v>10</v>
      </c>
      <c r="L707">
        <v>4</v>
      </c>
      <c r="M707">
        <v>281</v>
      </c>
      <c r="N707" s="1">
        <f t="shared" si="33"/>
        <v>1124</v>
      </c>
    </row>
    <row r="708" spans="5:14" x14ac:dyDescent="0.25">
      <c r="E708">
        <v>1579</v>
      </c>
      <c r="F708" s="7">
        <v>45610</v>
      </c>
      <c r="G708">
        <f t="shared" si="31"/>
        <v>2024</v>
      </c>
      <c r="H708" s="7" t="str">
        <f t="shared" si="32"/>
        <v>Ноябрь</v>
      </c>
      <c r="I708" t="s">
        <v>7</v>
      </c>
      <c r="J708">
        <v>41</v>
      </c>
      <c r="K708" t="s">
        <v>10</v>
      </c>
      <c r="L708">
        <v>4</v>
      </c>
      <c r="M708">
        <v>248</v>
      </c>
      <c r="N708" s="1">
        <f t="shared" si="33"/>
        <v>992</v>
      </c>
    </row>
    <row r="709" spans="5:14" x14ac:dyDescent="0.25">
      <c r="E709">
        <v>1993</v>
      </c>
      <c r="F709" s="7">
        <v>45613</v>
      </c>
      <c r="G709">
        <f t="shared" si="31"/>
        <v>2024</v>
      </c>
      <c r="H709" s="7" t="str">
        <f t="shared" si="32"/>
        <v>Ноябрь</v>
      </c>
      <c r="I709" t="s">
        <v>7</v>
      </c>
      <c r="J709">
        <v>56</v>
      </c>
      <c r="K709" t="s">
        <v>8</v>
      </c>
      <c r="L709">
        <v>3</v>
      </c>
      <c r="M709">
        <v>417</v>
      </c>
      <c r="N709" s="1">
        <f t="shared" si="33"/>
        <v>1251</v>
      </c>
    </row>
    <row r="710" spans="5:14" x14ac:dyDescent="0.25">
      <c r="E710">
        <v>687</v>
      </c>
      <c r="F710" s="7">
        <v>45206</v>
      </c>
      <c r="G710">
        <f t="shared" si="31"/>
        <v>2023</v>
      </c>
      <c r="H710" s="7" t="str">
        <f t="shared" si="32"/>
        <v>Октябрь</v>
      </c>
      <c r="I710" t="s">
        <v>7</v>
      </c>
      <c r="J710">
        <v>57</v>
      </c>
      <c r="K710" t="s">
        <v>11</v>
      </c>
      <c r="L710">
        <v>2</v>
      </c>
      <c r="M710">
        <v>50</v>
      </c>
      <c r="N710" s="1">
        <f t="shared" si="33"/>
        <v>100</v>
      </c>
    </row>
    <row r="711" spans="5:14" x14ac:dyDescent="0.25">
      <c r="E711">
        <v>396</v>
      </c>
      <c r="F711" s="7">
        <v>44995</v>
      </c>
      <c r="G711">
        <f t="shared" si="31"/>
        <v>2023</v>
      </c>
      <c r="H711" s="7" t="str">
        <f t="shared" si="32"/>
        <v>Март</v>
      </c>
      <c r="I711" t="s">
        <v>9</v>
      </c>
      <c r="J711">
        <v>30</v>
      </c>
      <c r="K711" t="s">
        <v>8</v>
      </c>
      <c r="L711">
        <v>1</v>
      </c>
      <c r="M711">
        <v>25</v>
      </c>
      <c r="N711" s="1">
        <f t="shared" si="33"/>
        <v>25</v>
      </c>
    </row>
    <row r="712" spans="5:14" x14ac:dyDescent="0.25">
      <c r="E712">
        <v>911</v>
      </c>
      <c r="F712" s="7">
        <v>44954</v>
      </c>
      <c r="G712">
        <f t="shared" si="31"/>
        <v>2023</v>
      </c>
      <c r="H712" s="7" t="str">
        <f t="shared" si="32"/>
        <v>Январь</v>
      </c>
      <c r="I712" t="s">
        <v>7</v>
      </c>
      <c r="J712">
        <v>29</v>
      </c>
      <c r="K712" t="s">
        <v>11</v>
      </c>
      <c r="L712">
        <v>3</v>
      </c>
      <c r="M712">
        <v>30</v>
      </c>
      <c r="N712" s="1">
        <f t="shared" si="33"/>
        <v>90</v>
      </c>
    </row>
    <row r="713" spans="5:14" x14ac:dyDescent="0.25">
      <c r="E713">
        <v>461</v>
      </c>
      <c r="F713" s="7">
        <v>45017</v>
      </c>
      <c r="G713">
        <f t="shared" si="31"/>
        <v>2023</v>
      </c>
      <c r="H713" s="7" t="str">
        <f t="shared" si="32"/>
        <v>Апрель</v>
      </c>
      <c r="I713" t="s">
        <v>7</v>
      </c>
      <c r="J713">
        <v>63</v>
      </c>
      <c r="K713" t="s">
        <v>11</v>
      </c>
      <c r="L713">
        <v>4</v>
      </c>
      <c r="M713">
        <v>300</v>
      </c>
      <c r="N713" s="1">
        <f t="shared" si="33"/>
        <v>1200</v>
      </c>
    </row>
    <row r="714" spans="5:14" x14ac:dyDescent="0.25">
      <c r="E714">
        <v>155</v>
      </c>
      <c r="F714" s="7">
        <v>45063</v>
      </c>
      <c r="G714">
        <f t="shared" ref="G714:G777" si="34">YEAR(F714)</f>
        <v>2023</v>
      </c>
      <c r="H714" s="7" t="str">
        <f t="shared" ref="H714:H777" si="35">TEXT(F714,"ММММ")</f>
        <v>Май</v>
      </c>
      <c r="I714" t="s">
        <v>7</v>
      </c>
      <c r="J714">
        <v>31</v>
      </c>
      <c r="K714" t="s">
        <v>11</v>
      </c>
      <c r="L714">
        <v>4</v>
      </c>
      <c r="M714">
        <v>500</v>
      </c>
      <c r="N714" s="1">
        <f t="shared" ref="N714:N777" si="36">L714*M714</f>
        <v>2000</v>
      </c>
    </row>
    <row r="715" spans="5:14" x14ac:dyDescent="0.25">
      <c r="E715">
        <v>693</v>
      </c>
      <c r="F715" s="7">
        <v>45150</v>
      </c>
      <c r="G715">
        <f t="shared" si="34"/>
        <v>2023</v>
      </c>
      <c r="H715" s="7" t="str">
        <f t="shared" si="35"/>
        <v>Август</v>
      </c>
      <c r="I715" t="s">
        <v>9</v>
      </c>
      <c r="J715">
        <v>22</v>
      </c>
      <c r="K715" t="s">
        <v>11</v>
      </c>
      <c r="L715">
        <v>3</v>
      </c>
      <c r="M715">
        <v>50</v>
      </c>
      <c r="N715" s="1">
        <f t="shared" si="36"/>
        <v>150</v>
      </c>
    </row>
    <row r="716" spans="5:14" x14ac:dyDescent="0.25">
      <c r="E716">
        <v>1744</v>
      </c>
      <c r="F716" s="7">
        <v>45371</v>
      </c>
      <c r="G716">
        <f t="shared" si="34"/>
        <v>2024</v>
      </c>
      <c r="H716" s="7" t="str">
        <f t="shared" si="35"/>
        <v>Март</v>
      </c>
      <c r="I716" t="s">
        <v>7</v>
      </c>
      <c r="J716">
        <v>52</v>
      </c>
      <c r="K716" t="s">
        <v>10</v>
      </c>
      <c r="L716">
        <v>4</v>
      </c>
      <c r="M716">
        <v>96</v>
      </c>
      <c r="N716" s="1">
        <f t="shared" si="36"/>
        <v>384</v>
      </c>
    </row>
    <row r="717" spans="5:14" x14ac:dyDescent="0.25">
      <c r="E717">
        <v>307</v>
      </c>
      <c r="F717" s="7">
        <v>45143</v>
      </c>
      <c r="G717">
        <f t="shared" si="34"/>
        <v>2023</v>
      </c>
      <c r="H717" s="7" t="str">
        <f t="shared" si="35"/>
        <v>Август</v>
      </c>
      <c r="I717" t="s">
        <v>9</v>
      </c>
      <c r="J717">
        <v>34</v>
      </c>
      <c r="K717" t="s">
        <v>8</v>
      </c>
      <c r="L717">
        <v>4</v>
      </c>
      <c r="M717">
        <v>300</v>
      </c>
      <c r="N717" s="1">
        <f t="shared" si="36"/>
        <v>1200</v>
      </c>
    </row>
    <row r="718" spans="5:14" x14ac:dyDescent="0.25">
      <c r="E718">
        <v>813</v>
      </c>
      <c r="F718" s="7">
        <v>45165</v>
      </c>
      <c r="G718">
        <f t="shared" si="34"/>
        <v>2023</v>
      </c>
      <c r="H718" s="7" t="str">
        <f t="shared" si="35"/>
        <v>Август</v>
      </c>
      <c r="I718" t="s">
        <v>9</v>
      </c>
      <c r="J718">
        <v>51</v>
      </c>
      <c r="K718" t="s">
        <v>10</v>
      </c>
      <c r="L718">
        <v>3</v>
      </c>
      <c r="M718">
        <v>25</v>
      </c>
      <c r="N718" s="1">
        <f t="shared" si="36"/>
        <v>75</v>
      </c>
    </row>
    <row r="719" spans="5:14" x14ac:dyDescent="0.25">
      <c r="E719">
        <v>1036</v>
      </c>
      <c r="F719" s="7">
        <v>45372</v>
      </c>
      <c r="G719">
        <f t="shared" si="34"/>
        <v>2024</v>
      </c>
      <c r="H719" s="7" t="str">
        <f t="shared" si="35"/>
        <v>Март</v>
      </c>
      <c r="I719" t="s">
        <v>7</v>
      </c>
      <c r="J719">
        <v>46</v>
      </c>
      <c r="K719" t="s">
        <v>8</v>
      </c>
      <c r="L719">
        <v>7</v>
      </c>
      <c r="M719">
        <v>419</v>
      </c>
      <c r="N719" s="1">
        <f t="shared" si="36"/>
        <v>2933</v>
      </c>
    </row>
    <row r="720" spans="5:14" x14ac:dyDescent="0.25">
      <c r="E720">
        <v>1942</v>
      </c>
      <c r="F720" s="7">
        <v>45420</v>
      </c>
      <c r="G720">
        <f t="shared" si="34"/>
        <v>2024</v>
      </c>
      <c r="H720" s="7" t="str">
        <f t="shared" si="35"/>
        <v>Май</v>
      </c>
      <c r="I720" t="s">
        <v>7</v>
      </c>
      <c r="J720">
        <v>48</v>
      </c>
      <c r="K720" t="s">
        <v>11</v>
      </c>
      <c r="L720">
        <v>5</v>
      </c>
      <c r="M720">
        <v>374</v>
      </c>
      <c r="N720" s="1">
        <f t="shared" si="36"/>
        <v>1870</v>
      </c>
    </row>
    <row r="721" spans="5:14" x14ac:dyDescent="0.25">
      <c r="E721">
        <v>777</v>
      </c>
      <c r="F721" s="7">
        <v>45051</v>
      </c>
      <c r="G721">
        <f t="shared" si="34"/>
        <v>2023</v>
      </c>
      <c r="H721" s="7" t="str">
        <f t="shared" si="35"/>
        <v>Май</v>
      </c>
      <c r="I721" t="s">
        <v>9</v>
      </c>
      <c r="J721">
        <v>56</v>
      </c>
      <c r="K721" t="s">
        <v>11</v>
      </c>
      <c r="L721">
        <v>2</v>
      </c>
      <c r="M721">
        <v>500</v>
      </c>
      <c r="N721" s="1">
        <f t="shared" si="36"/>
        <v>1000</v>
      </c>
    </row>
    <row r="722" spans="5:14" x14ac:dyDescent="0.25">
      <c r="E722">
        <v>639</v>
      </c>
      <c r="F722" s="7">
        <v>45053</v>
      </c>
      <c r="G722">
        <f t="shared" si="34"/>
        <v>2023</v>
      </c>
      <c r="H722" s="7" t="str">
        <f t="shared" si="35"/>
        <v>Май</v>
      </c>
      <c r="I722" t="s">
        <v>9</v>
      </c>
      <c r="J722">
        <v>51</v>
      </c>
      <c r="K722" t="s">
        <v>11</v>
      </c>
      <c r="L722">
        <v>4</v>
      </c>
      <c r="M722">
        <v>30</v>
      </c>
      <c r="N722" s="1">
        <f t="shared" si="36"/>
        <v>120</v>
      </c>
    </row>
    <row r="723" spans="5:14" x14ac:dyDescent="0.25">
      <c r="E723">
        <v>704</v>
      </c>
      <c r="F723" s="7">
        <v>45245</v>
      </c>
      <c r="G723">
        <f t="shared" si="34"/>
        <v>2023</v>
      </c>
      <c r="H723" s="7" t="str">
        <f t="shared" si="35"/>
        <v>Ноябрь</v>
      </c>
      <c r="I723" t="s">
        <v>7</v>
      </c>
      <c r="J723">
        <v>51</v>
      </c>
      <c r="K723" t="s">
        <v>11</v>
      </c>
      <c r="L723">
        <v>4</v>
      </c>
      <c r="M723">
        <v>25</v>
      </c>
      <c r="N723" s="1">
        <f t="shared" si="36"/>
        <v>100</v>
      </c>
    </row>
    <row r="724" spans="5:14" x14ac:dyDescent="0.25">
      <c r="E724">
        <v>1355</v>
      </c>
      <c r="F724" s="7">
        <v>45428</v>
      </c>
      <c r="G724">
        <f t="shared" si="34"/>
        <v>2024</v>
      </c>
      <c r="H724" s="7" t="str">
        <f t="shared" si="35"/>
        <v>Май</v>
      </c>
      <c r="I724" t="s">
        <v>9</v>
      </c>
      <c r="J724">
        <v>60</v>
      </c>
      <c r="K724" t="s">
        <v>8</v>
      </c>
      <c r="L724">
        <v>4</v>
      </c>
      <c r="M724">
        <v>322</v>
      </c>
      <c r="N724" s="1">
        <f t="shared" si="36"/>
        <v>1288</v>
      </c>
    </row>
    <row r="725" spans="5:14" x14ac:dyDescent="0.25">
      <c r="E725">
        <v>1611</v>
      </c>
      <c r="F725" s="7">
        <v>45383</v>
      </c>
      <c r="G725">
        <f t="shared" si="34"/>
        <v>2024</v>
      </c>
      <c r="H725" s="7" t="str">
        <f t="shared" si="35"/>
        <v>Апрель</v>
      </c>
      <c r="I725" t="s">
        <v>9</v>
      </c>
      <c r="J725">
        <v>20</v>
      </c>
      <c r="K725" t="s">
        <v>8</v>
      </c>
      <c r="L725">
        <v>3</v>
      </c>
      <c r="M725">
        <v>426</v>
      </c>
      <c r="N725" s="1">
        <f t="shared" si="36"/>
        <v>1278</v>
      </c>
    </row>
    <row r="726" spans="5:14" x14ac:dyDescent="0.25">
      <c r="E726">
        <v>1316</v>
      </c>
      <c r="F726" s="7">
        <v>45570</v>
      </c>
      <c r="G726">
        <f t="shared" si="34"/>
        <v>2024</v>
      </c>
      <c r="H726" s="7" t="str">
        <f t="shared" si="35"/>
        <v>Октябрь</v>
      </c>
      <c r="I726" t="s">
        <v>7</v>
      </c>
      <c r="J726">
        <v>44</v>
      </c>
      <c r="K726" t="s">
        <v>10</v>
      </c>
      <c r="L726">
        <v>7</v>
      </c>
      <c r="M726">
        <v>380</v>
      </c>
      <c r="N726" s="1">
        <f t="shared" si="36"/>
        <v>2660</v>
      </c>
    </row>
    <row r="727" spans="5:14" x14ac:dyDescent="0.25">
      <c r="E727">
        <v>1437</v>
      </c>
      <c r="F727" s="7">
        <v>45591</v>
      </c>
      <c r="G727">
        <f t="shared" si="34"/>
        <v>2024</v>
      </c>
      <c r="H727" s="7" t="str">
        <f t="shared" si="35"/>
        <v>Октябрь</v>
      </c>
      <c r="I727" t="s">
        <v>7</v>
      </c>
      <c r="J727">
        <v>43</v>
      </c>
      <c r="K727" t="s">
        <v>10</v>
      </c>
      <c r="L727">
        <v>7</v>
      </c>
      <c r="M727">
        <v>13</v>
      </c>
      <c r="N727" s="1">
        <f t="shared" si="36"/>
        <v>91</v>
      </c>
    </row>
    <row r="728" spans="5:14" x14ac:dyDescent="0.25">
      <c r="E728">
        <v>902</v>
      </c>
      <c r="F728" s="7">
        <v>45111</v>
      </c>
      <c r="G728">
        <f t="shared" si="34"/>
        <v>2023</v>
      </c>
      <c r="H728" s="7" t="str">
        <f t="shared" si="35"/>
        <v>Июль</v>
      </c>
      <c r="I728" t="s">
        <v>7</v>
      </c>
      <c r="J728">
        <v>28</v>
      </c>
      <c r="K728" t="s">
        <v>10</v>
      </c>
      <c r="L728">
        <v>1</v>
      </c>
      <c r="M728">
        <v>500</v>
      </c>
      <c r="N728" s="1">
        <f t="shared" si="36"/>
        <v>500</v>
      </c>
    </row>
    <row r="729" spans="5:14" x14ac:dyDescent="0.25">
      <c r="E729">
        <v>929</v>
      </c>
      <c r="F729" s="7">
        <v>45171</v>
      </c>
      <c r="G729">
        <f t="shared" si="34"/>
        <v>2023</v>
      </c>
      <c r="H729" s="7" t="str">
        <f t="shared" si="35"/>
        <v>Сентябрь</v>
      </c>
      <c r="I729" t="s">
        <v>7</v>
      </c>
      <c r="J729">
        <v>30</v>
      </c>
      <c r="K729" t="s">
        <v>8</v>
      </c>
      <c r="L729">
        <v>4</v>
      </c>
      <c r="M729">
        <v>30</v>
      </c>
      <c r="N729" s="1">
        <f t="shared" si="36"/>
        <v>120</v>
      </c>
    </row>
    <row r="730" spans="5:14" x14ac:dyDescent="0.25">
      <c r="E730">
        <v>1857</v>
      </c>
      <c r="F730" s="7">
        <v>45339</v>
      </c>
      <c r="G730">
        <f t="shared" si="34"/>
        <v>2024</v>
      </c>
      <c r="H730" s="7" t="str">
        <f t="shared" si="35"/>
        <v>Февраль</v>
      </c>
      <c r="I730" t="s">
        <v>9</v>
      </c>
      <c r="J730">
        <v>54</v>
      </c>
      <c r="K730" t="s">
        <v>10</v>
      </c>
      <c r="L730">
        <v>1</v>
      </c>
      <c r="M730">
        <v>453</v>
      </c>
      <c r="N730" s="1">
        <f t="shared" si="36"/>
        <v>453</v>
      </c>
    </row>
    <row r="731" spans="5:14" x14ac:dyDescent="0.25">
      <c r="E731">
        <v>61</v>
      </c>
      <c r="F731" s="7">
        <v>45025</v>
      </c>
      <c r="G731">
        <f t="shared" si="34"/>
        <v>2023</v>
      </c>
      <c r="H731" s="7" t="str">
        <f t="shared" si="35"/>
        <v>Апрель</v>
      </c>
      <c r="I731" t="s">
        <v>7</v>
      </c>
      <c r="J731">
        <v>21</v>
      </c>
      <c r="K731" t="s">
        <v>8</v>
      </c>
      <c r="L731">
        <v>4</v>
      </c>
      <c r="M731">
        <v>50</v>
      </c>
      <c r="N731" s="1">
        <f t="shared" si="36"/>
        <v>200</v>
      </c>
    </row>
    <row r="732" spans="5:14" x14ac:dyDescent="0.25">
      <c r="E732">
        <v>1584</v>
      </c>
      <c r="F732" s="7">
        <v>45451</v>
      </c>
      <c r="G732">
        <f t="shared" si="34"/>
        <v>2024</v>
      </c>
      <c r="H732" s="7" t="str">
        <f t="shared" si="35"/>
        <v>Июнь</v>
      </c>
      <c r="I732" t="s">
        <v>9</v>
      </c>
      <c r="J732">
        <v>27</v>
      </c>
      <c r="K732" t="s">
        <v>8</v>
      </c>
      <c r="L732">
        <v>4</v>
      </c>
      <c r="M732">
        <v>101</v>
      </c>
      <c r="N732" s="1">
        <f t="shared" si="36"/>
        <v>404</v>
      </c>
    </row>
    <row r="733" spans="5:14" x14ac:dyDescent="0.25">
      <c r="E733">
        <v>830</v>
      </c>
      <c r="F733" s="7">
        <v>45180</v>
      </c>
      <c r="G733">
        <f t="shared" si="34"/>
        <v>2023</v>
      </c>
      <c r="H733" s="7" t="str">
        <f t="shared" si="35"/>
        <v>Сентябрь</v>
      </c>
      <c r="I733" t="s">
        <v>7</v>
      </c>
      <c r="J733">
        <v>47</v>
      </c>
      <c r="K733" t="s">
        <v>8</v>
      </c>
      <c r="L733">
        <v>4</v>
      </c>
      <c r="M733">
        <v>500</v>
      </c>
      <c r="N733" s="1">
        <f t="shared" si="36"/>
        <v>2000</v>
      </c>
    </row>
    <row r="734" spans="5:14" x14ac:dyDescent="0.25">
      <c r="E734">
        <v>1448</v>
      </c>
      <c r="F734" s="7">
        <v>45642</v>
      </c>
      <c r="G734">
        <f t="shared" si="34"/>
        <v>2024</v>
      </c>
      <c r="H734" s="7" t="str">
        <f t="shared" si="35"/>
        <v>Декабрь</v>
      </c>
      <c r="I734" t="s">
        <v>9</v>
      </c>
      <c r="J734">
        <v>38</v>
      </c>
      <c r="K734" t="s">
        <v>11</v>
      </c>
      <c r="L734">
        <v>2</v>
      </c>
      <c r="M734">
        <v>29</v>
      </c>
      <c r="N734" s="1">
        <f t="shared" si="36"/>
        <v>58</v>
      </c>
    </row>
    <row r="735" spans="5:14" x14ac:dyDescent="0.25">
      <c r="E735">
        <v>1244</v>
      </c>
      <c r="F735" s="7">
        <v>45569</v>
      </c>
      <c r="G735">
        <f t="shared" si="34"/>
        <v>2024</v>
      </c>
      <c r="H735" s="7" t="str">
        <f t="shared" si="35"/>
        <v>Октябрь</v>
      </c>
      <c r="I735" t="s">
        <v>7</v>
      </c>
      <c r="J735">
        <v>24</v>
      </c>
      <c r="K735" t="s">
        <v>11</v>
      </c>
      <c r="L735">
        <v>3</v>
      </c>
      <c r="M735">
        <v>284</v>
      </c>
      <c r="N735" s="1">
        <f t="shared" si="36"/>
        <v>852</v>
      </c>
    </row>
    <row r="736" spans="5:14" x14ac:dyDescent="0.25">
      <c r="E736">
        <v>1009</v>
      </c>
      <c r="F736" s="7">
        <v>45336</v>
      </c>
      <c r="G736">
        <f t="shared" si="34"/>
        <v>2024</v>
      </c>
      <c r="H736" s="7" t="str">
        <f t="shared" si="35"/>
        <v>Февраль</v>
      </c>
      <c r="I736" t="s">
        <v>7</v>
      </c>
      <c r="J736">
        <v>52</v>
      </c>
      <c r="K736" t="s">
        <v>10</v>
      </c>
      <c r="L736">
        <v>4</v>
      </c>
      <c r="M736">
        <v>321</v>
      </c>
      <c r="N736" s="1">
        <f t="shared" si="36"/>
        <v>1284</v>
      </c>
    </row>
    <row r="737" spans="5:14" x14ac:dyDescent="0.25">
      <c r="E737">
        <v>918</v>
      </c>
      <c r="F737" s="7">
        <v>44979</v>
      </c>
      <c r="G737">
        <f t="shared" si="34"/>
        <v>2023</v>
      </c>
      <c r="H737" s="7" t="str">
        <f t="shared" si="35"/>
        <v>Февраль</v>
      </c>
      <c r="I737" t="s">
        <v>9</v>
      </c>
      <c r="J737">
        <v>28</v>
      </c>
      <c r="K737" t="s">
        <v>8</v>
      </c>
      <c r="L737">
        <v>3</v>
      </c>
      <c r="M737">
        <v>25</v>
      </c>
      <c r="N737" s="1">
        <f t="shared" si="36"/>
        <v>75</v>
      </c>
    </row>
    <row r="738" spans="5:14" x14ac:dyDescent="0.25">
      <c r="E738">
        <v>1896</v>
      </c>
      <c r="F738" s="7">
        <v>45343</v>
      </c>
      <c r="G738">
        <f t="shared" si="34"/>
        <v>2024</v>
      </c>
      <c r="H738" s="7" t="str">
        <f t="shared" si="35"/>
        <v>Февраль</v>
      </c>
      <c r="I738" t="s">
        <v>7</v>
      </c>
      <c r="J738">
        <v>35</v>
      </c>
      <c r="K738" t="s">
        <v>10</v>
      </c>
      <c r="L738">
        <v>1</v>
      </c>
      <c r="M738">
        <v>333</v>
      </c>
      <c r="N738" s="1">
        <f t="shared" si="36"/>
        <v>333</v>
      </c>
    </row>
    <row r="739" spans="5:14" x14ac:dyDescent="0.25">
      <c r="E739">
        <v>1529</v>
      </c>
      <c r="F739" s="7">
        <v>45462</v>
      </c>
      <c r="G739">
        <f t="shared" si="34"/>
        <v>2024</v>
      </c>
      <c r="H739" s="7" t="str">
        <f t="shared" si="35"/>
        <v>Июнь</v>
      </c>
      <c r="I739" t="s">
        <v>9</v>
      </c>
      <c r="J739">
        <v>46</v>
      </c>
      <c r="K739" t="s">
        <v>10</v>
      </c>
      <c r="L739">
        <v>5</v>
      </c>
      <c r="M739">
        <v>429</v>
      </c>
      <c r="N739" s="1">
        <f t="shared" si="36"/>
        <v>2145</v>
      </c>
    </row>
    <row r="740" spans="5:14" x14ac:dyDescent="0.25">
      <c r="E740">
        <v>1753</v>
      </c>
      <c r="F740" s="7">
        <v>45651</v>
      </c>
      <c r="G740">
        <f t="shared" si="34"/>
        <v>2024</v>
      </c>
      <c r="H740" s="7" t="str">
        <f t="shared" si="35"/>
        <v>Декабрь</v>
      </c>
      <c r="I740" t="s">
        <v>9</v>
      </c>
      <c r="J740">
        <v>64</v>
      </c>
      <c r="K740" t="s">
        <v>11</v>
      </c>
      <c r="L740">
        <v>1</v>
      </c>
      <c r="M740">
        <v>377</v>
      </c>
      <c r="N740" s="1">
        <f t="shared" si="36"/>
        <v>377</v>
      </c>
    </row>
    <row r="741" spans="5:14" x14ac:dyDescent="0.25">
      <c r="E741">
        <v>1040</v>
      </c>
      <c r="F741" s="7">
        <v>45339</v>
      </c>
      <c r="G741">
        <f t="shared" si="34"/>
        <v>2024</v>
      </c>
      <c r="H741" s="7" t="str">
        <f t="shared" si="35"/>
        <v>Февраль</v>
      </c>
      <c r="I741" t="s">
        <v>7</v>
      </c>
      <c r="J741">
        <v>49</v>
      </c>
      <c r="K741" t="s">
        <v>10</v>
      </c>
      <c r="L741">
        <v>1</v>
      </c>
      <c r="M741">
        <v>496</v>
      </c>
      <c r="N741" s="1">
        <f t="shared" si="36"/>
        <v>496</v>
      </c>
    </row>
    <row r="742" spans="5:14" x14ac:dyDescent="0.25">
      <c r="E742">
        <v>890</v>
      </c>
      <c r="F742" s="7">
        <v>45025</v>
      </c>
      <c r="G742">
        <f t="shared" si="34"/>
        <v>2023</v>
      </c>
      <c r="H742" s="7" t="str">
        <f t="shared" si="35"/>
        <v>Апрель</v>
      </c>
      <c r="I742" t="s">
        <v>7</v>
      </c>
      <c r="J742">
        <v>20</v>
      </c>
      <c r="K742" t="s">
        <v>11</v>
      </c>
      <c r="L742">
        <v>1</v>
      </c>
      <c r="M742">
        <v>50</v>
      </c>
      <c r="N742" s="1">
        <f t="shared" si="36"/>
        <v>50</v>
      </c>
    </row>
    <row r="743" spans="5:14" x14ac:dyDescent="0.25">
      <c r="E743">
        <v>435</v>
      </c>
      <c r="F743" s="7">
        <v>45003</v>
      </c>
      <c r="G743">
        <f t="shared" si="34"/>
        <v>2023</v>
      </c>
      <c r="H743" s="7" t="str">
        <f t="shared" si="35"/>
        <v>Март</v>
      </c>
      <c r="I743" t="s">
        <v>9</v>
      </c>
      <c r="J743">
        <v>57</v>
      </c>
      <c r="K743" t="s">
        <v>10</v>
      </c>
      <c r="L743">
        <v>4</v>
      </c>
      <c r="M743">
        <v>30</v>
      </c>
      <c r="N743" s="1">
        <f t="shared" si="36"/>
        <v>120</v>
      </c>
    </row>
    <row r="744" spans="5:14" x14ac:dyDescent="0.25">
      <c r="E744">
        <v>1181</v>
      </c>
      <c r="F744" s="7">
        <v>45543</v>
      </c>
      <c r="G744">
        <f t="shared" si="34"/>
        <v>2024</v>
      </c>
      <c r="H744" s="7" t="str">
        <f t="shared" si="35"/>
        <v>Сентябрь</v>
      </c>
      <c r="I744" t="s">
        <v>9</v>
      </c>
      <c r="J744">
        <v>21</v>
      </c>
      <c r="K744" t="s">
        <v>8</v>
      </c>
      <c r="L744">
        <v>4</v>
      </c>
      <c r="M744">
        <v>188</v>
      </c>
      <c r="N744" s="1">
        <f t="shared" si="36"/>
        <v>752</v>
      </c>
    </row>
    <row r="745" spans="5:14" x14ac:dyDescent="0.25">
      <c r="E745">
        <v>1921</v>
      </c>
      <c r="F745" s="7">
        <v>45538</v>
      </c>
      <c r="G745">
        <f t="shared" si="34"/>
        <v>2024</v>
      </c>
      <c r="H745" s="7" t="str">
        <f t="shared" si="35"/>
        <v>Сентябрь</v>
      </c>
      <c r="I745" t="s">
        <v>7</v>
      </c>
      <c r="J745">
        <v>20</v>
      </c>
      <c r="K745" t="s">
        <v>11</v>
      </c>
      <c r="L745">
        <v>7</v>
      </c>
      <c r="M745">
        <v>249</v>
      </c>
      <c r="N745" s="1">
        <f t="shared" si="36"/>
        <v>1743</v>
      </c>
    </row>
    <row r="746" spans="5:14" x14ac:dyDescent="0.25">
      <c r="E746">
        <v>1094</v>
      </c>
      <c r="F746" s="7">
        <v>45645</v>
      </c>
      <c r="G746">
        <f t="shared" si="34"/>
        <v>2024</v>
      </c>
      <c r="H746" s="7" t="str">
        <f t="shared" si="35"/>
        <v>Декабрь</v>
      </c>
      <c r="I746" t="s">
        <v>9</v>
      </c>
      <c r="J746">
        <v>40</v>
      </c>
      <c r="K746" t="s">
        <v>10</v>
      </c>
      <c r="L746">
        <v>2</v>
      </c>
      <c r="M746">
        <v>243</v>
      </c>
      <c r="N746" s="1">
        <f t="shared" si="36"/>
        <v>486</v>
      </c>
    </row>
    <row r="747" spans="5:14" x14ac:dyDescent="0.25">
      <c r="E747">
        <v>1053</v>
      </c>
      <c r="F747" s="7">
        <v>45575</v>
      </c>
      <c r="G747">
        <f t="shared" si="34"/>
        <v>2024</v>
      </c>
      <c r="H747" s="7" t="str">
        <f t="shared" si="35"/>
        <v>Октябрь</v>
      </c>
      <c r="I747" t="s">
        <v>7</v>
      </c>
      <c r="J747">
        <v>43</v>
      </c>
      <c r="K747" t="s">
        <v>8</v>
      </c>
      <c r="L747">
        <v>6</v>
      </c>
      <c r="M747">
        <v>55</v>
      </c>
      <c r="N747" s="1">
        <f t="shared" si="36"/>
        <v>330</v>
      </c>
    </row>
    <row r="748" spans="5:14" x14ac:dyDescent="0.25">
      <c r="E748">
        <v>1168</v>
      </c>
      <c r="F748" s="7">
        <v>45445</v>
      </c>
      <c r="G748">
        <f t="shared" si="34"/>
        <v>2024</v>
      </c>
      <c r="H748" s="7" t="str">
        <f t="shared" si="35"/>
        <v>Июнь</v>
      </c>
      <c r="I748" t="s">
        <v>9</v>
      </c>
      <c r="J748">
        <v>22</v>
      </c>
      <c r="K748" t="s">
        <v>10</v>
      </c>
      <c r="L748">
        <v>4</v>
      </c>
      <c r="M748">
        <v>206</v>
      </c>
      <c r="N748" s="1">
        <f t="shared" si="36"/>
        <v>824</v>
      </c>
    </row>
    <row r="749" spans="5:14" x14ac:dyDescent="0.25">
      <c r="E749">
        <v>213</v>
      </c>
      <c r="F749" s="7">
        <v>45270</v>
      </c>
      <c r="G749">
        <f t="shared" si="34"/>
        <v>2023</v>
      </c>
      <c r="H749" s="7" t="str">
        <f t="shared" si="35"/>
        <v>Декабрь</v>
      </c>
      <c r="I749" t="s">
        <v>7</v>
      </c>
      <c r="J749">
        <v>20</v>
      </c>
      <c r="K749" t="s">
        <v>8</v>
      </c>
      <c r="L749">
        <v>2</v>
      </c>
      <c r="M749">
        <v>30</v>
      </c>
      <c r="N749" s="1">
        <f t="shared" si="36"/>
        <v>60</v>
      </c>
    </row>
    <row r="750" spans="5:14" x14ac:dyDescent="0.25">
      <c r="E750">
        <v>1447</v>
      </c>
      <c r="F750" s="7">
        <v>45400</v>
      </c>
      <c r="G750">
        <f t="shared" si="34"/>
        <v>2024</v>
      </c>
      <c r="H750" s="7" t="str">
        <f t="shared" si="35"/>
        <v>Апрель</v>
      </c>
      <c r="I750" t="s">
        <v>9</v>
      </c>
      <c r="J750">
        <v>55</v>
      </c>
      <c r="K750" t="s">
        <v>8</v>
      </c>
      <c r="L750">
        <v>2</v>
      </c>
      <c r="M750">
        <v>85</v>
      </c>
      <c r="N750" s="1">
        <f t="shared" si="36"/>
        <v>170</v>
      </c>
    </row>
    <row r="751" spans="5:14" x14ac:dyDescent="0.25">
      <c r="E751">
        <v>1270</v>
      </c>
      <c r="F751" s="7">
        <v>45420</v>
      </c>
      <c r="G751">
        <f t="shared" si="34"/>
        <v>2024</v>
      </c>
      <c r="H751" s="7" t="str">
        <f t="shared" si="35"/>
        <v>Май</v>
      </c>
      <c r="I751" t="s">
        <v>9</v>
      </c>
      <c r="J751">
        <v>44</v>
      </c>
      <c r="K751" t="s">
        <v>8</v>
      </c>
      <c r="L751">
        <v>3</v>
      </c>
      <c r="M751">
        <v>433</v>
      </c>
      <c r="N751" s="1">
        <f t="shared" si="36"/>
        <v>1299</v>
      </c>
    </row>
    <row r="752" spans="5:14" x14ac:dyDescent="0.25">
      <c r="E752">
        <v>1788</v>
      </c>
      <c r="F752" s="7">
        <v>45482</v>
      </c>
      <c r="G752">
        <f t="shared" si="34"/>
        <v>2024</v>
      </c>
      <c r="H752" s="7" t="str">
        <f t="shared" si="35"/>
        <v>Июль</v>
      </c>
      <c r="I752" t="s">
        <v>9</v>
      </c>
      <c r="J752">
        <v>25</v>
      </c>
      <c r="K752" t="s">
        <v>8</v>
      </c>
      <c r="L752">
        <v>1</v>
      </c>
      <c r="M752">
        <v>145</v>
      </c>
      <c r="N752" s="1">
        <f t="shared" si="36"/>
        <v>145</v>
      </c>
    </row>
    <row r="753" spans="5:14" x14ac:dyDescent="0.25">
      <c r="E753">
        <v>1107</v>
      </c>
      <c r="F753" s="7">
        <v>45583</v>
      </c>
      <c r="G753">
        <f t="shared" si="34"/>
        <v>2024</v>
      </c>
      <c r="H753" s="7" t="str">
        <f t="shared" si="35"/>
        <v>Октябрь</v>
      </c>
      <c r="I753" t="s">
        <v>9</v>
      </c>
      <c r="J753">
        <v>39</v>
      </c>
      <c r="K753" t="s">
        <v>11</v>
      </c>
      <c r="L753">
        <v>4</v>
      </c>
      <c r="M753">
        <v>281</v>
      </c>
      <c r="N753" s="1">
        <f t="shared" si="36"/>
        <v>1124</v>
      </c>
    </row>
    <row r="754" spans="5:14" x14ac:dyDescent="0.25">
      <c r="E754">
        <v>1136</v>
      </c>
      <c r="F754" s="7">
        <v>45374</v>
      </c>
      <c r="G754">
        <f t="shared" si="34"/>
        <v>2024</v>
      </c>
      <c r="H754" s="7" t="str">
        <f t="shared" si="35"/>
        <v>Март</v>
      </c>
      <c r="I754" t="s">
        <v>7</v>
      </c>
      <c r="J754">
        <v>20</v>
      </c>
      <c r="K754" t="s">
        <v>10</v>
      </c>
      <c r="L754">
        <v>4</v>
      </c>
      <c r="M754">
        <v>166</v>
      </c>
      <c r="N754" s="1">
        <f t="shared" si="36"/>
        <v>664</v>
      </c>
    </row>
    <row r="755" spans="5:14" x14ac:dyDescent="0.25">
      <c r="E755">
        <v>1476</v>
      </c>
      <c r="F755" s="7">
        <v>45528</v>
      </c>
      <c r="G755">
        <f t="shared" si="34"/>
        <v>2024</v>
      </c>
      <c r="H755" s="7" t="str">
        <f t="shared" si="35"/>
        <v>Август</v>
      </c>
      <c r="I755" t="s">
        <v>7</v>
      </c>
      <c r="J755">
        <v>26</v>
      </c>
      <c r="K755" t="s">
        <v>11</v>
      </c>
      <c r="L755">
        <v>1</v>
      </c>
      <c r="M755">
        <v>23</v>
      </c>
      <c r="N755" s="1">
        <f t="shared" si="36"/>
        <v>23</v>
      </c>
    </row>
    <row r="756" spans="5:14" x14ac:dyDescent="0.25">
      <c r="E756">
        <v>391</v>
      </c>
      <c r="F756" s="7">
        <v>45268</v>
      </c>
      <c r="G756">
        <f t="shared" si="34"/>
        <v>2023</v>
      </c>
      <c r="H756" s="7" t="str">
        <f t="shared" si="35"/>
        <v>Декабрь</v>
      </c>
      <c r="I756" t="s">
        <v>7</v>
      </c>
      <c r="J756">
        <v>27</v>
      </c>
      <c r="K756" t="s">
        <v>10</v>
      </c>
      <c r="L756">
        <v>2</v>
      </c>
      <c r="M756">
        <v>300</v>
      </c>
      <c r="N756" s="1">
        <f t="shared" si="36"/>
        <v>600</v>
      </c>
    </row>
    <row r="757" spans="5:14" x14ac:dyDescent="0.25">
      <c r="E757">
        <v>164</v>
      </c>
      <c r="F757" s="7">
        <v>45061</v>
      </c>
      <c r="G757">
        <f t="shared" si="34"/>
        <v>2023</v>
      </c>
      <c r="H757" s="7" t="str">
        <f t="shared" si="35"/>
        <v>Май</v>
      </c>
      <c r="I757" t="s">
        <v>9</v>
      </c>
      <c r="J757">
        <v>47</v>
      </c>
      <c r="K757" t="s">
        <v>8</v>
      </c>
      <c r="L757">
        <v>3</v>
      </c>
      <c r="M757">
        <v>500</v>
      </c>
      <c r="N757" s="1">
        <f t="shared" si="36"/>
        <v>1500</v>
      </c>
    </row>
    <row r="758" spans="5:14" x14ac:dyDescent="0.25">
      <c r="E758">
        <v>1253</v>
      </c>
      <c r="F758" s="7">
        <v>45340</v>
      </c>
      <c r="G758">
        <f t="shared" si="34"/>
        <v>2024</v>
      </c>
      <c r="H758" s="7" t="str">
        <f t="shared" si="35"/>
        <v>Февраль</v>
      </c>
      <c r="I758" t="s">
        <v>7</v>
      </c>
      <c r="J758">
        <v>27</v>
      </c>
      <c r="K758" t="s">
        <v>10</v>
      </c>
      <c r="L758">
        <v>1</v>
      </c>
      <c r="M758">
        <v>153</v>
      </c>
      <c r="N758" s="1">
        <f t="shared" si="36"/>
        <v>153</v>
      </c>
    </row>
    <row r="759" spans="5:14" x14ac:dyDescent="0.25">
      <c r="E759">
        <v>1859</v>
      </c>
      <c r="F759" s="7">
        <v>45406</v>
      </c>
      <c r="G759">
        <f t="shared" si="34"/>
        <v>2024</v>
      </c>
      <c r="H759" s="7" t="str">
        <f t="shared" si="35"/>
        <v>Апрель</v>
      </c>
      <c r="I759" t="s">
        <v>9</v>
      </c>
      <c r="J759">
        <v>45</v>
      </c>
      <c r="K759" t="s">
        <v>11</v>
      </c>
      <c r="L759">
        <v>5</v>
      </c>
      <c r="M759">
        <v>116</v>
      </c>
      <c r="N759" s="1">
        <f t="shared" si="36"/>
        <v>580</v>
      </c>
    </row>
    <row r="760" spans="5:14" x14ac:dyDescent="0.25">
      <c r="E760">
        <v>1785</v>
      </c>
      <c r="F760" s="7">
        <v>45565</v>
      </c>
      <c r="G760">
        <f t="shared" si="34"/>
        <v>2024</v>
      </c>
      <c r="H760" s="7" t="str">
        <f t="shared" si="35"/>
        <v>Сентябрь</v>
      </c>
      <c r="I760" t="s">
        <v>9</v>
      </c>
      <c r="J760">
        <v>32</v>
      </c>
      <c r="K760" t="s">
        <v>10</v>
      </c>
      <c r="L760">
        <v>3</v>
      </c>
      <c r="M760">
        <v>10</v>
      </c>
      <c r="N760" s="1">
        <f t="shared" si="36"/>
        <v>30</v>
      </c>
    </row>
    <row r="761" spans="5:14" x14ac:dyDescent="0.25">
      <c r="E761">
        <v>1325</v>
      </c>
      <c r="F761" s="7">
        <v>45373</v>
      </c>
      <c r="G761">
        <f t="shared" si="34"/>
        <v>2024</v>
      </c>
      <c r="H761" s="7" t="str">
        <f t="shared" si="35"/>
        <v>Март</v>
      </c>
      <c r="I761" t="s">
        <v>7</v>
      </c>
      <c r="J761">
        <v>22</v>
      </c>
      <c r="K761" t="s">
        <v>8</v>
      </c>
      <c r="L761">
        <v>6</v>
      </c>
      <c r="M761">
        <v>26</v>
      </c>
      <c r="N761" s="1">
        <f t="shared" si="36"/>
        <v>156</v>
      </c>
    </row>
    <row r="762" spans="5:14" x14ac:dyDescent="0.25">
      <c r="E762">
        <v>1062</v>
      </c>
      <c r="F762" s="7">
        <v>45315</v>
      </c>
      <c r="G762">
        <f t="shared" si="34"/>
        <v>2024</v>
      </c>
      <c r="H762" s="7" t="str">
        <f t="shared" si="35"/>
        <v>Январь</v>
      </c>
      <c r="I762" t="s">
        <v>7</v>
      </c>
      <c r="J762">
        <v>32</v>
      </c>
      <c r="K762" t="s">
        <v>10</v>
      </c>
      <c r="L762">
        <v>2</v>
      </c>
      <c r="M762">
        <v>209</v>
      </c>
      <c r="N762" s="1">
        <f t="shared" si="36"/>
        <v>418</v>
      </c>
    </row>
    <row r="763" spans="5:14" x14ac:dyDescent="0.25">
      <c r="E763">
        <v>596</v>
      </c>
      <c r="F763" s="7">
        <v>45160</v>
      </c>
      <c r="G763">
        <f t="shared" si="34"/>
        <v>2023</v>
      </c>
      <c r="H763" s="7" t="str">
        <f t="shared" si="35"/>
        <v>Август</v>
      </c>
      <c r="I763" t="s">
        <v>7</v>
      </c>
      <c r="J763">
        <v>22</v>
      </c>
      <c r="K763" t="s">
        <v>8</v>
      </c>
      <c r="L763">
        <v>4</v>
      </c>
      <c r="M763">
        <v>300</v>
      </c>
      <c r="N763" s="1">
        <f t="shared" si="36"/>
        <v>1200</v>
      </c>
    </row>
    <row r="764" spans="5:14" x14ac:dyDescent="0.25">
      <c r="E764">
        <v>1954</v>
      </c>
      <c r="F764" s="7">
        <v>45445</v>
      </c>
      <c r="G764">
        <f t="shared" si="34"/>
        <v>2024</v>
      </c>
      <c r="H764" s="7" t="str">
        <f t="shared" si="35"/>
        <v>Июнь</v>
      </c>
      <c r="I764" t="s">
        <v>7</v>
      </c>
      <c r="J764">
        <v>46</v>
      </c>
      <c r="K764" t="s">
        <v>11</v>
      </c>
      <c r="L764">
        <v>5</v>
      </c>
      <c r="M764">
        <v>261</v>
      </c>
      <c r="N764" s="1">
        <f t="shared" si="36"/>
        <v>1305</v>
      </c>
    </row>
    <row r="765" spans="5:14" x14ac:dyDescent="0.25">
      <c r="E765">
        <v>1945</v>
      </c>
      <c r="F765" s="7">
        <v>45506</v>
      </c>
      <c r="G765">
        <f t="shared" si="34"/>
        <v>2024</v>
      </c>
      <c r="H765" s="7" t="str">
        <f t="shared" si="35"/>
        <v>Август</v>
      </c>
      <c r="I765" t="s">
        <v>9</v>
      </c>
      <c r="J765">
        <v>54</v>
      </c>
      <c r="K765" t="s">
        <v>11</v>
      </c>
      <c r="L765">
        <v>7</v>
      </c>
      <c r="M765">
        <v>397</v>
      </c>
      <c r="N765" s="1">
        <f t="shared" si="36"/>
        <v>2779</v>
      </c>
    </row>
    <row r="766" spans="5:14" x14ac:dyDescent="0.25">
      <c r="E766">
        <v>994</v>
      </c>
      <c r="F766" s="7">
        <v>45062</v>
      </c>
      <c r="G766">
        <f t="shared" si="34"/>
        <v>2023</v>
      </c>
      <c r="H766" s="7" t="str">
        <f t="shared" si="35"/>
        <v>Май</v>
      </c>
      <c r="I766" t="s">
        <v>7</v>
      </c>
      <c r="J766">
        <v>62</v>
      </c>
      <c r="K766" t="s">
        <v>10</v>
      </c>
      <c r="L766">
        <v>1</v>
      </c>
      <c r="M766">
        <v>50</v>
      </c>
      <c r="N766" s="1">
        <f t="shared" si="36"/>
        <v>50</v>
      </c>
    </row>
    <row r="767" spans="5:14" x14ac:dyDescent="0.25">
      <c r="E767">
        <v>1429</v>
      </c>
      <c r="F767" s="7">
        <v>45296</v>
      </c>
      <c r="G767">
        <f t="shared" si="34"/>
        <v>2024</v>
      </c>
      <c r="H767" s="7" t="str">
        <f t="shared" si="35"/>
        <v>Январь</v>
      </c>
      <c r="I767" t="s">
        <v>9</v>
      </c>
      <c r="J767">
        <v>57</v>
      </c>
      <c r="K767" t="s">
        <v>11</v>
      </c>
      <c r="L767">
        <v>4</v>
      </c>
      <c r="M767">
        <v>216</v>
      </c>
      <c r="N767" s="1">
        <f t="shared" si="36"/>
        <v>864</v>
      </c>
    </row>
    <row r="768" spans="5:14" x14ac:dyDescent="0.25">
      <c r="E768">
        <v>350</v>
      </c>
      <c r="F768" s="7">
        <v>45194</v>
      </c>
      <c r="G768">
        <f t="shared" si="34"/>
        <v>2023</v>
      </c>
      <c r="H768" s="7" t="str">
        <f t="shared" si="35"/>
        <v>Сентябрь</v>
      </c>
      <c r="I768" t="s">
        <v>9</v>
      </c>
      <c r="J768">
        <v>56</v>
      </c>
      <c r="K768" t="s">
        <v>10</v>
      </c>
      <c r="L768">
        <v>3</v>
      </c>
      <c r="M768">
        <v>30</v>
      </c>
      <c r="N768" s="1">
        <f t="shared" si="36"/>
        <v>90</v>
      </c>
    </row>
    <row r="769" spans="5:14" x14ac:dyDescent="0.25">
      <c r="E769">
        <v>557</v>
      </c>
      <c r="F769" s="7">
        <v>45207</v>
      </c>
      <c r="G769">
        <f t="shared" si="34"/>
        <v>2023</v>
      </c>
      <c r="H769" s="7" t="str">
        <f t="shared" si="35"/>
        <v>Октябрь</v>
      </c>
      <c r="I769" t="s">
        <v>9</v>
      </c>
      <c r="J769">
        <v>41</v>
      </c>
      <c r="K769" t="s">
        <v>10</v>
      </c>
      <c r="L769">
        <v>1</v>
      </c>
      <c r="M769">
        <v>25</v>
      </c>
      <c r="N769" s="1">
        <f t="shared" si="36"/>
        <v>25</v>
      </c>
    </row>
    <row r="770" spans="5:14" x14ac:dyDescent="0.25">
      <c r="E770">
        <v>131</v>
      </c>
      <c r="F770" s="7">
        <v>45187</v>
      </c>
      <c r="G770">
        <f t="shared" si="34"/>
        <v>2023</v>
      </c>
      <c r="H770" s="7" t="str">
        <f t="shared" si="35"/>
        <v>Сентябрь</v>
      </c>
      <c r="I770" t="s">
        <v>9</v>
      </c>
      <c r="J770">
        <v>21</v>
      </c>
      <c r="K770" t="s">
        <v>8</v>
      </c>
      <c r="L770">
        <v>2</v>
      </c>
      <c r="M770">
        <v>300</v>
      </c>
      <c r="N770" s="1">
        <f t="shared" si="36"/>
        <v>600</v>
      </c>
    </row>
    <row r="771" spans="5:14" x14ac:dyDescent="0.25">
      <c r="E771">
        <v>1834</v>
      </c>
      <c r="F771" s="7">
        <v>45425</v>
      </c>
      <c r="G771">
        <f t="shared" si="34"/>
        <v>2024</v>
      </c>
      <c r="H771" s="7" t="str">
        <f t="shared" si="35"/>
        <v>Май</v>
      </c>
      <c r="I771" t="s">
        <v>7</v>
      </c>
      <c r="J771">
        <v>36</v>
      </c>
      <c r="K771" t="s">
        <v>11</v>
      </c>
      <c r="L771">
        <v>2</v>
      </c>
      <c r="M771">
        <v>268</v>
      </c>
      <c r="N771" s="1">
        <f t="shared" si="36"/>
        <v>536</v>
      </c>
    </row>
    <row r="772" spans="5:14" x14ac:dyDescent="0.25">
      <c r="E772">
        <v>1995</v>
      </c>
      <c r="F772" s="7">
        <v>45631</v>
      </c>
      <c r="G772">
        <f t="shared" si="34"/>
        <v>2024</v>
      </c>
      <c r="H772" s="7" t="str">
        <f t="shared" si="35"/>
        <v>Декабрь</v>
      </c>
      <c r="I772" t="s">
        <v>9</v>
      </c>
      <c r="J772">
        <v>56</v>
      </c>
      <c r="K772" t="s">
        <v>11</v>
      </c>
      <c r="L772">
        <v>7</v>
      </c>
      <c r="M772">
        <v>379</v>
      </c>
      <c r="N772" s="1">
        <f t="shared" si="36"/>
        <v>2653</v>
      </c>
    </row>
    <row r="773" spans="5:14" x14ac:dyDescent="0.25">
      <c r="E773">
        <v>1424</v>
      </c>
      <c r="F773" s="7">
        <v>45519</v>
      </c>
      <c r="G773">
        <f t="shared" si="34"/>
        <v>2024</v>
      </c>
      <c r="H773" s="7" t="str">
        <f t="shared" si="35"/>
        <v>Август</v>
      </c>
      <c r="I773" t="s">
        <v>7</v>
      </c>
      <c r="J773">
        <v>60</v>
      </c>
      <c r="K773" t="s">
        <v>11</v>
      </c>
      <c r="L773">
        <v>1</v>
      </c>
      <c r="M773">
        <v>163</v>
      </c>
      <c r="N773" s="1">
        <f t="shared" si="36"/>
        <v>163</v>
      </c>
    </row>
    <row r="774" spans="5:14" x14ac:dyDescent="0.25">
      <c r="E774">
        <v>1363</v>
      </c>
      <c r="F774" s="7">
        <v>45329</v>
      </c>
      <c r="G774">
        <f t="shared" si="34"/>
        <v>2024</v>
      </c>
      <c r="H774" s="7" t="str">
        <f t="shared" si="35"/>
        <v>Февраль</v>
      </c>
      <c r="I774" t="s">
        <v>7</v>
      </c>
      <c r="J774">
        <v>63</v>
      </c>
      <c r="K774" t="s">
        <v>10</v>
      </c>
      <c r="L774">
        <v>7</v>
      </c>
      <c r="M774">
        <v>335</v>
      </c>
      <c r="N774" s="1">
        <f t="shared" si="36"/>
        <v>2345</v>
      </c>
    </row>
    <row r="775" spans="5:14" x14ac:dyDescent="0.25">
      <c r="E775">
        <v>1041</v>
      </c>
      <c r="F775" s="7">
        <v>45487</v>
      </c>
      <c r="G775">
        <f t="shared" si="34"/>
        <v>2024</v>
      </c>
      <c r="H775" s="7" t="str">
        <f t="shared" si="35"/>
        <v>Июль</v>
      </c>
      <c r="I775" t="s">
        <v>9</v>
      </c>
      <c r="J775">
        <v>54</v>
      </c>
      <c r="K775" t="s">
        <v>10</v>
      </c>
      <c r="L775">
        <v>5</v>
      </c>
      <c r="M775">
        <v>340</v>
      </c>
      <c r="N775" s="1">
        <f t="shared" si="36"/>
        <v>1700</v>
      </c>
    </row>
    <row r="776" spans="5:14" x14ac:dyDescent="0.25">
      <c r="E776">
        <v>1724</v>
      </c>
      <c r="F776" s="7">
        <v>45487</v>
      </c>
      <c r="G776">
        <f t="shared" si="34"/>
        <v>2024</v>
      </c>
      <c r="H776" s="7" t="str">
        <f t="shared" si="35"/>
        <v>Июль</v>
      </c>
      <c r="I776" t="s">
        <v>7</v>
      </c>
      <c r="J776">
        <v>41</v>
      </c>
      <c r="K776" t="s">
        <v>11</v>
      </c>
      <c r="L776">
        <v>6</v>
      </c>
      <c r="M776">
        <v>184</v>
      </c>
      <c r="N776" s="1">
        <f t="shared" si="36"/>
        <v>1104</v>
      </c>
    </row>
    <row r="777" spans="5:14" x14ac:dyDescent="0.25">
      <c r="E777">
        <v>125</v>
      </c>
      <c r="F777" s="7">
        <v>45146</v>
      </c>
      <c r="G777">
        <f t="shared" si="34"/>
        <v>2023</v>
      </c>
      <c r="H777" s="7" t="str">
        <f t="shared" si="35"/>
        <v>Август</v>
      </c>
      <c r="I777" t="s">
        <v>7</v>
      </c>
      <c r="J777">
        <v>48</v>
      </c>
      <c r="K777" t="s">
        <v>10</v>
      </c>
      <c r="L777">
        <v>2</v>
      </c>
      <c r="M777">
        <v>50</v>
      </c>
      <c r="N777" s="1">
        <f t="shared" si="36"/>
        <v>100</v>
      </c>
    </row>
    <row r="778" spans="5:14" x14ac:dyDescent="0.25">
      <c r="E778">
        <v>672</v>
      </c>
      <c r="F778" s="7">
        <v>45032</v>
      </c>
      <c r="G778">
        <f t="shared" ref="G778:G841" si="37">YEAR(F778)</f>
        <v>2023</v>
      </c>
      <c r="H778" s="7" t="str">
        <f t="shared" ref="H778:H841" si="38">TEXT(F778,"ММММ")</f>
        <v>Апрель</v>
      </c>
      <c r="I778" t="s">
        <v>9</v>
      </c>
      <c r="J778">
        <v>38</v>
      </c>
      <c r="K778" t="s">
        <v>10</v>
      </c>
      <c r="L778">
        <v>1</v>
      </c>
      <c r="M778">
        <v>300</v>
      </c>
      <c r="N778" s="1">
        <f t="shared" ref="N778:N841" si="39">L778*M778</f>
        <v>300</v>
      </c>
    </row>
    <row r="779" spans="5:14" x14ac:dyDescent="0.25">
      <c r="E779">
        <v>390</v>
      </c>
      <c r="F779" s="7">
        <v>44931</v>
      </c>
      <c r="G779">
        <f t="shared" si="37"/>
        <v>2023</v>
      </c>
      <c r="H779" s="7" t="str">
        <f t="shared" si="38"/>
        <v>Январь</v>
      </c>
      <c r="I779" t="s">
        <v>7</v>
      </c>
      <c r="J779">
        <v>19</v>
      </c>
      <c r="K779" t="s">
        <v>8</v>
      </c>
      <c r="L779">
        <v>2</v>
      </c>
      <c r="M779">
        <v>25</v>
      </c>
      <c r="N779" s="1">
        <f t="shared" si="39"/>
        <v>50</v>
      </c>
    </row>
    <row r="780" spans="5:14" x14ac:dyDescent="0.25">
      <c r="E780">
        <v>1420</v>
      </c>
      <c r="F780" s="7">
        <v>45359</v>
      </c>
      <c r="G780">
        <f t="shared" si="37"/>
        <v>2024</v>
      </c>
      <c r="H780" s="7" t="str">
        <f t="shared" si="38"/>
        <v>Март</v>
      </c>
      <c r="I780" t="s">
        <v>9</v>
      </c>
      <c r="J780">
        <v>23</v>
      </c>
      <c r="K780" t="s">
        <v>10</v>
      </c>
      <c r="L780">
        <v>7</v>
      </c>
      <c r="M780">
        <v>127</v>
      </c>
      <c r="N780" s="1">
        <f t="shared" si="39"/>
        <v>889</v>
      </c>
    </row>
    <row r="781" spans="5:14" x14ac:dyDescent="0.25">
      <c r="E781">
        <v>1255</v>
      </c>
      <c r="F781" s="7">
        <v>45630</v>
      </c>
      <c r="G781">
        <f t="shared" si="37"/>
        <v>2024</v>
      </c>
      <c r="H781" s="7" t="str">
        <f t="shared" si="38"/>
        <v>Декабрь</v>
      </c>
      <c r="I781" t="s">
        <v>9</v>
      </c>
      <c r="J781">
        <v>48</v>
      </c>
      <c r="K781" t="s">
        <v>10</v>
      </c>
      <c r="L781">
        <v>1</v>
      </c>
      <c r="M781">
        <v>29</v>
      </c>
      <c r="N781" s="1">
        <f t="shared" si="39"/>
        <v>29</v>
      </c>
    </row>
    <row r="782" spans="5:14" x14ac:dyDescent="0.25">
      <c r="E782">
        <v>848</v>
      </c>
      <c r="F782" s="7">
        <v>45135</v>
      </c>
      <c r="G782">
        <f t="shared" si="37"/>
        <v>2023</v>
      </c>
      <c r="H782" s="7" t="str">
        <f t="shared" si="38"/>
        <v>Июль</v>
      </c>
      <c r="I782" t="s">
        <v>9</v>
      </c>
      <c r="J782">
        <v>26</v>
      </c>
      <c r="K782" t="s">
        <v>8</v>
      </c>
      <c r="L782">
        <v>2</v>
      </c>
      <c r="M782">
        <v>500</v>
      </c>
      <c r="N782" s="1">
        <f t="shared" si="39"/>
        <v>1000</v>
      </c>
    </row>
    <row r="783" spans="5:14" x14ac:dyDescent="0.25">
      <c r="E783">
        <v>1193</v>
      </c>
      <c r="F783" s="7">
        <v>45327</v>
      </c>
      <c r="G783">
        <f t="shared" si="37"/>
        <v>2024</v>
      </c>
      <c r="H783" s="7" t="str">
        <f t="shared" si="38"/>
        <v>Февраль</v>
      </c>
      <c r="I783" t="s">
        <v>7</v>
      </c>
      <c r="J783">
        <v>57</v>
      </c>
      <c r="K783" t="s">
        <v>10</v>
      </c>
      <c r="L783">
        <v>1</v>
      </c>
      <c r="M783">
        <v>259</v>
      </c>
      <c r="N783" s="1">
        <f t="shared" si="39"/>
        <v>259</v>
      </c>
    </row>
    <row r="784" spans="5:14" x14ac:dyDescent="0.25">
      <c r="E784">
        <v>633</v>
      </c>
      <c r="F784" s="7">
        <v>45207</v>
      </c>
      <c r="G784">
        <f t="shared" si="37"/>
        <v>2023</v>
      </c>
      <c r="H784" s="7" t="str">
        <f t="shared" si="38"/>
        <v>Октябрь</v>
      </c>
      <c r="I784" t="s">
        <v>7</v>
      </c>
      <c r="J784">
        <v>60</v>
      </c>
      <c r="K784" t="s">
        <v>11</v>
      </c>
      <c r="L784">
        <v>4</v>
      </c>
      <c r="M784">
        <v>500</v>
      </c>
      <c r="N784" s="1">
        <f t="shared" si="39"/>
        <v>2000</v>
      </c>
    </row>
    <row r="785" spans="5:14" x14ac:dyDescent="0.25">
      <c r="E785">
        <v>511</v>
      </c>
      <c r="F785" s="7">
        <v>45237</v>
      </c>
      <c r="G785">
        <f t="shared" si="37"/>
        <v>2023</v>
      </c>
      <c r="H785" s="7" t="str">
        <f t="shared" si="38"/>
        <v>Ноябрь</v>
      </c>
      <c r="I785" t="s">
        <v>9</v>
      </c>
      <c r="J785">
        <v>57</v>
      </c>
      <c r="K785" t="s">
        <v>8</v>
      </c>
      <c r="L785">
        <v>1</v>
      </c>
      <c r="M785">
        <v>25</v>
      </c>
      <c r="N785" s="1">
        <f t="shared" si="39"/>
        <v>25</v>
      </c>
    </row>
    <row r="786" spans="5:14" x14ac:dyDescent="0.25">
      <c r="E786">
        <v>839</v>
      </c>
      <c r="F786" s="7">
        <v>45232</v>
      </c>
      <c r="G786">
        <f t="shared" si="37"/>
        <v>2023</v>
      </c>
      <c r="H786" s="7" t="str">
        <f t="shared" si="38"/>
        <v>Ноябрь</v>
      </c>
      <c r="I786" t="s">
        <v>7</v>
      </c>
      <c r="J786">
        <v>31</v>
      </c>
      <c r="K786" t="s">
        <v>11</v>
      </c>
      <c r="L786">
        <v>4</v>
      </c>
      <c r="M786">
        <v>25</v>
      </c>
      <c r="N786" s="1">
        <f t="shared" si="39"/>
        <v>100</v>
      </c>
    </row>
    <row r="787" spans="5:14" x14ac:dyDescent="0.25">
      <c r="E787">
        <v>1674</v>
      </c>
      <c r="F787" s="7">
        <v>45649</v>
      </c>
      <c r="G787">
        <f t="shared" si="37"/>
        <v>2024</v>
      </c>
      <c r="H787" s="7" t="str">
        <f t="shared" si="38"/>
        <v>Декабрь</v>
      </c>
      <c r="I787" t="s">
        <v>9</v>
      </c>
      <c r="J787">
        <v>58</v>
      </c>
      <c r="K787" t="s">
        <v>11</v>
      </c>
      <c r="L787">
        <v>6</v>
      </c>
      <c r="M787">
        <v>83</v>
      </c>
      <c r="N787" s="1">
        <f t="shared" si="39"/>
        <v>498</v>
      </c>
    </row>
    <row r="788" spans="5:14" x14ac:dyDescent="0.25">
      <c r="E788">
        <v>420</v>
      </c>
      <c r="F788" s="7">
        <v>44928</v>
      </c>
      <c r="G788">
        <f t="shared" si="37"/>
        <v>2023</v>
      </c>
      <c r="H788" s="7" t="str">
        <f t="shared" si="38"/>
        <v>Январь</v>
      </c>
      <c r="I788" t="s">
        <v>9</v>
      </c>
      <c r="J788">
        <v>37</v>
      </c>
      <c r="K788" t="s">
        <v>10</v>
      </c>
      <c r="L788">
        <v>3</v>
      </c>
      <c r="M788">
        <v>500</v>
      </c>
      <c r="N788" s="1">
        <f t="shared" si="39"/>
        <v>1500</v>
      </c>
    </row>
    <row r="789" spans="5:14" x14ac:dyDescent="0.25">
      <c r="E789">
        <v>27</v>
      </c>
      <c r="F789" s="7">
        <v>45141</v>
      </c>
      <c r="G789">
        <f t="shared" si="37"/>
        <v>2023</v>
      </c>
      <c r="H789" s="7" t="str">
        <f t="shared" si="38"/>
        <v>Август</v>
      </c>
      <c r="I789" t="s">
        <v>9</v>
      </c>
      <c r="J789">
        <v>38</v>
      </c>
      <c r="K789" t="s">
        <v>8</v>
      </c>
      <c r="L789">
        <v>2</v>
      </c>
      <c r="M789">
        <v>25</v>
      </c>
      <c r="N789" s="1">
        <f t="shared" si="39"/>
        <v>50</v>
      </c>
    </row>
    <row r="790" spans="5:14" x14ac:dyDescent="0.25">
      <c r="E790">
        <v>1567</v>
      </c>
      <c r="F790" s="7">
        <v>45519</v>
      </c>
      <c r="G790">
        <f t="shared" si="37"/>
        <v>2024</v>
      </c>
      <c r="H790" s="7" t="str">
        <f t="shared" si="38"/>
        <v>Август</v>
      </c>
      <c r="I790" t="s">
        <v>7</v>
      </c>
      <c r="J790">
        <v>47</v>
      </c>
      <c r="K790" t="s">
        <v>10</v>
      </c>
      <c r="L790">
        <v>7</v>
      </c>
      <c r="M790">
        <v>373</v>
      </c>
      <c r="N790" s="1">
        <f t="shared" si="39"/>
        <v>2611</v>
      </c>
    </row>
    <row r="791" spans="5:14" x14ac:dyDescent="0.25">
      <c r="E791">
        <v>1466</v>
      </c>
      <c r="F791" s="7">
        <v>45420</v>
      </c>
      <c r="G791">
        <f t="shared" si="37"/>
        <v>2024</v>
      </c>
      <c r="H791" s="7" t="str">
        <f t="shared" si="38"/>
        <v>Май</v>
      </c>
      <c r="I791" t="s">
        <v>7</v>
      </c>
      <c r="J791">
        <v>65</v>
      </c>
      <c r="K791" t="s">
        <v>8</v>
      </c>
      <c r="L791">
        <v>6</v>
      </c>
      <c r="M791">
        <v>19</v>
      </c>
      <c r="N791" s="1">
        <f t="shared" si="39"/>
        <v>114</v>
      </c>
    </row>
    <row r="792" spans="5:14" x14ac:dyDescent="0.25">
      <c r="E792">
        <v>1214</v>
      </c>
      <c r="F792" s="7">
        <v>45517</v>
      </c>
      <c r="G792">
        <f t="shared" si="37"/>
        <v>2024</v>
      </c>
      <c r="H792" s="7" t="str">
        <f t="shared" si="38"/>
        <v>Август</v>
      </c>
      <c r="I792" t="s">
        <v>9</v>
      </c>
      <c r="J792">
        <v>31</v>
      </c>
      <c r="K792" t="s">
        <v>11</v>
      </c>
      <c r="L792">
        <v>1</v>
      </c>
      <c r="M792">
        <v>495</v>
      </c>
      <c r="N792" s="1">
        <f t="shared" si="39"/>
        <v>495</v>
      </c>
    </row>
    <row r="793" spans="5:14" x14ac:dyDescent="0.25">
      <c r="E793">
        <v>1658</v>
      </c>
      <c r="F793" s="7">
        <v>45648</v>
      </c>
      <c r="G793">
        <f t="shared" si="37"/>
        <v>2024</v>
      </c>
      <c r="H793" s="7" t="str">
        <f t="shared" si="38"/>
        <v>Декабрь</v>
      </c>
      <c r="I793" t="s">
        <v>7</v>
      </c>
      <c r="J793">
        <v>36</v>
      </c>
      <c r="K793" t="s">
        <v>8</v>
      </c>
      <c r="L793">
        <v>3</v>
      </c>
      <c r="M793">
        <v>234</v>
      </c>
      <c r="N793" s="1">
        <f t="shared" si="39"/>
        <v>702</v>
      </c>
    </row>
    <row r="794" spans="5:14" x14ac:dyDescent="0.25">
      <c r="E794">
        <v>765</v>
      </c>
      <c r="F794" s="7">
        <v>45223</v>
      </c>
      <c r="G794">
        <f t="shared" si="37"/>
        <v>2023</v>
      </c>
      <c r="H794" s="7" t="str">
        <f t="shared" si="38"/>
        <v>Октябрь</v>
      </c>
      <c r="I794" t="s">
        <v>7</v>
      </c>
      <c r="J794">
        <v>39</v>
      </c>
      <c r="K794" t="s">
        <v>8</v>
      </c>
      <c r="L794">
        <v>3</v>
      </c>
      <c r="M794">
        <v>25</v>
      </c>
      <c r="N794" s="1">
        <f t="shared" si="39"/>
        <v>75</v>
      </c>
    </row>
    <row r="795" spans="5:14" x14ac:dyDescent="0.25">
      <c r="E795">
        <v>1738</v>
      </c>
      <c r="F795" s="7">
        <v>45312</v>
      </c>
      <c r="G795">
        <f t="shared" si="37"/>
        <v>2024</v>
      </c>
      <c r="H795" s="7" t="str">
        <f t="shared" si="38"/>
        <v>Январь</v>
      </c>
      <c r="I795" t="s">
        <v>9</v>
      </c>
      <c r="J795">
        <v>42</v>
      </c>
      <c r="K795" t="s">
        <v>11</v>
      </c>
      <c r="L795">
        <v>5</v>
      </c>
      <c r="M795">
        <v>242</v>
      </c>
      <c r="N795" s="1">
        <f t="shared" si="39"/>
        <v>1210</v>
      </c>
    </row>
    <row r="796" spans="5:14" x14ac:dyDescent="0.25">
      <c r="E796">
        <v>276</v>
      </c>
      <c r="F796" s="7">
        <v>45156</v>
      </c>
      <c r="G796">
        <f t="shared" si="37"/>
        <v>2023</v>
      </c>
      <c r="H796" s="7" t="str">
        <f t="shared" si="38"/>
        <v>Август</v>
      </c>
      <c r="I796" t="s">
        <v>7</v>
      </c>
      <c r="J796">
        <v>36</v>
      </c>
      <c r="K796" t="s">
        <v>10</v>
      </c>
      <c r="L796">
        <v>4</v>
      </c>
      <c r="M796">
        <v>25</v>
      </c>
      <c r="N796" s="1">
        <f t="shared" si="39"/>
        <v>100</v>
      </c>
    </row>
    <row r="797" spans="5:14" x14ac:dyDescent="0.25">
      <c r="E797">
        <v>79</v>
      </c>
      <c r="F797" s="7">
        <v>45034</v>
      </c>
      <c r="G797">
        <f t="shared" si="37"/>
        <v>2023</v>
      </c>
      <c r="H797" s="7" t="str">
        <f t="shared" si="38"/>
        <v>Апрель</v>
      </c>
      <c r="I797" t="s">
        <v>7</v>
      </c>
      <c r="J797">
        <v>34</v>
      </c>
      <c r="K797" t="s">
        <v>8</v>
      </c>
      <c r="L797">
        <v>1</v>
      </c>
      <c r="M797">
        <v>300</v>
      </c>
      <c r="N797" s="1">
        <f t="shared" si="39"/>
        <v>300</v>
      </c>
    </row>
    <row r="798" spans="5:14" x14ac:dyDescent="0.25">
      <c r="E798">
        <v>910</v>
      </c>
      <c r="F798" s="7">
        <v>44950</v>
      </c>
      <c r="G798">
        <f t="shared" si="37"/>
        <v>2023</v>
      </c>
      <c r="H798" s="7" t="str">
        <f t="shared" si="38"/>
        <v>Январь</v>
      </c>
      <c r="I798" t="s">
        <v>7</v>
      </c>
      <c r="J798">
        <v>51</v>
      </c>
      <c r="K798" t="s">
        <v>8</v>
      </c>
      <c r="L798">
        <v>3</v>
      </c>
      <c r="M798">
        <v>50</v>
      </c>
      <c r="N798" s="1">
        <f t="shared" si="39"/>
        <v>150</v>
      </c>
    </row>
    <row r="799" spans="5:14" x14ac:dyDescent="0.25">
      <c r="E799">
        <v>273</v>
      </c>
      <c r="F799" s="7">
        <v>45025</v>
      </c>
      <c r="G799">
        <f t="shared" si="37"/>
        <v>2023</v>
      </c>
      <c r="H799" s="7" t="str">
        <f t="shared" si="38"/>
        <v>Апрель</v>
      </c>
      <c r="I799" t="s">
        <v>9</v>
      </c>
      <c r="J799">
        <v>23</v>
      </c>
      <c r="K799" t="s">
        <v>10</v>
      </c>
      <c r="L799">
        <v>2</v>
      </c>
      <c r="M799">
        <v>500</v>
      </c>
      <c r="N799" s="1">
        <f t="shared" si="39"/>
        <v>1000</v>
      </c>
    </row>
    <row r="800" spans="5:14" x14ac:dyDescent="0.25">
      <c r="E800">
        <v>1923</v>
      </c>
      <c r="F800" s="7">
        <v>45467</v>
      </c>
      <c r="G800">
        <f t="shared" si="37"/>
        <v>2024</v>
      </c>
      <c r="H800" s="7" t="str">
        <f t="shared" si="38"/>
        <v>Июнь</v>
      </c>
      <c r="I800" t="s">
        <v>7</v>
      </c>
      <c r="J800">
        <v>35</v>
      </c>
      <c r="K800" t="s">
        <v>11</v>
      </c>
      <c r="L800">
        <v>7</v>
      </c>
      <c r="M800">
        <v>460</v>
      </c>
      <c r="N800" s="1">
        <f t="shared" si="39"/>
        <v>3220</v>
      </c>
    </row>
    <row r="801" spans="5:14" x14ac:dyDescent="0.25">
      <c r="E801">
        <v>510</v>
      </c>
      <c r="F801" s="7">
        <v>45150</v>
      </c>
      <c r="G801">
        <f t="shared" si="37"/>
        <v>2023</v>
      </c>
      <c r="H801" s="7" t="str">
        <f t="shared" si="38"/>
        <v>Август</v>
      </c>
      <c r="I801" t="s">
        <v>7</v>
      </c>
      <c r="J801">
        <v>45</v>
      </c>
      <c r="K801" t="s">
        <v>8</v>
      </c>
      <c r="L801">
        <v>2</v>
      </c>
      <c r="M801">
        <v>50</v>
      </c>
      <c r="N801" s="1">
        <f t="shared" si="39"/>
        <v>100</v>
      </c>
    </row>
    <row r="802" spans="5:14" x14ac:dyDescent="0.25">
      <c r="E802">
        <v>191</v>
      </c>
      <c r="F802" s="7">
        <v>45217</v>
      </c>
      <c r="G802">
        <f t="shared" si="37"/>
        <v>2023</v>
      </c>
      <c r="H802" s="7" t="str">
        <f t="shared" si="38"/>
        <v>Октябрь</v>
      </c>
      <c r="I802" t="s">
        <v>7</v>
      </c>
      <c r="J802">
        <v>64</v>
      </c>
      <c r="K802" t="s">
        <v>8</v>
      </c>
      <c r="L802">
        <v>1</v>
      </c>
      <c r="M802">
        <v>25</v>
      </c>
      <c r="N802" s="1">
        <f t="shared" si="39"/>
        <v>25</v>
      </c>
    </row>
    <row r="803" spans="5:14" x14ac:dyDescent="0.25">
      <c r="E803">
        <v>1302</v>
      </c>
      <c r="F803" s="7">
        <v>45428</v>
      </c>
      <c r="G803">
        <f t="shared" si="37"/>
        <v>2024</v>
      </c>
      <c r="H803" s="7" t="str">
        <f t="shared" si="38"/>
        <v>Май</v>
      </c>
      <c r="I803" t="s">
        <v>9</v>
      </c>
      <c r="J803">
        <v>19</v>
      </c>
      <c r="K803" t="s">
        <v>8</v>
      </c>
      <c r="L803">
        <v>1</v>
      </c>
      <c r="M803">
        <v>99</v>
      </c>
      <c r="N803" s="1">
        <f t="shared" si="39"/>
        <v>99</v>
      </c>
    </row>
    <row r="804" spans="5:14" x14ac:dyDescent="0.25">
      <c r="E804">
        <v>1908</v>
      </c>
      <c r="F804" s="7">
        <v>45315</v>
      </c>
      <c r="G804">
        <f t="shared" si="37"/>
        <v>2024</v>
      </c>
      <c r="H804" s="7" t="str">
        <f t="shared" si="38"/>
        <v>Январь</v>
      </c>
      <c r="I804" t="s">
        <v>7</v>
      </c>
      <c r="J804">
        <v>58</v>
      </c>
      <c r="K804" t="s">
        <v>8</v>
      </c>
      <c r="L804">
        <v>5</v>
      </c>
      <c r="M804">
        <v>95</v>
      </c>
      <c r="N804" s="1">
        <f t="shared" si="39"/>
        <v>475</v>
      </c>
    </row>
    <row r="805" spans="5:14" x14ac:dyDescent="0.25">
      <c r="E805">
        <v>838</v>
      </c>
      <c r="F805" s="7">
        <v>45070</v>
      </c>
      <c r="G805">
        <f t="shared" si="37"/>
        <v>2023</v>
      </c>
      <c r="H805" s="7" t="str">
        <f t="shared" si="38"/>
        <v>Май</v>
      </c>
      <c r="I805" t="s">
        <v>7</v>
      </c>
      <c r="J805">
        <v>62</v>
      </c>
      <c r="K805" t="s">
        <v>10</v>
      </c>
      <c r="L805">
        <v>2</v>
      </c>
      <c r="M805">
        <v>25</v>
      </c>
      <c r="N805" s="1">
        <f t="shared" si="39"/>
        <v>50</v>
      </c>
    </row>
    <row r="806" spans="5:14" x14ac:dyDescent="0.25">
      <c r="E806">
        <v>1400</v>
      </c>
      <c r="F806" s="7">
        <v>45432</v>
      </c>
      <c r="G806">
        <f t="shared" si="37"/>
        <v>2024</v>
      </c>
      <c r="H806" s="7" t="str">
        <f t="shared" si="38"/>
        <v>Май</v>
      </c>
      <c r="I806" t="s">
        <v>7</v>
      </c>
      <c r="J806">
        <v>52</v>
      </c>
      <c r="K806" t="s">
        <v>10</v>
      </c>
      <c r="L806">
        <v>6</v>
      </c>
      <c r="M806">
        <v>299</v>
      </c>
      <c r="N806" s="1">
        <f t="shared" si="39"/>
        <v>1794</v>
      </c>
    </row>
    <row r="807" spans="5:14" x14ac:dyDescent="0.25">
      <c r="E807">
        <v>1469</v>
      </c>
      <c r="F807" s="7">
        <v>45652</v>
      </c>
      <c r="G807">
        <f t="shared" si="37"/>
        <v>2024</v>
      </c>
      <c r="H807" s="7" t="str">
        <f t="shared" si="38"/>
        <v>Декабрь</v>
      </c>
      <c r="I807" t="s">
        <v>9</v>
      </c>
      <c r="J807">
        <v>36</v>
      </c>
      <c r="K807" t="s">
        <v>8</v>
      </c>
      <c r="L807">
        <v>2</v>
      </c>
      <c r="M807">
        <v>330</v>
      </c>
      <c r="N807" s="1">
        <f t="shared" si="39"/>
        <v>660</v>
      </c>
    </row>
    <row r="808" spans="5:14" x14ac:dyDescent="0.25">
      <c r="E808">
        <v>1662</v>
      </c>
      <c r="F808" s="7">
        <v>45324</v>
      </c>
      <c r="G808">
        <f t="shared" si="37"/>
        <v>2024</v>
      </c>
      <c r="H808" s="7" t="str">
        <f t="shared" si="38"/>
        <v>Февраль</v>
      </c>
      <c r="I808" t="s">
        <v>7</v>
      </c>
      <c r="J808">
        <v>61</v>
      </c>
      <c r="K808" t="s">
        <v>11</v>
      </c>
      <c r="L808">
        <v>4</v>
      </c>
      <c r="M808">
        <v>354</v>
      </c>
      <c r="N808" s="1">
        <f t="shared" si="39"/>
        <v>1416</v>
      </c>
    </row>
    <row r="809" spans="5:14" x14ac:dyDescent="0.25">
      <c r="E809">
        <v>759</v>
      </c>
      <c r="F809" s="7">
        <v>45237</v>
      </c>
      <c r="G809">
        <f t="shared" si="37"/>
        <v>2023</v>
      </c>
      <c r="H809" s="7" t="str">
        <f t="shared" si="38"/>
        <v>Ноябрь</v>
      </c>
      <c r="I809" t="s">
        <v>9</v>
      </c>
      <c r="J809">
        <v>33</v>
      </c>
      <c r="K809" t="s">
        <v>10</v>
      </c>
      <c r="L809">
        <v>1</v>
      </c>
      <c r="M809">
        <v>500</v>
      </c>
      <c r="N809" s="1">
        <f t="shared" si="39"/>
        <v>500</v>
      </c>
    </row>
    <row r="810" spans="5:14" x14ac:dyDescent="0.25">
      <c r="E810">
        <v>357</v>
      </c>
      <c r="F810" s="7">
        <v>45062</v>
      </c>
      <c r="G810">
        <f t="shared" si="37"/>
        <v>2023</v>
      </c>
      <c r="H810" s="7" t="str">
        <f t="shared" si="38"/>
        <v>Май</v>
      </c>
      <c r="I810" t="s">
        <v>9</v>
      </c>
      <c r="J810">
        <v>32</v>
      </c>
      <c r="K810" t="s">
        <v>8</v>
      </c>
      <c r="L810">
        <v>1</v>
      </c>
      <c r="M810">
        <v>300</v>
      </c>
      <c r="N810" s="1">
        <f t="shared" si="39"/>
        <v>300</v>
      </c>
    </row>
    <row r="811" spans="5:14" x14ac:dyDescent="0.25">
      <c r="E811">
        <v>1088</v>
      </c>
      <c r="F811" s="7">
        <v>45418</v>
      </c>
      <c r="G811">
        <f t="shared" si="37"/>
        <v>2024</v>
      </c>
      <c r="H811" s="7" t="str">
        <f t="shared" si="38"/>
        <v>Май</v>
      </c>
      <c r="I811" t="s">
        <v>9</v>
      </c>
      <c r="J811">
        <v>22</v>
      </c>
      <c r="K811" t="s">
        <v>11</v>
      </c>
      <c r="L811">
        <v>4</v>
      </c>
      <c r="M811">
        <v>391</v>
      </c>
      <c r="N811" s="1">
        <f t="shared" si="39"/>
        <v>1564</v>
      </c>
    </row>
    <row r="812" spans="5:14" x14ac:dyDescent="0.25">
      <c r="E812">
        <v>178</v>
      </c>
      <c r="F812" s="7">
        <v>45203</v>
      </c>
      <c r="G812">
        <f t="shared" si="37"/>
        <v>2023</v>
      </c>
      <c r="H812" s="7" t="str">
        <f t="shared" si="38"/>
        <v>Октябрь</v>
      </c>
      <c r="I812" t="s">
        <v>7</v>
      </c>
      <c r="J812">
        <v>40</v>
      </c>
      <c r="K812" t="s">
        <v>10</v>
      </c>
      <c r="L812">
        <v>2</v>
      </c>
      <c r="M812">
        <v>30</v>
      </c>
      <c r="N812" s="1">
        <f t="shared" si="39"/>
        <v>60</v>
      </c>
    </row>
    <row r="813" spans="5:14" x14ac:dyDescent="0.25">
      <c r="E813">
        <v>1781</v>
      </c>
      <c r="F813" s="7">
        <v>45354</v>
      </c>
      <c r="G813">
        <f t="shared" si="37"/>
        <v>2024</v>
      </c>
      <c r="H813" s="7" t="str">
        <f t="shared" si="38"/>
        <v>Март</v>
      </c>
      <c r="I813" t="s">
        <v>9</v>
      </c>
      <c r="J813">
        <v>45</v>
      </c>
      <c r="K813" t="s">
        <v>8</v>
      </c>
      <c r="L813">
        <v>6</v>
      </c>
      <c r="M813">
        <v>88</v>
      </c>
      <c r="N813" s="1">
        <f t="shared" si="39"/>
        <v>528</v>
      </c>
    </row>
    <row r="814" spans="5:14" x14ac:dyDescent="0.25">
      <c r="E814">
        <v>1487</v>
      </c>
      <c r="F814" s="7">
        <v>45327</v>
      </c>
      <c r="G814">
        <f t="shared" si="37"/>
        <v>2024</v>
      </c>
      <c r="H814" s="7" t="str">
        <f t="shared" si="38"/>
        <v>Февраль</v>
      </c>
      <c r="I814" t="s">
        <v>7</v>
      </c>
      <c r="J814">
        <v>57</v>
      </c>
      <c r="K814" t="s">
        <v>10</v>
      </c>
      <c r="L814">
        <v>1</v>
      </c>
      <c r="M814">
        <v>175</v>
      </c>
      <c r="N814" s="1">
        <f t="shared" si="39"/>
        <v>175</v>
      </c>
    </row>
    <row r="815" spans="5:14" x14ac:dyDescent="0.25">
      <c r="E815">
        <v>315</v>
      </c>
      <c r="F815" s="7">
        <v>45038</v>
      </c>
      <c r="G815">
        <f t="shared" si="37"/>
        <v>2023</v>
      </c>
      <c r="H815" s="7" t="str">
        <f t="shared" si="38"/>
        <v>Апрель</v>
      </c>
      <c r="I815" t="s">
        <v>9</v>
      </c>
      <c r="J815">
        <v>48</v>
      </c>
      <c r="K815" t="s">
        <v>10</v>
      </c>
      <c r="L815">
        <v>2</v>
      </c>
      <c r="M815">
        <v>25</v>
      </c>
      <c r="N815" s="1">
        <f t="shared" si="39"/>
        <v>50</v>
      </c>
    </row>
    <row r="816" spans="5:14" x14ac:dyDescent="0.25">
      <c r="E816">
        <v>1635</v>
      </c>
      <c r="F816" s="7">
        <v>45523</v>
      </c>
      <c r="G816">
        <f t="shared" si="37"/>
        <v>2024</v>
      </c>
      <c r="H816" s="7" t="str">
        <f t="shared" si="38"/>
        <v>Август</v>
      </c>
      <c r="I816" t="s">
        <v>7</v>
      </c>
      <c r="J816">
        <v>60</v>
      </c>
      <c r="K816" t="s">
        <v>11</v>
      </c>
      <c r="L816">
        <v>2</v>
      </c>
      <c r="M816">
        <v>463</v>
      </c>
      <c r="N816" s="1">
        <f t="shared" si="39"/>
        <v>926</v>
      </c>
    </row>
    <row r="817" spans="5:14" x14ac:dyDescent="0.25">
      <c r="E817">
        <v>1940</v>
      </c>
      <c r="F817" s="7">
        <v>45448</v>
      </c>
      <c r="G817">
        <f t="shared" si="37"/>
        <v>2024</v>
      </c>
      <c r="H817" s="7" t="str">
        <f t="shared" si="38"/>
        <v>Июнь</v>
      </c>
      <c r="I817" t="s">
        <v>7</v>
      </c>
      <c r="J817">
        <v>51</v>
      </c>
      <c r="K817" t="s">
        <v>10</v>
      </c>
      <c r="L817">
        <v>6</v>
      </c>
      <c r="M817">
        <v>84</v>
      </c>
      <c r="N817" s="1">
        <f t="shared" si="39"/>
        <v>504</v>
      </c>
    </row>
    <row r="818" spans="5:14" x14ac:dyDescent="0.25">
      <c r="E818">
        <v>1892</v>
      </c>
      <c r="F818" s="7">
        <v>45594</v>
      </c>
      <c r="G818">
        <f t="shared" si="37"/>
        <v>2024</v>
      </c>
      <c r="H818" s="7" t="str">
        <f t="shared" si="38"/>
        <v>Октябрь</v>
      </c>
      <c r="I818" t="s">
        <v>9</v>
      </c>
      <c r="J818">
        <v>58</v>
      </c>
      <c r="K818" t="s">
        <v>11</v>
      </c>
      <c r="L818">
        <v>2</v>
      </c>
      <c r="M818">
        <v>112</v>
      </c>
      <c r="N818" s="1">
        <f t="shared" si="39"/>
        <v>224</v>
      </c>
    </row>
    <row r="819" spans="5:14" x14ac:dyDescent="0.25">
      <c r="E819">
        <v>1151</v>
      </c>
      <c r="F819" s="7">
        <v>45642</v>
      </c>
      <c r="G819">
        <f t="shared" si="37"/>
        <v>2024</v>
      </c>
      <c r="H819" s="7" t="str">
        <f t="shared" si="38"/>
        <v>Декабрь</v>
      </c>
      <c r="I819" t="s">
        <v>7</v>
      </c>
      <c r="J819">
        <v>56</v>
      </c>
      <c r="K819" t="s">
        <v>11</v>
      </c>
      <c r="L819">
        <v>6</v>
      </c>
      <c r="M819">
        <v>176</v>
      </c>
      <c r="N819" s="1">
        <f t="shared" si="39"/>
        <v>1056</v>
      </c>
    </row>
    <row r="820" spans="5:14" x14ac:dyDescent="0.25">
      <c r="E820">
        <v>1541</v>
      </c>
      <c r="F820" s="7">
        <v>45649</v>
      </c>
      <c r="G820">
        <f t="shared" si="37"/>
        <v>2024</v>
      </c>
      <c r="H820" s="7" t="str">
        <f t="shared" si="38"/>
        <v>Декабрь</v>
      </c>
      <c r="I820" t="s">
        <v>9</v>
      </c>
      <c r="J820">
        <v>52</v>
      </c>
      <c r="K820" t="s">
        <v>11</v>
      </c>
      <c r="L820">
        <v>7</v>
      </c>
      <c r="M820">
        <v>42</v>
      </c>
      <c r="N820" s="1">
        <f t="shared" si="39"/>
        <v>294</v>
      </c>
    </row>
    <row r="821" spans="5:14" x14ac:dyDescent="0.25">
      <c r="E821">
        <v>395</v>
      </c>
      <c r="F821" s="7">
        <v>44980</v>
      </c>
      <c r="G821">
        <f t="shared" si="37"/>
        <v>2023</v>
      </c>
      <c r="H821" s="7" t="str">
        <f t="shared" si="38"/>
        <v>Февраль</v>
      </c>
      <c r="I821" t="s">
        <v>9</v>
      </c>
      <c r="J821">
        <v>55</v>
      </c>
      <c r="K821" t="s">
        <v>8</v>
      </c>
      <c r="L821">
        <v>1</v>
      </c>
      <c r="M821">
        <v>30</v>
      </c>
      <c r="N821" s="1">
        <f t="shared" si="39"/>
        <v>30</v>
      </c>
    </row>
    <row r="822" spans="5:14" x14ac:dyDescent="0.25">
      <c r="E822">
        <v>1095</v>
      </c>
      <c r="F822" s="7">
        <v>45578</v>
      </c>
      <c r="G822">
        <f t="shared" si="37"/>
        <v>2024</v>
      </c>
      <c r="H822" s="7" t="str">
        <f t="shared" si="38"/>
        <v>Октябрь</v>
      </c>
      <c r="I822" t="s">
        <v>9</v>
      </c>
      <c r="J822">
        <v>47</v>
      </c>
      <c r="K822" t="s">
        <v>8</v>
      </c>
      <c r="L822">
        <v>4</v>
      </c>
      <c r="M822">
        <v>404</v>
      </c>
      <c r="N822" s="1">
        <f t="shared" si="39"/>
        <v>1616</v>
      </c>
    </row>
    <row r="823" spans="5:14" x14ac:dyDescent="0.25">
      <c r="E823">
        <v>553</v>
      </c>
      <c r="F823" s="7">
        <v>45242</v>
      </c>
      <c r="G823">
        <f t="shared" si="37"/>
        <v>2023</v>
      </c>
      <c r="H823" s="7" t="str">
        <f t="shared" si="38"/>
        <v>Ноябрь</v>
      </c>
      <c r="I823" t="s">
        <v>9</v>
      </c>
      <c r="J823">
        <v>46</v>
      </c>
      <c r="K823" t="s">
        <v>8</v>
      </c>
      <c r="L823">
        <v>3</v>
      </c>
      <c r="M823">
        <v>50</v>
      </c>
      <c r="N823" s="1">
        <f t="shared" si="39"/>
        <v>150</v>
      </c>
    </row>
    <row r="824" spans="5:14" x14ac:dyDescent="0.25">
      <c r="E824">
        <v>481</v>
      </c>
      <c r="F824" s="7">
        <v>45043</v>
      </c>
      <c r="G824">
        <f t="shared" si="37"/>
        <v>2023</v>
      </c>
      <c r="H824" s="7" t="str">
        <f t="shared" si="38"/>
        <v>Апрель</v>
      </c>
      <c r="I824" t="s">
        <v>9</v>
      </c>
      <c r="J824">
        <v>28</v>
      </c>
      <c r="K824" t="s">
        <v>10</v>
      </c>
      <c r="L824">
        <v>4</v>
      </c>
      <c r="M824">
        <v>300</v>
      </c>
      <c r="N824" s="1">
        <f t="shared" si="39"/>
        <v>1200</v>
      </c>
    </row>
    <row r="825" spans="5:14" x14ac:dyDescent="0.25">
      <c r="E825">
        <v>680</v>
      </c>
      <c r="F825" s="7">
        <v>45171</v>
      </c>
      <c r="G825">
        <f t="shared" si="37"/>
        <v>2023</v>
      </c>
      <c r="H825" s="7" t="str">
        <f t="shared" si="38"/>
        <v>Сентябрь</v>
      </c>
      <c r="I825" t="s">
        <v>7</v>
      </c>
      <c r="J825">
        <v>46</v>
      </c>
      <c r="K825" t="s">
        <v>8</v>
      </c>
      <c r="L825">
        <v>4</v>
      </c>
      <c r="M825">
        <v>300</v>
      </c>
      <c r="N825" s="1">
        <f t="shared" si="39"/>
        <v>1200</v>
      </c>
    </row>
    <row r="826" spans="5:14" x14ac:dyDescent="0.25">
      <c r="E826">
        <v>1423</v>
      </c>
      <c r="F826" s="7">
        <v>45375</v>
      </c>
      <c r="G826">
        <f t="shared" si="37"/>
        <v>2024</v>
      </c>
      <c r="H826" s="7" t="str">
        <f t="shared" si="38"/>
        <v>Март</v>
      </c>
      <c r="I826" t="s">
        <v>7</v>
      </c>
      <c r="J826">
        <v>37</v>
      </c>
      <c r="K826" t="s">
        <v>11</v>
      </c>
      <c r="L826">
        <v>2</v>
      </c>
      <c r="M826">
        <v>476</v>
      </c>
      <c r="N826" s="1">
        <f t="shared" si="39"/>
        <v>952</v>
      </c>
    </row>
    <row r="827" spans="5:14" x14ac:dyDescent="0.25">
      <c r="E827">
        <v>1703</v>
      </c>
      <c r="F827" s="7">
        <v>45566</v>
      </c>
      <c r="G827">
        <f t="shared" si="37"/>
        <v>2024</v>
      </c>
      <c r="H827" s="7" t="str">
        <f t="shared" si="38"/>
        <v>Октябрь</v>
      </c>
      <c r="I827" t="s">
        <v>9</v>
      </c>
      <c r="J827">
        <v>32</v>
      </c>
      <c r="K827" t="s">
        <v>10</v>
      </c>
      <c r="L827">
        <v>6</v>
      </c>
      <c r="M827">
        <v>211</v>
      </c>
      <c r="N827" s="1">
        <f t="shared" si="39"/>
        <v>1266</v>
      </c>
    </row>
    <row r="828" spans="5:14" x14ac:dyDescent="0.25">
      <c r="E828">
        <v>924</v>
      </c>
      <c r="F828" s="7">
        <v>45152</v>
      </c>
      <c r="G828">
        <f t="shared" si="37"/>
        <v>2023</v>
      </c>
      <c r="H828" s="7" t="str">
        <f t="shared" si="38"/>
        <v>Август</v>
      </c>
      <c r="I828" t="s">
        <v>7</v>
      </c>
      <c r="J828">
        <v>22</v>
      </c>
      <c r="K828" t="s">
        <v>11</v>
      </c>
      <c r="L828">
        <v>1</v>
      </c>
      <c r="M828">
        <v>30</v>
      </c>
      <c r="N828" s="1">
        <f t="shared" si="39"/>
        <v>30</v>
      </c>
    </row>
    <row r="829" spans="5:14" x14ac:dyDescent="0.25">
      <c r="E829">
        <v>1653</v>
      </c>
      <c r="F829" s="7">
        <v>45333</v>
      </c>
      <c r="G829">
        <f t="shared" si="37"/>
        <v>2024</v>
      </c>
      <c r="H829" s="7" t="str">
        <f t="shared" si="38"/>
        <v>Февраль</v>
      </c>
      <c r="I829" t="s">
        <v>7</v>
      </c>
      <c r="J829">
        <v>32</v>
      </c>
      <c r="K829" t="s">
        <v>10</v>
      </c>
      <c r="L829">
        <v>6</v>
      </c>
      <c r="M829">
        <v>258</v>
      </c>
      <c r="N829" s="1">
        <f t="shared" si="39"/>
        <v>1548</v>
      </c>
    </row>
    <row r="830" spans="5:14" x14ac:dyDescent="0.25">
      <c r="E830">
        <v>706</v>
      </c>
      <c r="F830" s="7">
        <v>44940</v>
      </c>
      <c r="G830">
        <f t="shared" si="37"/>
        <v>2023</v>
      </c>
      <c r="H830" s="7" t="str">
        <f t="shared" si="38"/>
        <v>Январь</v>
      </c>
      <c r="I830" t="s">
        <v>9</v>
      </c>
      <c r="J830">
        <v>43</v>
      </c>
      <c r="K830" t="s">
        <v>8</v>
      </c>
      <c r="L830">
        <v>3</v>
      </c>
      <c r="M830">
        <v>300</v>
      </c>
      <c r="N830" s="1">
        <f t="shared" si="39"/>
        <v>900</v>
      </c>
    </row>
    <row r="831" spans="5:14" x14ac:dyDescent="0.25">
      <c r="E831">
        <v>504</v>
      </c>
      <c r="F831" s="7">
        <v>44946</v>
      </c>
      <c r="G831">
        <f t="shared" si="37"/>
        <v>2023</v>
      </c>
      <c r="H831" s="7" t="str">
        <f t="shared" si="38"/>
        <v>Январь</v>
      </c>
      <c r="I831" t="s">
        <v>7</v>
      </c>
      <c r="J831">
        <v>24</v>
      </c>
      <c r="K831" t="s">
        <v>8</v>
      </c>
      <c r="L831">
        <v>1</v>
      </c>
      <c r="M831">
        <v>50</v>
      </c>
      <c r="N831" s="1">
        <f t="shared" si="39"/>
        <v>50</v>
      </c>
    </row>
    <row r="832" spans="5:14" x14ac:dyDescent="0.25">
      <c r="E832">
        <v>1707</v>
      </c>
      <c r="F832" s="7">
        <v>45581</v>
      </c>
      <c r="G832">
        <f t="shared" si="37"/>
        <v>2024</v>
      </c>
      <c r="H832" s="7" t="str">
        <f t="shared" si="38"/>
        <v>Октябрь</v>
      </c>
      <c r="I832" t="s">
        <v>7</v>
      </c>
      <c r="J832">
        <v>49</v>
      </c>
      <c r="K832" t="s">
        <v>11</v>
      </c>
      <c r="L832">
        <v>5</v>
      </c>
      <c r="M832">
        <v>193</v>
      </c>
      <c r="N832" s="1">
        <f t="shared" si="39"/>
        <v>965</v>
      </c>
    </row>
    <row r="833" spans="5:14" x14ac:dyDescent="0.25">
      <c r="E833">
        <v>507</v>
      </c>
      <c r="F833" s="7">
        <v>45149</v>
      </c>
      <c r="G833">
        <f t="shared" si="37"/>
        <v>2023</v>
      </c>
      <c r="H833" s="7" t="str">
        <f t="shared" si="38"/>
        <v>Август</v>
      </c>
      <c r="I833" t="s">
        <v>7</v>
      </c>
      <c r="J833">
        <v>58</v>
      </c>
      <c r="K833" t="s">
        <v>8</v>
      </c>
      <c r="L833">
        <v>2</v>
      </c>
      <c r="M833">
        <v>300</v>
      </c>
      <c r="N833" s="1">
        <f t="shared" si="39"/>
        <v>600</v>
      </c>
    </row>
    <row r="834" spans="5:14" x14ac:dyDescent="0.25">
      <c r="E834">
        <v>1311</v>
      </c>
      <c r="F834" s="7">
        <v>45390</v>
      </c>
      <c r="G834">
        <f t="shared" si="37"/>
        <v>2024</v>
      </c>
      <c r="H834" s="7" t="str">
        <f t="shared" si="38"/>
        <v>Апрель</v>
      </c>
      <c r="I834" t="s">
        <v>7</v>
      </c>
      <c r="J834">
        <v>65</v>
      </c>
      <c r="K834" t="s">
        <v>10</v>
      </c>
      <c r="L834">
        <v>6</v>
      </c>
      <c r="M834">
        <v>135</v>
      </c>
      <c r="N834" s="1">
        <f t="shared" si="39"/>
        <v>810</v>
      </c>
    </row>
    <row r="835" spans="5:14" x14ac:dyDescent="0.25">
      <c r="E835">
        <v>1851</v>
      </c>
      <c r="F835" s="7">
        <v>45536</v>
      </c>
      <c r="G835">
        <f t="shared" si="37"/>
        <v>2024</v>
      </c>
      <c r="H835" s="7" t="str">
        <f t="shared" si="38"/>
        <v>Сентябрь</v>
      </c>
      <c r="I835" t="s">
        <v>7</v>
      </c>
      <c r="J835">
        <v>20</v>
      </c>
      <c r="K835" t="s">
        <v>8</v>
      </c>
      <c r="L835">
        <v>3</v>
      </c>
      <c r="M835">
        <v>492</v>
      </c>
      <c r="N835" s="1">
        <f t="shared" si="39"/>
        <v>1476</v>
      </c>
    </row>
    <row r="836" spans="5:14" x14ac:dyDescent="0.25">
      <c r="E836">
        <v>751</v>
      </c>
      <c r="F836" s="7">
        <v>44985</v>
      </c>
      <c r="G836">
        <f t="shared" si="37"/>
        <v>2023</v>
      </c>
      <c r="H836" s="7" t="str">
        <f t="shared" si="38"/>
        <v>Февраль</v>
      </c>
      <c r="I836" t="s">
        <v>9</v>
      </c>
      <c r="J836">
        <v>32</v>
      </c>
      <c r="K836" t="s">
        <v>10</v>
      </c>
      <c r="L836">
        <v>1</v>
      </c>
      <c r="M836">
        <v>30</v>
      </c>
      <c r="N836" s="1">
        <f t="shared" si="39"/>
        <v>30</v>
      </c>
    </row>
    <row r="837" spans="5:14" x14ac:dyDescent="0.25">
      <c r="E837">
        <v>1176</v>
      </c>
      <c r="F837" s="7">
        <v>45569</v>
      </c>
      <c r="G837">
        <f t="shared" si="37"/>
        <v>2024</v>
      </c>
      <c r="H837" s="7" t="str">
        <f t="shared" si="38"/>
        <v>Октябрь</v>
      </c>
      <c r="I837" t="s">
        <v>7</v>
      </c>
      <c r="J837">
        <v>47</v>
      </c>
      <c r="K837" t="s">
        <v>10</v>
      </c>
      <c r="L837">
        <v>2</v>
      </c>
      <c r="M837">
        <v>54</v>
      </c>
      <c r="N837" s="1">
        <f t="shared" si="39"/>
        <v>108</v>
      </c>
    </row>
    <row r="838" spans="5:14" x14ac:dyDescent="0.25">
      <c r="E838">
        <v>1749</v>
      </c>
      <c r="F838" s="7">
        <v>45350</v>
      </c>
      <c r="G838">
        <f t="shared" si="37"/>
        <v>2024</v>
      </c>
      <c r="H838" s="7" t="str">
        <f t="shared" si="38"/>
        <v>Февраль</v>
      </c>
      <c r="I838" t="s">
        <v>9</v>
      </c>
      <c r="J838">
        <v>55</v>
      </c>
      <c r="K838" t="s">
        <v>10</v>
      </c>
      <c r="L838">
        <v>6</v>
      </c>
      <c r="M838">
        <v>158</v>
      </c>
      <c r="N838" s="1">
        <f t="shared" si="39"/>
        <v>948</v>
      </c>
    </row>
    <row r="839" spans="5:14" x14ac:dyDescent="0.25">
      <c r="E839">
        <v>1416</v>
      </c>
      <c r="F839" s="7">
        <v>45434</v>
      </c>
      <c r="G839">
        <f t="shared" si="37"/>
        <v>2024</v>
      </c>
      <c r="H839" s="7" t="str">
        <f t="shared" si="38"/>
        <v>Май</v>
      </c>
      <c r="I839" t="s">
        <v>9</v>
      </c>
      <c r="J839">
        <v>46</v>
      </c>
      <c r="K839" t="s">
        <v>10</v>
      </c>
      <c r="L839">
        <v>7</v>
      </c>
      <c r="M839">
        <v>72</v>
      </c>
      <c r="N839" s="1">
        <f t="shared" si="39"/>
        <v>504</v>
      </c>
    </row>
    <row r="840" spans="5:14" x14ac:dyDescent="0.25">
      <c r="E840">
        <v>146</v>
      </c>
      <c r="F840" s="7">
        <v>45166</v>
      </c>
      <c r="G840">
        <f t="shared" si="37"/>
        <v>2023</v>
      </c>
      <c r="H840" s="7" t="str">
        <f t="shared" si="38"/>
        <v>Август</v>
      </c>
      <c r="I840" t="s">
        <v>7</v>
      </c>
      <c r="J840">
        <v>38</v>
      </c>
      <c r="K840" t="s">
        <v>10</v>
      </c>
      <c r="L840">
        <v>4</v>
      </c>
      <c r="M840">
        <v>50</v>
      </c>
      <c r="N840" s="1">
        <f t="shared" si="39"/>
        <v>200</v>
      </c>
    </row>
    <row r="841" spans="5:14" x14ac:dyDescent="0.25">
      <c r="E841">
        <v>908</v>
      </c>
      <c r="F841" s="7">
        <v>44991</v>
      </c>
      <c r="G841">
        <f t="shared" si="37"/>
        <v>2023</v>
      </c>
      <c r="H841" s="7" t="str">
        <f t="shared" si="38"/>
        <v>Март</v>
      </c>
      <c r="I841" t="s">
        <v>9</v>
      </c>
      <c r="J841">
        <v>20</v>
      </c>
      <c r="K841" t="s">
        <v>8</v>
      </c>
      <c r="L841">
        <v>3</v>
      </c>
      <c r="M841">
        <v>50</v>
      </c>
      <c r="N841" s="1">
        <f t="shared" si="39"/>
        <v>150</v>
      </c>
    </row>
    <row r="842" spans="5:14" x14ac:dyDescent="0.25">
      <c r="E842">
        <v>1719</v>
      </c>
      <c r="F842" s="7">
        <v>45460</v>
      </c>
      <c r="G842">
        <f t="shared" ref="G842:G905" si="40">YEAR(F842)</f>
        <v>2024</v>
      </c>
      <c r="H842" s="7" t="str">
        <f t="shared" ref="H842:H905" si="41">TEXT(F842,"ММММ")</f>
        <v>Июнь</v>
      </c>
      <c r="I842" t="s">
        <v>9</v>
      </c>
      <c r="J842">
        <v>43</v>
      </c>
      <c r="K842" t="s">
        <v>8</v>
      </c>
      <c r="L842">
        <v>5</v>
      </c>
      <c r="M842">
        <v>110</v>
      </c>
      <c r="N842" s="1">
        <f t="shared" ref="N842:N905" si="42">L842*M842</f>
        <v>550</v>
      </c>
    </row>
    <row r="843" spans="5:14" x14ac:dyDescent="0.25">
      <c r="E843">
        <v>1460</v>
      </c>
      <c r="F843" s="7">
        <v>45504</v>
      </c>
      <c r="G843">
        <f t="shared" si="40"/>
        <v>2024</v>
      </c>
      <c r="H843" s="7" t="str">
        <f t="shared" si="41"/>
        <v>Июль</v>
      </c>
      <c r="I843" t="s">
        <v>9</v>
      </c>
      <c r="J843">
        <v>54</v>
      </c>
      <c r="K843" t="s">
        <v>8</v>
      </c>
      <c r="L843">
        <v>4</v>
      </c>
      <c r="M843">
        <v>415</v>
      </c>
      <c r="N843" s="1">
        <f t="shared" si="42"/>
        <v>1660</v>
      </c>
    </row>
    <row r="844" spans="5:14" x14ac:dyDescent="0.25">
      <c r="E844">
        <v>1920</v>
      </c>
      <c r="F844" s="7">
        <v>45533</v>
      </c>
      <c r="G844">
        <f t="shared" si="40"/>
        <v>2024</v>
      </c>
      <c r="H844" s="7" t="str">
        <f t="shared" si="41"/>
        <v>Август</v>
      </c>
      <c r="I844" t="s">
        <v>7</v>
      </c>
      <c r="J844">
        <v>19</v>
      </c>
      <c r="K844" t="s">
        <v>8</v>
      </c>
      <c r="L844">
        <v>4</v>
      </c>
      <c r="M844">
        <v>35</v>
      </c>
      <c r="N844" s="1">
        <f t="shared" si="42"/>
        <v>140</v>
      </c>
    </row>
    <row r="845" spans="5:14" x14ac:dyDescent="0.25">
      <c r="E845">
        <v>1615</v>
      </c>
      <c r="F845" s="7">
        <v>45317</v>
      </c>
      <c r="G845">
        <f t="shared" si="40"/>
        <v>2024</v>
      </c>
      <c r="H845" s="7" t="str">
        <f t="shared" si="41"/>
        <v>Январь</v>
      </c>
      <c r="I845" t="s">
        <v>9</v>
      </c>
      <c r="J845">
        <v>24</v>
      </c>
      <c r="K845" t="s">
        <v>8</v>
      </c>
      <c r="L845">
        <v>6</v>
      </c>
      <c r="M845">
        <v>293</v>
      </c>
      <c r="N845" s="1">
        <f t="shared" si="42"/>
        <v>1758</v>
      </c>
    </row>
    <row r="846" spans="5:14" x14ac:dyDescent="0.25">
      <c r="E846">
        <v>1283</v>
      </c>
      <c r="F846" s="7">
        <v>45574</v>
      </c>
      <c r="G846">
        <f t="shared" si="40"/>
        <v>2024</v>
      </c>
      <c r="H846" s="7" t="str">
        <f t="shared" si="41"/>
        <v>Октябрь</v>
      </c>
      <c r="I846" t="s">
        <v>7</v>
      </c>
      <c r="J846">
        <v>39</v>
      </c>
      <c r="K846" t="s">
        <v>11</v>
      </c>
      <c r="L846">
        <v>2</v>
      </c>
      <c r="M846">
        <v>211</v>
      </c>
      <c r="N846" s="1">
        <f t="shared" si="42"/>
        <v>422</v>
      </c>
    </row>
    <row r="847" spans="5:14" x14ac:dyDescent="0.25">
      <c r="E847">
        <v>1200</v>
      </c>
      <c r="F847" s="7">
        <v>45377</v>
      </c>
      <c r="G847">
        <f t="shared" si="40"/>
        <v>2024</v>
      </c>
      <c r="H847" s="7" t="str">
        <f t="shared" si="41"/>
        <v>Март</v>
      </c>
      <c r="I847" t="s">
        <v>9</v>
      </c>
      <c r="J847">
        <v>49</v>
      </c>
      <c r="K847" t="s">
        <v>10</v>
      </c>
      <c r="L847">
        <v>3</v>
      </c>
      <c r="M847">
        <v>467</v>
      </c>
      <c r="N847" s="1">
        <f t="shared" si="42"/>
        <v>1401</v>
      </c>
    </row>
    <row r="848" spans="5:14" x14ac:dyDescent="0.25">
      <c r="E848">
        <v>1872</v>
      </c>
      <c r="F848" s="7">
        <v>45574</v>
      </c>
      <c r="G848">
        <f t="shared" si="40"/>
        <v>2024</v>
      </c>
      <c r="H848" s="7" t="str">
        <f t="shared" si="41"/>
        <v>Октябрь</v>
      </c>
      <c r="I848" t="s">
        <v>7</v>
      </c>
      <c r="J848">
        <v>38</v>
      </c>
      <c r="K848" t="s">
        <v>10</v>
      </c>
      <c r="L848">
        <v>5</v>
      </c>
      <c r="M848">
        <v>408</v>
      </c>
      <c r="N848" s="1">
        <f t="shared" si="42"/>
        <v>2040</v>
      </c>
    </row>
    <row r="849" spans="5:14" x14ac:dyDescent="0.25">
      <c r="E849">
        <v>1187</v>
      </c>
      <c r="F849" s="7">
        <v>45321</v>
      </c>
      <c r="G849">
        <f t="shared" si="40"/>
        <v>2024</v>
      </c>
      <c r="H849" s="7" t="str">
        <f t="shared" si="41"/>
        <v>Январь</v>
      </c>
      <c r="I849" t="s">
        <v>7</v>
      </c>
      <c r="J849">
        <v>43</v>
      </c>
      <c r="K849" t="s">
        <v>8</v>
      </c>
      <c r="L849">
        <v>5</v>
      </c>
      <c r="M849">
        <v>440</v>
      </c>
      <c r="N849" s="1">
        <f t="shared" si="42"/>
        <v>2200</v>
      </c>
    </row>
    <row r="850" spans="5:14" x14ac:dyDescent="0.25">
      <c r="E850">
        <v>1639</v>
      </c>
      <c r="F850" s="7">
        <v>45434</v>
      </c>
      <c r="G850">
        <f t="shared" si="40"/>
        <v>2024</v>
      </c>
      <c r="H850" s="7" t="str">
        <f t="shared" si="41"/>
        <v>Май</v>
      </c>
      <c r="I850" t="s">
        <v>9</v>
      </c>
      <c r="J850">
        <v>65</v>
      </c>
      <c r="K850" t="s">
        <v>10</v>
      </c>
      <c r="L850">
        <v>7</v>
      </c>
      <c r="M850">
        <v>206</v>
      </c>
      <c r="N850" s="1">
        <f t="shared" si="42"/>
        <v>1442</v>
      </c>
    </row>
    <row r="851" spans="5:14" x14ac:dyDescent="0.25">
      <c r="E851">
        <v>874</v>
      </c>
      <c r="F851" s="7">
        <v>45208</v>
      </c>
      <c r="G851">
        <f t="shared" si="40"/>
        <v>2023</v>
      </c>
      <c r="H851" s="7" t="str">
        <f t="shared" si="41"/>
        <v>Октябрь</v>
      </c>
      <c r="I851" t="s">
        <v>7</v>
      </c>
      <c r="J851">
        <v>43</v>
      </c>
      <c r="K851" t="s">
        <v>10</v>
      </c>
      <c r="L851">
        <v>4</v>
      </c>
      <c r="M851">
        <v>30</v>
      </c>
      <c r="N851" s="1">
        <f t="shared" si="42"/>
        <v>120</v>
      </c>
    </row>
    <row r="852" spans="5:14" x14ac:dyDescent="0.25">
      <c r="E852">
        <v>629</v>
      </c>
      <c r="F852" s="7">
        <v>45153</v>
      </c>
      <c r="G852">
        <f t="shared" si="40"/>
        <v>2023</v>
      </c>
      <c r="H852" s="7" t="str">
        <f t="shared" si="41"/>
        <v>Август</v>
      </c>
      <c r="I852" t="s">
        <v>7</v>
      </c>
      <c r="J852">
        <v>42</v>
      </c>
      <c r="K852" t="s">
        <v>10</v>
      </c>
      <c r="L852">
        <v>2</v>
      </c>
      <c r="M852">
        <v>50</v>
      </c>
      <c r="N852" s="1">
        <f t="shared" si="42"/>
        <v>100</v>
      </c>
    </row>
    <row r="853" spans="5:14" x14ac:dyDescent="0.25">
      <c r="E853">
        <v>1393</v>
      </c>
      <c r="F853" s="7">
        <v>45345</v>
      </c>
      <c r="G853">
        <f t="shared" si="40"/>
        <v>2024</v>
      </c>
      <c r="H853" s="7" t="str">
        <f t="shared" si="41"/>
        <v>Февраль</v>
      </c>
      <c r="I853" t="s">
        <v>9</v>
      </c>
      <c r="J853">
        <v>62</v>
      </c>
      <c r="K853" t="s">
        <v>8</v>
      </c>
      <c r="L853">
        <v>4</v>
      </c>
      <c r="M853">
        <v>13</v>
      </c>
      <c r="N853" s="1">
        <f t="shared" si="42"/>
        <v>52</v>
      </c>
    </row>
    <row r="854" spans="5:14" x14ac:dyDescent="0.25">
      <c r="E854">
        <v>650</v>
      </c>
      <c r="F854" s="7">
        <v>45047</v>
      </c>
      <c r="G854">
        <f t="shared" si="40"/>
        <v>2023</v>
      </c>
      <c r="H854" s="7" t="str">
        <f t="shared" si="41"/>
        <v>Май</v>
      </c>
      <c r="I854" t="s">
        <v>9</v>
      </c>
      <c r="J854">
        <v>34</v>
      </c>
      <c r="K854" t="s">
        <v>8</v>
      </c>
      <c r="L854">
        <v>2</v>
      </c>
      <c r="M854">
        <v>50</v>
      </c>
      <c r="N854" s="1">
        <f t="shared" si="42"/>
        <v>100</v>
      </c>
    </row>
    <row r="855" spans="5:14" x14ac:dyDescent="0.25">
      <c r="E855">
        <v>1841</v>
      </c>
      <c r="F855" s="7">
        <v>45297</v>
      </c>
      <c r="G855">
        <f t="shared" si="40"/>
        <v>2024</v>
      </c>
      <c r="H855" s="7" t="str">
        <f t="shared" si="41"/>
        <v>Январь</v>
      </c>
      <c r="I855" t="s">
        <v>7</v>
      </c>
      <c r="J855">
        <v>54</v>
      </c>
      <c r="K855" t="s">
        <v>10</v>
      </c>
      <c r="L855">
        <v>6</v>
      </c>
      <c r="M855">
        <v>465</v>
      </c>
      <c r="N855" s="1">
        <f t="shared" si="42"/>
        <v>2790</v>
      </c>
    </row>
    <row r="856" spans="5:14" x14ac:dyDescent="0.25">
      <c r="E856">
        <v>265</v>
      </c>
      <c r="F856" s="7">
        <v>45261</v>
      </c>
      <c r="G856">
        <f t="shared" si="40"/>
        <v>2023</v>
      </c>
      <c r="H856" s="7" t="str">
        <f t="shared" si="41"/>
        <v>Декабрь</v>
      </c>
      <c r="I856" t="s">
        <v>9</v>
      </c>
      <c r="J856">
        <v>19</v>
      </c>
      <c r="K856" t="s">
        <v>11</v>
      </c>
      <c r="L856">
        <v>2</v>
      </c>
      <c r="M856">
        <v>30</v>
      </c>
      <c r="N856" s="1">
        <f t="shared" si="42"/>
        <v>60</v>
      </c>
    </row>
    <row r="857" spans="5:14" x14ac:dyDescent="0.25">
      <c r="E857">
        <v>229</v>
      </c>
      <c r="F857" s="7">
        <v>45039</v>
      </c>
      <c r="G857">
        <f t="shared" si="40"/>
        <v>2023</v>
      </c>
      <c r="H857" s="7" t="str">
        <f t="shared" si="41"/>
        <v>Апрель</v>
      </c>
      <c r="I857" t="s">
        <v>7</v>
      </c>
      <c r="J857">
        <v>54</v>
      </c>
      <c r="K857" t="s">
        <v>8</v>
      </c>
      <c r="L857">
        <v>1</v>
      </c>
      <c r="M857">
        <v>25</v>
      </c>
      <c r="N857" s="1">
        <f t="shared" si="42"/>
        <v>25</v>
      </c>
    </row>
    <row r="858" spans="5:14" x14ac:dyDescent="0.25">
      <c r="E858">
        <v>219</v>
      </c>
      <c r="F858" s="7">
        <v>44988</v>
      </c>
      <c r="G858">
        <f t="shared" si="40"/>
        <v>2023</v>
      </c>
      <c r="H858" s="7" t="str">
        <f t="shared" si="41"/>
        <v>Март</v>
      </c>
      <c r="I858" t="s">
        <v>7</v>
      </c>
      <c r="J858">
        <v>64</v>
      </c>
      <c r="K858" t="s">
        <v>8</v>
      </c>
      <c r="L858">
        <v>1</v>
      </c>
      <c r="M858">
        <v>500</v>
      </c>
      <c r="N858" s="1">
        <f t="shared" si="42"/>
        <v>500</v>
      </c>
    </row>
    <row r="859" spans="5:14" x14ac:dyDescent="0.25">
      <c r="E859">
        <v>611</v>
      </c>
      <c r="F859" s="7">
        <v>45144</v>
      </c>
      <c r="G859">
        <f t="shared" si="40"/>
        <v>2023</v>
      </c>
      <c r="H859" s="7" t="str">
        <f t="shared" si="41"/>
        <v>Август</v>
      </c>
      <c r="I859" t="s">
        <v>9</v>
      </c>
      <c r="J859">
        <v>61</v>
      </c>
      <c r="K859" t="s">
        <v>11</v>
      </c>
      <c r="L859">
        <v>1</v>
      </c>
      <c r="M859">
        <v>500</v>
      </c>
      <c r="N859" s="1">
        <f t="shared" si="42"/>
        <v>500</v>
      </c>
    </row>
    <row r="860" spans="5:14" x14ac:dyDescent="0.25">
      <c r="E860">
        <v>778</v>
      </c>
      <c r="F860" s="7">
        <v>44979</v>
      </c>
      <c r="G860">
        <f t="shared" si="40"/>
        <v>2023</v>
      </c>
      <c r="H860" s="7" t="str">
        <f t="shared" si="41"/>
        <v>Февраль</v>
      </c>
      <c r="I860" t="s">
        <v>7</v>
      </c>
      <c r="J860">
        <v>52</v>
      </c>
      <c r="K860" t="s">
        <v>11</v>
      </c>
      <c r="L860">
        <v>2</v>
      </c>
      <c r="M860">
        <v>25</v>
      </c>
      <c r="N860" s="1">
        <f t="shared" si="42"/>
        <v>50</v>
      </c>
    </row>
    <row r="861" spans="5:14" x14ac:dyDescent="0.25">
      <c r="E861">
        <v>16</v>
      </c>
      <c r="F861" s="7">
        <v>44974</v>
      </c>
      <c r="G861">
        <f t="shared" si="40"/>
        <v>2023</v>
      </c>
      <c r="H861" s="7" t="str">
        <f t="shared" si="41"/>
        <v>Февраль</v>
      </c>
      <c r="I861" t="s">
        <v>7</v>
      </c>
      <c r="J861">
        <v>19</v>
      </c>
      <c r="K861" t="s">
        <v>10</v>
      </c>
      <c r="L861">
        <v>3</v>
      </c>
      <c r="M861">
        <v>500</v>
      </c>
      <c r="N861" s="1">
        <f t="shared" si="42"/>
        <v>1500</v>
      </c>
    </row>
    <row r="862" spans="5:14" x14ac:dyDescent="0.25">
      <c r="E862">
        <v>1728</v>
      </c>
      <c r="F862" s="7">
        <v>45333</v>
      </c>
      <c r="G862">
        <f t="shared" si="40"/>
        <v>2024</v>
      </c>
      <c r="H862" s="7" t="str">
        <f t="shared" si="41"/>
        <v>Февраль</v>
      </c>
      <c r="I862" t="s">
        <v>7</v>
      </c>
      <c r="J862">
        <v>49</v>
      </c>
      <c r="K862" t="s">
        <v>11</v>
      </c>
      <c r="L862">
        <v>2</v>
      </c>
      <c r="M862">
        <v>322</v>
      </c>
      <c r="N862" s="1">
        <f t="shared" si="42"/>
        <v>644</v>
      </c>
    </row>
    <row r="863" spans="5:14" x14ac:dyDescent="0.25">
      <c r="E863">
        <v>4</v>
      </c>
      <c r="F863" s="7">
        <v>45067</v>
      </c>
      <c r="G863">
        <f t="shared" si="40"/>
        <v>2023</v>
      </c>
      <c r="H863" s="7" t="str">
        <f t="shared" si="41"/>
        <v>Май</v>
      </c>
      <c r="I863" t="s">
        <v>7</v>
      </c>
      <c r="J863">
        <v>37</v>
      </c>
      <c r="K863" t="s">
        <v>10</v>
      </c>
      <c r="L863">
        <v>1</v>
      </c>
      <c r="M863">
        <v>500</v>
      </c>
      <c r="N863" s="1">
        <f t="shared" si="42"/>
        <v>500</v>
      </c>
    </row>
    <row r="864" spans="5:14" x14ac:dyDescent="0.25">
      <c r="E864">
        <v>559</v>
      </c>
      <c r="F864" s="7">
        <v>45082</v>
      </c>
      <c r="G864">
        <f t="shared" si="40"/>
        <v>2023</v>
      </c>
      <c r="H864" s="7" t="str">
        <f t="shared" si="41"/>
        <v>Июнь</v>
      </c>
      <c r="I864" t="s">
        <v>9</v>
      </c>
      <c r="J864">
        <v>25</v>
      </c>
      <c r="K864" t="s">
        <v>11</v>
      </c>
      <c r="L864">
        <v>1</v>
      </c>
      <c r="M864">
        <v>50</v>
      </c>
      <c r="N864" s="1">
        <f t="shared" si="42"/>
        <v>50</v>
      </c>
    </row>
    <row r="865" spans="5:14" x14ac:dyDescent="0.25">
      <c r="E865">
        <v>1577</v>
      </c>
      <c r="F865" s="7">
        <v>45632</v>
      </c>
      <c r="G865">
        <f t="shared" si="40"/>
        <v>2024</v>
      </c>
      <c r="H865" s="7" t="str">
        <f t="shared" si="41"/>
        <v>Декабрь</v>
      </c>
      <c r="I865" t="s">
        <v>9</v>
      </c>
      <c r="J865">
        <v>53</v>
      </c>
      <c r="K865" t="s">
        <v>10</v>
      </c>
      <c r="L865">
        <v>7</v>
      </c>
      <c r="M865">
        <v>307</v>
      </c>
      <c r="N865" s="1">
        <f t="shared" si="42"/>
        <v>2149</v>
      </c>
    </row>
    <row r="866" spans="5:14" x14ac:dyDescent="0.25">
      <c r="E866">
        <v>1640</v>
      </c>
      <c r="F866" s="7">
        <v>45559</v>
      </c>
      <c r="G866">
        <f t="shared" si="40"/>
        <v>2024</v>
      </c>
      <c r="H866" s="7" t="str">
        <f t="shared" si="41"/>
        <v>Сентябрь</v>
      </c>
      <c r="I866" t="s">
        <v>9</v>
      </c>
      <c r="J866">
        <v>37</v>
      </c>
      <c r="K866" t="s">
        <v>11</v>
      </c>
      <c r="L866">
        <v>7</v>
      </c>
      <c r="M866">
        <v>339</v>
      </c>
      <c r="N866" s="1">
        <f t="shared" si="42"/>
        <v>2373</v>
      </c>
    </row>
    <row r="867" spans="5:14" x14ac:dyDescent="0.25">
      <c r="E867">
        <v>1717</v>
      </c>
      <c r="F867" s="7">
        <v>45426</v>
      </c>
      <c r="G867">
        <f t="shared" si="40"/>
        <v>2024</v>
      </c>
      <c r="H867" s="7" t="str">
        <f t="shared" si="41"/>
        <v>Май</v>
      </c>
      <c r="I867" t="s">
        <v>9</v>
      </c>
      <c r="J867">
        <v>32</v>
      </c>
      <c r="K867" t="s">
        <v>10</v>
      </c>
      <c r="L867">
        <v>1</v>
      </c>
      <c r="M867">
        <v>29</v>
      </c>
      <c r="N867" s="1">
        <f t="shared" si="42"/>
        <v>29</v>
      </c>
    </row>
    <row r="868" spans="5:14" x14ac:dyDescent="0.25">
      <c r="E868">
        <v>1965</v>
      </c>
      <c r="F868" s="7">
        <v>45401</v>
      </c>
      <c r="G868">
        <f t="shared" si="40"/>
        <v>2024</v>
      </c>
      <c r="H868" s="7" t="str">
        <f t="shared" si="41"/>
        <v>Апрель</v>
      </c>
      <c r="I868" t="s">
        <v>9</v>
      </c>
      <c r="J868">
        <v>21</v>
      </c>
      <c r="K868" t="s">
        <v>10</v>
      </c>
      <c r="L868">
        <v>2</v>
      </c>
      <c r="M868">
        <v>333</v>
      </c>
      <c r="N868" s="1">
        <f t="shared" si="42"/>
        <v>666</v>
      </c>
    </row>
    <row r="869" spans="5:14" x14ac:dyDescent="0.25">
      <c r="E869">
        <v>263</v>
      </c>
      <c r="F869" s="7">
        <v>44954</v>
      </c>
      <c r="G869">
        <f t="shared" si="40"/>
        <v>2023</v>
      </c>
      <c r="H869" s="7" t="str">
        <f t="shared" si="41"/>
        <v>Январь</v>
      </c>
      <c r="I869" t="s">
        <v>7</v>
      </c>
      <c r="J869">
        <v>47</v>
      </c>
      <c r="K869" t="s">
        <v>10</v>
      </c>
      <c r="L869">
        <v>3</v>
      </c>
      <c r="M869">
        <v>300</v>
      </c>
      <c r="N869" s="1">
        <f t="shared" si="42"/>
        <v>900</v>
      </c>
    </row>
    <row r="870" spans="5:14" x14ac:dyDescent="0.25">
      <c r="E870">
        <v>1916</v>
      </c>
      <c r="F870" s="7">
        <v>45344</v>
      </c>
      <c r="G870">
        <f t="shared" si="40"/>
        <v>2024</v>
      </c>
      <c r="H870" s="7" t="str">
        <f t="shared" si="41"/>
        <v>Февраль</v>
      </c>
      <c r="I870" t="s">
        <v>9</v>
      </c>
      <c r="J870">
        <v>40</v>
      </c>
      <c r="K870" t="s">
        <v>8</v>
      </c>
      <c r="L870">
        <v>3</v>
      </c>
      <c r="M870">
        <v>228</v>
      </c>
      <c r="N870" s="1">
        <f t="shared" si="42"/>
        <v>684</v>
      </c>
    </row>
    <row r="871" spans="5:14" x14ac:dyDescent="0.25">
      <c r="E871">
        <v>288</v>
      </c>
      <c r="F871" s="7">
        <v>45260</v>
      </c>
      <c r="G871">
        <f t="shared" si="40"/>
        <v>2023</v>
      </c>
      <c r="H871" s="7" t="str">
        <f t="shared" si="41"/>
        <v>Ноябрь</v>
      </c>
      <c r="I871" t="s">
        <v>7</v>
      </c>
      <c r="J871">
        <v>53</v>
      </c>
      <c r="K871" t="s">
        <v>11</v>
      </c>
      <c r="L871">
        <v>2</v>
      </c>
      <c r="M871">
        <v>30</v>
      </c>
      <c r="N871" s="1">
        <f t="shared" si="42"/>
        <v>60</v>
      </c>
    </row>
    <row r="872" spans="5:14" x14ac:dyDescent="0.25">
      <c r="E872">
        <v>311</v>
      </c>
      <c r="F872" s="7">
        <v>45176</v>
      </c>
      <c r="G872">
        <f t="shared" si="40"/>
        <v>2023</v>
      </c>
      <c r="H872" s="7" t="str">
        <f t="shared" si="41"/>
        <v>Сентябрь</v>
      </c>
      <c r="I872" t="s">
        <v>7</v>
      </c>
      <c r="J872">
        <v>41</v>
      </c>
      <c r="K872" t="s">
        <v>10</v>
      </c>
      <c r="L872">
        <v>4</v>
      </c>
      <c r="M872">
        <v>30</v>
      </c>
      <c r="N872" s="1">
        <f t="shared" si="42"/>
        <v>120</v>
      </c>
    </row>
    <row r="873" spans="5:14" x14ac:dyDescent="0.25">
      <c r="E873">
        <v>1756</v>
      </c>
      <c r="F873" s="7">
        <v>45378</v>
      </c>
      <c r="G873">
        <f t="shared" si="40"/>
        <v>2024</v>
      </c>
      <c r="H873" s="7" t="str">
        <f t="shared" si="41"/>
        <v>Март</v>
      </c>
      <c r="I873" t="s">
        <v>7</v>
      </c>
      <c r="J873">
        <v>49</v>
      </c>
      <c r="K873" t="s">
        <v>8</v>
      </c>
      <c r="L873">
        <v>5</v>
      </c>
      <c r="M873">
        <v>107</v>
      </c>
      <c r="N873" s="1">
        <f t="shared" si="42"/>
        <v>535</v>
      </c>
    </row>
    <row r="874" spans="5:14" x14ac:dyDescent="0.25">
      <c r="E874">
        <v>192</v>
      </c>
      <c r="F874" s="7">
        <v>44967</v>
      </c>
      <c r="G874">
        <f t="shared" si="40"/>
        <v>2023</v>
      </c>
      <c r="H874" s="7" t="str">
        <f t="shared" si="41"/>
        <v>Февраль</v>
      </c>
      <c r="I874" t="s">
        <v>7</v>
      </c>
      <c r="J874">
        <v>62</v>
      </c>
      <c r="K874" t="s">
        <v>8</v>
      </c>
      <c r="L874">
        <v>2</v>
      </c>
      <c r="M874">
        <v>50</v>
      </c>
      <c r="N874" s="1">
        <f t="shared" si="42"/>
        <v>100</v>
      </c>
    </row>
    <row r="875" spans="5:14" x14ac:dyDescent="0.25">
      <c r="E875">
        <v>1502</v>
      </c>
      <c r="F875" s="7">
        <v>45311</v>
      </c>
      <c r="G875">
        <f t="shared" si="40"/>
        <v>2024</v>
      </c>
      <c r="H875" s="7" t="str">
        <f t="shared" si="41"/>
        <v>Январь</v>
      </c>
      <c r="I875" t="s">
        <v>7</v>
      </c>
      <c r="J875">
        <v>23</v>
      </c>
      <c r="K875" t="s">
        <v>8</v>
      </c>
      <c r="L875">
        <v>6</v>
      </c>
      <c r="M875">
        <v>367</v>
      </c>
      <c r="N875" s="1">
        <f t="shared" si="42"/>
        <v>2202</v>
      </c>
    </row>
    <row r="876" spans="5:14" x14ac:dyDescent="0.25">
      <c r="E876">
        <v>1039</v>
      </c>
      <c r="F876" s="7">
        <v>45344</v>
      </c>
      <c r="G876">
        <f t="shared" si="40"/>
        <v>2024</v>
      </c>
      <c r="H876" s="7" t="str">
        <f t="shared" si="41"/>
        <v>Февраль</v>
      </c>
      <c r="I876" t="s">
        <v>7</v>
      </c>
      <c r="J876">
        <v>37</v>
      </c>
      <c r="K876" t="s">
        <v>10</v>
      </c>
      <c r="L876">
        <v>6</v>
      </c>
      <c r="M876">
        <v>278</v>
      </c>
      <c r="N876" s="1">
        <f t="shared" si="42"/>
        <v>1668</v>
      </c>
    </row>
    <row r="877" spans="5:14" x14ac:dyDescent="0.25">
      <c r="E877">
        <v>372</v>
      </c>
      <c r="F877" s="7">
        <v>45202</v>
      </c>
      <c r="G877">
        <f t="shared" si="40"/>
        <v>2023</v>
      </c>
      <c r="H877" s="7" t="str">
        <f t="shared" si="41"/>
        <v>Октябрь</v>
      </c>
      <c r="I877" t="s">
        <v>9</v>
      </c>
      <c r="J877">
        <v>25</v>
      </c>
      <c r="K877" t="s">
        <v>8</v>
      </c>
      <c r="L877">
        <v>2</v>
      </c>
      <c r="M877">
        <v>300</v>
      </c>
      <c r="N877" s="1">
        <f t="shared" si="42"/>
        <v>600</v>
      </c>
    </row>
    <row r="878" spans="5:14" x14ac:dyDescent="0.25">
      <c r="E878">
        <v>1007</v>
      </c>
      <c r="F878" s="7">
        <v>45639</v>
      </c>
      <c r="G878">
        <f t="shared" si="40"/>
        <v>2024</v>
      </c>
      <c r="H878" s="7" t="str">
        <f t="shared" si="41"/>
        <v>Декабрь</v>
      </c>
      <c r="I878" t="s">
        <v>7</v>
      </c>
      <c r="J878">
        <v>65</v>
      </c>
      <c r="K878" t="s">
        <v>11</v>
      </c>
      <c r="L878">
        <v>2</v>
      </c>
      <c r="M878">
        <v>444</v>
      </c>
      <c r="N878" s="1">
        <f t="shared" si="42"/>
        <v>888</v>
      </c>
    </row>
    <row r="879" spans="5:14" x14ac:dyDescent="0.25">
      <c r="E879">
        <v>1245</v>
      </c>
      <c r="F879" s="7">
        <v>45360</v>
      </c>
      <c r="G879">
        <f t="shared" si="40"/>
        <v>2024</v>
      </c>
      <c r="H879" s="7" t="str">
        <f t="shared" si="41"/>
        <v>Март</v>
      </c>
      <c r="I879" t="s">
        <v>7</v>
      </c>
      <c r="J879">
        <v>61</v>
      </c>
      <c r="K879" t="s">
        <v>10</v>
      </c>
      <c r="L879">
        <v>4</v>
      </c>
      <c r="M879">
        <v>392</v>
      </c>
      <c r="N879" s="1">
        <f t="shared" si="42"/>
        <v>1568</v>
      </c>
    </row>
    <row r="880" spans="5:14" x14ac:dyDescent="0.25">
      <c r="E880">
        <v>349</v>
      </c>
      <c r="F880" s="7">
        <v>45216</v>
      </c>
      <c r="G880">
        <f t="shared" si="40"/>
        <v>2023</v>
      </c>
      <c r="H880" s="7" t="str">
        <f t="shared" si="41"/>
        <v>Октябрь</v>
      </c>
      <c r="I880" t="s">
        <v>7</v>
      </c>
      <c r="J880">
        <v>25</v>
      </c>
      <c r="K880" t="s">
        <v>8</v>
      </c>
      <c r="L880">
        <v>3</v>
      </c>
      <c r="M880">
        <v>25</v>
      </c>
      <c r="N880" s="1">
        <f t="shared" si="42"/>
        <v>75</v>
      </c>
    </row>
    <row r="881" spans="5:14" x14ac:dyDescent="0.25">
      <c r="E881">
        <v>1641</v>
      </c>
      <c r="F881" s="7">
        <v>45541</v>
      </c>
      <c r="G881">
        <f t="shared" si="40"/>
        <v>2024</v>
      </c>
      <c r="H881" s="7" t="str">
        <f t="shared" si="41"/>
        <v>Сентябрь</v>
      </c>
      <c r="I881" t="s">
        <v>7</v>
      </c>
      <c r="J881">
        <v>39</v>
      </c>
      <c r="K881" t="s">
        <v>8</v>
      </c>
      <c r="L881">
        <v>2</v>
      </c>
      <c r="M881">
        <v>436</v>
      </c>
      <c r="N881" s="1">
        <f t="shared" si="42"/>
        <v>872</v>
      </c>
    </row>
    <row r="882" spans="5:14" x14ac:dyDescent="0.25">
      <c r="E882">
        <v>1686</v>
      </c>
      <c r="F882" s="7">
        <v>45601</v>
      </c>
      <c r="G882">
        <f t="shared" si="40"/>
        <v>2024</v>
      </c>
      <c r="H882" s="7" t="str">
        <f t="shared" si="41"/>
        <v>Ноябрь</v>
      </c>
      <c r="I882" t="s">
        <v>9</v>
      </c>
      <c r="J882">
        <v>43</v>
      </c>
      <c r="K882" t="s">
        <v>10</v>
      </c>
      <c r="L882">
        <v>2</v>
      </c>
      <c r="M882">
        <v>234</v>
      </c>
      <c r="N882" s="1">
        <f t="shared" si="42"/>
        <v>468</v>
      </c>
    </row>
    <row r="883" spans="5:14" x14ac:dyDescent="0.25">
      <c r="E883">
        <v>1449</v>
      </c>
      <c r="F883" s="7">
        <v>45420</v>
      </c>
      <c r="G883">
        <f t="shared" si="40"/>
        <v>2024</v>
      </c>
      <c r="H883" s="7" t="str">
        <f t="shared" si="41"/>
        <v>Май</v>
      </c>
      <c r="I883" t="s">
        <v>9</v>
      </c>
      <c r="J883">
        <v>22</v>
      </c>
      <c r="K883" t="s">
        <v>10</v>
      </c>
      <c r="L883">
        <v>2</v>
      </c>
      <c r="M883">
        <v>182</v>
      </c>
      <c r="N883" s="1">
        <f t="shared" si="42"/>
        <v>364</v>
      </c>
    </row>
    <row r="884" spans="5:14" x14ac:dyDescent="0.25">
      <c r="E884">
        <v>552</v>
      </c>
      <c r="F884" s="7">
        <v>45016</v>
      </c>
      <c r="G884">
        <f t="shared" si="40"/>
        <v>2023</v>
      </c>
      <c r="H884" s="7" t="str">
        <f t="shared" si="41"/>
        <v>Март</v>
      </c>
      <c r="I884" t="s">
        <v>7</v>
      </c>
      <c r="J884">
        <v>24</v>
      </c>
      <c r="K884" t="s">
        <v>10</v>
      </c>
      <c r="L884">
        <v>4</v>
      </c>
      <c r="M884">
        <v>300</v>
      </c>
      <c r="N884" s="1">
        <f t="shared" si="42"/>
        <v>1200</v>
      </c>
    </row>
    <row r="885" spans="5:14" x14ac:dyDescent="0.25">
      <c r="E885">
        <v>1131</v>
      </c>
      <c r="F885" s="7">
        <v>45338</v>
      </c>
      <c r="G885">
        <f t="shared" si="40"/>
        <v>2024</v>
      </c>
      <c r="H885" s="7" t="str">
        <f t="shared" si="41"/>
        <v>Февраль</v>
      </c>
      <c r="I885" t="s">
        <v>7</v>
      </c>
      <c r="J885">
        <v>58</v>
      </c>
      <c r="K885" t="s">
        <v>11</v>
      </c>
      <c r="L885">
        <v>7</v>
      </c>
      <c r="M885">
        <v>93</v>
      </c>
      <c r="N885" s="1">
        <f t="shared" si="42"/>
        <v>651</v>
      </c>
    </row>
    <row r="886" spans="5:14" x14ac:dyDescent="0.25">
      <c r="E886">
        <v>750</v>
      </c>
      <c r="F886" s="7">
        <v>45269</v>
      </c>
      <c r="G886">
        <f t="shared" si="40"/>
        <v>2023</v>
      </c>
      <c r="H886" s="7" t="str">
        <f t="shared" si="41"/>
        <v>Декабрь</v>
      </c>
      <c r="I886" t="s">
        <v>7</v>
      </c>
      <c r="J886">
        <v>29</v>
      </c>
      <c r="K886" t="s">
        <v>10</v>
      </c>
      <c r="L886">
        <v>2</v>
      </c>
      <c r="M886">
        <v>50</v>
      </c>
      <c r="N886" s="1">
        <f t="shared" si="42"/>
        <v>100</v>
      </c>
    </row>
    <row r="887" spans="5:14" x14ac:dyDescent="0.25">
      <c r="E887">
        <v>270</v>
      </c>
      <c r="F887" s="7">
        <v>45100</v>
      </c>
      <c r="G887">
        <f t="shared" si="40"/>
        <v>2023</v>
      </c>
      <c r="H887" s="7" t="str">
        <f t="shared" si="41"/>
        <v>Июнь</v>
      </c>
      <c r="I887" t="s">
        <v>9</v>
      </c>
      <c r="J887">
        <v>62</v>
      </c>
      <c r="K887" t="s">
        <v>8</v>
      </c>
      <c r="L887">
        <v>4</v>
      </c>
      <c r="M887">
        <v>30</v>
      </c>
      <c r="N887" s="1">
        <f t="shared" si="42"/>
        <v>120</v>
      </c>
    </row>
    <row r="888" spans="5:14" x14ac:dyDescent="0.25">
      <c r="E888">
        <v>1159</v>
      </c>
      <c r="F888" s="7">
        <v>45373</v>
      </c>
      <c r="G888">
        <f t="shared" si="40"/>
        <v>2024</v>
      </c>
      <c r="H888" s="7" t="str">
        <f t="shared" si="41"/>
        <v>Март</v>
      </c>
      <c r="I888" t="s">
        <v>7</v>
      </c>
      <c r="J888">
        <v>42</v>
      </c>
      <c r="K888" t="s">
        <v>8</v>
      </c>
      <c r="L888">
        <v>6</v>
      </c>
      <c r="M888">
        <v>151</v>
      </c>
      <c r="N888" s="1">
        <f t="shared" si="42"/>
        <v>906</v>
      </c>
    </row>
    <row r="889" spans="5:14" x14ac:dyDescent="0.25">
      <c r="E889">
        <v>1043</v>
      </c>
      <c r="F889" s="7">
        <v>45476</v>
      </c>
      <c r="G889">
        <f t="shared" si="40"/>
        <v>2024</v>
      </c>
      <c r="H889" s="7" t="str">
        <f t="shared" si="41"/>
        <v>Июль</v>
      </c>
      <c r="I889" t="s">
        <v>9</v>
      </c>
      <c r="J889">
        <v>36</v>
      </c>
      <c r="K889" t="s">
        <v>11</v>
      </c>
      <c r="L889">
        <v>6</v>
      </c>
      <c r="M889">
        <v>39</v>
      </c>
      <c r="N889" s="1">
        <f t="shared" si="42"/>
        <v>234</v>
      </c>
    </row>
    <row r="890" spans="5:14" x14ac:dyDescent="0.25">
      <c r="E890">
        <v>1821</v>
      </c>
      <c r="F890" s="7">
        <v>45530</v>
      </c>
      <c r="G890">
        <f t="shared" si="40"/>
        <v>2024</v>
      </c>
      <c r="H890" s="7" t="str">
        <f t="shared" si="41"/>
        <v>Август</v>
      </c>
      <c r="I890" t="s">
        <v>9</v>
      </c>
      <c r="J890">
        <v>39</v>
      </c>
      <c r="K890" t="s">
        <v>8</v>
      </c>
      <c r="L890">
        <v>2</v>
      </c>
      <c r="M890">
        <v>257</v>
      </c>
      <c r="N890" s="1">
        <f t="shared" si="42"/>
        <v>514</v>
      </c>
    </row>
    <row r="891" spans="5:14" x14ac:dyDescent="0.25">
      <c r="E891">
        <v>1730</v>
      </c>
      <c r="F891" s="7">
        <v>45301</v>
      </c>
      <c r="G891">
        <f t="shared" si="40"/>
        <v>2024</v>
      </c>
      <c r="H891" s="7" t="str">
        <f t="shared" si="41"/>
        <v>Январь</v>
      </c>
      <c r="I891" t="s">
        <v>9</v>
      </c>
      <c r="J891">
        <v>50</v>
      </c>
      <c r="K891" t="s">
        <v>10</v>
      </c>
      <c r="L891">
        <v>3</v>
      </c>
      <c r="M891">
        <v>127</v>
      </c>
      <c r="N891" s="1">
        <f t="shared" si="42"/>
        <v>381</v>
      </c>
    </row>
    <row r="892" spans="5:14" x14ac:dyDescent="0.25">
      <c r="E892">
        <v>370</v>
      </c>
      <c r="F892" s="7">
        <v>44978</v>
      </c>
      <c r="G892">
        <f t="shared" si="40"/>
        <v>2023</v>
      </c>
      <c r="H892" s="7" t="str">
        <f t="shared" si="41"/>
        <v>Февраль</v>
      </c>
      <c r="I892" t="s">
        <v>9</v>
      </c>
      <c r="J892">
        <v>20</v>
      </c>
      <c r="K892" t="s">
        <v>8</v>
      </c>
      <c r="L892">
        <v>1</v>
      </c>
      <c r="M892">
        <v>25</v>
      </c>
      <c r="N892" s="1">
        <f t="shared" si="42"/>
        <v>25</v>
      </c>
    </row>
    <row r="893" spans="5:14" x14ac:dyDescent="0.25">
      <c r="E893">
        <v>862</v>
      </c>
      <c r="F893" s="7">
        <v>45134</v>
      </c>
      <c r="G893">
        <f t="shared" si="40"/>
        <v>2023</v>
      </c>
      <c r="H893" s="7" t="str">
        <f t="shared" si="41"/>
        <v>Июль</v>
      </c>
      <c r="I893" t="s">
        <v>9</v>
      </c>
      <c r="J893">
        <v>51</v>
      </c>
      <c r="K893" t="s">
        <v>11</v>
      </c>
      <c r="L893">
        <v>1</v>
      </c>
      <c r="M893">
        <v>500</v>
      </c>
      <c r="N893" s="1">
        <f t="shared" si="42"/>
        <v>500</v>
      </c>
    </row>
    <row r="894" spans="5:14" x14ac:dyDescent="0.25">
      <c r="E894">
        <v>824</v>
      </c>
      <c r="F894" s="7">
        <v>45218</v>
      </c>
      <c r="G894">
        <f t="shared" si="40"/>
        <v>2023</v>
      </c>
      <c r="H894" s="7" t="str">
        <f t="shared" si="41"/>
        <v>Октябрь</v>
      </c>
      <c r="I894" t="s">
        <v>9</v>
      </c>
      <c r="J894">
        <v>46</v>
      </c>
      <c r="K894" t="s">
        <v>10</v>
      </c>
      <c r="L894">
        <v>1</v>
      </c>
      <c r="M894">
        <v>300</v>
      </c>
      <c r="N894" s="1">
        <f t="shared" si="42"/>
        <v>300</v>
      </c>
    </row>
    <row r="895" spans="5:14" x14ac:dyDescent="0.25">
      <c r="E895">
        <v>40</v>
      </c>
      <c r="F895" s="7">
        <v>45099</v>
      </c>
      <c r="G895">
        <f t="shared" si="40"/>
        <v>2023</v>
      </c>
      <c r="H895" s="7" t="str">
        <f t="shared" si="41"/>
        <v>Июнь</v>
      </c>
      <c r="I895" t="s">
        <v>7</v>
      </c>
      <c r="J895">
        <v>45</v>
      </c>
      <c r="K895" t="s">
        <v>8</v>
      </c>
      <c r="L895">
        <v>1</v>
      </c>
      <c r="M895">
        <v>50</v>
      </c>
      <c r="N895" s="1">
        <f t="shared" si="42"/>
        <v>50</v>
      </c>
    </row>
    <row r="896" spans="5:14" x14ac:dyDescent="0.25">
      <c r="E896">
        <v>483</v>
      </c>
      <c r="F896" s="7">
        <v>44939</v>
      </c>
      <c r="G896">
        <f t="shared" si="40"/>
        <v>2023</v>
      </c>
      <c r="H896" s="7" t="str">
        <f t="shared" si="41"/>
        <v>Январь</v>
      </c>
      <c r="I896" t="s">
        <v>9</v>
      </c>
      <c r="J896">
        <v>19</v>
      </c>
      <c r="K896" t="s">
        <v>10</v>
      </c>
      <c r="L896">
        <v>4</v>
      </c>
      <c r="M896">
        <v>300</v>
      </c>
      <c r="N896" s="1">
        <f t="shared" si="42"/>
        <v>1200</v>
      </c>
    </row>
    <row r="897" spans="5:14" x14ac:dyDescent="0.25">
      <c r="E897">
        <v>122</v>
      </c>
      <c r="F897" s="7">
        <v>45202</v>
      </c>
      <c r="G897">
        <f t="shared" si="40"/>
        <v>2023</v>
      </c>
      <c r="H897" s="7" t="str">
        <f t="shared" si="41"/>
        <v>Октябрь</v>
      </c>
      <c r="I897" t="s">
        <v>7</v>
      </c>
      <c r="J897">
        <v>64</v>
      </c>
      <c r="K897" t="s">
        <v>11</v>
      </c>
      <c r="L897">
        <v>4</v>
      </c>
      <c r="M897">
        <v>30</v>
      </c>
      <c r="N897" s="1">
        <f t="shared" si="42"/>
        <v>120</v>
      </c>
    </row>
    <row r="898" spans="5:14" x14ac:dyDescent="0.25">
      <c r="E898">
        <v>490</v>
      </c>
      <c r="F898" s="7">
        <v>45069</v>
      </c>
      <c r="G898">
        <f t="shared" si="40"/>
        <v>2023</v>
      </c>
      <c r="H898" s="7" t="str">
        <f t="shared" si="41"/>
        <v>Май</v>
      </c>
      <c r="I898" t="s">
        <v>9</v>
      </c>
      <c r="J898">
        <v>60</v>
      </c>
      <c r="K898" t="s">
        <v>11</v>
      </c>
      <c r="L898">
        <v>3</v>
      </c>
      <c r="M898">
        <v>300</v>
      </c>
      <c r="N898" s="1">
        <f t="shared" si="42"/>
        <v>900</v>
      </c>
    </row>
    <row r="899" spans="5:14" x14ac:dyDescent="0.25">
      <c r="E899">
        <v>1528</v>
      </c>
      <c r="F899" s="7">
        <v>45633</v>
      </c>
      <c r="G899">
        <f t="shared" si="40"/>
        <v>2024</v>
      </c>
      <c r="H899" s="7" t="str">
        <f t="shared" si="41"/>
        <v>Декабрь</v>
      </c>
      <c r="I899" t="s">
        <v>7</v>
      </c>
      <c r="J899">
        <v>58</v>
      </c>
      <c r="K899" t="s">
        <v>11</v>
      </c>
      <c r="L899">
        <v>2</v>
      </c>
      <c r="M899">
        <v>266</v>
      </c>
      <c r="N899" s="1">
        <f t="shared" si="42"/>
        <v>532</v>
      </c>
    </row>
    <row r="900" spans="5:14" x14ac:dyDescent="0.25">
      <c r="E900">
        <v>1250</v>
      </c>
      <c r="F900" s="7">
        <v>45535</v>
      </c>
      <c r="G900">
        <f t="shared" si="40"/>
        <v>2024</v>
      </c>
      <c r="H900" s="7" t="str">
        <f t="shared" si="41"/>
        <v>Август</v>
      </c>
      <c r="I900" t="s">
        <v>9</v>
      </c>
      <c r="J900">
        <v>21</v>
      </c>
      <c r="K900" t="s">
        <v>10</v>
      </c>
      <c r="L900">
        <v>6</v>
      </c>
      <c r="M900">
        <v>108</v>
      </c>
      <c r="N900" s="1">
        <f t="shared" si="42"/>
        <v>648</v>
      </c>
    </row>
    <row r="901" spans="5:14" x14ac:dyDescent="0.25">
      <c r="E901">
        <v>1693</v>
      </c>
      <c r="F901" s="7">
        <v>45306</v>
      </c>
      <c r="G901">
        <f t="shared" si="40"/>
        <v>2024</v>
      </c>
      <c r="H901" s="7" t="str">
        <f t="shared" si="41"/>
        <v>Январь</v>
      </c>
      <c r="I901" t="s">
        <v>7</v>
      </c>
      <c r="J901">
        <v>33</v>
      </c>
      <c r="K901" t="s">
        <v>10</v>
      </c>
      <c r="L901">
        <v>3</v>
      </c>
      <c r="M901">
        <v>320</v>
      </c>
      <c r="N901" s="1">
        <f t="shared" si="42"/>
        <v>960</v>
      </c>
    </row>
    <row r="902" spans="5:14" x14ac:dyDescent="0.25">
      <c r="E902">
        <v>1774</v>
      </c>
      <c r="F902" s="7">
        <v>45614</v>
      </c>
      <c r="G902">
        <f t="shared" si="40"/>
        <v>2024</v>
      </c>
      <c r="H902" s="7" t="str">
        <f t="shared" si="41"/>
        <v>Ноябрь</v>
      </c>
      <c r="I902" t="s">
        <v>9</v>
      </c>
      <c r="J902">
        <v>50</v>
      </c>
      <c r="K902" t="s">
        <v>8</v>
      </c>
      <c r="L902">
        <v>2</v>
      </c>
      <c r="M902">
        <v>91</v>
      </c>
      <c r="N902" s="1">
        <f t="shared" si="42"/>
        <v>182</v>
      </c>
    </row>
    <row r="903" spans="5:14" x14ac:dyDescent="0.25">
      <c r="E903">
        <v>1967</v>
      </c>
      <c r="F903" s="7">
        <v>45631</v>
      </c>
      <c r="G903">
        <f t="shared" si="40"/>
        <v>2024</v>
      </c>
      <c r="H903" s="7" t="str">
        <f t="shared" si="41"/>
        <v>Декабрь</v>
      </c>
      <c r="I903" t="s">
        <v>9</v>
      </c>
      <c r="J903">
        <v>60</v>
      </c>
      <c r="K903" t="s">
        <v>11</v>
      </c>
      <c r="L903">
        <v>6</v>
      </c>
      <c r="M903">
        <v>461</v>
      </c>
      <c r="N903" s="1">
        <f t="shared" si="42"/>
        <v>2766</v>
      </c>
    </row>
    <row r="904" spans="5:14" x14ac:dyDescent="0.25">
      <c r="E904">
        <v>300</v>
      </c>
      <c r="F904" s="7">
        <v>45011</v>
      </c>
      <c r="G904">
        <f t="shared" si="40"/>
        <v>2023</v>
      </c>
      <c r="H904" s="7" t="str">
        <f t="shared" si="41"/>
        <v>Март</v>
      </c>
      <c r="I904" t="s">
        <v>7</v>
      </c>
      <c r="J904">
        <v>30</v>
      </c>
      <c r="K904" t="s">
        <v>10</v>
      </c>
      <c r="L904">
        <v>4</v>
      </c>
      <c r="M904">
        <v>30</v>
      </c>
      <c r="N904" s="1">
        <f t="shared" si="42"/>
        <v>120</v>
      </c>
    </row>
    <row r="905" spans="5:14" x14ac:dyDescent="0.25">
      <c r="E905">
        <v>1689</v>
      </c>
      <c r="F905" s="7">
        <v>45405</v>
      </c>
      <c r="G905">
        <f t="shared" si="40"/>
        <v>2024</v>
      </c>
      <c r="H905" s="7" t="str">
        <f t="shared" si="41"/>
        <v>Апрель</v>
      </c>
      <c r="I905" t="s">
        <v>7</v>
      </c>
      <c r="J905">
        <v>50</v>
      </c>
      <c r="K905" t="s">
        <v>8</v>
      </c>
      <c r="L905">
        <v>3</v>
      </c>
      <c r="M905">
        <v>425</v>
      </c>
      <c r="N905" s="1">
        <f t="shared" si="42"/>
        <v>1275</v>
      </c>
    </row>
    <row r="906" spans="5:14" x14ac:dyDescent="0.25">
      <c r="E906">
        <v>165</v>
      </c>
      <c r="F906" s="7">
        <v>45183</v>
      </c>
      <c r="G906">
        <f t="shared" ref="G906:G969" si="43">YEAR(F906)</f>
        <v>2023</v>
      </c>
      <c r="H906" s="7" t="str">
        <f t="shared" ref="H906:H969" si="44">TEXT(F906,"ММММ")</f>
        <v>Сентябрь</v>
      </c>
      <c r="I906" t="s">
        <v>9</v>
      </c>
      <c r="J906">
        <v>60</v>
      </c>
      <c r="K906" t="s">
        <v>10</v>
      </c>
      <c r="L906">
        <v>4</v>
      </c>
      <c r="M906">
        <v>300</v>
      </c>
      <c r="N906" s="1">
        <f t="shared" ref="N906:N969" si="45">L906*M906</f>
        <v>1200</v>
      </c>
    </row>
    <row r="907" spans="5:14" x14ac:dyDescent="0.25">
      <c r="E907">
        <v>385</v>
      </c>
      <c r="F907" s="7">
        <v>45287</v>
      </c>
      <c r="G907">
        <f t="shared" si="43"/>
        <v>2023</v>
      </c>
      <c r="H907" s="7" t="str">
        <f t="shared" si="44"/>
        <v>Декабрь</v>
      </c>
      <c r="I907" t="s">
        <v>9</v>
      </c>
      <c r="J907">
        <v>54</v>
      </c>
      <c r="K907" t="s">
        <v>11</v>
      </c>
      <c r="L907">
        <v>2</v>
      </c>
      <c r="M907">
        <v>300</v>
      </c>
      <c r="N907" s="1">
        <f t="shared" si="45"/>
        <v>600</v>
      </c>
    </row>
    <row r="908" spans="5:14" x14ac:dyDescent="0.25">
      <c r="E908">
        <v>206</v>
      </c>
      <c r="F908" s="7">
        <v>45143</v>
      </c>
      <c r="G908">
        <f t="shared" si="43"/>
        <v>2023</v>
      </c>
      <c r="H908" s="7" t="str">
        <f t="shared" si="44"/>
        <v>Август</v>
      </c>
      <c r="I908" t="s">
        <v>7</v>
      </c>
      <c r="J908">
        <v>61</v>
      </c>
      <c r="K908" t="s">
        <v>10</v>
      </c>
      <c r="L908">
        <v>1</v>
      </c>
      <c r="M908">
        <v>25</v>
      </c>
      <c r="N908" s="1">
        <f t="shared" si="45"/>
        <v>25</v>
      </c>
    </row>
    <row r="909" spans="5:14" x14ac:dyDescent="0.25">
      <c r="E909">
        <v>1759</v>
      </c>
      <c r="F909" s="7">
        <v>45350</v>
      </c>
      <c r="G909">
        <f t="shared" si="43"/>
        <v>2024</v>
      </c>
      <c r="H909" s="7" t="str">
        <f t="shared" si="44"/>
        <v>Февраль</v>
      </c>
      <c r="I909" t="s">
        <v>7</v>
      </c>
      <c r="J909">
        <v>43</v>
      </c>
      <c r="K909" t="s">
        <v>10</v>
      </c>
      <c r="L909">
        <v>5</v>
      </c>
      <c r="M909">
        <v>322</v>
      </c>
      <c r="N909" s="1">
        <f t="shared" si="45"/>
        <v>1610</v>
      </c>
    </row>
    <row r="910" spans="5:14" x14ac:dyDescent="0.25">
      <c r="E910">
        <v>241</v>
      </c>
      <c r="F910" s="7">
        <v>45048</v>
      </c>
      <c r="G910">
        <f t="shared" si="43"/>
        <v>2023</v>
      </c>
      <c r="H910" s="7" t="str">
        <f t="shared" si="44"/>
        <v>Май</v>
      </c>
      <c r="I910" t="s">
        <v>7</v>
      </c>
      <c r="J910">
        <v>21</v>
      </c>
      <c r="K910" t="s">
        <v>10</v>
      </c>
      <c r="L910">
        <v>1</v>
      </c>
      <c r="M910">
        <v>25</v>
      </c>
      <c r="N910" s="1">
        <f t="shared" si="45"/>
        <v>25</v>
      </c>
    </row>
    <row r="911" spans="5:14" x14ac:dyDescent="0.25">
      <c r="E911">
        <v>230</v>
      </c>
      <c r="F911" s="7">
        <v>44930</v>
      </c>
      <c r="G911">
        <f t="shared" si="43"/>
        <v>2023</v>
      </c>
      <c r="H911" s="7" t="str">
        <f t="shared" si="44"/>
        <v>Январь</v>
      </c>
      <c r="I911" t="s">
        <v>9</v>
      </c>
      <c r="J911">
        <v>23</v>
      </c>
      <c r="K911" t="s">
        <v>10</v>
      </c>
      <c r="L911">
        <v>3</v>
      </c>
      <c r="M911">
        <v>50</v>
      </c>
      <c r="N911" s="1">
        <f t="shared" si="45"/>
        <v>150</v>
      </c>
    </row>
    <row r="912" spans="5:14" x14ac:dyDescent="0.25">
      <c r="E912">
        <v>433</v>
      </c>
      <c r="F912" s="7">
        <v>44965</v>
      </c>
      <c r="G912">
        <f t="shared" si="43"/>
        <v>2023</v>
      </c>
      <c r="H912" s="7" t="str">
        <f t="shared" si="44"/>
        <v>Февраль</v>
      </c>
      <c r="I912" t="s">
        <v>9</v>
      </c>
      <c r="J912">
        <v>43</v>
      </c>
      <c r="K912" t="s">
        <v>11</v>
      </c>
      <c r="L912">
        <v>2</v>
      </c>
      <c r="M912">
        <v>25</v>
      </c>
      <c r="N912" s="1">
        <f t="shared" si="45"/>
        <v>50</v>
      </c>
    </row>
    <row r="913" spans="5:14" x14ac:dyDescent="0.25">
      <c r="E913">
        <v>1116</v>
      </c>
      <c r="F913" s="7">
        <v>45428</v>
      </c>
      <c r="G913">
        <f t="shared" si="43"/>
        <v>2024</v>
      </c>
      <c r="H913" s="7" t="str">
        <f t="shared" si="44"/>
        <v>Май</v>
      </c>
      <c r="I913" t="s">
        <v>9</v>
      </c>
      <c r="J913">
        <v>49</v>
      </c>
      <c r="K913" t="s">
        <v>11</v>
      </c>
      <c r="L913">
        <v>1</v>
      </c>
      <c r="M913">
        <v>44</v>
      </c>
      <c r="N913" s="1">
        <f t="shared" si="45"/>
        <v>44</v>
      </c>
    </row>
    <row r="914" spans="5:14" x14ac:dyDescent="0.25">
      <c r="E914">
        <v>1354</v>
      </c>
      <c r="F914" s="7">
        <v>45415</v>
      </c>
      <c r="G914">
        <f t="shared" si="43"/>
        <v>2024</v>
      </c>
      <c r="H914" s="7" t="str">
        <f t="shared" si="44"/>
        <v>Май</v>
      </c>
      <c r="I914" t="s">
        <v>9</v>
      </c>
      <c r="J914">
        <v>29</v>
      </c>
      <c r="K914" t="s">
        <v>11</v>
      </c>
      <c r="L914">
        <v>1</v>
      </c>
      <c r="M914">
        <v>72</v>
      </c>
      <c r="N914" s="1">
        <f t="shared" si="45"/>
        <v>72</v>
      </c>
    </row>
    <row r="915" spans="5:14" x14ac:dyDescent="0.25">
      <c r="E915">
        <v>1552</v>
      </c>
      <c r="F915" s="7">
        <v>45584</v>
      </c>
      <c r="G915">
        <f t="shared" si="43"/>
        <v>2024</v>
      </c>
      <c r="H915" s="7" t="str">
        <f t="shared" si="44"/>
        <v>Октябрь</v>
      </c>
      <c r="I915" t="s">
        <v>7</v>
      </c>
      <c r="J915">
        <v>53</v>
      </c>
      <c r="K915" t="s">
        <v>8</v>
      </c>
      <c r="L915">
        <v>1</v>
      </c>
      <c r="M915">
        <v>20</v>
      </c>
      <c r="N915" s="1">
        <f t="shared" si="45"/>
        <v>20</v>
      </c>
    </row>
    <row r="916" spans="5:14" x14ac:dyDescent="0.25">
      <c r="E916">
        <v>1284</v>
      </c>
      <c r="F916" s="7">
        <v>45342</v>
      </c>
      <c r="G916">
        <f t="shared" si="43"/>
        <v>2024</v>
      </c>
      <c r="H916" s="7" t="str">
        <f t="shared" si="44"/>
        <v>Февраль</v>
      </c>
      <c r="I916" t="s">
        <v>7</v>
      </c>
      <c r="J916">
        <v>53</v>
      </c>
      <c r="K916" t="s">
        <v>10</v>
      </c>
      <c r="L916">
        <v>1</v>
      </c>
      <c r="M916">
        <v>446</v>
      </c>
      <c r="N916" s="1">
        <f t="shared" si="45"/>
        <v>446</v>
      </c>
    </row>
    <row r="917" spans="5:14" x14ac:dyDescent="0.25">
      <c r="E917">
        <v>257</v>
      </c>
      <c r="F917" s="7">
        <v>45264</v>
      </c>
      <c r="G917">
        <f t="shared" si="43"/>
        <v>2023</v>
      </c>
      <c r="H917" s="7" t="str">
        <f t="shared" si="44"/>
        <v>Декабрь</v>
      </c>
      <c r="I917" t="s">
        <v>9</v>
      </c>
      <c r="J917">
        <v>37</v>
      </c>
      <c r="K917" t="s">
        <v>10</v>
      </c>
      <c r="L917">
        <v>1</v>
      </c>
      <c r="M917">
        <v>50</v>
      </c>
      <c r="N917" s="1">
        <f t="shared" si="45"/>
        <v>50</v>
      </c>
    </row>
    <row r="918" spans="5:14" x14ac:dyDescent="0.25">
      <c r="E918">
        <v>1542</v>
      </c>
      <c r="F918" s="7">
        <v>45444</v>
      </c>
      <c r="G918">
        <f t="shared" si="43"/>
        <v>2024</v>
      </c>
      <c r="H918" s="7" t="str">
        <f t="shared" si="44"/>
        <v>Июнь</v>
      </c>
      <c r="I918" t="s">
        <v>7</v>
      </c>
      <c r="J918">
        <v>20</v>
      </c>
      <c r="K918" t="s">
        <v>10</v>
      </c>
      <c r="L918">
        <v>3</v>
      </c>
      <c r="M918">
        <v>332</v>
      </c>
      <c r="N918" s="1">
        <f t="shared" si="45"/>
        <v>996</v>
      </c>
    </row>
    <row r="919" spans="5:14" x14ac:dyDescent="0.25">
      <c r="E919">
        <v>1906</v>
      </c>
      <c r="F919" s="7">
        <v>45357</v>
      </c>
      <c r="G919">
        <f t="shared" si="43"/>
        <v>2024</v>
      </c>
      <c r="H919" s="7" t="str">
        <f t="shared" si="44"/>
        <v>Март</v>
      </c>
      <c r="I919" t="s">
        <v>9</v>
      </c>
      <c r="J919">
        <v>19</v>
      </c>
      <c r="K919" t="s">
        <v>8</v>
      </c>
      <c r="L919">
        <v>7</v>
      </c>
      <c r="M919">
        <v>396</v>
      </c>
      <c r="N919" s="1">
        <f t="shared" si="45"/>
        <v>2772</v>
      </c>
    </row>
    <row r="920" spans="5:14" x14ac:dyDescent="0.25">
      <c r="E920">
        <v>29</v>
      </c>
      <c r="F920" s="7">
        <v>45156</v>
      </c>
      <c r="G920">
        <f t="shared" si="43"/>
        <v>2023</v>
      </c>
      <c r="H920" s="7" t="str">
        <f t="shared" si="44"/>
        <v>Август</v>
      </c>
      <c r="I920" t="s">
        <v>9</v>
      </c>
      <c r="J920">
        <v>42</v>
      </c>
      <c r="K920" t="s">
        <v>11</v>
      </c>
      <c r="L920">
        <v>1</v>
      </c>
      <c r="M920">
        <v>30</v>
      </c>
      <c r="N920" s="1">
        <f t="shared" si="45"/>
        <v>30</v>
      </c>
    </row>
    <row r="921" spans="5:14" x14ac:dyDescent="0.25">
      <c r="E921">
        <v>17</v>
      </c>
      <c r="F921" s="7">
        <v>45038</v>
      </c>
      <c r="G921">
        <f t="shared" si="43"/>
        <v>2023</v>
      </c>
      <c r="H921" s="7" t="str">
        <f t="shared" si="44"/>
        <v>Апрель</v>
      </c>
      <c r="I921" t="s">
        <v>9</v>
      </c>
      <c r="J921">
        <v>27</v>
      </c>
      <c r="K921" t="s">
        <v>10</v>
      </c>
      <c r="L921">
        <v>4</v>
      </c>
      <c r="M921">
        <v>25</v>
      </c>
      <c r="N921" s="1">
        <f t="shared" si="45"/>
        <v>100</v>
      </c>
    </row>
    <row r="922" spans="5:14" x14ac:dyDescent="0.25">
      <c r="E922">
        <v>1102</v>
      </c>
      <c r="F922" s="7">
        <v>45454</v>
      </c>
      <c r="G922">
        <f t="shared" si="43"/>
        <v>2024</v>
      </c>
      <c r="H922" s="7" t="str">
        <f t="shared" si="44"/>
        <v>Июнь</v>
      </c>
      <c r="I922" t="s">
        <v>9</v>
      </c>
      <c r="J922">
        <v>50</v>
      </c>
      <c r="K922" t="s">
        <v>8</v>
      </c>
      <c r="L922">
        <v>1</v>
      </c>
      <c r="M922">
        <v>150</v>
      </c>
      <c r="N922" s="1">
        <f t="shared" si="45"/>
        <v>150</v>
      </c>
    </row>
    <row r="923" spans="5:14" x14ac:dyDescent="0.25">
      <c r="E923">
        <v>1206</v>
      </c>
      <c r="F923" s="7">
        <v>45569</v>
      </c>
      <c r="G923">
        <f t="shared" si="43"/>
        <v>2024</v>
      </c>
      <c r="H923" s="7" t="str">
        <f t="shared" si="44"/>
        <v>Октябрь</v>
      </c>
      <c r="I923" t="s">
        <v>9</v>
      </c>
      <c r="J923">
        <v>53</v>
      </c>
      <c r="K923" t="s">
        <v>11</v>
      </c>
      <c r="L923">
        <v>7</v>
      </c>
      <c r="M923">
        <v>155</v>
      </c>
      <c r="N923" s="1">
        <f t="shared" si="45"/>
        <v>1085</v>
      </c>
    </row>
    <row r="924" spans="5:14" x14ac:dyDescent="0.25">
      <c r="E924">
        <v>297</v>
      </c>
      <c r="F924" s="7">
        <v>45036</v>
      </c>
      <c r="G924">
        <f t="shared" si="43"/>
        <v>2023</v>
      </c>
      <c r="H924" s="7" t="str">
        <f t="shared" si="44"/>
        <v>Апрель</v>
      </c>
      <c r="I924" t="s">
        <v>7</v>
      </c>
      <c r="J924">
        <v>27</v>
      </c>
      <c r="K924" t="s">
        <v>8</v>
      </c>
      <c r="L924">
        <v>4</v>
      </c>
      <c r="M924">
        <v>300</v>
      </c>
      <c r="N924" s="1">
        <f t="shared" si="45"/>
        <v>1200</v>
      </c>
    </row>
    <row r="925" spans="5:14" x14ac:dyDescent="0.25">
      <c r="E925">
        <v>1428</v>
      </c>
      <c r="F925" s="7">
        <v>45580</v>
      </c>
      <c r="G925">
        <f t="shared" si="43"/>
        <v>2024</v>
      </c>
      <c r="H925" s="7" t="str">
        <f t="shared" si="44"/>
        <v>Октябрь</v>
      </c>
      <c r="I925" t="s">
        <v>7</v>
      </c>
      <c r="J925">
        <v>31</v>
      </c>
      <c r="K925" t="s">
        <v>11</v>
      </c>
      <c r="L925">
        <v>5</v>
      </c>
      <c r="M925">
        <v>83</v>
      </c>
      <c r="N925" s="1">
        <f t="shared" si="45"/>
        <v>415</v>
      </c>
    </row>
    <row r="926" spans="5:14" x14ac:dyDescent="0.25">
      <c r="E926">
        <v>489</v>
      </c>
      <c r="F926" s="7">
        <v>44962</v>
      </c>
      <c r="G926">
        <f t="shared" si="43"/>
        <v>2023</v>
      </c>
      <c r="H926" s="7" t="str">
        <f t="shared" si="44"/>
        <v>Февраль</v>
      </c>
      <c r="I926" t="s">
        <v>7</v>
      </c>
      <c r="J926">
        <v>34</v>
      </c>
      <c r="K926" t="s">
        <v>10</v>
      </c>
      <c r="L926">
        <v>3</v>
      </c>
      <c r="M926">
        <v>50</v>
      </c>
      <c r="N926" s="1">
        <f t="shared" si="45"/>
        <v>150</v>
      </c>
    </row>
    <row r="927" spans="5:14" x14ac:dyDescent="0.25">
      <c r="E927">
        <v>411</v>
      </c>
      <c r="F927" s="7">
        <v>45185</v>
      </c>
      <c r="G927">
        <f t="shared" si="43"/>
        <v>2023</v>
      </c>
      <c r="H927" s="7" t="str">
        <f t="shared" si="44"/>
        <v>Сентябрь</v>
      </c>
      <c r="I927" t="s">
        <v>9</v>
      </c>
      <c r="J927">
        <v>19</v>
      </c>
      <c r="K927" t="s">
        <v>11</v>
      </c>
      <c r="L927">
        <v>4</v>
      </c>
      <c r="M927">
        <v>500</v>
      </c>
      <c r="N927" s="1">
        <f t="shared" si="45"/>
        <v>2000</v>
      </c>
    </row>
    <row r="928" spans="5:14" x14ac:dyDescent="0.25">
      <c r="E928">
        <v>137</v>
      </c>
      <c r="F928" s="7">
        <v>45248</v>
      </c>
      <c r="G928">
        <f t="shared" si="43"/>
        <v>2023</v>
      </c>
      <c r="H928" s="7" t="str">
        <f t="shared" si="44"/>
        <v>Ноябрь</v>
      </c>
      <c r="I928" t="s">
        <v>7</v>
      </c>
      <c r="J928">
        <v>46</v>
      </c>
      <c r="K928" t="s">
        <v>8</v>
      </c>
      <c r="L928">
        <v>2</v>
      </c>
      <c r="M928">
        <v>500</v>
      </c>
      <c r="N928" s="1">
        <f t="shared" si="45"/>
        <v>1000</v>
      </c>
    </row>
    <row r="929" spans="5:14" x14ac:dyDescent="0.25">
      <c r="E929">
        <v>1881</v>
      </c>
      <c r="F929" s="7">
        <v>45354</v>
      </c>
      <c r="G929">
        <f t="shared" si="43"/>
        <v>2024</v>
      </c>
      <c r="H929" s="7" t="str">
        <f t="shared" si="44"/>
        <v>Март</v>
      </c>
      <c r="I929" t="s">
        <v>9</v>
      </c>
      <c r="J929">
        <v>32</v>
      </c>
      <c r="K929" t="s">
        <v>10</v>
      </c>
      <c r="L929">
        <v>1</v>
      </c>
      <c r="M929">
        <v>115</v>
      </c>
      <c r="N929" s="1">
        <f t="shared" si="45"/>
        <v>115</v>
      </c>
    </row>
    <row r="930" spans="5:14" x14ac:dyDescent="0.25">
      <c r="E930">
        <v>1818</v>
      </c>
      <c r="F930" s="7">
        <v>45435</v>
      </c>
      <c r="G930">
        <f t="shared" si="43"/>
        <v>2024</v>
      </c>
      <c r="H930" s="7" t="str">
        <f t="shared" si="44"/>
        <v>Май</v>
      </c>
      <c r="I930" t="s">
        <v>9</v>
      </c>
      <c r="J930">
        <v>30</v>
      </c>
      <c r="K930" t="s">
        <v>8</v>
      </c>
      <c r="L930">
        <v>2</v>
      </c>
      <c r="M930">
        <v>468</v>
      </c>
      <c r="N930" s="1">
        <f t="shared" si="45"/>
        <v>936</v>
      </c>
    </row>
    <row r="931" spans="5:14" x14ac:dyDescent="0.25">
      <c r="E931">
        <v>1601</v>
      </c>
      <c r="F931" s="7">
        <v>45546</v>
      </c>
      <c r="G931">
        <f t="shared" si="43"/>
        <v>2024</v>
      </c>
      <c r="H931" s="7" t="str">
        <f t="shared" si="44"/>
        <v>Сентябрь</v>
      </c>
      <c r="I931" t="s">
        <v>9</v>
      </c>
      <c r="J931">
        <v>43</v>
      </c>
      <c r="K931" t="s">
        <v>11</v>
      </c>
      <c r="L931">
        <v>7</v>
      </c>
      <c r="M931">
        <v>304</v>
      </c>
      <c r="N931" s="1">
        <f t="shared" si="45"/>
        <v>2128</v>
      </c>
    </row>
    <row r="932" spans="5:14" x14ac:dyDescent="0.25">
      <c r="E932">
        <v>1989</v>
      </c>
      <c r="F932" s="7">
        <v>45328</v>
      </c>
      <c r="G932">
        <f t="shared" si="43"/>
        <v>2024</v>
      </c>
      <c r="H932" s="7" t="str">
        <f t="shared" si="44"/>
        <v>Февраль</v>
      </c>
      <c r="I932" t="s">
        <v>9</v>
      </c>
      <c r="J932">
        <v>30</v>
      </c>
      <c r="K932" t="s">
        <v>11</v>
      </c>
      <c r="L932">
        <v>7</v>
      </c>
      <c r="M932">
        <v>484</v>
      </c>
      <c r="N932" s="1">
        <f t="shared" si="45"/>
        <v>3388</v>
      </c>
    </row>
    <row r="933" spans="5:14" x14ac:dyDescent="0.25">
      <c r="E933">
        <v>560</v>
      </c>
      <c r="F933" s="7">
        <v>45073</v>
      </c>
      <c r="G933">
        <f t="shared" si="43"/>
        <v>2023</v>
      </c>
      <c r="H933" s="7" t="str">
        <f t="shared" si="44"/>
        <v>Май</v>
      </c>
      <c r="I933" t="s">
        <v>9</v>
      </c>
      <c r="J933">
        <v>64</v>
      </c>
      <c r="K933" t="s">
        <v>10</v>
      </c>
      <c r="L933">
        <v>4</v>
      </c>
      <c r="M933">
        <v>500</v>
      </c>
      <c r="N933" s="1">
        <f t="shared" si="45"/>
        <v>2000</v>
      </c>
    </row>
    <row r="934" spans="5:14" x14ac:dyDescent="0.25">
      <c r="E934">
        <v>1661</v>
      </c>
      <c r="F934" s="7">
        <v>45402</v>
      </c>
      <c r="G934">
        <f t="shared" si="43"/>
        <v>2024</v>
      </c>
      <c r="H934" s="7" t="str">
        <f t="shared" si="44"/>
        <v>Апрель</v>
      </c>
      <c r="I934" t="s">
        <v>7</v>
      </c>
      <c r="J934">
        <v>30</v>
      </c>
      <c r="K934" t="s">
        <v>10</v>
      </c>
      <c r="L934">
        <v>6</v>
      </c>
      <c r="M934">
        <v>331</v>
      </c>
      <c r="N934" s="1">
        <f t="shared" si="45"/>
        <v>1986</v>
      </c>
    </row>
    <row r="935" spans="5:14" x14ac:dyDescent="0.25">
      <c r="E935">
        <v>1186</v>
      </c>
      <c r="F935" s="7">
        <v>45415</v>
      </c>
      <c r="G935">
        <f t="shared" si="43"/>
        <v>2024</v>
      </c>
      <c r="H935" s="7" t="str">
        <f t="shared" si="44"/>
        <v>Май</v>
      </c>
      <c r="I935" t="s">
        <v>7</v>
      </c>
      <c r="J935">
        <v>27</v>
      </c>
      <c r="K935" t="s">
        <v>10</v>
      </c>
      <c r="L935">
        <v>7</v>
      </c>
      <c r="M935">
        <v>87</v>
      </c>
      <c r="N935" s="1">
        <f t="shared" si="45"/>
        <v>609</v>
      </c>
    </row>
    <row r="936" spans="5:14" x14ac:dyDescent="0.25">
      <c r="E936">
        <v>446</v>
      </c>
      <c r="F936" s="7">
        <v>45113</v>
      </c>
      <c r="G936">
        <f t="shared" si="43"/>
        <v>2023</v>
      </c>
      <c r="H936" s="7" t="str">
        <f t="shared" si="44"/>
        <v>Июль</v>
      </c>
      <c r="I936" t="s">
        <v>7</v>
      </c>
      <c r="J936">
        <v>22</v>
      </c>
      <c r="K936" t="s">
        <v>8</v>
      </c>
      <c r="L936">
        <v>4</v>
      </c>
      <c r="M936">
        <v>500</v>
      </c>
      <c r="N936" s="1">
        <f t="shared" si="45"/>
        <v>2000</v>
      </c>
    </row>
    <row r="937" spans="5:14" x14ac:dyDescent="0.25">
      <c r="E937">
        <v>1477</v>
      </c>
      <c r="F937" s="7">
        <v>45472</v>
      </c>
      <c r="G937">
        <f t="shared" si="43"/>
        <v>2024</v>
      </c>
      <c r="H937" s="7" t="str">
        <f t="shared" si="44"/>
        <v>Июнь</v>
      </c>
      <c r="I937" t="s">
        <v>9</v>
      </c>
      <c r="J937">
        <v>57</v>
      </c>
      <c r="K937" t="s">
        <v>8</v>
      </c>
      <c r="L937">
        <v>7</v>
      </c>
      <c r="M937">
        <v>223</v>
      </c>
      <c r="N937" s="1">
        <f t="shared" si="45"/>
        <v>1561</v>
      </c>
    </row>
    <row r="938" spans="5:14" x14ac:dyDescent="0.25">
      <c r="E938">
        <v>428</v>
      </c>
      <c r="F938" s="7">
        <v>45288</v>
      </c>
      <c r="G938">
        <f t="shared" si="43"/>
        <v>2023</v>
      </c>
      <c r="H938" s="7" t="str">
        <f t="shared" si="44"/>
        <v>Декабрь</v>
      </c>
      <c r="I938" t="s">
        <v>7</v>
      </c>
      <c r="J938">
        <v>64</v>
      </c>
      <c r="K938" t="s">
        <v>11</v>
      </c>
      <c r="L938">
        <v>2</v>
      </c>
      <c r="M938">
        <v>25</v>
      </c>
      <c r="N938" s="1">
        <f t="shared" si="45"/>
        <v>50</v>
      </c>
    </row>
    <row r="939" spans="5:14" x14ac:dyDescent="0.25">
      <c r="E939">
        <v>358</v>
      </c>
      <c r="F939" s="7">
        <v>45129</v>
      </c>
      <c r="G939">
        <f t="shared" si="43"/>
        <v>2023</v>
      </c>
      <c r="H939" s="7" t="str">
        <f t="shared" si="44"/>
        <v>Июль</v>
      </c>
      <c r="I939" t="s">
        <v>7</v>
      </c>
      <c r="J939">
        <v>50</v>
      </c>
      <c r="K939" t="s">
        <v>10</v>
      </c>
      <c r="L939">
        <v>1</v>
      </c>
      <c r="M939">
        <v>50</v>
      </c>
      <c r="N939" s="1">
        <f t="shared" si="45"/>
        <v>50</v>
      </c>
    </row>
    <row r="940" spans="5:14" x14ac:dyDescent="0.25">
      <c r="E940">
        <v>452</v>
      </c>
      <c r="F940" s="7">
        <v>45268</v>
      </c>
      <c r="G940">
        <f t="shared" si="43"/>
        <v>2023</v>
      </c>
      <c r="H940" s="7" t="str">
        <f t="shared" si="44"/>
        <v>Декабрь</v>
      </c>
      <c r="I940" t="s">
        <v>9</v>
      </c>
      <c r="J940">
        <v>26</v>
      </c>
      <c r="K940" t="s">
        <v>10</v>
      </c>
      <c r="L940">
        <v>2</v>
      </c>
      <c r="M940">
        <v>500</v>
      </c>
      <c r="N940" s="1">
        <f t="shared" si="45"/>
        <v>1000</v>
      </c>
    </row>
    <row r="941" spans="5:14" x14ac:dyDescent="0.25">
      <c r="E941">
        <v>1113</v>
      </c>
      <c r="F941" s="7">
        <v>45622</v>
      </c>
      <c r="G941">
        <f t="shared" si="43"/>
        <v>2024</v>
      </c>
      <c r="H941" s="7" t="str">
        <f t="shared" si="44"/>
        <v>Ноябрь</v>
      </c>
      <c r="I941" t="s">
        <v>7</v>
      </c>
      <c r="J941">
        <v>36</v>
      </c>
      <c r="K941" t="s">
        <v>10</v>
      </c>
      <c r="L941">
        <v>4</v>
      </c>
      <c r="M941">
        <v>164</v>
      </c>
      <c r="N941" s="1">
        <f t="shared" si="45"/>
        <v>656</v>
      </c>
    </row>
    <row r="942" spans="5:14" x14ac:dyDescent="0.25">
      <c r="E942">
        <v>207</v>
      </c>
      <c r="F942" s="7">
        <v>45035</v>
      </c>
      <c r="G942">
        <f t="shared" si="43"/>
        <v>2023</v>
      </c>
      <c r="H942" s="7" t="str">
        <f t="shared" si="44"/>
        <v>Апрель</v>
      </c>
      <c r="I942" t="s">
        <v>9</v>
      </c>
      <c r="J942">
        <v>42</v>
      </c>
      <c r="K942" t="s">
        <v>8</v>
      </c>
      <c r="L942">
        <v>2</v>
      </c>
      <c r="M942">
        <v>25</v>
      </c>
      <c r="N942" s="1">
        <f t="shared" si="45"/>
        <v>50</v>
      </c>
    </row>
    <row r="943" spans="5:14" x14ac:dyDescent="0.25">
      <c r="E943">
        <v>1994</v>
      </c>
      <c r="F943" s="7">
        <v>45594</v>
      </c>
      <c r="G943">
        <f t="shared" si="43"/>
        <v>2024</v>
      </c>
      <c r="H943" s="7" t="str">
        <f t="shared" si="44"/>
        <v>Октябрь</v>
      </c>
      <c r="I943" t="s">
        <v>9</v>
      </c>
      <c r="J943">
        <v>58</v>
      </c>
      <c r="K943" t="s">
        <v>8</v>
      </c>
      <c r="L943">
        <v>1</v>
      </c>
      <c r="M943">
        <v>497</v>
      </c>
      <c r="N943" s="1">
        <f t="shared" si="45"/>
        <v>497</v>
      </c>
    </row>
    <row r="944" spans="5:14" x14ac:dyDescent="0.25">
      <c r="E944">
        <v>202</v>
      </c>
      <c r="F944" s="7">
        <v>45011</v>
      </c>
      <c r="G944">
        <f t="shared" si="43"/>
        <v>2023</v>
      </c>
      <c r="H944" s="7" t="str">
        <f t="shared" si="44"/>
        <v>Март</v>
      </c>
      <c r="I944" t="s">
        <v>9</v>
      </c>
      <c r="J944">
        <v>34</v>
      </c>
      <c r="K944" t="s">
        <v>10</v>
      </c>
      <c r="L944">
        <v>4</v>
      </c>
      <c r="M944">
        <v>300</v>
      </c>
      <c r="N944" s="1">
        <f t="shared" si="45"/>
        <v>1200</v>
      </c>
    </row>
    <row r="945" spans="5:14" x14ac:dyDescent="0.25">
      <c r="E945">
        <v>1919</v>
      </c>
      <c r="F945" s="7">
        <v>45438</v>
      </c>
      <c r="G945">
        <f t="shared" si="43"/>
        <v>2024</v>
      </c>
      <c r="H945" s="7" t="str">
        <f t="shared" si="44"/>
        <v>Май</v>
      </c>
      <c r="I945" t="s">
        <v>7</v>
      </c>
      <c r="J945">
        <v>27</v>
      </c>
      <c r="K945" t="s">
        <v>8</v>
      </c>
      <c r="L945">
        <v>5</v>
      </c>
      <c r="M945">
        <v>295</v>
      </c>
      <c r="N945" s="1">
        <f t="shared" si="45"/>
        <v>1475</v>
      </c>
    </row>
    <row r="946" spans="5:14" x14ac:dyDescent="0.25">
      <c r="E946">
        <v>686</v>
      </c>
      <c r="F946" s="7">
        <v>45202</v>
      </c>
      <c r="G946">
        <f t="shared" si="43"/>
        <v>2023</v>
      </c>
      <c r="H946" s="7" t="str">
        <f t="shared" si="44"/>
        <v>Октябрь</v>
      </c>
      <c r="I946" t="s">
        <v>7</v>
      </c>
      <c r="J946">
        <v>56</v>
      </c>
      <c r="K946" t="s">
        <v>10</v>
      </c>
      <c r="L946">
        <v>4</v>
      </c>
      <c r="M946">
        <v>25</v>
      </c>
      <c r="N946" s="1">
        <f t="shared" si="45"/>
        <v>100</v>
      </c>
    </row>
    <row r="947" spans="5:14" x14ac:dyDescent="0.25">
      <c r="E947">
        <v>901</v>
      </c>
      <c r="F947" s="7">
        <v>45043</v>
      </c>
      <c r="G947">
        <f t="shared" si="43"/>
        <v>2023</v>
      </c>
      <c r="H947" s="7" t="str">
        <f t="shared" si="44"/>
        <v>Апрель</v>
      </c>
      <c r="I947" t="s">
        <v>9</v>
      </c>
      <c r="J947">
        <v>51</v>
      </c>
      <c r="K947" t="s">
        <v>8</v>
      </c>
      <c r="L947">
        <v>4</v>
      </c>
      <c r="M947">
        <v>50</v>
      </c>
      <c r="N947" s="1">
        <f t="shared" si="45"/>
        <v>200</v>
      </c>
    </row>
    <row r="948" spans="5:14" x14ac:dyDescent="0.25">
      <c r="E948">
        <v>56</v>
      </c>
      <c r="F948" s="7">
        <v>45077</v>
      </c>
      <c r="G948">
        <f t="shared" si="43"/>
        <v>2023</v>
      </c>
      <c r="H948" s="7" t="str">
        <f t="shared" si="44"/>
        <v>Май</v>
      </c>
      <c r="I948" t="s">
        <v>9</v>
      </c>
      <c r="J948">
        <v>26</v>
      </c>
      <c r="K948" t="s">
        <v>10</v>
      </c>
      <c r="L948">
        <v>3</v>
      </c>
      <c r="M948">
        <v>300</v>
      </c>
      <c r="N948" s="1">
        <f t="shared" si="45"/>
        <v>900</v>
      </c>
    </row>
    <row r="949" spans="5:14" x14ac:dyDescent="0.25">
      <c r="E949">
        <v>1807</v>
      </c>
      <c r="F949" s="7">
        <v>45431</v>
      </c>
      <c r="G949">
        <f t="shared" si="43"/>
        <v>2024</v>
      </c>
      <c r="H949" s="7" t="str">
        <f t="shared" si="44"/>
        <v>Май</v>
      </c>
      <c r="I949" t="s">
        <v>7</v>
      </c>
      <c r="J949">
        <v>42</v>
      </c>
      <c r="K949" t="s">
        <v>8</v>
      </c>
      <c r="L949">
        <v>7</v>
      </c>
      <c r="M949">
        <v>389</v>
      </c>
      <c r="N949" s="1">
        <f t="shared" si="45"/>
        <v>2723</v>
      </c>
    </row>
    <row r="950" spans="5:14" x14ac:dyDescent="0.25">
      <c r="E950">
        <v>660</v>
      </c>
      <c r="F950" s="7">
        <v>45282</v>
      </c>
      <c r="G950">
        <f t="shared" si="43"/>
        <v>2023</v>
      </c>
      <c r="H950" s="7" t="str">
        <f t="shared" si="44"/>
        <v>Декабрь</v>
      </c>
      <c r="I950" t="s">
        <v>7</v>
      </c>
      <c r="J950">
        <v>48</v>
      </c>
      <c r="K950" t="s">
        <v>8</v>
      </c>
      <c r="L950">
        <v>2</v>
      </c>
      <c r="M950">
        <v>500</v>
      </c>
      <c r="N950" s="1">
        <f t="shared" si="45"/>
        <v>1000</v>
      </c>
    </row>
    <row r="951" spans="5:14" x14ac:dyDescent="0.25">
      <c r="E951">
        <v>1806</v>
      </c>
      <c r="F951" s="7">
        <v>45626</v>
      </c>
      <c r="G951">
        <f t="shared" si="43"/>
        <v>2024</v>
      </c>
      <c r="H951" s="7" t="str">
        <f t="shared" si="44"/>
        <v>Ноябрь</v>
      </c>
      <c r="I951" t="s">
        <v>7</v>
      </c>
      <c r="J951">
        <v>42</v>
      </c>
      <c r="K951" t="s">
        <v>11</v>
      </c>
      <c r="L951">
        <v>3</v>
      </c>
      <c r="M951">
        <v>270</v>
      </c>
      <c r="N951" s="1">
        <f t="shared" si="45"/>
        <v>810</v>
      </c>
    </row>
    <row r="952" spans="5:14" x14ac:dyDescent="0.25">
      <c r="E952">
        <v>286</v>
      </c>
      <c r="F952" s="7">
        <v>44977</v>
      </c>
      <c r="G952">
        <f t="shared" si="43"/>
        <v>2023</v>
      </c>
      <c r="H952" s="7" t="str">
        <f t="shared" si="44"/>
        <v>Февраль</v>
      </c>
      <c r="I952" t="s">
        <v>7</v>
      </c>
      <c r="J952">
        <v>54</v>
      </c>
      <c r="K952" t="s">
        <v>10</v>
      </c>
      <c r="L952">
        <v>4</v>
      </c>
      <c r="M952">
        <v>25</v>
      </c>
      <c r="N952" s="1">
        <f t="shared" si="45"/>
        <v>100</v>
      </c>
    </row>
    <row r="953" spans="5:14" x14ac:dyDescent="0.25">
      <c r="E953">
        <v>679</v>
      </c>
      <c r="F953" s="7">
        <v>45121</v>
      </c>
      <c r="G953">
        <f t="shared" si="43"/>
        <v>2023</v>
      </c>
      <c r="H953" s="7" t="str">
        <f t="shared" si="44"/>
        <v>Июль</v>
      </c>
      <c r="I953" t="s">
        <v>9</v>
      </c>
      <c r="J953">
        <v>43</v>
      </c>
      <c r="K953" t="s">
        <v>11</v>
      </c>
      <c r="L953">
        <v>2</v>
      </c>
      <c r="M953">
        <v>30</v>
      </c>
      <c r="N953" s="1">
        <f t="shared" si="45"/>
        <v>60</v>
      </c>
    </row>
    <row r="954" spans="5:14" x14ac:dyDescent="0.25">
      <c r="E954">
        <v>544</v>
      </c>
      <c r="F954" s="7">
        <v>45078</v>
      </c>
      <c r="G954">
        <f t="shared" si="43"/>
        <v>2023</v>
      </c>
      <c r="H954" s="7" t="str">
        <f t="shared" si="44"/>
        <v>Июнь</v>
      </c>
      <c r="I954" t="s">
        <v>7</v>
      </c>
      <c r="J954">
        <v>27</v>
      </c>
      <c r="K954" t="s">
        <v>10</v>
      </c>
      <c r="L954">
        <v>2</v>
      </c>
      <c r="M954">
        <v>25</v>
      </c>
      <c r="N954" s="1">
        <f t="shared" si="45"/>
        <v>50</v>
      </c>
    </row>
    <row r="955" spans="5:14" x14ac:dyDescent="0.25">
      <c r="E955">
        <v>626</v>
      </c>
      <c r="F955" s="7">
        <v>45213</v>
      </c>
      <c r="G955">
        <f t="shared" si="43"/>
        <v>2023</v>
      </c>
      <c r="H955" s="7" t="str">
        <f t="shared" si="44"/>
        <v>Октябрь</v>
      </c>
      <c r="I955" t="s">
        <v>7</v>
      </c>
      <c r="J955">
        <v>57</v>
      </c>
      <c r="K955" t="s">
        <v>10</v>
      </c>
      <c r="L955">
        <v>1</v>
      </c>
      <c r="M955">
        <v>50</v>
      </c>
      <c r="N955" s="1">
        <f t="shared" si="45"/>
        <v>50</v>
      </c>
    </row>
    <row r="956" spans="5:14" x14ac:dyDescent="0.25">
      <c r="E956">
        <v>1290</v>
      </c>
      <c r="F956" s="7">
        <v>45414</v>
      </c>
      <c r="G956">
        <f t="shared" si="43"/>
        <v>2024</v>
      </c>
      <c r="H956" s="7" t="str">
        <f t="shared" si="44"/>
        <v>Май</v>
      </c>
      <c r="I956" t="s">
        <v>7</v>
      </c>
      <c r="J956">
        <v>41</v>
      </c>
      <c r="K956" t="s">
        <v>11</v>
      </c>
      <c r="L956">
        <v>2</v>
      </c>
      <c r="M956">
        <v>92</v>
      </c>
      <c r="N956" s="1">
        <f t="shared" si="45"/>
        <v>184</v>
      </c>
    </row>
    <row r="957" spans="5:14" x14ac:dyDescent="0.25">
      <c r="E957">
        <v>1824</v>
      </c>
      <c r="F957" s="7">
        <v>45635</v>
      </c>
      <c r="G957">
        <f t="shared" si="43"/>
        <v>2024</v>
      </c>
      <c r="H957" s="7" t="str">
        <f t="shared" si="44"/>
        <v>Декабрь</v>
      </c>
      <c r="I957" t="s">
        <v>9</v>
      </c>
      <c r="J957">
        <v>62</v>
      </c>
      <c r="K957" t="s">
        <v>11</v>
      </c>
      <c r="L957">
        <v>2</v>
      </c>
      <c r="M957">
        <v>58</v>
      </c>
      <c r="N957" s="1">
        <f t="shared" si="45"/>
        <v>116</v>
      </c>
    </row>
    <row r="958" spans="5:14" x14ac:dyDescent="0.25">
      <c r="E958">
        <v>1453</v>
      </c>
      <c r="F958" s="7">
        <v>45579</v>
      </c>
      <c r="G958">
        <f t="shared" si="43"/>
        <v>2024</v>
      </c>
      <c r="H958" s="7" t="str">
        <f t="shared" si="44"/>
        <v>Октябрь</v>
      </c>
      <c r="I958" t="s">
        <v>7</v>
      </c>
      <c r="J958">
        <v>59</v>
      </c>
      <c r="K958" t="s">
        <v>11</v>
      </c>
      <c r="L958">
        <v>3</v>
      </c>
      <c r="M958">
        <v>322</v>
      </c>
      <c r="N958" s="1">
        <f t="shared" si="45"/>
        <v>966</v>
      </c>
    </row>
    <row r="959" spans="5:14" x14ac:dyDescent="0.25">
      <c r="E959">
        <v>965</v>
      </c>
      <c r="F959" s="7">
        <v>45033</v>
      </c>
      <c r="G959">
        <f t="shared" si="43"/>
        <v>2023</v>
      </c>
      <c r="H959" s="7" t="str">
        <f t="shared" si="44"/>
        <v>Апрель</v>
      </c>
      <c r="I959" t="s">
        <v>7</v>
      </c>
      <c r="J959">
        <v>62</v>
      </c>
      <c r="K959" t="s">
        <v>8</v>
      </c>
      <c r="L959">
        <v>1</v>
      </c>
      <c r="M959">
        <v>25</v>
      </c>
      <c r="N959" s="1">
        <f t="shared" si="45"/>
        <v>25</v>
      </c>
    </row>
    <row r="960" spans="5:14" x14ac:dyDescent="0.25">
      <c r="E960">
        <v>720</v>
      </c>
      <c r="F960" s="7">
        <v>45121</v>
      </c>
      <c r="G960">
        <f t="shared" si="43"/>
        <v>2023</v>
      </c>
      <c r="H960" s="7" t="str">
        <f t="shared" si="44"/>
        <v>Июль</v>
      </c>
      <c r="I960" t="s">
        <v>7</v>
      </c>
      <c r="J960">
        <v>20</v>
      </c>
      <c r="K960" t="s">
        <v>8</v>
      </c>
      <c r="L960">
        <v>3</v>
      </c>
      <c r="M960">
        <v>300</v>
      </c>
      <c r="N960" s="1">
        <f t="shared" si="45"/>
        <v>900</v>
      </c>
    </row>
    <row r="961" spans="5:14" x14ac:dyDescent="0.25">
      <c r="E961">
        <v>33</v>
      </c>
      <c r="F961" s="7">
        <v>45008</v>
      </c>
      <c r="G961">
        <f t="shared" si="43"/>
        <v>2023</v>
      </c>
      <c r="H961" s="7" t="str">
        <f t="shared" si="44"/>
        <v>Март</v>
      </c>
      <c r="I961" t="s">
        <v>9</v>
      </c>
      <c r="J961">
        <v>50</v>
      </c>
      <c r="K961" t="s">
        <v>11</v>
      </c>
      <c r="L961">
        <v>2</v>
      </c>
      <c r="M961">
        <v>50</v>
      </c>
      <c r="N961" s="1">
        <f t="shared" si="45"/>
        <v>100</v>
      </c>
    </row>
    <row r="962" spans="5:14" x14ac:dyDescent="0.25">
      <c r="E962">
        <v>1002</v>
      </c>
      <c r="F962" s="7">
        <v>45433</v>
      </c>
      <c r="G962">
        <f t="shared" si="43"/>
        <v>2024</v>
      </c>
      <c r="H962" s="7" t="str">
        <f t="shared" si="44"/>
        <v>Май</v>
      </c>
      <c r="I962" t="s">
        <v>7</v>
      </c>
      <c r="J962">
        <v>30</v>
      </c>
      <c r="K962" t="s">
        <v>10</v>
      </c>
      <c r="L962">
        <v>7</v>
      </c>
      <c r="M962">
        <v>159</v>
      </c>
      <c r="N962" s="1">
        <f t="shared" si="45"/>
        <v>1113</v>
      </c>
    </row>
    <row r="963" spans="5:14" x14ac:dyDescent="0.25">
      <c r="E963">
        <v>1980</v>
      </c>
      <c r="F963" s="7">
        <v>45533</v>
      </c>
      <c r="G963">
        <f t="shared" si="43"/>
        <v>2024</v>
      </c>
      <c r="H963" s="7" t="str">
        <f t="shared" si="44"/>
        <v>Август</v>
      </c>
      <c r="I963" t="s">
        <v>7</v>
      </c>
      <c r="J963">
        <v>65</v>
      </c>
      <c r="K963" t="s">
        <v>10</v>
      </c>
      <c r="L963">
        <v>7</v>
      </c>
      <c r="M963">
        <v>93</v>
      </c>
      <c r="N963" s="1">
        <f t="shared" si="45"/>
        <v>651</v>
      </c>
    </row>
    <row r="964" spans="5:14" x14ac:dyDescent="0.25">
      <c r="E964">
        <v>1564</v>
      </c>
      <c r="F964" s="7">
        <v>45457</v>
      </c>
      <c r="G964">
        <f t="shared" si="43"/>
        <v>2024</v>
      </c>
      <c r="H964" s="7" t="str">
        <f t="shared" si="44"/>
        <v>Июнь</v>
      </c>
      <c r="I964" t="s">
        <v>9</v>
      </c>
      <c r="J964">
        <v>40</v>
      </c>
      <c r="K964" t="s">
        <v>10</v>
      </c>
      <c r="L964">
        <v>4</v>
      </c>
      <c r="M964">
        <v>318</v>
      </c>
      <c r="N964" s="1">
        <f t="shared" si="45"/>
        <v>1272</v>
      </c>
    </row>
    <row r="965" spans="5:14" x14ac:dyDescent="0.25">
      <c r="E965">
        <v>458</v>
      </c>
      <c r="F965" s="7">
        <v>45006</v>
      </c>
      <c r="G965">
        <f t="shared" si="43"/>
        <v>2023</v>
      </c>
      <c r="H965" s="7" t="str">
        <f t="shared" si="44"/>
        <v>Март</v>
      </c>
      <c r="I965" t="s">
        <v>7</v>
      </c>
      <c r="J965">
        <v>28</v>
      </c>
      <c r="K965" t="s">
        <v>10</v>
      </c>
      <c r="L965">
        <v>4</v>
      </c>
      <c r="M965">
        <v>300</v>
      </c>
      <c r="N965" s="1">
        <f t="shared" si="45"/>
        <v>1200</v>
      </c>
    </row>
    <row r="966" spans="5:14" x14ac:dyDescent="0.25">
      <c r="E966">
        <v>1087</v>
      </c>
      <c r="F966" s="7">
        <v>45566</v>
      </c>
      <c r="G966">
        <f t="shared" si="43"/>
        <v>2024</v>
      </c>
      <c r="H966" s="7" t="str">
        <f t="shared" si="44"/>
        <v>Октябрь</v>
      </c>
      <c r="I966" t="s">
        <v>9</v>
      </c>
      <c r="J966">
        <v>50</v>
      </c>
      <c r="K966" t="s">
        <v>11</v>
      </c>
      <c r="L966">
        <v>5</v>
      </c>
      <c r="M966">
        <v>287</v>
      </c>
      <c r="N966" s="1">
        <f t="shared" si="45"/>
        <v>1435</v>
      </c>
    </row>
    <row r="967" spans="5:14" x14ac:dyDescent="0.25">
      <c r="E967">
        <v>180</v>
      </c>
      <c r="F967" s="7">
        <v>44927</v>
      </c>
      <c r="G967">
        <f t="shared" si="43"/>
        <v>2023</v>
      </c>
      <c r="H967" s="7" t="str">
        <f t="shared" si="44"/>
        <v>Январь</v>
      </c>
      <c r="I967" t="s">
        <v>7</v>
      </c>
      <c r="J967">
        <v>41</v>
      </c>
      <c r="K967" t="s">
        <v>10</v>
      </c>
      <c r="L967">
        <v>3</v>
      </c>
      <c r="M967">
        <v>300</v>
      </c>
      <c r="N967" s="1">
        <f t="shared" si="45"/>
        <v>900</v>
      </c>
    </row>
    <row r="968" spans="5:14" x14ac:dyDescent="0.25">
      <c r="E968">
        <v>661</v>
      </c>
      <c r="F968" s="7">
        <v>45005</v>
      </c>
      <c r="G968">
        <f t="shared" si="43"/>
        <v>2023</v>
      </c>
      <c r="H968" s="7" t="str">
        <f t="shared" si="44"/>
        <v>Март</v>
      </c>
      <c r="I968" t="s">
        <v>7</v>
      </c>
      <c r="J968">
        <v>23</v>
      </c>
      <c r="K968" t="s">
        <v>10</v>
      </c>
      <c r="L968">
        <v>4</v>
      </c>
      <c r="M968">
        <v>300</v>
      </c>
      <c r="N968" s="1">
        <f t="shared" si="45"/>
        <v>1200</v>
      </c>
    </row>
    <row r="969" spans="5:14" x14ac:dyDescent="0.25">
      <c r="E969">
        <v>77</v>
      </c>
      <c r="F969" s="7">
        <v>45116</v>
      </c>
      <c r="G969">
        <f t="shared" si="43"/>
        <v>2023</v>
      </c>
      <c r="H969" s="7" t="str">
        <f t="shared" si="44"/>
        <v>Июль</v>
      </c>
      <c r="I969" t="s">
        <v>9</v>
      </c>
      <c r="J969">
        <v>47</v>
      </c>
      <c r="K969" t="s">
        <v>10</v>
      </c>
      <c r="L969">
        <v>2</v>
      </c>
      <c r="M969">
        <v>50</v>
      </c>
      <c r="N969" s="1">
        <f t="shared" si="45"/>
        <v>100</v>
      </c>
    </row>
    <row r="970" spans="5:14" x14ac:dyDescent="0.25">
      <c r="E970">
        <v>1718</v>
      </c>
      <c r="F970" s="7">
        <v>45487</v>
      </c>
      <c r="G970">
        <f t="shared" ref="G970:G1033" si="46">YEAR(F970)</f>
        <v>2024</v>
      </c>
      <c r="H970" s="7" t="str">
        <f t="shared" ref="H970:H1033" si="47">TEXT(F970,"ММММ")</f>
        <v>Июль</v>
      </c>
      <c r="I970" t="s">
        <v>7</v>
      </c>
      <c r="J970">
        <v>59</v>
      </c>
      <c r="K970" t="s">
        <v>8</v>
      </c>
      <c r="L970">
        <v>2</v>
      </c>
      <c r="M970">
        <v>104</v>
      </c>
      <c r="N970" s="1">
        <f t="shared" ref="N970:N1033" si="48">L970*M970</f>
        <v>208</v>
      </c>
    </row>
    <row r="971" spans="5:14" x14ac:dyDescent="0.25">
      <c r="E971">
        <v>1172</v>
      </c>
      <c r="F971" s="7">
        <v>45394</v>
      </c>
      <c r="G971">
        <f t="shared" si="46"/>
        <v>2024</v>
      </c>
      <c r="H971" s="7" t="str">
        <f t="shared" si="47"/>
        <v>Апрель</v>
      </c>
      <c r="I971" t="s">
        <v>9</v>
      </c>
      <c r="J971">
        <v>40</v>
      </c>
      <c r="K971" t="s">
        <v>8</v>
      </c>
      <c r="L971">
        <v>3</v>
      </c>
      <c r="M971">
        <v>183</v>
      </c>
      <c r="N971" s="1">
        <f t="shared" si="48"/>
        <v>549</v>
      </c>
    </row>
    <row r="972" spans="5:14" x14ac:dyDescent="0.25">
      <c r="E972">
        <v>1289</v>
      </c>
      <c r="F972" s="7">
        <v>45339</v>
      </c>
      <c r="G972">
        <f t="shared" si="46"/>
        <v>2024</v>
      </c>
      <c r="H972" s="7" t="str">
        <f t="shared" si="47"/>
        <v>Февраль</v>
      </c>
      <c r="I972" t="s">
        <v>7</v>
      </c>
      <c r="J972">
        <v>46</v>
      </c>
      <c r="K972" t="s">
        <v>8</v>
      </c>
      <c r="L972">
        <v>5</v>
      </c>
      <c r="M972">
        <v>491</v>
      </c>
      <c r="N972" s="1">
        <f t="shared" si="48"/>
        <v>2455</v>
      </c>
    </row>
    <row r="973" spans="5:14" x14ac:dyDescent="0.25">
      <c r="E973">
        <v>368</v>
      </c>
      <c r="F973" s="7">
        <v>45245</v>
      </c>
      <c r="G973">
        <f t="shared" si="46"/>
        <v>2023</v>
      </c>
      <c r="H973" s="7" t="str">
        <f t="shared" si="47"/>
        <v>Ноябрь</v>
      </c>
      <c r="I973" t="s">
        <v>7</v>
      </c>
      <c r="J973">
        <v>23</v>
      </c>
      <c r="K973" t="s">
        <v>11</v>
      </c>
      <c r="L973">
        <v>3</v>
      </c>
      <c r="M973">
        <v>500</v>
      </c>
      <c r="N973" s="1">
        <f t="shared" si="48"/>
        <v>1500</v>
      </c>
    </row>
    <row r="974" spans="5:14" x14ac:dyDescent="0.25">
      <c r="E974">
        <v>1017</v>
      </c>
      <c r="F974" s="7">
        <v>45551</v>
      </c>
      <c r="G974">
        <f t="shared" si="46"/>
        <v>2024</v>
      </c>
      <c r="H974" s="7" t="str">
        <f t="shared" si="47"/>
        <v>Сентябрь</v>
      </c>
      <c r="I974" t="s">
        <v>9</v>
      </c>
      <c r="J974">
        <v>36</v>
      </c>
      <c r="K974" t="s">
        <v>10</v>
      </c>
      <c r="L974">
        <v>7</v>
      </c>
      <c r="M974">
        <v>385</v>
      </c>
      <c r="N974" s="1">
        <f t="shared" si="48"/>
        <v>2695</v>
      </c>
    </row>
    <row r="975" spans="5:14" x14ac:dyDescent="0.25">
      <c r="E975">
        <v>1741</v>
      </c>
      <c r="F975" s="7">
        <v>45395</v>
      </c>
      <c r="G975">
        <f t="shared" si="46"/>
        <v>2024</v>
      </c>
      <c r="H975" s="7" t="str">
        <f t="shared" si="47"/>
        <v>Апрель</v>
      </c>
      <c r="I975" t="s">
        <v>7</v>
      </c>
      <c r="J975">
        <v>27</v>
      </c>
      <c r="K975" t="s">
        <v>8</v>
      </c>
      <c r="L975">
        <v>1</v>
      </c>
      <c r="M975">
        <v>445</v>
      </c>
      <c r="N975" s="1">
        <f t="shared" si="48"/>
        <v>445</v>
      </c>
    </row>
    <row r="976" spans="5:14" x14ac:dyDescent="0.25">
      <c r="E976">
        <v>1590</v>
      </c>
      <c r="F976" s="7">
        <v>45418</v>
      </c>
      <c r="G976">
        <f t="shared" si="46"/>
        <v>2024</v>
      </c>
      <c r="H976" s="7" t="str">
        <f t="shared" si="47"/>
        <v>Май</v>
      </c>
      <c r="I976" t="s">
        <v>7</v>
      </c>
      <c r="J976">
        <v>63</v>
      </c>
      <c r="K976" t="s">
        <v>11</v>
      </c>
      <c r="L976">
        <v>3</v>
      </c>
      <c r="M976">
        <v>456</v>
      </c>
      <c r="N976" s="1">
        <f t="shared" si="48"/>
        <v>1368</v>
      </c>
    </row>
    <row r="977" spans="5:14" x14ac:dyDescent="0.25">
      <c r="E977">
        <v>595</v>
      </c>
      <c r="F977" s="7">
        <v>44964</v>
      </c>
      <c r="G977">
        <f t="shared" si="46"/>
        <v>2023</v>
      </c>
      <c r="H977" s="7" t="str">
        <f t="shared" si="47"/>
        <v>Февраль</v>
      </c>
      <c r="I977" t="s">
        <v>9</v>
      </c>
      <c r="J977">
        <v>64</v>
      </c>
      <c r="K977" t="s">
        <v>11</v>
      </c>
      <c r="L977">
        <v>1</v>
      </c>
      <c r="M977">
        <v>300</v>
      </c>
      <c r="N977" s="1">
        <f t="shared" si="48"/>
        <v>300</v>
      </c>
    </row>
    <row r="978" spans="5:14" x14ac:dyDescent="0.25">
      <c r="E978">
        <v>264</v>
      </c>
      <c r="F978" s="7">
        <v>45271</v>
      </c>
      <c r="G978">
        <f t="shared" si="46"/>
        <v>2023</v>
      </c>
      <c r="H978" s="7" t="str">
        <f t="shared" si="47"/>
        <v>Декабрь</v>
      </c>
      <c r="I978" t="s">
        <v>7</v>
      </c>
      <c r="J978">
        <v>55</v>
      </c>
      <c r="K978" t="s">
        <v>10</v>
      </c>
      <c r="L978">
        <v>3</v>
      </c>
      <c r="M978">
        <v>300</v>
      </c>
      <c r="N978" s="1">
        <f t="shared" si="48"/>
        <v>900</v>
      </c>
    </row>
    <row r="979" spans="5:14" x14ac:dyDescent="0.25">
      <c r="E979">
        <v>591</v>
      </c>
      <c r="F979" s="7">
        <v>44950</v>
      </c>
      <c r="G979">
        <f t="shared" si="46"/>
        <v>2023</v>
      </c>
      <c r="H979" s="7" t="str">
        <f t="shared" si="47"/>
        <v>Январь</v>
      </c>
      <c r="I979" t="s">
        <v>9</v>
      </c>
      <c r="J979">
        <v>46</v>
      </c>
      <c r="K979" t="s">
        <v>8</v>
      </c>
      <c r="L979">
        <v>4</v>
      </c>
      <c r="M979">
        <v>500</v>
      </c>
      <c r="N979" s="1">
        <f t="shared" si="48"/>
        <v>2000</v>
      </c>
    </row>
    <row r="980" spans="5:14" x14ac:dyDescent="0.25">
      <c r="E980">
        <v>1968</v>
      </c>
      <c r="F980" s="7">
        <v>45333</v>
      </c>
      <c r="G980">
        <f t="shared" si="46"/>
        <v>2024</v>
      </c>
      <c r="H980" s="7" t="str">
        <f t="shared" si="47"/>
        <v>Февраль</v>
      </c>
      <c r="I980" t="s">
        <v>7</v>
      </c>
      <c r="J980">
        <v>40</v>
      </c>
      <c r="K980" t="s">
        <v>8</v>
      </c>
      <c r="L980">
        <v>6</v>
      </c>
      <c r="M980">
        <v>378</v>
      </c>
      <c r="N980" s="1">
        <f t="shared" si="48"/>
        <v>2268</v>
      </c>
    </row>
    <row r="981" spans="5:14" x14ac:dyDescent="0.25">
      <c r="E981">
        <v>392</v>
      </c>
      <c r="F981" s="7">
        <v>45210</v>
      </c>
      <c r="G981">
        <f t="shared" si="46"/>
        <v>2023</v>
      </c>
      <c r="H981" s="7" t="str">
        <f t="shared" si="47"/>
        <v>Октябрь</v>
      </c>
      <c r="I981" t="s">
        <v>9</v>
      </c>
      <c r="J981">
        <v>22</v>
      </c>
      <c r="K981" t="s">
        <v>8</v>
      </c>
      <c r="L981">
        <v>2</v>
      </c>
      <c r="M981">
        <v>500</v>
      </c>
      <c r="N981" s="1">
        <f t="shared" si="48"/>
        <v>1000</v>
      </c>
    </row>
    <row r="982" spans="5:14" x14ac:dyDescent="0.25">
      <c r="E982">
        <v>1711</v>
      </c>
      <c r="F982" s="7">
        <v>45622</v>
      </c>
      <c r="G982">
        <f t="shared" si="46"/>
        <v>2024</v>
      </c>
      <c r="H982" s="7" t="str">
        <f t="shared" si="47"/>
        <v>Ноябрь</v>
      </c>
      <c r="I982" t="s">
        <v>9</v>
      </c>
      <c r="J982">
        <v>61</v>
      </c>
      <c r="K982" t="s">
        <v>8</v>
      </c>
      <c r="L982">
        <v>1</v>
      </c>
      <c r="M982">
        <v>101</v>
      </c>
      <c r="N982" s="1">
        <f t="shared" si="48"/>
        <v>101</v>
      </c>
    </row>
    <row r="983" spans="5:14" x14ac:dyDescent="0.25">
      <c r="E983">
        <v>160</v>
      </c>
      <c r="F983" s="7">
        <v>45149</v>
      </c>
      <c r="G983">
        <f t="shared" si="46"/>
        <v>2023</v>
      </c>
      <c r="H983" s="7" t="str">
        <f t="shared" si="47"/>
        <v>Август</v>
      </c>
      <c r="I983" t="s">
        <v>9</v>
      </c>
      <c r="J983">
        <v>43</v>
      </c>
      <c r="K983" t="s">
        <v>10</v>
      </c>
      <c r="L983">
        <v>2</v>
      </c>
      <c r="M983">
        <v>50</v>
      </c>
      <c r="N983" s="1">
        <f t="shared" si="48"/>
        <v>100</v>
      </c>
    </row>
    <row r="984" spans="5:14" x14ac:dyDescent="0.25">
      <c r="E984">
        <v>854</v>
      </c>
      <c r="F984" s="7">
        <v>45257</v>
      </c>
      <c r="G984">
        <f t="shared" si="46"/>
        <v>2023</v>
      </c>
      <c r="H984" s="7" t="str">
        <f t="shared" si="47"/>
        <v>Ноябрь</v>
      </c>
      <c r="I984" t="s">
        <v>7</v>
      </c>
      <c r="J984">
        <v>54</v>
      </c>
      <c r="K984" t="s">
        <v>11</v>
      </c>
      <c r="L984">
        <v>4</v>
      </c>
      <c r="M984">
        <v>30</v>
      </c>
      <c r="N984" s="1">
        <f t="shared" si="48"/>
        <v>120</v>
      </c>
    </row>
    <row r="985" spans="5:14" x14ac:dyDescent="0.25">
      <c r="E985">
        <v>708</v>
      </c>
      <c r="F985" s="7">
        <v>45230</v>
      </c>
      <c r="G985">
        <f t="shared" si="46"/>
        <v>2023</v>
      </c>
      <c r="H985" s="7" t="str">
        <f t="shared" si="47"/>
        <v>Октябрь</v>
      </c>
      <c r="I985" t="s">
        <v>9</v>
      </c>
      <c r="J985">
        <v>26</v>
      </c>
      <c r="K985" t="s">
        <v>11</v>
      </c>
      <c r="L985">
        <v>3</v>
      </c>
      <c r="M985">
        <v>500</v>
      </c>
      <c r="N985" s="1">
        <f t="shared" si="48"/>
        <v>1500</v>
      </c>
    </row>
    <row r="986" spans="5:14" x14ac:dyDescent="0.25">
      <c r="E986">
        <v>1198</v>
      </c>
      <c r="F986" s="7">
        <v>45536</v>
      </c>
      <c r="G986">
        <f t="shared" si="46"/>
        <v>2024</v>
      </c>
      <c r="H986" s="7" t="str">
        <f t="shared" si="47"/>
        <v>Сентябрь</v>
      </c>
      <c r="I986" t="s">
        <v>7</v>
      </c>
      <c r="J986">
        <v>36</v>
      </c>
      <c r="K986" t="s">
        <v>8</v>
      </c>
      <c r="L986">
        <v>2</v>
      </c>
      <c r="M986">
        <v>77</v>
      </c>
      <c r="N986" s="1">
        <f t="shared" si="48"/>
        <v>154</v>
      </c>
    </row>
    <row r="987" spans="5:14" x14ac:dyDescent="0.25">
      <c r="E987">
        <v>2</v>
      </c>
      <c r="F987" s="7">
        <v>44984</v>
      </c>
      <c r="G987">
        <f t="shared" si="46"/>
        <v>2023</v>
      </c>
      <c r="H987" s="7" t="str">
        <f t="shared" si="47"/>
        <v>Февраль</v>
      </c>
      <c r="I987" t="s">
        <v>9</v>
      </c>
      <c r="J987">
        <v>26</v>
      </c>
      <c r="K987" t="s">
        <v>10</v>
      </c>
      <c r="L987">
        <v>2</v>
      </c>
      <c r="M987">
        <v>500</v>
      </c>
      <c r="N987" s="1">
        <f t="shared" si="48"/>
        <v>1000</v>
      </c>
    </row>
    <row r="988" spans="5:14" x14ac:dyDescent="0.25">
      <c r="E988">
        <v>1189</v>
      </c>
      <c r="F988" s="7">
        <v>45583</v>
      </c>
      <c r="G988">
        <f t="shared" si="46"/>
        <v>2024</v>
      </c>
      <c r="H988" s="7" t="str">
        <f t="shared" si="47"/>
        <v>Октябрь</v>
      </c>
      <c r="I988" t="s">
        <v>7</v>
      </c>
      <c r="J988">
        <v>20</v>
      </c>
      <c r="K988" t="s">
        <v>8</v>
      </c>
      <c r="L988">
        <v>1</v>
      </c>
      <c r="M988">
        <v>96</v>
      </c>
      <c r="N988" s="1">
        <f t="shared" si="48"/>
        <v>96</v>
      </c>
    </row>
    <row r="989" spans="5:14" x14ac:dyDescent="0.25">
      <c r="E989">
        <v>944</v>
      </c>
      <c r="F989" s="7">
        <v>45054</v>
      </c>
      <c r="G989">
        <f t="shared" si="46"/>
        <v>2023</v>
      </c>
      <c r="H989" s="7" t="str">
        <f t="shared" si="47"/>
        <v>Май</v>
      </c>
      <c r="I989" t="s">
        <v>7</v>
      </c>
      <c r="J989">
        <v>62</v>
      </c>
      <c r="K989" t="s">
        <v>11</v>
      </c>
      <c r="L989">
        <v>4</v>
      </c>
      <c r="M989">
        <v>500</v>
      </c>
      <c r="N989" s="1">
        <f t="shared" si="48"/>
        <v>2000</v>
      </c>
    </row>
    <row r="990" spans="5:14" x14ac:dyDescent="0.25">
      <c r="E990">
        <v>733</v>
      </c>
      <c r="F990" s="7">
        <v>45203</v>
      </c>
      <c r="G990">
        <f t="shared" si="46"/>
        <v>2023</v>
      </c>
      <c r="H990" s="7" t="str">
        <f t="shared" si="47"/>
        <v>Октябрь</v>
      </c>
      <c r="I990" t="s">
        <v>9</v>
      </c>
      <c r="J990">
        <v>64</v>
      </c>
      <c r="K990" t="s">
        <v>10</v>
      </c>
      <c r="L990">
        <v>4</v>
      </c>
      <c r="M990">
        <v>500</v>
      </c>
      <c r="N990" s="1">
        <f t="shared" si="48"/>
        <v>2000</v>
      </c>
    </row>
    <row r="991" spans="5:14" x14ac:dyDescent="0.25">
      <c r="E991">
        <v>1331</v>
      </c>
      <c r="F991" s="7">
        <v>45597</v>
      </c>
      <c r="G991">
        <f t="shared" si="46"/>
        <v>2024</v>
      </c>
      <c r="H991" s="7" t="str">
        <f t="shared" si="47"/>
        <v>Ноябрь</v>
      </c>
      <c r="I991" t="s">
        <v>7</v>
      </c>
      <c r="J991">
        <v>37</v>
      </c>
      <c r="K991" t="s">
        <v>11</v>
      </c>
      <c r="L991">
        <v>4</v>
      </c>
      <c r="M991">
        <v>66</v>
      </c>
      <c r="N991" s="1">
        <f t="shared" si="48"/>
        <v>264</v>
      </c>
    </row>
    <row r="992" spans="5:14" x14ac:dyDescent="0.25">
      <c r="E992">
        <v>714</v>
      </c>
      <c r="F992" s="7">
        <v>45146</v>
      </c>
      <c r="G992">
        <f t="shared" si="46"/>
        <v>2023</v>
      </c>
      <c r="H992" s="7" t="str">
        <f t="shared" si="47"/>
        <v>Август</v>
      </c>
      <c r="I992" t="s">
        <v>9</v>
      </c>
      <c r="J992">
        <v>60</v>
      </c>
      <c r="K992" t="s">
        <v>10</v>
      </c>
      <c r="L992">
        <v>4</v>
      </c>
      <c r="M992">
        <v>300</v>
      </c>
      <c r="N992" s="1">
        <f t="shared" si="48"/>
        <v>1200</v>
      </c>
    </row>
    <row r="993" spans="5:14" x14ac:dyDescent="0.25">
      <c r="E993">
        <v>373</v>
      </c>
      <c r="F993" s="7">
        <v>45036</v>
      </c>
      <c r="G993">
        <f t="shared" si="46"/>
        <v>2023</v>
      </c>
      <c r="H993" s="7" t="str">
        <f t="shared" si="47"/>
        <v>Апрель</v>
      </c>
      <c r="I993" t="s">
        <v>9</v>
      </c>
      <c r="J993">
        <v>59</v>
      </c>
      <c r="K993" t="s">
        <v>8</v>
      </c>
      <c r="L993">
        <v>3</v>
      </c>
      <c r="M993">
        <v>25</v>
      </c>
      <c r="N993" s="1">
        <f t="shared" si="48"/>
        <v>75</v>
      </c>
    </row>
    <row r="994" spans="5:14" x14ac:dyDescent="0.25">
      <c r="E994">
        <v>301</v>
      </c>
      <c r="F994" s="7">
        <v>45121</v>
      </c>
      <c r="G994">
        <f t="shared" si="46"/>
        <v>2023</v>
      </c>
      <c r="H994" s="7" t="str">
        <f t="shared" si="47"/>
        <v>Июль</v>
      </c>
      <c r="I994" t="s">
        <v>7</v>
      </c>
      <c r="J994">
        <v>57</v>
      </c>
      <c r="K994" t="s">
        <v>8</v>
      </c>
      <c r="L994">
        <v>2</v>
      </c>
      <c r="M994">
        <v>300</v>
      </c>
      <c r="N994" s="1">
        <f t="shared" si="48"/>
        <v>600</v>
      </c>
    </row>
    <row r="995" spans="5:14" x14ac:dyDescent="0.25">
      <c r="E995">
        <v>1710</v>
      </c>
      <c r="F995" s="7">
        <v>45334</v>
      </c>
      <c r="G995">
        <f t="shared" si="46"/>
        <v>2024</v>
      </c>
      <c r="H995" s="7" t="str">
        <f t="shared" si="47"/>
        <v>Февраль</v>
      </c>
      <c r="I995" t="s">
        <v>9</v>
      </c>
      <c r="J995">
        <v>42</v>
      </c>
      <c r="K995" t="s">
        <v>10</v>
      </c>
      <c r="L995">
        <v>6</v>
      </c>
      <c r="M995">
        <v>31</v>
      </c>
      <c r="N995" s="1">
        <f t="shared" si="48"/>
        <v>186</v>
      </c>
    </row>
    <row r="996" spans="5:14" x14ac:dyDescent="0.25">
      <c r="E996">
        <v>488</v>
      </c>
      <c r="F996" s="7">
        <v>45069</v>
      </c>
      <c r="G996">
        <f t="shared" si="46"/>
        <v>2023</v>
      </c>
      <c r="H996" s="7" t="str">
        <f t="shared" si="47"/>
        <v>Май</v>
      </c>
      <c r="I996" t="s">
        <v>7</v>
      </c>
      <c r="J996">
        <v>44</v>
      </c>
      <c r="K996" t="s">
        <v>11</v>
      </c>
      <c r="L996">
        <v>1</v>
      </c>
      <c r="M996">
        <v>30</v>
      </c>
      <c r="N996" s="1">
        <f t="shared" si="48"/>
        <v>30</v>
      </c>
    </row>
    <row r="997" spans="5:14" x14ac:dyDescent="0.25">
      <c r="E997">
        <v>1972</v>
      </c>
      <c r="F997" s="7">
        <v>45575</v>
      </c>
      <c r="G997">
        <f t="shared" si="46"/>
        <v>2024</v>
      </c>
      <c r="H997" s="7" t="str">
        <f t="shared" si="47"/>
        <v>Октябрь</v>
      </c>
      <c r="I997" t="s">
        <v>9</v>
      </c>
      <c r="J997">
        <v>59</v>
      </c>
      <c r="K997" t="s">
        <v>8</v>
      </c>
      <c r="L997">
        <v>6</v>
      </c>
      <c r="M997">
        <v>424</v>
      </c>
      <c r="N997" s="1">
        <f t="shared" si="48"/>
        <v>2544</v>
      </c>
    </row>
    <row r="998" spans="5:14" x14ac:dyDescent="0.25">
      <c r="E998">
        <v>423</v>
      </c>
      <c r="F998" s="7">
        <v>45253</v>
      </c>
      <c r="G998">
        <f t="shared" si="46"/>
        <v>2023</v>
      </c>
      <c r="H998" s="7" t="str">
        <f t="shared" si="47"/>
        <v>Ноябрь</v>
      </c>
      <c r="I998" t="s">
        <v>7</v>
      </c>
      <c r="J998">
        <v>57</v>
      </c>
      <c r="K998" t="s">
        <v>8</v>
      </c>
      <c r="L998">
        <v>4</v>
      </c>
      <c r="M998">
        <v>300</v>
      </c>
      <c r="N998" s="1">
        <f t="shared" si="48"/>
        <v>1200</v>
      </c>
    </row>
    <row r="999" spans="5:14" x14ac:dyDescent="0.25">
      <c r="E999">
        <v>1398</v>
      </c>
      <c r="F999" s="7">
        <v>45576</v>
      </c>
      <c r="G999">
        <f t="shared" si="46"/>
        <v>2024</v>
      </c>
      <c r="H999" s="7" t="str">
        <f t="shared" si="47"/>
        <v>Октябрь</v>
      </c>
      <c r="I999" t="s">
        <v>9</v>
      </c>
      <c r="J999">
        <v>57</v>
      </c>
      <c r="K999" t="s">
        <v>10</v>
      </c>
      <c r="L999">
        <v>6</v>
      </c>
      <c r="M999">
        <v>27</v>
      </c>
      <c r="N999" s="1">
        <f t="shared" si="48"/>
        <v>162</v>
      </c>
    </row>
    <row r="1000" spans="5:14" x14ac:dyDescent="0.25">
      <c r="E1000">
        <v>906</v>
      </c>
      <c r="F1000" s="7">
        <v>45289</v>
      </c>
      <c r="G1000">
        <f t="shared" si="46"/>
        <v>2023</v>
      </c>
      <c r="H1000" s="7" t="str">
        <f t="shared" si="47"/>
        <v>Декабрь</v>
      </c>
      <c r="I1000" t="s">
        <v>7</v>
      </c>
      <c r="J1000">
        <v>46</v>
      </c>
      <c r="K1000" t="s">
        <v>8</v>
      </c>
      <c r="L1000">
        <v>4</v>
      </c>
      <c r="M1000">
        <v>300</v>
      </c>
      <c r="N1000" s="1">
        <f t="shared" si="48"/>
        <v>1200</v>
      </c>
    </row>
    <row r="1001" spans="5:14" x14ac:dyDescent="0.25">
      <c r="E1001">
        <v>749</v>
      </c>
      <c r="F1001" s="7">
        <v>45169</v>
      </c>
      <c r="G1001">
        <f t="shared" si="46"/>
        <v>2023</v>
      </c>
      <c r="H1001" s="7" t="str">
        <f t="shared" si="47"/>
        <v>Август</v>
      </c>
      <c r="I1001" t="s">
        <v>9</v>
      </c>
      <c r="J1001">
        <v>42</v>
      </c>
      <c r="K1001" t="s">
        <v>10</v>
      </c>
      <c r="L1001">
        <v>2</v>
      </c>
      <c r="M1001">
        <v>25</v>
      </c>
      <c r="N1001" s="1">
        <f t="shared" si="48"/>
        <v>50</v>
      </c>
    </row>
    <row r="1002" spans="5:14" x14ac:dyDescent="0.25">
      <c r="E1002">
        <v>377</v>
      </c>
      <c r="F1002" s="7">
        <v>45105</v>
      </c>
      <c r="G1002">
        <f t="shared" si="46"/>
        <v>2023</v>
      </c>
      <c r="H1002" s="7" t="str">
        <f t="shared" si="47"/>
        <v>Июнь</v>
      </c>
      <c r="I1002" t="s">
        <v>7</v>
      </c>
      <c r="J1002">
        <v>50</v>
      </c>
      <c r="K1002" t="s">
        <v>8</v>
      </c>
      <c r="L1002">
        <v>1</v>
      </c>
      <c r="M1002">
        <v>300</v>
      </c>
      <c r="N1002" s="1">
        <f t="shared" si="48"/>
        <v>300</v>
      </c>
    </row>
    <row r="1003" spans="5:14" x14ac:dyDescent="0.25">
      <c r="E1003">
        <v>381</v>
      </c>
      <c r="F1003" s="7">
        <v>45072</v>
      </c>
      <c r="G1003">
        <f t="shared" si="46"/>
        <v>2023</v>
      </c>
      <c r="H1003" s="7" t="str">
        <f t="shared" si="47"/>
        <v>Май</v>
      </c>
      <c r="I1003" t="s">
        <v>9</v>
      </c>
      <c r="J1003">
        <v>53</v>
      </c>
      <c r="K1003" t="s">
        <v>10</v>
      </c>
      <c r="L1003">
        <v>2</v>
      </c>
      <c r="M1003">
        <v>500</v>
      </c>
      <c r="N1003" s="1">
        <f t="shared" si="48"/>
        <v>1000</v>
      </c>
    </row>
    <row r="1004" spans="5:14" x14ac:dyDescent="0.25">
      <c r="E1004">
        <v>1979</v>
      </c>
      <c r="F1004" s="7">
        <v>45597</v>
      </c>
      <c r="G1004">
        <f t="shared" si="46"/>
        <v>2024</v>
      </c>
      <c r="H1004" s="7" t="str">
        <f t="shared" si="47"/>
        <v>Ноябрь</v>
      </c>
      <c r="I1004" t="s">
        <v>9</v>
      </c>
      <c r="J1004">
        <v>59</v>
      </c>
      <c r="K1004" t="s">
        <v>10</v>
      </c>
      <c r="L1004">
        <v>4</v>
      </c>
      <c r="M1004">
        <v>132</v>
      </c>
      <c r="N1004" s="1">
        <f t="shared" si="48"/>
        <v>528</v>
      </c>
    </row>
    <row r="1005" spans="5:14" x14ac:dyDescent="0.25">
      <c r="E1005">
        <v>526</v>
      </c>
      <c r="F1005" s="7">
        <v>45027</v>
      </c>
      <c r="G1005">
        <f t="shared" si="46"/>
        <v>2023</v>
      </c>
      <c r="H1005" s="7" t="str">
        <f t="shared" si="47"/>
        <v>Апрель</v>
      </c>
      <c r="I1005" t="s">
        <v>7</v>
      </c>
      <c r="J1005">
        <v>57</v>
      </c>
      <c r="K1005" t="s">
        <v>10</v>
      </c>
      <c r="L1005">
        <v>2</v>
      </c>
      <c r="M1005">
        <v>25</v>
      </c>
      <c r="N1005" s="1">
        <f t="shared" si="48"/>
        <v>50</v>
      </c>
    </row>
    <row r="1006" spans="5:14" x14ac:dyDescent="0.25">
      <c r="E1006">
        <v>648</v>
      </c>
      <c r="F1006" s="7">
        <v>44966</v>
      </c>
      <c r="G1006">
        <f t="shared" si="46"/>
        <v>2023</v>
      </c>
      <c r="H1006" s="7" t="str">
        <f t="shared" si="47"/>
        <v>Февраль</v>
      </c>
      <c r="I1006" t="s">
        <v>9</v>
      </c>
      <c r="J1006">
        <v>58</v>
      </c>
      <c r="K1006" t="s">
        <v>10</v>
      </c>
      <c r="L1006">
        <v>2</v>
      </c>
      <c r="M1006">
        <v>300</v>
      </c>
      <c r="N1006" s="1">
        <f t="shared" si="48"/>
        <v>600</v>
      </c>
    </row>
    <row r="1007" spans="5:14" x14ac:dyDescent="0.25">
      <c r="E1007">
        <v>1554</v>
      </c>
      <c r="F1007" s="7">
        <v>45500</v>
      </c>
      <c r="G1007">
        <f t="shared" si="46"/>
        <v>2024</v>
      </c>
      <c r="H1007" s="7" t="str">
        <f t="shared" si="47"/>
        <v>Июль</v>
      </c>
      <c r="I1007" t="s">
        <v>9</v>
      </c>
      <c r="J1007">
        <v>36</v>
      </c>
      <c r="K1007" t="s">
        <v>8</v>
      </c>
      <c r="L1007">
        <v>5</v>
      </c>
      <c r="M1007">
        <v>86</v>
      </c>
      <c r="N1007" s="1">
        <f t="shared" si="48"/>
        <v>430</v>
      </c>
    </row>
    <row r="1008" spans="5:14" x14ac:dyDescent="0.25">
      <c r="E1008">
        <v>1712</v>
      </c>
      <c r="F1008" s="7">
        <v>45512</v>
      </c>
      <c r="G1008">
        <f t="shared" si="46"/>
        <v>2024</v>
      </c>
      <c r="H1008" s="7" t="str">
        <f t="shared" si="47"/>
        <v>Август</v>
      </c>
      <c r="I1008" t="s">
        <v>9</v>
      </c>
      <c r="J1008">
        <v>49</v>
      </c>
      <c r="K1008" t="s">
        <v>10</v>
      </c>
      <c r="L1008">
        <v>3</v>
      </c>
      <c r="M1008">
        <v>161</v>
      </c>
      <c r="N1008" s="1">
        <f t="shared" si="48"/>
        <v>483</v>
      </c>
    </row>
    <row r="1009" spans="5:14" x14ac:dyDescent="0.25">
      <c r="E1009">
        <v>1345</v>
      </c>
      <c r="F1009" s="7">
        <v>45629</v>
      </c>
      <c r="G1009">
        <f t="shared" si="46"/>
        <v>2024</v>
      </c>
      <c r="H1009" s="7" t="str">
        <f t="shared" si="47"/>
        <v>Декабрь</v>
      </c>
      <c r="I1009" t="s">
        <v>9</v>
      </c>
      <c r="J1009">
        <v>27</v>
      </c>
      <c r="K1009" t="s">
        <v>11</v>
      </c>
      <c r="L1009">
        <v>5</v>
      </c>
      <c r="M1009">
        <v>96</v>
      </c>
      <c r="N1009" s="1">
        <f t="shared" si="48"/>
        <v>480</v>
      </c>
    </row>
    <row r="1010" spans="5:14" x14ac:dyDescent="0.25">
      <c r="E1010">
        <v>296</v>
      </c>
      <c r="F1010" s="7">
        <v>45173</v>
      </c>
      <c r="G1010">
        <f t="shared" si="46"/>
        <v>2023</v>
      </c>
      <c r="H1010" s="7" t="str">
        <f t="shared" si="47"/>
        <v>Сентябрь</v>
      </c>
      <c r="I1010" t="s">
        <v>9</v>
      </c>
      <c r="J1010">
        <v>40</v>
      </c>
      <c r="K1010" t="s">
        <v>11</v>
      </c>
      <c r="L1010">
        <v>2</v>
      </c>
      <c r="M1010">
        <v>500</v>
      </c>
      <c r="N1010" s="1">
        <f t="shared" si="48"/>
        <v>1000</v>
      </c>
    </row>
    <row r="1011" spans="5:14" x14ac:dyDescent="0.25">
      <c r="E1011">
        <v>1438</v>
      </c>
      <c r="F1011" s="7">
        <v>45575</v>
      </c>
      <c r="G1011">
        <f t="shared" si="46"/>
        <v>2024</v>
      </c>
      <c r="H1011" s="7" t="str">
        <f t="shared" si="47"/>
        <v>Октябрь</v>
      </c>
      <c r="I1011" t="s">
        <v>7</v>
      </c>
      <c r="J1011">
        <v>31</v>
      </c>
      <c r="K1011" t="s">
        <v>8</v>
      </c>
      <c r="L1011">
        <v>4</v>
      </c>
      <c r="M1011">
        <v>86</v>
      </c>
      <c r="N1011" s="1">
        <f t="shared" si="48"/>
        <v>344</v>
      </c>
    </row>
    <row r="1012" spans="5:14" x14ac:dyDescent="0.25">
      <c r="E1012">
        <v>1880</v>
      </c>
      <c r="F1012" s="7">
        <v>45411</v>
      </c>
      <c r="G1012">
        <f t="shared" si="46"/>
        <v>2024</v>
      </c>
      <c r="H1012" s="7" t="str">
        <f t="shared" si="47"/>
        <v>Апрель</v>
      </c>
      <c r="I1012" t="s">
        <v>9</v>
      </c>
      <c r="J1012">
        <v>53</v>
      </c>
      <c r="K1012" t="s">
        <v>10</v>
      </c>
      <c r="L1012">
        <v>5</v>
      </c>
      <c r="M1012">
        <v>407</v>
      </c>
      <c r="N1012" s="1">
        <f t="shared" si="48"/>
        <v>2035</v>
      </c>
    </row>
    <row r="1013" spans="5:14" x14ac:dyDescent="0.25">
      <c r="E1013">
        <v>1602</v>
      </c>
      <c r="F1013" s="7">
        <v>45497</v>
      </c>
      <c r="G1013">
        <f t="shared" si="46"/>
        <v>2024</v>
      </c>
      <c r="H1013" s="7" t="str">
        <f t="shared" si="47"/>
        <v>Июль</v>
      </c>
      <c r="I1013" t="s">
        <v>7</v>
      </c>
      <c r="J1013">
        <v>22</v>
      </c>
      <c r="K1013" t="s">
        <v>11</v>
      </c>
      <c r="L1013">
        <v>1</v>
      </c>
      <c r="M1013">
        <v>97</v>
      </c>
      <c r="N1013" s="1">
        <f t="shared" si="48"/>
        <v>97</v>
      </c>
    </row>
    <row r="1014" spans="5:14" x14ac:dyDescent="0.25">
      <c r="E1014">
        <v>304</v>
      </c>
      <c r="F1014" s="7">
        <v>45062</v>
      </c>
      <c r="G1014">
        <f t="shared" si="46"/>
        <v>2023</v>
      </c>
      <c r="H1014" s="7" t="str">
        <f t="shared" si="47"/>
        <v>Май</v>
      </c>
      <c r="I1014" t="s">
        <v>9</v>
      </c>
      <c r="J1014">
        <v>18</v>
      </c>
      <c r="K1014" t="s">
        <v>8</v>
      </c>
      <c r="L1014">
        <v>1</v>
      </c>
      <c r="M1014">
        <v>30</v>
      </c>
      <c r="N1014" s="1">
        <f t="shared" si="48"/>
        <v>30</v>
      </c>
    </row>
    <row r="1015" spans="5:14" x14ac:dyDescent="0.25">
      <c r="E1015">
        <v>1861</v>
      </c>
      <c r="F1015" s="7">
        <v>45647</v>
      </c>
      <c r="G1015">
        <f t="shared" si="46"/>
        <v>2024</v>
      </c>
      <c r="H1015" s="7" t="str">
        <f t="shared" si="47"/>
        <v>Декабрь</v>
      </c>
      <c r="I1015" t="s">
        <v>9</v>
      </c>
      <c r="J1015">
        <v>35</v>
      </c>
      <c r="K1015" t="s">
        <v>10</v>
      </c>
      <c r="L1015">
        <v>3</v>
      </c>
      <c r="M1015">
        <v>228</v>
      </c>
      <c r="N1015" s="1">
        <f t="shared" si="48"/>
        <v>684</v>
      </c>
    </row>
    <row r="1016" spans="5:14" x14ac:dyDescent="0.25">
      <c r="E1016">
        <v>512</v>
      </c>
      <c r="F1016" s="7">
        <v>45188</v>
      </c>
      <c r="G1016">
        <f t="shared" si="46"/>
        <v>2023</v>
      </c>
      <c r="H1016" s="7" t="str">
        <f t="shared" si="47"/>
        <v>Сентябрь</v>
      </c>
      <c r="I1016" t="s">
        <v>7</v>
      </c>
      <c r="J1016">
        <v>24</v>
      </c>
      <c r="K1016" t="s">
        <v>11</v>
      </c>
      <c r="L1016">
        <v>4</v>
      </c>
      <c r="M1016">
        <v>25</v>
      </c>
      <c r="N1016" s="1">
        <f t="shared" si="48"/>
        <v>100</v>
      </c>
    </row>
    <row r="1017" spans="5:14" x14ac:dyDescent="0.25">
      <c r="E1017">
        <v>1485</v>
      </c>
      <c r="F1017" s="7">
        <v>45461</v>
      </c>
      <c r="G1017">
        <f t="shared" si="46"/>
        <v>2024</v>
      </c>
      <c r="H1017" s="7" t="str">
        <f t="shared" si="47"/>
        <v>Июнь</v>
      </c>
      <c r="I1017" t="s">
        <v>9</v>
      </c>
      <c r="J1017">
        <v>31</v>
      </c>
      <c r="K1017" t="s">
        <v>11</v>
      </c>
      <c r="L1017">
        <v>7</v>
      </c>
      <c r="M1017">
        <v>343</v>
      </c>
      <c r="N1017" s="1">
        <f t="shared" si="48"/>
        <v>2401</v>
      </c>
    </row>
    <row r="1018" spans="5:14" x14ac:dyDescent="0.25">
      <c r="E1018">
        <v>1252</v>
      </c>
      <c r="F1018" s="7">
        <v>45390</v>
      </c>
      <c r="G1018">
        <f t="shared" si="46"/>
        <v>2024</v>
      </c>
      <c r="H1018" s="7" t="str">
        <f t="shared" si="47"/>
        <v>Апрель</v>
      </c>
      <c r="I1018" t="s">
        <v>7</v>
      </c>
      <c r="J1018">
        <v>50</v>
      </c>
      <c r="K1018" t="s">
        <v>10</v>
      </c>
      <c r="L1018">
        <v>1</v>
      </c>
      <c r="M1018">
        <v>178</v>
      </c>
      <c r="N1018" s="1">
        <f t="shared" si="48"/>
        <v>178</v>
      </c>
    </row>
    <row r="1019" spans="5:14" x14ac:dyDescent="0.25">
      <c r="E1019">
        <v>30</v>
      </c>
      <c r="F1019" s="7">
        <v>45228</v>
      </c>
      <c r="G1019">
        <f t="shared" si="46"/>
        <v>2023</v>
      </c>
      <c r="H1019" s="7" t="str">
        <f t="shared" si="47"/>
        <v>Октябрь</v>
      </c>
      <c r="I1019" t="s">
        <v>9</v>
      </c>
      <c r="J1019">
        <v>39</v>
      </c>
      <c r="K1019" t="s">
        <v>8</v>
      </c>
      <c r="L1019">
        <v>3</v>
      </c>
      <c r="M1019">
        <v>300</v>
      </c>
      <c r="N1019" s="1">
        <f t="shared" si="48"/>
        <v>900</v>
      </c>
    </row>
    <row r="1020" spans="5:14" x14ac:dyDescent="0.25">
      <c r="E1020">
        <v>1556</v>
      </c>
      <c r="F1020" s="7">
        <v>45292</v>
      </c>
      <c r="G1020">
        <f t="shared" si="46"/>
        <v>2024</v>
      </c>
      <c r="H1020" s="7" t="str">
        <f t="shared" si="47"/>
        <v>Январь</v>
      </c>
      <c r="I1020" t="s">
        <v>9</v>
      </c>
      <c r="J1020">
        <v>52</v>
      </c>
      <c r="K1020" t="s">
        <v>10</v>
      </c>
      <c r="L1020">
        <v>7</v>
      </c>
      <c r="M1020">
        <v>363</v>
      </c>
      <c r="N1020" s="1">
        <f t="shared" si="48"/>
        <v>2541</v>
      </c>
    </row>
    <row r="1021" spans="5:14" x14ac:dyDescent="0.25">
      <c r="E1021">
        <v>463</v>
      </c>
      <c r="F1021" s="7">
        <v>44939</v>
      </c>
      <c r="G1021">
        <f t="shared" si="46"/>
        <v>2023</v>
      </c>
      <c r="H1021" s="7" t="str">
        <f t="shared" si="47"/>
        <v>Январь</v>
      </c>
      <c r="I1021" t="s">
        <v>7</v>
      </c>
      <c r="J1021">
        <v>38</v>
      </c>
      <c r="K1021" t="s">
        <v>11</v>
      </c>
      <c r="L1021">
        <v>2</v>
      </c>
      <c r="M1021">
        <v>300</v>
      </c>
      <c r="N1021" s="1">
        <f t="shared" si="48"/>
        <v>600</v>
      </c>
    </row>
    <row r="1022" spans="5:14" x14ac:dyDescent="0.25">
      <c r="E1022">
        <v>1241</v>
      </c>
      <c r="F1022" s="7">
        <v>45635</v>
      </c>
      <c r="G1022">
        <f t="shared" si="46"/>
        <v>2024</v>
      </c>
      <c r="H1022" s="7" t="str">
        <f t="shared" si="47"/>
        <v>Декабрь</v>
      </c>
      <c r="I1022" t="s">
        <v>7</v>
      </c>
      <c r="J1022">
        <v>30</v>
      </c>
      <c r="K1022" t="s">
        <v>8</v>
      </c>
      <c r="L1022">
        <v>1</v>
      </c>
      <c r="M1022">
        <v>208</v>
      </c>
      <c r="N1022" s="1">
        <f t="shared" si="48"/>
        <v>208</v>
      </c>
    </row>
    <row r="1023" spans="5:14" x14ac:dyDescent="0.25">
      <c r="E1023">
        <v>1865</v>
      </c>
      <c r="F1023" s="7">
        <v>45590</v>
      </c>
      <c r="G1023">
        <f t="shared" si="46"/>
        <v>2024</v>
      </c>
      <c r="H1023" s="7" t="str">
        <f t="shared" si="47"/>
        <v>Октябрь</v>
      </c>
      <c r="I1023" t="s">
        <v>7</v>
      </c>
      <c r="J1023">
        <v>42</v>
      </c>
      <c r="K1023" t="s">
        <v>8</v>
      </c>
      <c r="L1023">
        <v>6</v>
      </c>
      <c r="M1023">
        <v>221</v>
      </c>
      <c r="N1023" s="1">
        <f t="shared" si="48"/>
        <v>1326</v>
      </c>
    </row>
    <row r="1024" spans="5:14" x14ac:dyDescent="0.25">
      <c r="E1024">
        <v>1875</v>
      </c>
      <c r="F1024" s="7">
        <v>45652</v>
      </c>
      <c r="G1024">
        <f t="shared" si="46"/>
        <v>2024</v>
      </c>
      <c r="H1024" s="7" t="str">
        <f t="shared" si="47"/>
        <v>Декабрь</v>
      </c>
      <c r="I1024" t="s">
        <v>7</v>
      </c>
      <c r="J1024">
        <v>39</v>
      </c>
      <c r="K1024" t="s">
        <v>10</v>
      </c>
      <c r="L1024">
        <v>4</v>
      </c>
      <c r="M1024">
        <v>318</v>
      </c>
      <c r="N1024" s="1">
        <f t="shared" si="48"/>
        <v>1272</v>
      </c>
    </row>
    <row r="1025" spans="5:14" x14ac:dyDescent="0.25">
      <c r="E1025">
        <v>1082</v>
      </c>
      <c r="F1025" s="7">
        <v>45624</v>
      </c>
      <c r="G1025">
        <f t="shared" si="46"/>
        <v>2024</v>
      </c>
      <c r="H1025" s="7" t="str">
        <f t="shared" si="47"/>
        <v>Ноябрь</v>
      </c>
      <c r="I1025" t="s">
        <v>9</v>
      </c>
      <c r="J1025">
        <v>22</v>
      </c>
      <c r="K1025" t="s">
        <v>11</v>
      </c>
      <c r="L1025">
        <v>3</v>
      </c>
      <c r="M1025">
        <v>462</v>
      </c>
      <c r="N1025" s="1">
        <f t="shared" si="48"/>
        <v>1386</v>
      </c>
    </row>
    <row r="1026" spans="5:14" x14ac:dyDescent="0.25">
      <c r="E1026">
        <v>25</v>
      </c>
      <c r="F1026" s="7">
        <v>45286</v>
      </c>
      <c r="G1026">
        <f t="shared" si="46"/>
        <v>2023</v>
      </c>
      <c r="H1026" s="7" t="str">
        <f t="shared" si="47"/>
        <v>Декабрь</v>
      </c>
      <c r="I1026" t="s">
        <v>9</v>
      </c>
      <c r="J1026">
        <v>64</v>
      </c>
      <c r="K1026" t="s">
        <v>8</v>
      </c>
      <c r="L1026">
        <v>1</v>
      </c>
      <c r="M1026">
        <v>50</v>
      </c>
      <c r="N1026" s="1">
        <f t="shared" si="48"/>
        <v>50</v>
      </c>
    </row>
    <row r="1027" spans="5:14" x14ac:dyDescent="0.25">
      <c r="E1027">
        <v>115</v>
      </c>
      <c r="F1027" s="7">
        <v>45256</v>
      </c>
      <c r="G1027">
        <f t="shared" si="46"/>
        <v>2023</v>
      </c>
      <c r="H1027" s="7" t="str">
        <f t="shared" si="47"/>
        <v>Ноябрь</v>
      </c>
      <c r="I1027" t="s">
        <v>7</v>
      </c>
      <c r="J1027">
        <v>51</v>
      </c>
      <c r="K1027" t="s">
        <v>10</v>
      </c>
      <c r="L1027">
        <v>3</v>
      </c>
      <c r="M1027">
        <v>500</v>
      </c>
      <c r="N1027" s="1">
        <f t="shared" si="48"/>
        <v>1500</v>
      </c>
    </row>
    <row r="1028" spans="5:14" x14ac:dyDescent="0.25">
      <c r="E1028">
        <v>1068</v>
      </c>
      <c r="F1028" s="7">
        <v>45343</v>
      </c>
      <c r="G1028">
        <f t="shared" si="46"/>
        <v>2024</v>
      </c>
      <c r="H1028" s="7" t="str">
        <f t="shared" si="47"/>
        <v>Февраль</v>
      </c>
      <c r="I1028" t="s">
        <v>9</v>
      </c>
      <c r="J1028">
        <v>19</v>
      </c>
      <c r="K1028" t="s">
        <v>10</v>
      </c>
      <c r="L1028">
        <v>3</v>
      </c>
      <c r="M1028">
        <v>277</v>
      </c>
      <c r="N1028" s="1">
        <f t="shared" si="48"/>
        <v>831</v>
      </c>
    </row>
    <row r="1029" spans="5:14" x14ac:dyDescent="0.25">
      <c r="E1029">
        <v>1956</v>
      </c>
      <c r="F1029" s="7">
        <v>45512</v>
      </c>
      <c r="G1029">
        <f t="shared" si="46"/>
        <v>2024</v>
      </c>
      <c r="H1029" s="7" t="str">
        <f t="shared" si="47"/>
        <v>Август</v>
      </c>
      <c r="I1029" t="s">
        <v>7</v>
      </c>
      <c r="J1029">
        <v>26</v>
      </c>
      <c r="K1029" t="s">
        <v>10</v>
      </c>
      <c r="L1029">
        <v>7</v>
      </c>
      <c r="M1029">
        <v>151</v>
      </c>
      <c r="N1029" s="1">
        <f t="shared" si="48"/>
        <v>1057</v>
      </c>
    </row>
    <row r="1030" spans="5:14" x14ac:dyDescent="0.25">
      <c r="E1030">
        <v>295</v>
      </c>
      <c r="F1030" s="7">
        <v>45175</v>
      </c>
      <c r="G1030">
        <f t="shared" si="46"/>
        <v>2023</v>
      </c>
      <c r="H1030" s="7" t="str">
        <f t="shared" si="47"/>
        <v>Сентябрь</v>
      </c>
      <c r="I1030" t="s">
        <v>9</v>
      </c>
      <c r="J1030">
        <v>22</v>
      </c>
      <c r="K1030" t="s">
        <v>10</v>
      </c>
      <c r="L1030">
        <v>4</v>
      </c>
      <c r="M1030">
        <v>300</v>
      </c>
      <c r="N1030" s="1">
        <f t="shared" si="48"/>
        <v>1200</v>
      </c>
    </row>
    <row r="1031" spans="5:14" x14ac:dyDescent="0.25">
      <c r="E1031">
        <v>237</v>
      </c>
      <c r="F1031" s="7">
        <v>44943</v>
      </c>
      <c r="G1031">
        <f t="shared" si="46"/>
        <v>2023</v>
      </c>
      <c r="H1031" s="7" t="str">
        <f t="shared" si="47"/>
        <v>Январь</v>
      </c>
      <c r="I1031" t="s">
        <v>9</v>
      </c>
      <c r="J1031">
        <v>39</v>
      </c>
      <c r="K1031" t="s">
        <v>8</v>
      </c>
      <c r="L1031">
        <v>1</v>
      </c>
      <c r="M1031">
        <v>500</v>
      </c>
      <c r="N1031" s="1">
        <f t="shared" si="48"/>
        <v>500</v>
      </c>
    </row>
    <row r="1032" spans="5:14" x14ac:dyDescent="0.25">
      <c r="E1032">
        <v>487</v>
      </c>
      <c r="F1032" s="7">
        <v>45095</v>
      </c>
      <c r="G1032">
        <f t="shared" si="46"/>
        <v>2023</v>
      </c>
      <c r="H1032" s="7" t="str">
        <f t="shared" si="47"/>
        <v>Июнь</v>
      </c>
      <c r="I1032" t="s">
        <v>9</v>
      </c>
      <c r="J1032">
        <v>51</v>
      </c>
      <c r="K1032" t="s">
        <v>11</v>
      </c>
      <c r="L1032">
        <v>3</v>
      </c>
      <c r="M1032">
        <v>300</v>
      </c>
      <c r="N1032" s="1">
        <f t="shared" si="48"/>
        <v>900</v>
      </c>
    </row>
    <row r="1033" spans="5:14" x14ac:dyDescent="0.25">
      <c r="E1033">
        <v>1223</v>
      </c>
      <c r="F1033" s="7">
        <v>45594</v>
      </c>
      <c r="G1033">
        <f t="shared" si="46"/>
        <v>2024</v>
      </c>
      <c r="H1033" s="7" t="str">
        <f t="shared" si="47"/>
        <v>Октябрь</v>
      </c>
      <c r="I1033" t="s">
        <v>9</v>
      </c>
      <c r="J1033">
        <v>37</v>
      </c>
      <c r="K1033" t="s">
        <v>10</v>
      </c>
      <c r="L1033">
        <v>5</v>
      </c>
      <c r="M1033">
        <v>325</v>
      </c>
      <c r="N1033" s="1">
        <f t="shared" si="48"/>
        <v>1625</v>
      </c>
    </row>
    <row r="1034" spans="5:14" x14ac:dyDescent="0.25">
      <c r="E1034">
        <v>201</v>
      </c>
      <c r="F1034" s="7">
        <v>45208</v>
      </c>
      <c r="G1034">
        <f t="shared" ref="G1034:G1097" si="49">YEAR(F1034)</f>
        <v>2023</v>
      </c>
      <c r="H1034" s="7" t="str">
        <f t="shared" ref="H1034:H1097" si="50">TEXT(F1034,"ММММ")</f>
        <v>Октябрь</v>
      </c>
      <c r="I1034" t="s">
        <v>7</v>
      </c>
      <c r="J1034">
        <v>56</v>
      </c>
      <c r="K1034" t="s">
        <v>11</v>
      </c>
      <c r="L1034">
        <v>1</v>
      </c>
      <c r="M1034">
        <v>25</v>
      </c>
      <c r="N1034" s="1">
        <f t="shared" ref="N1034:N1097" si="51">L1034*M1034</f>
        <v>25</v>
      </c>
    </row>
    <row r="1035" spans="5:14" x14ac:dyDescent="0.25">
      <c r="E1035">
        <v>1387</v>
      </c>
      <c r="F1035" s="7">
        <v>45563</v>
      </c>
      <c r="G1035">
        <f t="shared" si="49"/>
        <v>2024</v>
      </c>
      <c r="H1035" s="7" t="str">
        <f t="shared" si="50"/>
        <v>Сентябрь</v>
      </c>
      <c r="I1035" t="s">
        <v>7</v>
      </c>
      <c r="J1035">
        <v>27</v>
      </c>
      <c r="K1035" t="s">
        <v>11</v>
      </c>
      <c r="L1035">
        <v>1</v>
      </c>
      <c r="M1035">
        <v>440</v>
      </c>
      <c r="N1035" s="1">
        <f t="shared" si="51"/>
        <v>440</v>
      </c>
    </row>
    <row r="1036" spans="5:14" x14ac:dyDescent="0.25">
      <c r="E1036">
        <v>710</v>
      </c>
      <c r="F1036" s="7">
        <v>45266</v>
      </c>
      <c r="G1036">
        <f t="shared" si="49"/>
        <v>2023</v>
      </c>
      <c r="H1036" s="7" t="str">
        <f t="shared" si="50"/>
        <v>Декабрь</v>
      </c>
      <c r="I1036" t="s">
        <v>9</v>
      </c>
      <c r="J1036">
        <v>57</v>
      </c>
      <c r="K1036" t="s">
        <v>8</v>
      </c>
      <c r="L1036">
        <v>2</v>
      </c>
      <c r="M1036">
        <v>25</v>
      </c>
      <c r="N1036" s="1">
        <f t="shared" si="51"/>
        <v>50</v>
      </c>
    </row>
    <row r="1037" spans="5:14" x14ac:dyDescent="0.25">
      <c r="E1037">
        <v>1837</v>
      </c>
      <c r="F1037" s="7">
        <v>45598</v>
      </c>
      <c r="G1037">
        <f t="shared" si="49"/>
        <v>2024</v>
      </c>
      <c r="H1037" s="7" t="str">
        <f t="shared" si="50"/>
        <v>Ноябрь</v>
      </c>
      <c r="I1037" t="s">
        <v>7</v>
      </c>
      <c r="J1037">
        <v>51</v>
      </c>
      <c r="K1037" t="s">
        <v>11</v>
      </c>
      <c r="L1037">
        <v>6</v>
      </c>
      <c r="M1037">
        <v>485</v>
      </c>
      <c r="N1037" s="1">
        <f t="shared" si="51"/>
        <v>2910</v>
      </c>
    </row>
    <row r="1038" spans="5:14" x14ac:dyDescent="0.25">
      <c r="E1038">
        <v>705</v>
      </c>
      <c r="F1038" s="7">
        <v>45200</v>
      </c>
      <c r="G1038">
        <f t="shared" si="49"/>
        <v>2023</v>
      </c>
      <c r="H1038" s="7" t="str">
        <f t="shared" si="50"/>
        <v>Октябрь</v>
      </c>
      <c r="I1038" t="s">
        <v>9</v>
      </c>
      <c r="J1038">
        <v>26</v>
      </c>
      <c r="K1038" t="s">
        <v>10</v>
      </c>
      <c r="L1038">
        <v>1</v>
      </c>
      <c r="M1038">
        <v>500</v>
      </c>
      <c r="N1038" s="1">
        <f t="shared" si="51"/>
        <v>500</v>
      </c>
    </row>
    <row r="1039" spans="5:14" x14ac:dyDescent="0.25">
      <c r="E1039">
        <v>1293</v>
      </c>
      <c r="F1039" s="7">
        <v>45541</v>
      </c>
      <c r="G1039">
        <f t="shared" si="49"/>
        <v>2024</v>
      </c>
      <c r="H1039" s="7" t="str">
        <f t="shared" si="50"/>
        <v>Сентябрь</v>
      </c>
      <c r="I1039" t="s">
        <v>9</v>
      </c>
      <c r="J1039">
        <v>40</v>
      </c>
      <c r="K1039" t="s">
        <v>10</v>
      </c>
      <c r="L1039">
        <v>3</v>
      </c>
      <c r="M1039">
        <v>468</v>
      </c>
      <c r="N1039" s="1">
        <f t="shared" si="51"/>
        <v>1404</v>
      </c>
    </row>
    <row r="1040" spans="5:14" x14ac:dyDescent="0.25">
      <c r="E1040">
        <v>1265</v>
      </c>
      <c r="F1040" s="7">
        <v>45342</v>
      </c>
      <c r="G1040">
        <f t="shared" si="49"/>
        <v>2024</v>
      </c>
      <c r="H1040" s="7" t="str">
        <f t="shared" si="50"/>
        <v>Февраль</v>
      </c>
      <c r="I1040" t="s">
        <v>9</v>
      </c>
      <c r="J1040">
        <v>41</v>
      </c>
      <c r="K1040" t="s">
        <v>11</v>
      </c>
      <c r="L1040">
        <v>2</v>
      </c>
      <c r="M1040">
        <v>254</v>
      </c>
      <c r="N1040" s="1">
        <f t="shared" si="51"/>
        <v>508</v>
      </c>
    </row>
    <row r="1041" spans="5:14" x14ac:dyDescent="0.25">
      <c r="E1041">
        <v>912</v>
      </c>
      <c r="F1041" s="7">
        <v>45210</v>
      </c>
      <c r="G1041">
        <f t="shared" si="49"/>
        <v>2023</v>
      </c>
      <c r="H1041" s="7" t="str">
        <f t="shared" si="50"/>
        <v>Октябрь</v>
      </c>
      <c r="I1041" t="s">
        <v>9</v>
      </c>
      <c r="J1041">
        <v>59</v>
      </c>
      <c r="K1041" t="s">
        <v>11</v>
      </c>
      <c r="L1041">
        <v>1</v>
      </c>
      <c r="M1041">
        <v>500</v>
      </c>
      <c r="N1041" s="1">
        <f t="shared" si="51"/>
        <v>500</v>
      </c>
    </row>
    <row r="1042" spans="5:14" x14ac:dyDescent="0.25">
      <c r="E1042">
        <v>224</v>
      </c>
      <c r="F1042" s="7">
        <v>44937</v>
      </c>
      <c r="G1042">
        <f t="shared" si="49"/>
        <v>2023</v>
      </c>
      <c r="H1042" s="7" t="str">
        <f t="shared" si="50"/>
        <v>Январь</v>
      </c>
      <c r="I1042" t="s">
        <v>9</v>
      </c>
      <c r="J1042">
        <v>57</v>
      </c>
      <c r="K1042" t="s">
        <v>8</v>
      </c>
      <c r="L1042">
        <v>4</v>
      </c>
      <c r="M1042">
        <v>25</v>
      </c>
      <c r="N1042" s="1">
        <f t="shared" si="51"/>
        <v>100</v>
      </c>
    </row>
    <row r="1043" spans="5:14" x14ac:dyDescent="0.25">
      <c r="E1043">
        <v>667</v>
      </c>
      <c r="F1043" s="7">
        <v>45096</v>
      </c>
      <c r="G1043">
        <f t="shared" si="49"/>
        <v>2023</v>
      </c>
      <c r="H1043" s="7" t="str">
        <f t="shared" si="50"/>
        <v>Июнь</v>
      </c>
      <c r="I1043" t="s">
        <v>7</v>
      </c>
      <c r="J1043">
        <v>24</v>
      </c>
      <c r="K1043" t="s">
        <v>8</v>
      </c>
      <c r="L1043">
        <v>4</v>
      </c>
      <c r="M1043">
        <v>300</v>
      </c>
      <c r="N1043" s="1">
        <f t="shared" si="51"/>
        <v>1200</v>
      </c>
    </row>
    <row r="1044" spans="5:14" x14ac:dyDescent="0.25">
      <c r="E1044">
        <v>1651</v>
      </c>
      <c r="F1044" s="7">
        <v>45456</v>
      </c>
      <c r="G1044">
        <f t="shared" si="49"/>
        <v>2024</v>
      </c>
      <c r="H1044" s="7" t="str">
        <f t="shared" si="50"/>
        <v>Июнь</v>
      </c>
      <c r="I1044" t="s">
        <v>9</v>
      </c>
      <c r="J1044">
        <v>40</v>
      </c>
      <c r="K1044" t="s">
        <v>10</v>
      </c>
      <c r="L1044">
        <v>3</v>
      </c>
      <c r="M1044">
        <v>29</v>
      </c>
      <c r="N1044" s="1">
        <f t="shared" si="51"/>
        <v>87</v>
      </c>
    </row>
    <row r="1045" spans="5:14" x14ac:dyDescent="0.25">
      <c r="E1045">
        <v>729</v>
      </c>
      <c r="F1045" s="7">
        <v>45056</v>
      </c>
      <c r="G1045">
        <f t="shared" si="49"/>
        <v>2023</v>
      </c>
      <c r="H1045" s="7" t="str">
        <f t="shared" si="50"/>
        <v>Май</v>
      </c>
      <c r="I1045" t="s">
        <v>7</v>
      </c>
      <c r="J1045">
        <v>54</v>
      </c>
      <c r="K1045" t="s">
        <v>10</v>
      </c>
      <c r="L1045">
        <v>4</v>
      </c>
      <c r="M1045">
        <v>500</v>
      </c>
      <c r="N1045" s="1">
        <f t="shared" si="51"/>
        <v>2000</v>
      </c>
    </row>
    <row r="1046" spans="5:14" x14ac:dyDescent="0.25">
      <c r="E1046">
        <v>1025</v>
      </c>
      <c r="F1046" s="7">
        <v>45507</v>
      </c>
      <c r="G1046">
        <f t="shared" si="49"/>
        <v>2024</v>
      </c>
      <c r="H1046" s="7" t="str">
        <f t="shared" si="50"/>
        <v>Август</v>
      </c>
      <c r="I1046" t="s">
        <v>9</v>
      </c>
      <c r="J1046">
        <v>53</v>
      </c>
      <c r="K1046" t="s">
        <v>8</v>
      </c>
      <c r="L1046">
        <v>5</v>
      </c>
      <c r="M1046">
        <v>209</v>
      </c>
      <c r="N1046" s="1">
        <f t="shared" si="51"/>
        <v>1045</v>
      </c>
    </row>
    <row r="1047" spans="5:14" x14ac:dyDescent="0.25">
      <c r="E1047">
        <v>1361</v>
      </c>
      <c r="F1047" s="7">
        <v>45527</v>
      </c>
      <c r="G1047">
        <f t="shared" si="49"/>
        <v>2024</v>
      </c>
      <c r="H1047" s="7" t="str">
        <f t="shared" si="50"/>
        <v>Август</v>
      </c>
      <c r="I1047" t="s">
        <v>9</v>
      </c>
      <c r="J1047">
        <v>24</v>
      </c>
      <c r="K1047" t="s">
        <v>8</v>
      </c>
      <c r="L1047">
        <v>3</v>
      </c>
      <c r="M1047">
        <v>203</v>
      </c>
      <c r="N1047" s="1">
        <f t="shared" si="51"/>
        <v>609</v>
      </c>
    </row>
    <row r="1048" spans="5:14" x14ac:dyDescent="0.25">
      <c r="E1048">
        <v>118</v>
      </c>
      <c r="F1048" s="7">
        <v>45062</v>
      </c>
      <c r="G1048">
        <f t="shared" si="49"/>
        <v>2023</v>
      </c>
      <c r="H1048" s="7" t="str">
        <f t="shared" si="50"/>
        <v>Май</v>
      </c>
      <c r="I1048" t="s">
        <v>9</v>
      </c>
      <c r="J1048">
        <v>30</v>
      </c>
      <c r="K1048" t="s">
        <v>11</v>
      </c>
      <c r="L1048">
        <v>4</v>
      </c>
      <c r="M1048">
        <v>500</v>
      </c>
      <c r="N1048" s="1">
        <f t="shared" si="51"/>
        <v>2000</v>
      </c>
    </row>
    <row r="1049" spans="5:14" x14ac:dyDescent="0.25">
      <c r="E1049">
        <v>277</v>
      </c>
      <c r="F1049" s="7">
        <v>44998</v>
      </c>
      <c r="G1049">
        <f t="shared" si="49"/>
        <v>2023</v>
      </c>
      <c r="H1049" s="7" t="str">
        <f t="shared" si="50"/>
        <v>Март</v>
      </c>
      <c r="I1049" t="s">
        <v>9</v>
      </c>
      <c r="J1049">
        <v>37</v>
      </c>
      <c r="K1049" t="s">
        <v>10</v>
      </c>
      <c r="L1049">
        <v>4</v>
      </c>
      <c r="M1049">
        <v>25</v>
      </c>
      <c r="N1049" s="1">
        <f t="shared" si="51"/>
        <v>100</v>
      </c>
    </row>
    <row r="1050" spans="5:14" x14ac:dyDescent="0.25">
      <c r="E1050">
        <v>963</v>
      </c>
      <c r="F1050" s="7">
        <v>45239</v>
      </c>
      <c r="G1050">
        <f t="shared" si="49"/>
        <v>2023</v>
      </c>
      <c r="H1050" s="7" t="str">
        <f t="shared" si="50"/>
        <v>Ноябрь</v>
      </c>
      <c r="I1050" t="s">
        <v>7</v>
      </c>
      <c r="J1050">
        <v>22</v>
      </c>
      <c r="K1050" t="s">
        <v>10</v>
      </c>
      <c r="L1050">
        <v>4</v>
      </c>
      <c r="M1050">
        <v>50</v>
      </c>
      <c r="N1050" s="1">
        <f t="shared" si="51"/>
        <v>200</v>
      </c>
    </row>
    <row r="1051" spans="5:14" x14ac:dyDescent="0.25">
      <c r="E1051">
        <v>299</v>
      </c>
      <c r="F1051" s="7">
        <v>44957</v>
      </c>
      <c r="G1051">
        <f t="shared" si="49"/>
        <v>2023</v>
      </c>
      <c r="H1051" s="7" t="str">
        <f t="shared" si="50"/>
        <v>Январь</v>
      </c>
      <c r="I1051" t="s">
        <v>9</v>
      </c>
      <c r="J1051">
        <v>19</v>
      </c>
      <c r="K1051" t="s">
        <v>11</v>
      </c>
      <c r="L1051">
        <v>4</v>
      </c>
      <c r="M1051">
        <v>50</v>
      </c>
      <c r="N1051" s="1">
        <f t="shared" si="51"/>
        <v>200</v>
      </c>
    </row>
    <row r="1052" spans="5:14" x14ac:dyDescent="0.25">
      <c r="E1052">
        <v>440</v>
      </c>
      <c r="F1052" s="7">
        <v>45209</v>
      </c>
      <c r="G1052">
        <f t="shared" si="49"/>
        <v>2023</v>
      </c>
      <c r="H1052" s="7" t="str">
        <f t="shared" si="50"/>
        <v>Октябрь</v>
      </c>
      <c r="I1052" t="s">
        <v>7</v>
      </c>
      <c r="J1052">
        <v>57</v>
      </c>
      <c r="K1052" t="s">
        <v>8</v>
      </c>
      <c r="L1052">
        <v>4</v>
      </c>
      <c r="M1052">
        <v>300</v>
      </c>
      <c r="N1052" s="1">
        <f t="shared" si="51"/>
        <v>1200</v>
      </c>
    </row>
    <row r="1053" spans="5:14" x14ac:dyDescent="0.25">
      <c r="E1053">
        <v>384</v>
      </c>
      <c r="F1053" s="7">
        <v>45205</v>
      </c>
      <c r="G1053">
        <f t="shared" si="49"/>
        <v>2023</v>
      </c>
      <c r="H1053" s="7" t="str">
        <f t="shared" si="50"/>
        <v>Октябрь</v>
      </c>
      <c r="I1053" t="s">
        <v>7</v>
      </c>
      <c r="J1053">
        <v>50</v>
      </c>
      <c r="K1053" t="s">
        <v>11</v>
      </c>
      <c r="L1053">
        <v>3</v>
      </c>
      <c r="M1053">
        <v>500</v>
      </c>
      <c r="N1053" s="1">
        <f t="shared" si="51"/>
        <v>1500</v>
      </c>
    </row>
    <row r="1054" spans="5:14" x14ac:dyDescent="0.25">
      <c r="E1054">
        <v>500</v>
      </c>
      <c r="F1054" s="7">
        <v>45060</v>
      </c>
      <c r="G1054">
        <f t="shared" si="49"/>
        <v>2023</v>
      </c>
      <c r="H1054" s="7" t="str">
        <f t="shared" si="50"/>
        <v>Май</v>
      </c>
      <c r="I1054" t="s">
        <v>7</v>
      </c>
      <c r="J1054">
        <v>39</v>
      </c>
      <c r="K1054" t="s">
        <v>11</v>
      </c>
      <c r="L1054">
        <v>2</v>
      </c>
      <c r="M1054">
        <v>30</v>
      </c>
      <c r="N1054" s="1">
        <f t="shared" si="51"/>
        <v>60</v>
      </c>
    </row>
    <row r="1055" spans="5:14" x14ac:dyDescent="0.25">
      <c r="E1055">
        <v>419</v>
      </c>
      <c r="F1055" s="7">
        <v>44949</v>
      </c>
      <c r="G1055">
        <f t="shared" si="49"/>
        <v>2023</v>
      </c>
      <c r="H1055" s="7" t="str">
        <f t="shared" si="50"/>
        <v>Январь</v>
      </c>
      <c r="I1055" t="s">
        <v>9</v>
      </c>
      <c r="J1055">
        <v>22</v>
      </c>
      <c r="K1055" t="s">
        <v>10</v>
      </c>
      <c r="L1055">
        <v>4</v>
      </c>
      <c r="M1055">
        <v>500</v>
      </c>
      <c r="N1055" s="1">
        <f t="shared" si="51"/>
        <v>2000</v>
      </c>
    </row>
    <row r="1056" spans="5:14" x14ac:dyDescent="0.25">
      <c r="E1056">
        <v>49</v>
      </c>
      <c r="F1056" s="7">
        <v>44949</v>
      </c>
      <c r="G1056">
        <f t="shared" si="49"/>
        <v>2023</v>
      </c>
      <c r="H1056" s="7" t="str">
        <f t="shared" si="50"/>
        <v>Январь</v>
      </c>
      <c r="I1056" t="s">
        <v>9</v>
      </c>
      <c r="J1056">
        <v>54</v>
      </c>
      <c r="K1056" t="s">
        <v>11</v>
      </c>
      <c r="L1056">
        <v>2</v>
      </c>
      <c r="M1056">
        <v>500</v>
      </c>
      <c r="N1056" s="1">
        <f t="shared" si="51"/>
        <v>1000</v>
      </c>
    </row>
    <row r="1057" spans="5:14" x14ac:dyDescent="0.25">
      <c r="E1057">
        <v>1081</v>
      </c>
      <c r="F1057" s="7">
        <v>45642</v>
      </c>
      <c r="G1057">
        <f t="shared" si="49"/>
        <v>2024</v>
      </c>
      <c r="H1057" s="7" t="str">
        <f t="shared" si="50"/>
        <v>Декабрь</v>
      </c>
      <c r="I1057" t="s">
        <v>7</v>
      </c>
      <c r="J1057">
        <v>64</v>
      </c>
      <c r="K1057" t="s">
        <v>11</v>
      </c>
      <c r="L1057">
        <v>4</v>
      </c>
      <c r="M1057">
        <v>43</v>
      </c>
      <c r="N1057" s="1">
        <f t="shared" si="51"/>
        <v>172</v>
      </c>
    </row>
    <row r="1058" spans="5:14" x14ac:dyDescent="0.25">
      <c r="E1058">
        <v>975</v>
      </c>
      <c r="F1058" s="7">
        <v>44965</v>
      </c>
      <c r="G1058">
        <f t="shared" si="49"/>
        <v>2023</v>
      </c>
      <c r="H1058" s="7" t="str">
        <f t="shared" si="50"/>
        <v>Февраль</v>
      </c>
      <c r="I1058" t="s">
        <v>9</v>
      </c>
      <c r="J1058">
        <v>35</v>
      </c>
      <c r="K1058" t="s">
        <v>11</v>
      </c>
      <c r="L1058">
        <v>3</v>
      </c>
      <c r="M1058">
        <v>25</v>
      </c>
      <c r="N1058" s="1">
        <f t="shared" si="51"/>
        <v>75</v>
      </c>
    </row>
    <row r="1059" spans="5:14" x14ac:dyDescent="0.25">
      <c r="E1059">
        <v>532</v>
      </c>
      <c r="F1059" s="7">
        <v>45246</v>
      </c>
      <c r="G1059">
        <f t="shared" si="49"/>
        <v>2023</v>
      </c>
      <c r="H1059" s="7" t="str">
        <f t="shared" si="50"/>
        <v>Ноябрь</v>
      </c>
      <c r="I1059" t="s">
        <v>7</v>
      </c>
      <c r="J1059">
        <v>19</v>
      </c>
      <c r="K1059" t="s">
        <v>11</v>
      </c>
      <c r="L1059">
        <v>3</v>
      </c>
      <c r="M1059">
        <v>500</v>
      </c>
      <c r="N1059" s="1">
        <f t="shared" si="51"/>
        <v>1500</v>
      </c>
    </row>
    <row r="1060" spans="5:14" x14ac:dyDescent="0.25">
      <c r="E1060">
        <v>539</v>
      </c>
      <c r="F1060" s="7">
        <v>45268</v>
      </c>
      <c r="G1060">
        <f t="shared" si="49"/>
        <v>2023</v>
      </c>
      <c r="H1060" s="7" t="str">
        <f t="shared" si="50"/>
        <v>Декабрь</v>
      </c>
      <c r="I1060" t="s">
        <v>9</v>
      </c>
      <c r="J1060">
        <v>46</v>
      </c>
      <c r="K1060" t="s">
        <v>11</v>
      </c>
      <c r="L1060">
        <v>3</v>
      </c>
      <c r="M1060">
        <v>300</v>
      </c>
      <c r="N1060" s="1">
        <f t="shared" si="51"/>
        <v>900</v>
      </c>
    </row>
    <row r="1061" spans="5:14" x14ac:dyDescent="0.25">
      <c r="E1061">
        <v>342</v>
      </c>
      <c r="F1061" s="7">
        <v>45231</v>
      </c>
      <c r="G1061">
        <f t="shared" si="49"/>
        <v>2023</v>
      </c>
      <c r="H1061" s="7" t="str">
        <f t="shared" si="50"/>
        <v>Ноябрь</v>
      </c>
      <c r="I1061" t="s">
        <v>7</v>
      </c>
      <c r="J1061">
        <v>21</v>
      </c>
      <c r="K1061" t="s">
        <v>11</v>
      </c>
      <c r="L1061">
        <v>2</v>
      </c>
      <c r="M1061">
        <v>25</v>
      </c>
      <c r="N1061" s="1">
        <f t="shared" si="51"/>
        <v>50</v>
      </c>
    </row>
    <row r="1062" spans="5:14" x14ac:dyDescent="0.25">
      <c r="E1062">
        <v>846</v>
      </c>
      <c r="F1062" s="7">
        <v>44970</v>
      </c>
      <c r="G1062">
        <f t="shared" si="49"/>
        <v>2023</v>
      </c>
      <c r="H1062" s="7" t="str">
        <f t="shared" si="50"/>
        <v>Февраль</v>
      </c>
      <c r="I1062" t="s">
        <v>9</v>
      </c>
      <c r="J1062">
        <v>63</v>
      </c>
      <c r="K1062" t="s">
        <v>10</v>
      </c>
      <c r="L1062">
        <v>3</v>
      </c>
      <c r="M1062">
        <v>25</v>
      </c>
      <c r="N1062" s="1">
        <f t="shared" si="51"/>
        <v>75</v>
      </c>
    </row>
    <row r="1063" spans="5:14" x14ac:dyDescent="0.25">
      <c r="E1063">
        <v>181</v>
      </c>
      <c r="F1063" s="7">
        <v>45233</v>
      </c>
      <c r="G1063">
        <f t="shared" si="49"/>
        <v>2023</v>
      </c>
      <c r="H1063" s="7" t="str">
        <f t="shared" si="50"/>
        <v>Ноябрь</v>
      </c>
      <c r="I1063" t="s">
        <v>7</v>
      </c>
      <c r="J1063">
        <v>19</v>
      </c>
      <c r="K1063" t="s">
        <v>11</v>
      </c>
      <c r="L1063">
        <v>4</v>
      </c>
      <c r="M1063">
        <v>300</v>
      </c>
      <c r="N1063" s="1">
        <f t="shared" si="51"/>
        <v>1200</v>
      </c>
    </row>
    <row r="1064" spans="5:14" x14ac:dyDescent="0.25">
      <c r="E1064">
        <v>210</v>
      </c>
      <c r="F1064" s="7">
        <v>45029</v>
      </c>
      <c r="G1064">
        <f t="shared" si="49"/>
        <v>2023</v>
      </c>
      <c r="H1064" s="7" t="str">
        <f t="shared" si="50"/>
        <v>Апрель</v>
      </c>
      <c r="I1064" t="s">
        <v>7</v>
      </c>
      <c r="J1064">
        <v>37</v>
      </c>
      <c r="K1064" t="s">
        <v>11</v>
      </c>
      <c r="L1064">
        <v>4</v>
      </c>
      <c r="M1064">
        <v>50</v>
      </c>
      <c r="N1064" s="1">
        <f t="shared" si="51"/>
        <v>200</v>
      </c>
    </row>
    <row r="1065" spans="5:14" x14ac:dyDescent="0.25">
      <c r="E1065">
        <v>565</v>
      </c>
      <c r="F1065" s="7">
        <v>45262</v>
      </c>
      <c r="G1065">
        <f t="shared" si="49"/>
        <v>2023</v>
      </c>
      <c r="H1065" s="7" t="str">
        <f t="shared" si="50"/>
        <v>Декабрь</v>
      </c>
      <c r="I1065" t="s">
        <v>9</v>
      </c>
      <c r="J1065">
        <v>64</v>
      </c>
      <c r="K1065" t="s">
        <v>10</v>
      </c>
      <c r="L1065">
        <v>1</v>
      </c>
      <c r="M1065">
        <v>30</v>
      </c>
      <c r="N1065" s="1">
        <f t="shared" si="51"/>
        <v>30</v>
      </c>
    </row>
    <row r="1066" spans="5:14" x14ac:dyDescent="0.25">
      <c r="E1066">
        <v>124</v>
      </c>
      <c r="F1066" s="7">
        <v>45226</v>
      </c>
      <c r="G1066">
        <f t="shared" si="49"/>
        <v>2023</v>
      </c>
      <c r="H1066" s="7" t="str">
        <f t="shared" si="50"/>
        <v>Октябрь</v>
      </c>
      <c r="I1066" t="s">
        <v>7</v>
      </c>
      <c r="J1066">
        <v>33</v>
      </c>
      <c r="K1066" t="s">
        <v>10</v>
      </c>
      <c r="L1066">
        <v>4</v>
      </c>
      <c r="M1066">
        <v>500</v>
      </c>
      <c r="N1066" s="1">
        <f t="shared" si="51"/>
        <v>2000</v>
      </c>
    </row>
    <row r="1067" spans="5:14" x14ac:dyDescent="0.25">
      <c r="E1067">
        <v>76</v>
      </c>
      <c r="F1067" s="7">
        <v>45010</v>
      </c>
      <c r="G1067">
        <f t="shared" si="49"/>
        <v>2023</v>
      </c>
      <c r="H1067" s="7" t="str">
        <f t="shared" si="50"/>
        <v>Март</v>
      </c>
      <c r="I1067" t="s">
        <v>9</v>
      </c>
      <c r="J1067">
        <v>22</v>
      </c>
      <c r="K1067" t="s">
        <v>11</v>
      </c>
      <c r="L1067">
        <v>2</v>
      </c>
      <c r="M1067">
        <v>50</v>
      </c>
      <c r="N1067" s="1">
        <f t="shared" si="51"/>
        <v>100</v>
      </c>
    </row>
    <row r="1068" spans="5:14" x14ac:dyDescent="0.25">
      <c r="E1068">
        <v>84</v>
      </c>
      <c r="F1068" s="7">
        <v>45258</v>
      </c>
      <c r="G1068">
        <f t="shared" si="49"/>
        <v>2023</v>
      </c>
      <c r="H1068" s="7" t="str">
        <f t="shared" si="50"/>
        <v>Ноябрь</v>
      </c>
      <c r="I1068" t="s">
        <v>9</v>
      </c>
      <c r="J1068">
        <v>38</v>
      </c>
      <c r="K1068" t="s">
        <v>11</v>
      </c>
      <c r="L1068">
        <v>3</v>
      </c>
      <c r="M1068">
        <v>30</v>
      </c>
      <c r="N1068" s="1">
        <f t="shared" si="51"/>
        <v>90</v>
      </c>
    </row>
    <row r="1069" spans="5:14" x14ac:dyDescent="0.25">
      <c r="E1069">
        <v>1768</v>
      </c>
      <c r="F1069" s="7">
        <v>45485</v>
      </c>
      <c r="G1069">
        <f t="shared" si="49"/>
        <v>2024</v>
      </c>
      <c r="H1069" s="7" t="str">
        <f t="shared" si="50"/>
        <v>Июль</v>
      </c>
      <c r="I1069" t="s">
        <v>7</v>
      </c>
      <c r="J1069">
        <v>29</v>
      </c>
      <c r="K1069" t="s">
        <v>11</v>
      </c>
      <c r="L1069">
        <v>5</v>
      </c>
      <c r="M1069">
        <v>425</v>
      </c>
      <c r="N1069" s="1">
        <f t="shared" si="51"/>
        <v>2125</v>
      </c>
    </row>
    <row r="1070" spans="5:14" x14ac:dyDescent="0.25">
      <c r="E1070">
        <v>1332</v>
      </c>
      <c r="F1070" s="7">
        <v>45326</v>
      </c>
      <c r="G1070">
        <f t="shared" si="49"/>
        <v>2024</v>
      </c>
      <c r="H1070" s="7" t="str">
        <f t="shared" si="50"/>
        <v>Февраль</v>
      </c>
      <c r="I1070" t="s">
        <v>9</v>
      </c>
      <c r="J1070">
        <v>57</v>
      </c>
      <c r="K1070" t="s">
        <v>8</v>
      </c>
      <c r="L1070">
        <v>2</v>
      </c>
      <c r="M1070">
        <v>479</v>
      </c>
      <c r="N1070" s="1">
        <f t="shared" si="51"/>
        <v>958</v>
      </c>
    </row>
    <row r="1071" spans="5:14" x14ac:dyDescent="0.25">
      <c r="E1071">
        <v>1396</v>
      </c>
      <c r="F1071" s="7">
        <v>45352</v>
      </c>
      <c r="G1071">
        <f t="shared" si="49"/>
        <v>2024</v>
      </c>
      <c r="H1071" s="7" t="str">
        <f t="shared" si="50"/>
        <v>Март</v>
      </c>
      <c r="I1071" t="s">
        <v>9</v>
      </c>
      <c r="J1071">
        <v>19</v>
      </c>
      <c r="K1071" t="s">
        <v>8</v>
      </c>
      <c r="L1071">
        <v>1</v>
      </c>
      <c r="M1071">
        <v>387</v>
      </c>
      <c r="N1071" s="1">
        <f t="shared" si="51"/>
        <v>387</v>
      </c>
    </row>
    <row r="1072" spans="5:14" x14ac:dyDescent="0.25">
      <c r="E1072">
        <v>955</v>
      </c>
      <c r="F1072" s="7">
        <v>45153</v>
      </c>
      <c r="G1072">
        <f t="shared" si="49"/>
        <v>2023</v>
      </c>
      <c r="H1072" s="7" t="str">
        <f t="shared" si="50"/>
        <v>Август</v>
      </c>
      <c r="I1072" t="s">
        <v>9</v>
      </c>
      <c r="J1072">
        <v>60</v>
      </c>
      <c r="K1072" t="s">
        <v>11</v>
      </c>
      <c r="L1072">
        <v>4</v>
      </c>
      <c r="M1072">
        <v>30</v>
      </c>
      <c r="N1072" s="1">
        <f t="shared" si="51"/>
        <v>120</v>
      </c>
    </row>
    <row r="1073" spans="5:14" x14ac:dyDescent="0.25">
      <c r="E1073">
        <v>1266</v>
      </c>
      <c r="F1073" s="7">
        <v>45323</v>
      </c>
      <c r="G1073">
        <f t="shared" si="49"/>
        <v>2024</v>
      </c>
      <c r="H1073" s="7" t="str">
        <f t="shared" si="50"/>
        <v>Февраль</v>
      </c>
      <c r="I1073" t="s">
        <v>7</v>
      </c>
      <c r="J1073">
        <v>59</v>
      </c>
      <c r="K1073" t="s">
        <v>10</v>
      </c>
      <c r="L1073">
        <v>3</v>
      </c>
      <c r="M1073">
        <v>423</v>
      </c>
      <c r="N1073" s="1">
        <f t="shared" si="51"/>
        <v>1269</v>
      </c>
    </row>
    <row r="1074" spans="5:14" x14ac:dyDescent="0.25">
      <c r="E1074">
        <v>1329</v>
      </c>
      <c r="F1074" s="7">
        <v>45388</v>
      </c>
      <c r="G1074">
        <f t="shared" si="49"/>
        <v>2024</v>
      </c>
      <c r="H1074" s="7" t="str">
        <f t="shared" si="50"/>
        <v>Апрель</v>
      </c>
      <c r="I1074" t="s">
        <v>7</v>
      </c>
      <c r="J1074">
        <v>65</v>
      </c>
      <c r="K1074" t="s">
        <v>11</v>
      </c>
      <c r="L1074">
        <v>6</v>
      </c>
      <c r="M1074">
        <v>425</v>
      </c>
      <c r="N1074" s="1">
        <f t="shared" si="51"/>
        <v>2550</v>
      </c>
    </row>
    <row r="1075" spans="5:14" x14ac:dyDescent="0.25">
      <c r="E1075">
        <v>788</v>
      </c>
      <c r="F1075" s="7">
        <v>45146</v>
      </c>
      <c r="G1075">
        <f t="shared" si="49"/>
        <v>2023</v>
      </c>
      <c r="H1075" s="7" t="str">
        <f t="shared" si="50"/>
        <v>Август</v>
      </c>
      <c r="I1075" t="s">
        <v>7</v>
      </c>
      <c r="J1075">
        <v>62</v>
      </c>
      <c r="K1075" t="s">
        <v>10</v>
      </c>
      <c r="L1075">
        <v>1</v>
      </c>
      <c r="M1075">
        <v>25</v>
      </c>
      <c r="N1075" s="1">
        <f t="shared" si="51"/>
        <v>25</v>
      </c>
    </row>
    <row r="1076" spans="5:14" x14ac:dyDescent="0.25">
      <c r="E1076">
        <v>1042</v>
      </c>
      <c r="F1076" s="7">
        <v>45341</v>
      </c>
      <c r="G1076">
        <f t="shared" si="49"/>
        <v>2024</v>
      </c>
      <c r="H1076" s="7" t="str">
        <f t="shared" si="50"/>
        <v>Февраль</v>
      </c>
      <c r="I1076" t="s">
        <v>9</v>
      </c>
      <c r="J1076">
        <v>32</v>
      </c>
      <c r="K1076" t="s">
        <v>10</v>
      </c>
      <c r="L1076">
        <v>1</v>
      </c>
      <c r="M1076">
        <v>178</v>
      </c>
      <c r="N1076" s="1">
        <f t="shared" si="51"/>
        <v>178</v>
      </c>
    </row>
    <row r="1077" spans="5:14" x14ac:dyDescent="0.25">
      <c r="E1077">
        <v>1212</v>
      </c>
      <c r="F1077" s="7">
        <v>45625</v>
      </c>
      <c r="G1077">
        <f t="shared" si="49"/>
        <v>2024</v>
      </c>
      <c r="H1077" s="7" t="str">
        <f t="shared" si="50"/>
        <v>Ноябрь</v>
      </c>
      <c r="I1077" t="s">
        <v>7</v>
      </c>
      <c r="J1077">
        <v>37</v>
      </c>
      <c r="K1077" t="s">
        <v>10</v>
      </c>
      <c r="L1077">
        <v>6</v>
      </c>
      <c r="M1077">
        <v>305</v>
      </c>
      <c r="N1077" s="1">
        <f t="shared" si="51"/>
        <v>1830</v>
      </c>
    </row>
    <row r="1078" spans="5:14" x14ac:dyDescent="0.25">
      <c r="E1078">
        <v>36</v>
      </c>
      <c r="F1078" s="7">
        <v>45101</v>
      </c>
      <c r="G1078">
        <f t="shared" si="49"/>
        <v>2023</v>
      </c>
      <c r="H1078" s="7" t="str">
        <f t="shared" si="50"/>
        <v>Июнь</v>
      </c>
      <c r="I1078" t="s">
        <v>7</v>
      </c>
      <c r="J1078">
        <v>52</v>
      </c>
      <c r="K1078" t="s">
        <v>8</v>
      </c>
      <c r="L1078">
        <v>3</v>
      </c>
      <c r="M1078">
        <v>300</v>
      </c>
      <c r="N1078" s="1">
        <f t="shared" si="51"/>
        <v>900</v>
      </c>
    </row>
    <row r="1079" spans="5:14" x14ac:dyDescent="0.25">
      <c r="E1079">
        <v>670</v>
      </c>
      <c r="F1079" s="7">
        <v>45139</v>
      </c>
      <c r="G1079">
        <f t="shared" si="49"/>
        <v>2023</v>
      </c>
      <c r="H1079" s="7" t="str">
        <f t="shared" si="50"/>
        <v>Август</v>
      </c>
      <c r="I1079" t="s">
        <v>9</v>
      </c>
      <c r="J1079">
        <v>34</v>
      </c>
      <c r="K1079" t="s">
        <v>8</v>
      </c>
      <c r="L1079">
        <v>2</v>
      </c>
      <c r="M1079">
        <v>50</v>
      </c>
      <c r="N1079" s="1">
        <f t="shared" si="51"/>
        <v>100</v>
      </c>
    </row>
    <row r="1080" spans="5:14" x14ac:dyDescent="0.25">
      <c r="E1080">
        <v>1614</v>
      </c>
      <c r="F1080" s="7">
        <v>45530</v>
      </c>
      <c r="G1080">
        <f t="shared" si="49"/>
        <v>2024</v>
      </c>
      <c r="H1080" s="7" t="str">
        <f t="shared" si="50"/>
        <v>Август</v>
      </c>
      <c r="I1080" t="s">
        <v>7</v>
      </c>
      <c r="J1080">
        <v>64</v>
      </c>
      <c r="K1080" t="s">
        <v>11</v>
      </c>
      <c r="L1080">
        <v>5</v>
      </c>
      <c r="M1080">
        <v>368</v>
      </c>
      <c r="N1080" s="1">
        <f t="shared" si="51"/>
        <v>1840</v>
      </c>
    </row>
    <row r="1081" spans="5:14" x14ac:dyDescent="0.25">
      <c r="E1081">
        <v>330</v>
      </c>
      <c r="F1081" s="7">
        <v>44968</v>
      </c>
      <c r="G1081">
        <f t="shared" si="49"/>
        <v>2023</v>
      </c>
      <c r="H1081" s="7" t="str">
        <f t="shared" si="50"/>
        <v>Февраль</v>
      </c>
      <c r="I1081" t="s">
        <v>7</v>
      </c>
      <c r="J1081">
        <v>28</v>
      </c>
      <c r="K1081" t="s">
        <v>11</v>
      </c>
      <c r="L1081">
        <v>3</v>
      </c>
      <c r="M1081">
        <v>30</v>
      </c>
      <c r="N1081" s="1">
        <f t="shared" si="51"/>
        <v>90</v>
      </c>
    </row>
    <row r="1082" spans="5:14" x14ac:dyDescent="0.25">
      <c r="E1082">
        <v>1814</v>
      </c>
      <c r="F1082" s="7">
        <v>45430</v>
      </c>
      <c r="G1082">
        <f t="shared" si="49"/>
        <v>2024</v>
      </c>
      <c r="H1082" s="7" t="str">
        <f t="shared" si="50"/>
        <v>Май</v>
      </c>
      <c r="I1082" t="s">
        <v>7</v>
      </c>
      <c r="J1082">
        <v>47</v>
      </c>
      <c r="K1082" t="s">
        <v>11</v>
      </c>
      <c r="L1082">
        <v>6</v>
      </c>
      <c r="M1082">
        <v>417</v>
      </c>
      <c r="N1082" s="1">
        <f t="shared" si="51"/>
        <v>2502</v>
      </c>
    </row>
    <row r="1083" spans="5:14" x14ac:dyDescent="0.25">
      <c r="E1083">
        <v>840</v>
      </c>
      <c r="F1083" s="7">
        <v>45286</v>
      </c>
      <c r="G1083">
        <f t="shared" si="49"/>
        <v>2023</v>
      </c>
      <c r="H1083" s="7" t="str">
        <f t="shared" si="50"/>
        <v>Декабрь</v>
      </c>
      <c r="I1083" t="s">
        <v>9</v>
      </c>
      <c r="J1083">
        <v>47</v>
      </c>
      <c r="K1083" t="s">
        <v>10</v>
      </c>
      <c r="L1083">
        <v>2</v>
      </c>
      <c r="M1083">
        <v>300</v>
      </c>
      <c r="N1083" s="1">
        <f t="shared" si="51"/>
        <v>600</v>
      </c>
    </row>
    <row r="1084" spans="5:14" x14ac:dyDescent="0.25">
      <c r="E1084">
        <v>1838</v>
      </c>
      <c r="F1084" s="7">
        <v>45652</v>
      </c>
      <c r="G1084">
        <f t="shared" si="49"/>
        <v>2024</v>
      </c>
      <c r="H1084" s="7" t="str">
        <f t="shared" si="50"/>
        <v>Декабрь</v>
      </c>
      <c r="I1084" t="s">
        <v>9</v>
      </c>
      <c r="J1084">
        <v>62</v>
      </c>
      <c r="K1084" t="s">
        <v>10</v>
      </c>
      <c r="L1084">
        <v>5</v>
      </c>
      <c r="M1084">
        <v>283</v>
      </c>
      <c r="N1084" s="1">
        <f t="shared" si="51"/>
        <v>1415</v>
      </c>
    </row>
    <row r="1085" spans="5:14" x14ac:dyDescent="0.25">
      <c r="E1085">
        <v>1069</v>
      </c>
      <c r="F1085" s="7">
        <v>45487</v>
      </c>
      <c r="G1085">
        <f t="shared" si="49"/>
        <v>2024</v>
      </c>
      <c r="H1085" s="7" t="str">
        <f t="shared" si="50"/>
        <v>Июль</v>
      </c>
      <c r="I1085" t="s">
        <v>9</v>
      </c>
      <c r="J1085">
        <v>46</v>
      </c>
      <c r="K1085" t="s">
        <v>8</v>
      </c>
      <c r="L1085">
        <v>5</v>
      </c>
      <c r="M1085">
        <v>47</v>
      </c>
      <c r="N1085" s="1">
        <f t="shared" si="51"/>
        <v>235</v>
      </c>
    </row>
    <row r="1086" spans="5:14" x14ac:dyDescent="0.25">
      <c r="E1086">
        <v>1665</v>
      </c>
      <c r="F1086" s="7">
        <v>45462</v>
      </c>
      <c r="G1086">
        <f t="shared" si="49"/>
        <v>2024</v>
      </c>
      <c r="H1086" s="7" t="str">
        <f t="shared" si="50"/>
        <v>Июнь</v>
      </c>
      <c r="I1086" t="s">
        <v>7</v>
      </c>
      <c r="J1086">
        <v>46</v>
      </c>
      <c r="K1086" t="s">
        <v>8</v>
      </c>
      <c r="L1086">
        <v>7</v>
      </c>
      <c r="M1086">
        <v>230</v>
      </c>
      <c r="N1086" s="1">
        <f t="shared" si="51"/>
        <v>1610</v>
      </c>
    </row>
    <row r="1087" spans="5:14" x14ac:dyDescent="0.25">
      <c r="E1087">
        <v>1231</v>
      </c>
      <c r="F1087" s="7">
        <v>45616</v>
      </c>
      <c r="G1087">
        <f t="shared" si="49"/>
        <v>2024</v>
      </c>
      <c r="H1087" s="7" t="str">
        <f t="shared" si="50"/>
        <v>Ноябрь</v>
      </c>
      <c r="I1087" t="s">
        <v>9</v>
      </c>
      <c r="J1087">
        <v>24</v>
      </c>
      <c r="K1087" t="s">
        <v>11</v>
      </c>
      <c r="L1087">
        <v>6</v>
      </c>
      <c r="M1087">
        <v>207</v>
      </c>
      <c r="N1087" s="1">
        <f t="shared" si="51"/>
        <v>1242</v>
      </c>
    </row>
    <row r="1088" spans="5:14" x14ac:dyDescent="0.25">
      <c r="E1088">
        <v>266</v>
      </c>
      <c r="F1088" s="7">
        <v>45257</v>
      </c>
      <c r="G1088">
        <f t="shared" si="49"/>
        <v>2023</v>
      </c>
      <c r="H1088" s="7" t="str">
        <f t="shared" si="50"/>
        <v>Ноябрь</v>
      </c>
      <c r="I1088" t="s">
        <v>9</v>
      </c>
      <c r="J1088">
        <v>32</v>
      </c>
      <c r="K1088" t="s">
        <v>8</v>
      </c>
      <c r="L1088">
        <v>3</v>
      </c>
      <c r="M1088">
        <v>30</v>
      </c>
      <c r="N1088" s="1">
        <f t="shared" si="51"/>
        <v>90</v>
      </c>
    </row>
    <row r="1089" spans="5:14" x14ac:dyDescent="0.25">
      <c r="E1089">
        <v>68</v>
      </c>
      <c r="F1089" s="7">
        <v>44967</v>
      </c>
      <c r="G1089">
        <f t="shared" si="49"/>
        <v>2023</v>
      </c>
      <c r="H1089" s="7" t="str">
        <f t="shared" si="50"/>
        <v>Февраль</v>
      </c>
      <c r="I1089" t="s">
        <v>7</v>
      </c>
      <c r="J1089">
        <v>25</v>
      </c>
      <c r="K1089" t="s">
        <v>11</v>
      </c>
      <c r="L1089">
        <v>1</v>
      </c>
      <c r="M1089">
        <v>300</v>
      </c>
      <c r="N1089" s="1">
        <f t="shared" si="51"/>
        <v>300</v>
      </c>
    </row>
    <row r="1090" spans="5:14" x14ac:dyDescent="0.25">
      <c r="E1090">
        <v>205</v>
      </c>
      <c r="F1090" s="7">
        <v>45237</v>
      </c>
      <c r="G1090">
        <f t="shared" si="49"/>
        <v>2023</v>
      </c>
      <c r="H1090" s="7" t="str">
        <f t="shared" si="50"/>
        <v>Ноябрь</v>
      </c>
      <c r="I1090" t="s">
        <v>9</v>
      </c>
      <c r="J1090">
        <v>43</v>
      </c>
      <c r="K1090" t="s">
        <v>10</v>
      </c>
      <c r="L1090">
        <v>1</v>
      </c>
      <c r="M1090">
        <v>25</v>
      </c>
      <c r="N1090" s="1">
        <f t="shared" si="51"/>
        <v>25</v>
      </c>
    </row>
    <row r="1091" spans="5:14" x14ac:dyDescent="0.25">
      <c r="E1091">
        <v>1656</v>
      </c>
      <c r="F1091" s="7">
        <v>45411</v>
      </c>
      <c r="G1091">
        <f t="shared" si="49"/>
        <v>2024</v>
      </c>
      <c r="H1091" s="7" t="str">
        <f t="shared" si="50"/>
        <v>Апрель</v>
      </c>
      <c r="I1091" t="s">
        <v>9</v>
      </c>
      <c r="J1091">
        <v>55</v>
      </c>
      <c r="K1091" t="s">
        <v>8</v>
      </c>
      <c r="L1091">
        <v>7</v>
      </c>
      <c r="M1091">
        <v>355</v>
      </c>
      <c r="N1091" s="1">
        <f t="shared" si="51"/>
        <v>2485</v>
      </c>
    </row>
    <row r="1092" spans="5:14" x14ac:dyDescent="0.25">
      <c r="E1092">
        <v>1079</v>
      </c>
      <c r="F1092" s="7">
        <v>45429</v>
      </c>
      <c r="G1092">
        <f t="shared" si="49"/>
        <v>2024</v>
      </c>
      <c r="H1092" s="7" t="str">
        <f t="shared" si="50"/>
        <v>Май</v>
      </c>
      <c r="I1092" t="s">
        <v>7</v>
      </c>
      <c r="J1092">
        <v>65</v>
      </c>
      <c r="K1092" t="s">
        <v>11</v>
      </c>
      <c r="L1092">
        <v>3</v>
      </c>
      <c r="M1092">
        <v>224</v>
      </c>
      <c r="N1092" s="1">
        <f t="shared" si="51"/>
        <v>672</v>
      </c>
    </row>
    <row r="1093" spans="5:14" x14ac:dyDescent="0.25">
      <c r="E1093">
        <v>1698</v>
      </c>
      <c r="F1093" s="7">
        <v>45500</v>
      </c>
      <c r="G1093">
        <f t="shared" si="49"/>
        <v>2024</v>
      </c>
      <c r="H1093" s="7" t="str">
        <f t="shared" si="50"/>
        <v>Июль</v>
      </c>
      <c r="I1093" t="s">
        <v>9</v>
      </c>
      <c r="J1093">
        <v>46</v>
      </c>
      <c r="K1093" t="s">
        <v>10</v>
      </c>
      <c r="L1093">
        <v>3</v>
      </c>
      <c r="M1093">
        <v>160</v>
      </c>
      <c r="N1093" s="1">
        <f t="shared" si="51"/>
        <v>480</v>
      </c>
    </row>
    <row r="1094" spans="5:14" x14ac:dyDescent="0.25">
      <c r="E1094">
        <v>54</v>
      </c>
      <c r="F1094" s="7">
        <v>44967</v>
      </c>
      <c r="G1094">
        <f t="shared" si="49"/>
        <v>2023</v>
      </c>
      <c r="H1094" s="7" t="str">
        <f t="shared" si="50"/>
        <v>Февраль</v>
      </c>
      <c r="I1094" t="s">
        <v>9</v>
      </c>
      <c r="J1094">
        <v>38</v>
      </c>
      <c r="K1094" t="s">
        <v>11</v>
      </c>
      <c r="L1094">
        <v>3</v>
      </c>
      <c r="M1094">
        <v>500</v>
      </c>
      <c r="N1094" s="1">
        <f t="shared" si="51"/>
        <v>1500</v>
      </c>
    </row>
    <row r="1095" spans="5:14" x14ac:dyDescent="0.25">
      <c r="E1095">
        <v>485</v>
      </c>
      <c r="F1095" s="7">
        <v>45025</v>
      </c>
      <c r="G1095">
        <f t="shared" si="49"/>
        <v>2023</v>
      </c>
      <c r="H1095" s="7" t="str">
        <f t="shared" si="50"/>
        <v>Апрель</v>
      </c>
      <c r="I1095" t="s">
        <v>9</v>
      </c>
      <c r="J1095">
        <v>35</v>
      </c>
      <c r="K1095" t="s">
        <v>11</v>
      </c>
      <c r="L1095">
        <v>1</v>
      </c>
      <c r="M1095">
        <v>25</v>
      </c>
      <c r="N1095" s="1">
        <f t="shared" si="51"/>
        <v>25</v>
      </c>
    </row>
    <row r="1096" spans="5:14" x14ac:dyDescent="0.25">
      <c r="E1096">
        <v>102</v>
      </c>
      <c r="F1096" s="7">
        <v>45044</v>
      </c>
      <c r="G1096">
        <f t="shared" si="49"/>
        <v>2023</v>
      </c>
      <c r="H1096" s="7" t="str">
        <f t="shared" si="50"/>
        <v>Апрель</v>
      </c>
      <c r="I1096" t="s">
        <v>9</v>
      </c>
      <c r="J1096">
        <v>47</v>
      </c>
      <c r="K1096" t="s">
        <v>8</v>
      </c>
      <c r="L1096">
        <v>2</v>
      </c>
      <c r="M1096">
        <v>25</v>
      </c>
      <c r="N1096" s="1">
        <f t="shared" si="51"/>
        <v>50</v>
      </c>
    </row>
    <row r="1097" spans="5:14" x14ac:dyDescent="0.25">
      <c r="E1097">
        <v>1413</v>
      </c>
      <c r="F1097" s="7">
        <v>45339</v>
      </c>
      <c r="G1097">
        <f t="shared" si="49"/>
        <v>2024</v>
      </c>
      <c r="H1097" s="7" t="str">
        <f t="shared" si="50"/>
        <v>Февраль</v>
      </c>
      <c r="I1097" t="s">
        <v>7</v>
      </c>
      <c r="J1097">
        <v>40</v>
      </c>
      <c r="K1097" t="s">
        <v>11</v>
      </c>
      <c r="L1097">
        <v>2</v>
      </c>
      <c r="M1097">
        <v>131</v>
      </c>
      <c r="N1097" s="1">
        <f t="shared" si="51"/>
        <v>262</v>
      </c>
    </row>
    <row r="1098" spans="5:14" x14ac:dyDescent="0.25">
      <c r="E1098">
        <v>968</v>
      </c>
      <c r="F1098" s="7">
        <v>45062</v>
      </c>
      <c r="G1098">
        <f t="shared" ref="G1098:G1161" si="52">YEAR(F1098)</f>
        <v>2023</v>
      </c>
      <c r="H1098" s="7" t="str">
        <f t="shared" ref="H1098:H1161" si="53">TEXT(F1098,"ММММ")</f>
        <v>Май</v>
      </c>
      <c r="I1098" t="s">
        <v>7</v>
      </c>
      <c r="J1098">
        <v>59</v>
      </c>
      <c r="K1098" t="s">
        <v>11</v>
      </c>
      <c r="L1098">
        <v>4</v>
      </c>
      <c r="M1098">
        <v>500</v>
      </c>
      <c r="N1098" s="1">
        <f t="shared" ref="N1098:N1161" si="54">L1098*M1098</f>
        <v>2000</v>
      </c>
    </row>
    <row r="1099" spans="5:14" x14ac:dyDescent="0.25">
      <c r="E1099">
        <v>1494</v>
      </c>
      <c r="F1099" s="7">
        <v>45567</v>
      </c>
      <c r="G1099">
        <f t="shared" si="52"/>
        <v>2024</v>
      </c>
      <c r="H1099" s="7" t="str">
        <f t="shared" si="53"/>
        <v>Октябрь</v>
      </c>
      <c r="I1099" t="s">
        <v>7</v>
      </c>
      <c r="J1099">
        <v>36</v>
      </c>
      <c r="K1099" t="s">
        <v>10</v>
      </c>
      <c r="L1099">
        <v>5</v>
      </c>
      <c r="M1099">
        <v>37</v>
      </c>
      <c r="N1099" s="1">
        <f t="shared" si="54"/>
        <v>185</v>
      </c>
    </row>
    <row r="1100" spans="5:14" x14ac:dyDescent="0.25">
      <c r="E1100">
        <v>354</v>
      </c>
      <c r="F1100" s="7">
        <v>45269</v>
      </c>
      <c r="G1100">
        <f t="shared" si="52"/>
        <v>2023</v>
      </c>
      <c r="H1100" s="7" t="str">
        <f t="shared" si="53"/>
        <v>Декабрь</v>
      </c>
      <c r="I1100" t="s">
        <v>9</v>
      </c>
      <c r="J1100">
        <v>55</v>
      </c>
      <c r="K1100" t="s">
        <v>11</v>
      </c>
      <c r="L1100">
        <v>1</v>
      </c>
      <c r="M1100">
        <v>500</v>
      </c>
      <c r="N1100" s="1">
        <f t="shared" si="54"/>
        <v>500</v>
      </c>
    </row>
    <row r="1101" spans="5:14" x14ac:dyDescent="0.25">
      <c r="E1101">
        <v>331</v>
      </c>
      <c r="F1101" s="7">
        <v>45022</v>
      </c>
      <c r="G1101">
        <f t="shared" si="52"/>
        <v>2023</v>
      </c>
      <c r="H1101" s="7" t="str">
        <f t="shared" si="53"/>
        <v>Апрель</v>
      </c>
      <c r="I1101" t="s">
        <v>7</v>
      </c>
      <c r="J1101">
        <v>58</v>
      </c>
      <c r="K1101" t="s">
        <v>11</v>
      </c>
      <c r="L1101">
        <v>4</v>
      </c>
      <c r="M1101">
        <v>300</v>
      </c>
      <c r="N1101" s="1">
        <f t="shared" si="54"/>
        <v>1200</v>
      </c>
    </row>
    <row r="1102" spans="5:14" x14ac:dyDescent="0.25">
      <c r="E1102">
        <v>1544</v>
      </c>
      <c r="F1102" s="7">
        <v>45358</v>
      </c>
      <c r="G1102">
        <f t="shared" si="52"/>
        <v>2024</v>
      </c>
      <c r="H1102" s="7" t="str">
        <f t="shared" si="53"/>
        <v>Март</v>
      </c>
      <c r="I1102" t="s">
        <v>7</v>
      </c>
      <c r="J1102">
        <v>26</v>
      </c>
      <c r="K1102" t="s">
        <v>10</v>
      </c>
      <c r="L1102">
        <v>7</v>
      </c>
      <c r="M1102">
        <v>372</v>
      </c>
      <c r="N1102" s="1">
        <f t="shared" si="54"/>
        <v>2604</v>
      </c>
    </row>
    <row r="1103" spans="5:14" x14ac:dyDescent="0.25">
      <c r="E1103">
        <v>1530</v>
      </c>
      <c r="F1103" s="7">
        <v>45612</v>
      </c>
      <c r="G1103">
        <f t="shared" si="52"/>
        <v>2024</v>
      </c>
      <c r="H1103" s="7" t="str">
        <f t="shared" si="53"/>
        <v>Ноябрь</v>
      </c>
      <c r="I1103" t="s">
        <v>7</v>
      </c>
      <c r="J1103">
        <v>24</v>
      </c>
      <c r="K1103" t="s">
        <v>11</v>
      </c>
      <c r="L1103">
        <v>4</v>
      </c>
      <c r="M1103">
        <v>457</v>
      </c>
      <c r="N1103" s="1">
        <f t="shared" si="54"/>
        <v>1828</v>
      </c>
    </row>
    <row r="1104" spans="5:14" x14ac:dyDescent="0.25">
      <c r="E1104">
        <v>1678</v>
      </c>
      <c r="F1104" s="7">
        <v>45537</v>
      </c>
      <c r="G1104">
        <f t="shared" si="52"/>
        <v>2024</v>
      </c>
      <c r="H1104" s="7" t="str">
        <f t="shared" si="53"/>
        <v>Сентябрь</v>
      </c>
      <c r="I1104" t="s">
        <v>7</v>
      </c>
      <c r="J1104">
        <v>28</v>
      </c>
      <c r="K1104" t="s">
        <v>8</v>
      </c>
      <c r="L1104">
        <v>7</v>
      </c>
      <c r="M1104">
        <v>204</v>
      </c>
      <c r="N1104" s="1">
        <f t="shared" si="54"/>
        <v>1428</v>
      </c>
    </row>
    <row r="1105" spans="5:14" x14ac:dyDescent="0.25">
      <c r="E1105">
        <v>1767</v>
      </c>
      <c r="F1105" s="7">
        <v>45639</v>
      </c>
      <c r="G1105">
        <f t="shared" si="52"/>
        <v>2024</v>
      </c>
      <c r="H1105" s="7" t="str">
        <f t="shared" si="53"/>
        <v>Декабрь</v>
      </c>
      <c r="I1105" t="s">
        <v>7</v>
      </c>
      <c r="J1105">
        <v>48</v>
      </c>
      <c r="K1105" t="s">
        <v>11</v>
      </c>
      <c r="L1105">
        <v>5</v>
      </c>
      <c r="M1105">
        <v>410</v>
      </c>
      <c r="N1105" s="1">
        <f t="shared" si="54"/>
        <v>2050</v>
      </c>
    </row>
    <row r="1106" spans="5:14" x14ac:dyDescent="0.25">
      <c r="E1106">
        <v>462</v>
      </c>
      <c r="F1106" s="7">
        <v>45138</v>
      </c>
      <c r="G1106">
        <f t="shared" si="52"/>
        <v>2023</v>
      </c>
      <c r="H1106" s="7" t="str">
        <f t="shared" si="53"/>
        <v>Июль</v>
      </c>
      <c r="I1106" t="s">
        <v>9</v>
      </c>
      <c r="J1106">
        <v>54</v>
      </c>
      <c r="K1106" t="s">
        <v>8</v>
      </c>
      <c r="L1106">
        <v>3</v>
      </c>
      <c r="M1106">
        <v>500</v>
      </c>
      <c r="N1106" s="1">
        <f t="shared" si="54"/>
        <v>1500</v>
      </c>
    </row>
    <row r="1107" spans="5:14" x14ac:dyDescent="0.25">
      <c r="E1107">
        <v>154</v>
      </c>
      <c r="F1107" s="7">
        <v>45201</v>
      </c>
      <c r="G1107">
        <f t="shared" si="52"/>
        <v>2023</v>
      </c>
      <c r="H1107" s="7" t="str">
        <f t="shared" si="53"/>
        <v>Октябрь</v>
      </c>
      <c r="I1107" t="s">
        <v>7</v>
      </c>
      <c r="J1107">
        <v>51</v>
      </c>
      <c r="K1107" t="s">
        <v>11</v>
      </c>
      <c r="L1107">
        <v>3</v>
      </c>
      <c r="M1107">
        <v>300</v>
      </c>
      <c r="N1107" s="1">
        <f t="shared" si="54"/>
        <v>900</v>
      </c>
    </row>
    <row r="1108" spans="5:14" x14ac:dyDescent="0.25">
      <c r="E1108">
        <v>317</v>
      </c>
      <c r="F1108" s="7">
        <v>45223</v>
      </c>
      <c r="G1108">
        <f t="shared" si="52"/>
        <v>2023</v>
      </c>
      <c r="H1108" s="7" t="str">
        <f t="shared" si="53"/>
        <v>Октябрь</v>
      </c>
      <c r="I1108" t="s">
        <v>7</v>
      </c>
      <c r="J1108">
        <v>61</v>
      </c>
      <c r="K1108" t="s">
        <v>10</v>
      </c>
      <c r="L1108">
        <v>1</v>
      </c>
      <c r="M1108">
        <v>25</v>
      </c>
      <c r="N1108" s="1">
        <f t="shared" si="54"/>
        <v>25</v>
      </c>
    </row>
    <row r="1109" spans="5:14" x14ac:dyDescent="0.25">
      <c r="E1109">
        <v>834</v>
      </c>
      <c r="F1109" s="7">
        <v>45035</v>
      </c>
      <c r="G1109">
        <f t="shared" si="52"/>
        <v>2023</v>
      </c>
      <c r="H1109" s="7" t="str">
        <f t="shared" si="53"/>
        <v>Апрель</v>
      </c>
      <c r="I1109" t="s">
        <v>9</v>
      </c>
      <c r="J1109">
        <v>22</v>
      </c>
      <c r="K1109" t="s">
        <v>10</v>
      </c>
      <c r="L1109">
        <v>1</v>
      </c>
      <c r="M1109">
        <v>50</v>
      </c>
      <c r="N1109" s="1">
        <f t="shared" si="54"/>
        <v>50</v>
      </c>
    </row>
    <row r="1110" spans="5:14" x14ac:dyDescent="0.25">
      <c r="E1110">
        <v>1461</v>
      </c>
      <c r="F1110" s="7">
        <v>45304</v>
      </c>
      <c r="G1110">
        <f t="shared" si="52"/>
        <v>2024</v>
      </c>
      <c r="H1110" s="7" t="str">
        <f t="shared" si="53"/>
        <v>Январь</v>
      </c>
      <c r="I1110" t="s">
        <v>7</v>
      </c>
      <c r="J1110">
        <v>45</v>
      </c>
      <c r="K1110" t="s">
        <v>11</v>
      </c>
      <c r="L1110">
        <v>2</v>
      </c>
      <c r="M1110">
        <v>333</v>
      </c>
      <c r="N1110" s="1">
        <f t="shared" si="54"/>
        <v>666</v>
      </c>
    </row>
    <row r="1111" spans="5:14" x14ac:dyDescent="0.25">
      <c r="E1111">
        <v>895</v>
      </c>
      <c r="F1111" s="7">
        <v>45195</v>
      </c>
      <c r="G1111">
        <f t="shared" si="52"/>
        <v>2023</v>
      </c>
      <c r="H1111" s="7" t="str">
        <f t="shared" si="53"/>
        <v>Сентябрь</v>
      </c>
      <c r="I1111" t="s">
        <v>9</v>
      </c>
      <c r="J1111">
        <v>64</v>
      </c>
      <c r="K1111" t="s">
        <v>11</v>
      </c>
      <c r="L1111">
        <v>2</v>
      </c>
      <c r="M1111">
        <v>50</v>
      </c>
      <c r="N1111" s="1">
        <f t="shared" si="54"/>
        <v>100</v>
      </c>
    </row>
    <row r="1112" spans="5:14" x14ac:dyDescent="0.25">
      <c r="E1112">
        <v>1619</v>
      </c>
      <c r="F1112" s="7">
        <v>45526</v>
      </c>
      <c r="G1112">
        <f t="shared" si="52"/>
        <v>2024</v>
      </c>
      <c r="H1112" s="7" t="str">
        <f t="shared" si="53"/>
        <v>Август</v>
      </c>
      <c r="I1112" t="s">
        <v>9</v>
      </c>
      <c r="J1112">
        <v>25</v>
      </c>
      <c r="K1112" t="s">
        <v>8</v>
      </c>
      <c r="L1112">
        <v>6</v>
      </c>
      <c r="M1112">
        <v>412</v>
      </c>
      <c r="N1112" s="1">
        <f t="shared" si="54"/>
        <v>2472</v>
      </c>
    </row>
    <row r="1113" spans="5:14" x14ac:dyDescent="0.25">
      <c r="E1113">
        <v>1886</v>
      </c>
      <c r="F1113" s="7">
        <v>45646</v>
      </c>
      <c r="G1113">
        <f t="shared" si="52"/>
        <v>2024</v>
      </c>
      <c r="H1113" s="7" t="str">
        <f t="shared" si="53"/>
        <v>Декабрь</v>
      </c>
      <c r="I1113" t="s">
        <v>7</v>
      </c>
      <c r="J1113">
        <v>50</v>
      </c>
      <c r="K1113" t="s">
        <v>11</v>
      </c>
      <c r="L1113">
        <v>1</v>
      </c>
      <c r="M1113">
        <v>355</v>
      </c>
      <c r="N1113" s="1">
        <f t="shared" si="54"/>
        <v>355</v>
      </c>
    </row>
    <row r="1114" spans="5:14" x14ac:dyDescent="0.25">
      <c r="E1114">
        <v>590</v>
      </c>
      <c r="F1114" s="7">
        <v>44939</v>
      </c>
      <c r="G1114">
        <f t="shared" si="52"/>
        <v>2023</v>
      </c>
      <c r="H1114" s="7" t="str">
        <f t="shared" si="53"/>
        <v>Январь</v>
      </c>
      <c r="I1114" t="s">
        <v>7</v>
      </c>
      <c r="J1114">
        <v>53</v>
      </c>
      <c r="K1114" t="s">
        <v>11</v>
      </c>
      <c r="L1114">
        <v>4</v>
      </c>
      <c r="M1114">
        <v>25</v>
      </c>
      <c r="N1114" s="1">
        <f t="shared" si="54"/>
        <v>100</v>
      </c>
    </row>
    <row r="1115" spans="5:14" x14ac:dyDescent="0.25">
      <c r="E1115">
        <v>1379</v>
      </c>
      <c r="F1115" s="7">
        <v>45438</v>
      </c>
      <c r="G1115">
        <f t="shared" si="52"/>
        <v>2024</v>
      </c>
      <c r="H1115" s="7" t="str">
        <f t="shared" si="53"/>
        <v>Май</v>
      </c>
      <c r="I1115" t="s">
        <v>9</v>
      </c>
      <c r="J1115">
        <v>59</v>
      </c>
      <c r="K1115" t="s">
        <v>10</v>
      </c>
      <c r="L1115">
        <v>6</v>
      </c>
      <c r="M1115">
        <v>121</v>
      </c>
      <c r="N1115" s="1">
        <f t="shared" si="54"/>
        <v>726</v>
      </c>
    </row>
    <row r="1116" spans="5:14" x14ac:dyDescent="0.25">
      <c r="E1116">
        <v>566</v>
      </c>
      <c r="F1116" s="7">
        <v>45091</v>
      </c>
      <c r="G1116">
        <f t="shared" si="52"/>
        <v>2023</v>
      </c>
      <c r="H1116" s="7" t="str">
        <f t="shared" si="53"/>
        <v>Июнь</v>
      </c>
      <c r="I1116" t="s">
        <v>9</v>
      </c>
      <c r="J1116">
        <v>25</v>
      </c>
      <c r="K1116" t="s">
        <v>10</v>
      </c>
      <c r="L1116">
        <v>3</v>
      </c>
      <c r="M1116">
        <v>300</v>
      </c>
      <c r="N1116" s="1">
        <f t="shared" si="54"/>
        <v>900</v>
      </c>
    </row>
    <row r="1117" spans="5:14" x14ac:dyDescent="0.25">
      <c r="E1117">
        <v>246</v>
      </c>
      <c r="F1117" s="7">
        <v>45203</v>
      </c>
      <c r="G1117">
        <f t="shared" si="52"/>
        <v>2023</v>
      </c>
      <c r="H1117" s="7" t="str">
        <f t="shared" si="53"/>
        <v>Октябрь</v>
      </c>
      <c r="I1117" t="s">
        <v>7</v>
      </c>
      <c r="J1117">
        <v>41</v>
      </c>
      <c r="K1117" t="s">
        <v>11</v>
      </c>
      <c r="L1117">
        <v>2</v>
      </c>
      <c r="M1117">
        <v>30</v>
      </c>
      <c r="N1117" s="1">
        <f t="shared" si="54"/>
        <v>60</v>
      </c>
    </row>
    <row r="1118" spans="5:14" x14ac:dyDescent="0.25">
      <c r="E1118">
        <v>1668</v>
      </c>
      <c r="F1118" s="7">
        <v>45505</v>
      </c>
      <c r="G1118">
        <f t="shared" si="52"/>
        <v>2024</v>
      </c>
      <c r="H1118" s="7" t="str">
        <f t="shared" si="53"/>
        <v>Август</v>
      </c>
      <c r="I1118" t="s">
        <v>9</v>
      </c>
      <c r="J1118">
        <v>28</v>
      </c>
      <c r="K1118" t="s">
        <v>8</v>
      </c>
      <c r="L1118">
        <v>3</v>
      </c>
      <c r="M1118">
        <v>435</v>
      </c>
      <c r="N1118" s="1">
        <f t="shared" si="54"/>
        <v>1305</v>
      </c>
    </row>
    <row r="1119" spans="5:14" x14ac:dyDescent="0.25">
      <c r="E1119">
        <v>1905</v>
      </c>
      <c r="F1119" s="7">
        <v>45566</v>
      </c>
      <c r="G1119">
        <f t="shared" si="52"/>
        <v>2024</v>
      </c>
      <c r="H1119" s="7" t="str">
        <f t="shared" si="53"/>
        <v>Октябрь</v>
      </c>
      <c r="I1119" t="s">
        <v>7</v>
      </c>
      <c r="J1119">
        <v>35</v>
      </c>
      <c r="K1119" t="s">
        <v>11</v>
      </c>
      <c r="L1119">
        <v>2</v>
      </c>
      <c r="M1119">
        <v>434</v>
      </c>
      <c r="N1119" s="1">
        <f t="shared" si="54"/>
        <v>868</v>
      </c>
    </row>
    <row r="1120" spans="5:14" x14ac:dyDescent="0.25">
      <c r="E1120">
        <v>1991</v>
      </c>
      <c r="F1120" s="7">
        <v>45412</v>
      </c>
      <c r="G1120">
        <f t="shared" si="52"/>
        <v>2024</v>
      </c>
      <c r="H1120" s="7" t="str">
        <f t="shared" si="53"/>
        <v>Апрель</v>
      </c>
      <c r="I1120" t="s">
        <v>9</v>
      </c>
      <c r="J1120">
        <v>26</v>
      </c>
      <c r="K1120" t="s">
        <v>10</v>
      </c>
      <c r="L1120">
        <v>6</v>
      </c>
      <c r="M1120">
        <v>294</v>
      </c>
      <c r="N1120" s="1">
        <f t="shared" si="54"/>
        <v>1764</v>
      </c>
    </row>
    <row r="1121" spans="5:14" x14ac:dyDescent="0.25">
      <c r="E1121">
        <v>674</v>
      </c>
      <c r="F1121" s="7">
        <v>45126</v>
      </c>
      <c r="G1121">
        <f t="shared" si="52"/>
        <v>2023</v>
      </c>
      <c r="H1121" s="7" t="str">
        <f t="shared" si="53"/>
        <v>Июль</v>
      </c>
      <c r="I1121" t="s">
        <v>7</v>
      </c>
      <c r="J1121">
        <v>63</v>
      </c>
      <c r="K1121" t="s">
        <v>11</v>
      </c>
      <c r="L1121">
        <v>3</v>
      </c>
      <c r="M1121">
        <v>500</v>
      </c>
      <c r="N1121" s="1">
        <f t="shared" si="54"/>
        <v>1500</v>
      </c>
    </row>
    <row r="1122" spans="5:14" x14ac:dyDescent="0.25">
      <c r="E1122">
        <v>1163</v>
      </c>
      <c r="F1122" s="7">
        <v>45549</v>
      </c>
      <c r="G1122">
        <f t="shared" si="52"/>
        <v>2024</v>
      </c>
      <c r="H1122" s="7" t="str">
        <f t="shared" si="53"/>
        <v>Сентябрь</v>
      </c>
      <c r="I1122" t="s">
        <v>9</v>
      </c>
      <c r="J1122">
        <v>18</v>
      </c>
      <c r="K1122" t="s">
        <v>10</v>
      </c>
      <c r="L1122">
        <v>1</v>
      </c>
      <c r="M1122">
        <v>239</v>
      </c>
      <c r="N1122" s="1">
        <f t="shared" si="54"/>
        <v>239</v>
      </c>
    </row>
    <row r="1123" spans="5:14" x14ac:dyDescent="0.25">
      <c r="E1123">
        <v>811</v>
      </c>
      <c r="F1123" s="7">
        <v>45202</v>
      </c>
      <c r="G1123">
        <f t="shared" si="52"/>
        <v>2023</v>
      </c>
      <c r="H1123" s="7" t="str">
        <f t="shared" si="53"/>
        <v>Октябрь</v>
      </c>
      <c r="I1123" t="s">
        <v>7</v>
      </c>
      <c r="J1123">
        <v>52</v>
      </c>
      <c r="K1123" t="s">
        <v>11</v>
      </c>
      <c r="L1123">
        <v>3</v>
      </c>
      <c r="M1123">
        <v>50</v>
      </c>
      <c r="N1123" s="1">
        <f t="shared" si="54"/>
        <v>150</v>
      </c>
    </row>
    <row r="1124" spans="5:14" x14ac:dyDescent="0.25">
      <c r="E1124">
        <v>1618</v>
      </c>
      <c r="F1124" s="7">
        <v>45355</v>
      </c>
      <c r="G1124">
        <f t="shared" si="52"/>
        <v>2024</v>
      </c>
      <c r="H1124" s="7" t="str">
        <f t="shared" si="53"/>
        <v>Март</v>
      </c>
      <c r="I1124" t="s">
        <v>9</v>
      </c>
      <c r="J1124">
        <v>45</v>
      </c>
      <c r="K1124" t="s">
        <v>8</v>
      </c>
      <c r="L1124">
        <v>2</v>
      </c>
      <c r="M1124">
        <v>208</v>
      </c>
      <c r="N1124" s="1">
        <f t="shared" si="54"/>
        <v>416</v>
      </c>
    </row>
    <row r="1125" spans="5:14" x14ac:dyDescent="0.25">
      <c r="E1125">
        <v>1669</v>
      </c>
      <c r="F1125" s="7">
        <v>45323</v>
      </c>
      <c r="G1125">
        <f t="shared" si="52"/>
        <v>2024</v>
      </c>
      <c r="H1125" s="7" t="str">
        <f t="shared" si="53"/>
        <v>Февраль</v>
      </c>
      <c r="I1125" t="s">
        <v>9</v>
      </c>
      <c r="J1125">
        <v>34</v>
      </c>
      <c r="K1125" t="s">
        <v>10</v>
      </c>
      <c r="L1125">
        <v>1</v>
      </c>
      <c r="M1125">
        <v>43</v>
      </c>
      <c r="N1125" s="1">
        <f t="shared" si="54"/>
        <v>43</v>
      </c>
    </row>
    <row r="1126" spans="5:14" x14ac:dyDescent="0.25">
      <c r="E1126">
        <v>888</v>
      </c>
      <c r="F1126" s="7">
        <v>45280</v>
      </c>
      <c r="G1126">
        <f t="shared" si="52"/>
        <v>2023</v>
      </c>
      <c r="H1126" s="7" t="str">
        <f t="shared" si="53"/>
        <v>Декабрь</v>
      </c>
      <c r="I1126" t="s">
        <v>7</v>
      </c>
      <c r="J1126">
        <v>34</v>
      </c>
      <c r="K1126" t="s">
        <v>11</v>
      </c>
      <c r="L1126">
        <v>2</v>
      </c>
      <c r="M1126">
        <v>25</v>
      </c>
      <c r="N1126" s="1">
        <f t="shared" si="54"/>
        <v>50</v>
      </c>
    </row>
    <row r="1127" spans="5:14" x14ac:dyDescent="0.25">
      <c r="E1127">
        <v>1256</v>
      </c>
      <c r="F1127" s="7">
        <v>45513</v>
      </c>
      <c r="G1127">
        <f t="shared" si="52"/>
        <v>2024</v>
      </c>
      <c r="H1127" s="7" t="str">
        <f t="shared" si="53"/>
        <v>Август</v>
      </c>
      <c r="I1127" t="s">
        <v>9</v>
      </c>
      <c r="J1127">
        <v>18</v>
      </c>
      <c r="K1127" t="s">
        <v>10</v>
      </c>
      <c r="L1127">
        <v>6</v>
      </c>
      <c r="M1127">
        <v>73</v>
      </c>
      <c r="N1127" s="1">
        <f t="shared" si="54"/>
        <v>438</v>
      </c>
    </row>
    <row r="1128" spans="5:14" x14ac:dyDescent="0.25">
      <c r="E1128">
        <v>546</v>
      </c>
      <c r="F1128" s="7">
        <v>44992</v>
      </c>
      <c r="G1128">
        <f t="shared" si="52"/>
        <v>2023</v>
      </c>
      <c r="H1128" s="7" t="str">
        <f t="shared" si="53"/>
        <v>Март</v>
      </c>
      <c r="I1128" t="s">
        <v>7</v>
      </c>
      <c r="J1128">
        <v>63</v>
      </c>
      <c r="K1128" t="s">
        <v>10</v>
      </c>
      <c r="L1128">
        <v>4</v>
      </c>
      <c r="M1128">
        <v>500</v>
      </c>
      <c r="N1128" s="1">
        <f t="shared" si="54"/>
        <v>2000</v>
      </c>
    </row>
    <row r="1129" spans="5:14" x14ac:dyDescent="0.25">
      <c r="E1129">
        <v>770</v>
      </c>
      <c r="F1129" s="7">
        <v>45119</v>
      </c>
      <c r="G1129">
        <f t="shared" si="52"/>
        <v>2023</v>
      </c>
      <c r="H1129" s="7" t="str">
        <f t="shared" si="53"/>
        <v>Июль</v>
      </c>
      <c r="I1129" t="s">
        <v>7</v>
      </c>
      <c r="J1129">
        <v>26</v>
      </c>
      <c r="K1129" t="s">
        <v>11</v>
      </c>
      <c r="L1129">
        <v>1</v>
      </c>
      <c r="M1129">
        <v>30</v>
      </c>
      <c r="N1129" s="1">
        <f t="shared" si="54"/>
        <v>30</v>
      </c>
    </row>
    <row r="1130" spans="5:14" x14ac:dyDescent="0.25">
      <c r="E1130">
        <v>1747</v>
      </c>
      <c r="F1130" s="7">
        <v>45535</v>
      </c>
      <c r="G1130">
        <f t="shared" si="52"/>
        <v>2024</v>
      </c>
      <c r="H1130" s="7" t="str">
        <f t="shared" si="53"/>
        <v>Август</v>
      </c>
      <c r="I1130" t="s">
        <v>9</v>
      </c>
      <c r="J1130">
        <v>29</v>
      </c>
      <c r="K1130" t="s">
        <v>10</v>
      </c>
      <c r="L1130">
        <v>5</v>
      </c>
      <c r="M1130">
        <v>243</v>
      </c>
      <c r="N1130" s="1">
        <f t="shared" si="54"/>
        <v>1215</v>
      </c>
    </row>
    <row r="1131" spans="5:14" x14ac:dyDescent="0.25">
      <c r="E1131">
        <v>1373</v>
      </c>
      <c r="F1131" s="7">
        <v>45428</v>
      </c>
      <c r="G1131">
        <f t="shared" si="52"/>
        <v>2024</v>
      </c>
      <c r="H1131" s="7" t="str">
        <f t="shared" si="53"/>
        <v>Май</v>
      </c>
      <c r="I1131" t="s">
        <v>9</v>
      </c>
      <c r="J1131">
        <v>53</v>
      </c>
      <c r="K1131" t="s">
        <v>8</v>
      </c>
      <c r="L1131">
        <v>6</v>
      </c>
      <c r="M1131">
        <v>124</v>
      </c>
      <c r="N1131" s="1">
        <f t="shared" si="54"/>
        <v>744</v>
      </c>
    </row>
    <row r="1132" spans="5:14" x14ac:dyDescent="0.25">
      <c r="E1132">
        <v>450</v>
      </c>
      <c r="F1132" s="7">
        <v>45276</v>
      </c>
      <c r="G1132">
        <f t="shared" si="52"/>
        <v>2023</v>
      </c>
      <c r="H1132" s="7" t="str">
        <f t="shared" si="53"/>
        <v>Декабрь</v>
      </c>
      <c r="I1132" t="s">
        <v>9</v>
      </c>
      <c r="J1132">
        <v>45</v>
      </c>
      <c r="K1132" t="s">
        <v>11</v>
      </c>
      <c r="L1132">
        <v>1</v>
      </c>
      <c r="M1132">
        <v>30</v>
      </c>
      <c r="N1132" s="1">
        <f t="shared" si="54"/>
        <v>30</v>
      </c>
    </row>
    <row r="1133" spans="5:14" x14ac:dyDescent="0.25">
      <c r="E1133">
        <v>1392</v>
      </c>
      <c r="F1133" s="7">
        <v>45632</v>
      </c>
      <c r="G1133">
        <f t="shared" si="52"/>
        <v>2024</v>
      </c>
      <c r="H1133" s="7" t="str">
        <f t="shared" si="53"/>
        <v>Декабрь</v>
      </c>
      <c r="I1133" t="s">
        <v>7</v>
      </c>
      <c r="J1133">
        <v>44</v>
      </c>
      <c r="K1133" t="s">
        <v>11</v>
      </c>
      <c r="L1133">
        <v>2</v>
      </c>
      <c r="M1133">
        <v>25</v>
      </c>
      <c r="N1133" s="1">
        <f t="shared" si="54"/>
        <v>50</v>
      </c>
    </row>
    <row r="1134" spans="5:14" x14ac:dyDescent="0.25">
      <c r="E1134">
        <v>567</v>
      </c>
      <c r="F1134" s="7">
        <v>45165</v>
      </c>
      <c r="G1134">
        <f t="shared" si="52"/>
        <v>2023</v>
      </c>
      <c r="H1134" s="7" t="str">
        <f t="shared" si="53"/>
        <v>Август</v>
      </c>
      <c r="I1134" t="s">
        <v>9</v>
      </c>
      <c r="J1134">
        <v>51</v>
      </c>
      <c r="K1134" t="s">
        <v>11</v>
      </c>
      <c r="L1134">
        <v>1</v>
      </c>
      <c r="M1134">
        <v>300</v>
      </c>
      <c r="N1134" s="1">
        <f t="shared" si="54"/>
        <v>300</v>
      </c>
    </row>
    <row r="1135" spans="5:14" x14ac:dyDescent="0.25">
      <c r="E1135">
        <v>1697</v>
      </c>
      <c r="F1135" s="7">
        <v>45640</v>
      </c>
      <c r="G1135">
        <f t="shared" si="52"/>
        <v>2024</v>
      </c>
      <c r="H1135" s="7" t="str">
        <f t="shared" si="53"/>
        <v>Декабрь</v>
      </c>
      <c r="I1135" t="s">
        <v>9</v>
      </c>
      <c r="J1135">
        <v>31</v>
      </c>
      <c r="K1135" t="s">
        <v>8</v>
      </c>
      <c r="L1135">
        <v>5</v>
      </c>
      <c r="M1135">
        <v>90</v>
      </c>
      <c r="N1135" s="1">
        <f t="shared" si="54"/>
        <v>450</v>
      </c>
    </row>
    <row r="1136" spans="5:14" x14ac:dyDescent="0.25">
      <c r="E1136">
        <v>649</v>
      </c>
      <c r="F1136" s="7">
        <v>45073</v>
      </c>
      <c r="G1136">
        <f t="shared" si="52"/>
        <v>2023</v>
      </c>
      <c r="H1136" s="7" t="str">
        <f t="shared" si="53"/>
        <v>Май</v>
      </c>
      <c r="I1136" t="s">
        <v>7</v>
      </c>
      <c r="J1136">
        <v>51</v>
      </c>
      <c r="K1136" t="s">
        <v>10</v>
      </c>
      <c r="L1136">
        <v>3</v>
      </c>
      <c r="M1136">
        <v>50</v>
      </c>
      <c r="N1136" s="1">
        <f t="shared" si="54"/>
        <v>150</v>
      </c>
    </row>
    <row r="1137" spans="5:14" x14ac:dyDescent="0.25">
      <c r="E1137">
        <v>806</v>
      </c>
      <c r="F1137" s="7">
        <v>45017</v>
      </c>
      <c r="G1137">
        <f t="shared" si="52"/>
        <v>2023</v>
      </c>
      <c r="H1137" s="7" t="str">
        <f t="shared" si="53"/>
        <v>Апрель</v>
      </c>
      <c r="I1137" t="s">
        <v>7</v>
      </c>
      <c r="J1137">
        <v>33</v>
      </c>
      <c r="K1137" t="s">
        <v>8</v>
      </c>
      <c r="L1137">
        <v>4</v>
      </c>
      <c r="M1137">
        <v>500</v>
      </c>
      <c r="N1137" s="1">
        <f t="shared" si="54"/>
        <v>2000</v>
      </c>
    </row>
    <row r="1138" spans="5:14" x14ac:dyDescent="0.25">
      <c r="E1138">
        <v>1299</v>
      </c>
      <c r="F1138" s="7">
        <v>45487</v>
      </c>
      <c r="G1138">
        <f t="shared" si="52"/>
        <v>2024</v>
      </c>
      <c r="H1138" s="7" t="str">
        <f t="shared" si="53"/>
        <v>Июль</v>
      </c>
      <c r="I1138" t="s">
        <v>7</v>
      </c>
      <c r="J1138">
        <v>35</v>
      </c>
      <c r="K1138" t="s">
        <v>8</v>
      </c>
      <c r="L1138">
        <v>7</v>
      </c>
      <c r="M1138">
        <v>232</v>
      </c>
      <c r="N1138" s="1">
        <f t="shared" si="54"/>
        <v>1624</v>
      </c>
    </row>
    <row r="1139" spans="5:14" x14ac:dyDescent="0.25">
      <c r="E1139">
        <v>394</v>
      </c>
      <c r="F1139" s="7">
        <v>45266</v>
      </c>
      <c r="G1139">
        <f t="shared" si="52"/>
        <v>2023</v>
      </c>
      <c r="H1139" s="7" t="str">
        <f t="shared" si="53"/>
        <v>Декабрь</v>
      </c>
      <c r="I1139" t="s">
        <v>7</v>
      </c>
      <c r="J1139">
        <v>50</v>
      </c>
      <c r="K1139" t="s">
        <v>11</v>
      </c>
      <c r="L1139">
        <v>2</v>
      </c>
      <c r="M1139">
        <v>500</v>
      </c>
      <c r="N1139" s="1">
        <f t="shared" si="54"/>
        <v>1000</v>
      </c>
    </row>
    <row r="1140" spans="5:14" x14ac:dyDescent="0.25">
      <c r="E1140">
        <v>1048</v>
      </c>
      <c r="F1140" s="7">
        <v>45528</v>
      </c>
      <c r="G1140">
        <f t="shared" si="52"/>
        <v>2024</v>
      </c>
      <c r="H1140" s="7" t="str">
        <f t="shared" si="53"/>
        <v>Август</v>
      </c>
      <c r="I1140" t="s">
        <v>9</v>
      </c>
      <c r="J1140">
        <v>55</v>
      </c>
      <c r="K1140" t="s">
        <v>8</v>
      </c>
      <c r="L1140">
        <v>5</v>
      </c>
      <c r="M1140">
        <v>420</v>
      </c>
      <c r="N1140" s="1">
        <f t="shared" si="54"/>
        <v>2100</v>
      </c>
    </row>
    <row r="1141" spans="5:14" x14ac:dyDescent="0.25">
      <c r="E1141">
        <v>459</v>
      </c>
      <c r="F1141" s="7">
        <v>45048</v>
      </c>
      <c r="G1141">
        <f t="shared" si="52"/>
        <v>2023</v>
      </c>
      <c r="H1141" s="7" t="str">
        <f t="shared" si="53"/>
        <v>Май</v>
      </c>
      <c r="I1141" t="s">
        <v>7</v>
      </c>
      <c r="J1141">
        <v>40</v>
      </c>
      <c r="K1141" t="s">
        <v>8</v>
      </c>
      <c r="L1141">
        <v>1</v>
      </c>
      <c r="M1141">
        <v>50</v>
      </c>
      <c r="N1141" s="1">
        <f t="shared" si="54"/>
        <v>50</v>
      </c>
    </row>
    <row r="1142" spans="5:14" x14ac:dyDescent="0.25">
      <c r="E1142">
        <v>1926</v>
      </c>
      <c r="F1142" s="7">
        <v>45422</v>
      </c>
      <c r="G1142">
        <f t="shared" si="52"/>
        <v>2024</v>
      </c>
      <c r="H1142" s="7" t="str">
        <f t="shared" si="53"/>
        <v>Май</v>
      </c>
      <c r="I1142" t="s">
        <v>7</v>
      </c>
      <c r="J1142">
        <v>20</v>
      </c>
      <c r="K1142" t="s">
        <v>10</v>
      </c>
      <c r="L1142">
        <v>7</v>
      </c>
      <c r="M1142">
        <v>271</v>
      </c>
      <c r="N1142" s="1">
        <f t="shared" si="54"/>
        <v>1897</v>
      </c>
    </row>
    <row r="1143" spans="5:14" x14ac:dyDescent="0.25">
      <c r="E1143">
        <v>348</v>
      </c>
      <c r="F1143" s="7">
        <v>45225</v>
      </c>
      <c r="G1143">
        <f t="shared" si="52"/>
        <v>2023</v>
      </c>
      <c r="H1143" s="7" t="str">
        <f t="shared" si="53"/>
        <v>Октябрь</v>
      </c>
      <c r="I1143" t="s">
        <v>9</v>
      </c>
      <c r="J1143">
        <v>57</v>
      </c>
      <c r="K1143" t="s">
        <v>8</v>
      </c>
      <c r="L1143">
        <v>1</v>
      </c>
      <c r="M1143">
        <v>50</v>
      </c>
      <c r="N1143" s="1">
        <f t="shared" si="54"/>
        <v>50</v>
      </c>
    </row>
    <row r="1144" spans="5:14" x14ac:dyDescent="0.25">
      <c r="E1144">
        <v>1427</v>
      </c>
      <c r="F1144" s="7">
        <v>45511</v>
      </c>
      <c r="G1144">
        <f t="shared" si="52"/>
        <v>2024</v>
      </c>
      <c r="H1144" s="7" t="str">
        <f t="shared" si="53"/>
        <v>Август</v>
      </c>
      <c r="I1144" t="s">
        <v>9</v>
      </c>
      <c r="J1144">
        <v>65</v>
      </c>
      <c r="K1144" t="s">
        <v>11</v>
      </c>
      <c r="L1144">
        <v>7</v>
      </c>
      <c r="M1144">
        <v>300</v>
      </c>
      <c r="N1144" s="1">
        <f t="shared" si="54"/>
        <v>2100</v>
      </c>
    </row>
    <row r="1145" spans="5:14" x14ac:dyDescent="0.25">
      <c r="E1145">
        <v>754</v>
      </c>
      <c r="F1145" s="7">
        <v>45165</v>
      </c>
      <c r="G1145">
        <f t="shared" si="52"/>
        <v>2023</v>
      </c>
      <c r="H1145" s="7" t="str">
        <f t="shared" si="53"/>
        <v>Август</v>
      </c>
      <c r="I1145" t="s">
        <v>9</v>
      </c>
      <c r="J1145">
        <v>62</v>
      </c>
      <c r="K1145" t="s">
        <v>11</v>
      </c>
      <c r="L1145">
        <v>4</v>
      </c>
      <c r="M1145">
        <v>300</v>
      </c>
      <c r="N1145" s="1">
        <f t="shared" si="54"/>
        <v>1200</v>
      </c>
    </row>
    <row r="1146" spans="5:14" x14ac:dyDescent="0.25">
      <c r="E1146">
        <v>284</v>
      </c>
      <c r="F1146" s="7">
        <v>45153</v>
      </c>
      <c r="G1146">
        <f t="shared" si="52"/>
        <v>2023</v>
      </c>
      <c r="H1146" s="7" t="str">
        <f t="shared" si="53"/>
        <v>Август</v>
      </c>
      <c r="I1146" t="s">
        <v>9</v>
      </c>
      <c r="J1146">
        <v>31</v>
      </c>
      <c r="K1146" t="s">
        <v>11</v>
      </c>
      <c r="L1146">
        <v>1</v>
      </c>
      <c r="M1146">
        <v>25</v>
      </c>
      <c r="N1146" s="1">
        <f t="shared" si="54"/>
        <v>25</v>
      </c>
    </row>
    <row r="1147" spans="5:14" x14ac:dyDescent="0.25">
      <c r="E1147">
        <v>220</v>
      </c>
      <c r="F1147" s="7">
        <v>45053</v>
      </c>
      <c r="G1147">
        <f t="shared" si="52"/>
        <v>2023</v>
      </c>
      <c r="H1147" s="7" t="str">
        <f t="shared" si="53"/>
        <v>Май</v>
      </c>
      <c r="I1147" t="s">
        <v>7</v>
      </c>
      <c r="J1147">
        <v>39</v>
      </c>
      <c r="K1147" t="s">
        <v>8</v>
      </c>
      <c r="L1147">
        <v>2</v>
      </c>
      <c r="M1147">
        <v>300</v>
      </c>
      <c r="N1147" s="1">
        <f t="shared" si="54"/>
        <v>600</v>
      </c>
    </row>
    <row r="1148" spans="5:14" x14ac:dyDescent="0.25">
      <c r="E1148">
        <v>282</v>
      </c>
      <c r="F1148" s="7">
        <v>45054</v>
      </c>
      <c r="G1148">
        <f t="shared" si="52"/>
        <v>2023</v>
      </c>
      <c r="H1148" s="7" t="str">
        <f t="shared" si="53"/>
        <v>Май</v>
      </c>
      <c r="I1148" t="s">
        <v>9</v>
      </c>
      <c r="J1148">
        <v>18</v>
      </c>
      <c r="K1148" t="s">
        <v>11</v>
      </c>
      <c r="L1148">
        <v>1</v>
      </c>
      <c r="M1148">
        <v>500</v>
      </c>
      <c r="N1148" s="1">
        <f t="shared" si="54"/>
        <v>500</v>
      </c>
    </row>
    <row r="1149" spans="5:14" x14ac:dyDescent="0.25">
      <c r="E1149">
        <v>524</v>
      </c>
      <c r="F1149" s="7">
        <v>45278</v>
      </c>
      <c r="G1149">
        <f t="shared" si="52"/>
        <v>2023</v>
      </c>
      <c r="H1149" s="7" t="str">
        <f t="shared" si="53"/>
        <v>Декабрь</v>
      </c>
      <c r="I1149" t="s">
        <v>9</v>
      </c>
      <c r="J1149">
        <v>47</v>
      </c>
      <c r="K1149" t="s">
        <v>8</v>
      </c>
      <c r="L1149">
        <v>2</v>
      </c>
      <c r="M1149">
        <v>25</v>
      </c>
      <c r="N1149" s="1">
        <f t="shared" si="54"/>
        <v>50</v>
      </c>
    </row>
    <row r="1150" spans="5:14" x14ac:dyDescent="0.25">
      <c r="E1150">
        <v>1374</v>
      </c>
      <c r="F1150" s="7">
        <v>45360</v>
      </c>
      <c r="G1150">
        <f t="shared" si="52"/>
        <v>2024</v>
      </c>
      <c r="H1150" s="7" t="str">
        <f t="shared" si="53"/>
        <v>Март</v>
      </c>
      <c r="I1150" t="s">
        <v>9</v>
      </c>
      <c r="J1150">
        <v>65</v>
      </c>
      <c r="K1150" t="s">
        <v>10</v>
      </c>
      <c r="L1150">
        <v>2</v>
      </c>
      <c r="M1150">
        <v>386</v>
      </c>
      <c r="N1150" s="1">
        <f t="shared" si="54"/>
        <v>772</v>
      </c>
    </row>
    <row r="1151" spans="5:14" x14ac:dyDescent="0.25">
      <c r="E1151">
        <v>1158</v>
      </c>
      <c r="F1151" s="7">
        <v>45515</v>
      </c>
      <c r="G1151">
        <f t="shared" si="52"/>
        <v>2024</v>
      </c>
      <c r="H1151" s="7" t="str">
        <f t="shared" si="53"/>
        <v>Август</v>
      </c>
      <c r="I1151" t="s">
        <v>9</v>
      </c>
      <c r="J1151">
        <v>37</v>
      </c>
      <c r="K1151" t="s">
        <v>10</v>
      </c>
      <c r="L1151">
        <v>1</v>
      </c>
      <c r="M1151">
        <v>192</v>
      </c>
      <c r="N1151" s="1">
        <f t="shared" si="54"/>
        <v>192</v>
      </c>
    </row>
    <row r="1152" spans="5:14" x14ac:dyDescent="0.25">
      <c r="E1152">
        <v>1339</v>
      </c>
      <c r="F1152" s="7">
        <v>45589</v>
      </c>
      <c r="G1152">
        <f t="shared" si="52"/>
        <v>2024</v>
      </c>
      <c r="H1152" s="7" t="str">
        <f t="shared" si="53"/>
        <v>Октябрь</v>
      </c>
      <c r="I1152" t="s">
        <v>9</v>
      </c>
      <c r="J1152">
        <v>53</v>
      </c>
      <c r="K1152" t="s">
        <v>10</v>
      </c>
      <c r="L1152">
        <v>1</v>
      </c>
      <c r="M1152">
        <v>414</v>
      </c>
      <c r="N1152" s="1">
        <f t="shared" si="54"/>
        <v>414</v>
      </c>
    </row>
    <row r="1153" spans="5:14" x14ac:dyDescent="0.25">
      <c r="E1153">
        <v>117</v>
      </c>
      <c r="F1153" s="7">
        <v>45000</v>
      </c>
      <c r="G1153">
        <f t="shared" si="52"/>
        <v>2023</v>
      </c>
      <c r="H1153" s="7" t="str">
        <f t="shared" si="53"/>
        <v>Март</v>
      </c>
      <c r="I1153" t="s">
        <v>7</v>
      </c>
      <c r="J1153">
        <v>19</v>
      </c>
      <c r="K1153" t="s">
        <v>11</v>
      </c>
      <c r="L1153">
        <v>2</v>
      </c>
      <c r="M1153">
        <v>500</v>
      </c>
      <c r="N1153" s="1">
        <f t="shared" si="54"/>
        <v>1000</v>
      </c>
    </row>
    <row r="1154" spans="5:14" x14ac:dyDescent="0.25">
      <c r="E1154">
        <v>441</v>
      </c>
      <c r="F1154" s="7">
        <v>45002</v>
      </c>
      <c r="G1154">
        <f t="shared" si="52"/>
        <v>2023</v>
      </c>
      <c r="H1154" s="7" t="str">
        <f t="shared" si="53"/>
        <v>Март</v>
      </c>
      <c r="I1154" t="s">
        <v>9</v>
      </c>
      <c r="J1154">
        <v>60</v>
      </c>
      <c r="K1154" t="s">
        <v>10</v>
      </c>
      <c r="L1154">
        <v>4</v>
      </c>
      <c r="M1154">
        <v>25</v>
      </c>
      <c r="N1154" s="1">
        <f t="shared" si="54"/>
        <v>100</v>
      </c>
    </row>
    <row r="1155" spans="5:14" x14ac:dyDescent="0.25">
      <c r="E1155">
        <v>1012</v>
      </c>
      <c r="F1155" s="7">
        <v>45308</v>
      </c>
      <c r="G1155">
        <f t="shared" si="52"/>
        <v>2024</v>
      </c>
      <c r="H1155" s="7" t="str">
        <f t="shared" si="53"/>
        <v>Январь</v>
      </c>
      <c r="I1155" t="s">
        <v>7</v>
      </c>
      <c r="J1155">
        <v>54</v>
      </c>
      <c r="K1155" t="s">
        <v>10</v>
      </c>
      <c r="L1155">
        <v>6</v>
      </c>
      <c r="M1155">
        <v>149</v>
      </c>
      <c r="N1155" s="1">
        <f t="shared" si="54"/>
        <v>894</v>
      </c>
    </row>
    <row r="1156" spans="5:14" x14ac:dyDescent="0.25">
      <c r="E1156">
        <v>976</v>
      </c>
      <c r="F1156" s="7">
        <v>45007</v>
      </c>
      <c r="G1156">
        <f t="shared" si="52"/>
        <v>2023</v>
      </c>
      <c r="H1156" s="7" t="str">
        <f t="shared" si="53"/>
        <v>Март</v>
      </c>
      <c r="I1156" t="s">
        <v>9</v>
      </c>
      <c r="J1156">
        <v>53</v>
      </c>
      <c r="K1156" t="s">
        <v>10</v>
      </c>
      <c r="L1156">
        <v>3</v>
      </c>
      <c r="M1156">
        <v>50</v>
      </c>
      <c r="N1156" s="1">
        <f t="shared" si="54"/>
        <v>150</v>
      </c>
    </row>
    <row r="1157" spans="5:14" x14ac:dyDescent="0.25">
      <c r="E1157">
        <v>1511</v>
      </c>
      <c r="F1157" s="7">
        <v>45352</v>
      </c>
      <c r="G1157">
        <f t="shared" si="52"/>
        <v>2024</v>
      </c>
      <c r="H1157" s="7" t="str">
        <f t="shared" si="53"/>
        <v>Март</v>
      </c>
      <c r="I1157" t="s">
        <v>9</v>
      </c>
      <c r="J1157">
        <v>36</v>
      </c>
      <c r="K1157" t="s">
        <v>11</v>
      </c>
      <c r="L1157">
        <v>6</v>
      </c>
      <c r="M1157">
        <v>479</v>
      </c>
      <c r="N1157" s="1">
        <f t="shared" si="54"/>
        <v>2874</v>
      </c>
    </row>
    <row r="1158" spans="5:14" x14ac:dyDescent="0.25">
      <c r="E1158">
        <v>1128</v>
      </c>
      <c r="F1158" s="7">
        <v>45363</v>
      </c>
      <c r="G1158">
        <f t="shared" si="52"/>
        <v>2024</v>
      </c>
      <c r="H1158" s="7" t="str">
        <f t="shared" si="53"/>
        <v>Март</v>
      </c>
      <c r="I1158" t="s">
        <v>9</v>
      </c>
      <c r="J1158">
        <v>40</v>
      </c>
      <c r="K1158" t="s">
        <v>10</v>
      </c>
      <c r="L1158">
        <v>3</v>
      </c>
      <c r="M1158">
        <v>20</v>
      </c>
      <c r="N1158" s="1">
        <f t="shared" si="54"/>
        <v>60</v>
      </c>
    </row>
    <row r="1159" spans="5:14" x14ac:dyDescent="0.25">
      <c r="E1159">
        <v>849</v>
      </c>
      <c r="F1159" s="7">
        <v>45177</v>
      </c>
      <c r="G1159">
        <f t="shared" si="52"/>
        <v>2023</v>
      </c>
      <c r="H1159" s="7" t="str">
        <f t="shared" si="53"/>
        <v>Сентябрь</v>
      </c>
      <c r="I1159" t="s">
        <v>7</v>
      </c>
      <c r="J1159">
        <v>32</v>
      </c>
      <c r="K1159" t="s">
        <v>11</v>
      </c>
      <c r="L1159">
        <v>2</v>
      </c>
      <c r="M1159">
        <v>25</v>
      </c>
      <c r="N1159" s="1">
        <f t="shared" si="54"/>
        <v>50</v>
      </c>
    </row>
    <row r="1160" spans="5:14" x14ac:dyDescent="0.25">
      <c r="E1160">
        <v>1027</v>
      </c>
      <c r="F1160" s="7">
        <v>45522</v>
      </c>
      <c r="G1160">
        <f t="shared" si="52"/>
        <v>2024</v>
      </c>
      <c r="H1160" s="7" t="str">
        <f t="shared" si="53"/>
        <v>Август</v>
      </c>
      <c r="I1160" t="s">
        <v>9</v>
      </c>
      <c r="J1160">
        <v>19</v>
      </c>
      <c r="K1160" t="s">
        <v>11</v>
      </c>
      <c r="L1160">
        <v>5</v>
      </c>
      <c r="M1160">
        <v>90</v>
      </c>
      <c r="N1160" s="1">
        <f t="shared" si="54"/>
        <v>450</v>
      </c>
    </row>
    <row r="1161" spans="5:14" x14ac:dyDescent="0.25">
      <c r="E1161">
        <v>239</v>
      </c>
      <c r="F1161" s="7">
        <v>44963</v>
      </c>
      <c r="G1161">
        <f t="shared" si="52"/>
        <v>2023</v>
      </c>
      <c r="H1161" s="7" t="str">
        <f t="shared" si="53"/>
        <v>Февраль</v>
      </c>
      <c r="I1161" t="s">
        <v>9</v>
      </c>
      <c r="J1161">
        <v>23</v>
      </c>
      <c r="K1161" t="s">
        <v>8</v>
      </c>
      <c r="L1161">
        <v>1</v>
      </c>
      <c r="M1161">
        <v>300</v>
      </c>
      <c r="N1161" s="1">
        <f t="shared" si="54"/>
        <v>300</v>
      </c>
    </row>
    <row r="1162" spans="5:14" x14ac:dyDescent="0.25">
      <c r="E1162">
        <v>1891</v>
      </c>
      <c r="F1162" s="7">
        <v>45434</v>
      </c>
      <c r="G1162">
        <f t="shared" ref="G1162:G1225" si="55">YEAR(F1162)</f>
        <v>2024</v>
      </c>
      <c r="H1162" s="7" t="str">
        <f t="shared" ref="H1162:H1225" si="56">TEXT(F1162,"ММММ")</f>
        <v>Май</v>
      </c>
      <c r="I1162" t="s">
        <v>9</v>
      </c>
      <c r="J1162">
        <v>56</v>
      </c>
      <c r="K1162" t="s">
        <v>10</v>
      </c>
      <c r="L1162">
        <v>2</v>
      </c>
      <c r="M1162">
        <v>286</v>
      </c>
      <c r="N1162" s="1">
        <f t="shared" ref="N1162:N1225" si="57">L1162*M1162</f>
        <v>572</v>
      </c>
    </row>
    <row r="1163" spans="5:14" x14ac:dyDescent="0.25">
      <c r="E1163">
        <v>1100</v>
      </c>
      <c r="F1163" s="7">
        <v>45410</v>
      </c>
      <c r="G1163">
        <f t="shared" si="55"/>
        <v>2024</v>
      </c>
      <c r="H1163" s="7" t="str">
        <f t="shared" si="56"/>
        <v>Апрель</v>
      </c>
      <c r="I1163" t="s">
        <v>9</v>
      </c>
      <c r="J1163">
        <v>65</v>
      </c>
      <c r="K1163" t="s">
        <v>8</v>
      </c>
      <c r="L1163">
        <v>5</v>
      </c>
      <c r="M1163">
        <v>46</v>
      </c>
      <c r="N1163" s="1">
        <f t="shared" si="57"/>
        <v>230</v>
      </c>
    </row>
    <row r="1164" spans="5:14" x14ac:dyDescent="0.25">
      <c r="E1164">
        <v>1548</v>
      </c>
      <c r="F1164" s="7">
        <v>45487</v>
      </c>
      <c r="G1164">
        <f t="shared" si="55"/>
        <v>2024</v>
      </c>
      <c r="H1164" s="7" t="str">
        <f t="shared" si="56"/>
        <v>Июль</v>
      </c>
      <c r="I1164" t="s">
        <v>7</v>
      </c>
      <c r="J1164">
        <v>30</v>
      </c>
      <c r="K1164" t="s">
        <v>11</v>
      </c>
      <c r="L1164">
        <v>3</v>
      </c>
      <c r="M1164">
        <v>283</v>
      </c>
      <c r="N1164" s="1">
        <f t="shared" si="57"/>
        <v>849</v>
      </c>
    </row>
    <row r="1165" spans="5:14" x14ac:dyDescent="0.25">
      <c r="E1165">
        <v>771</v>
      </c>
      <c r="F1165" s="7">
        <v>45130</v>
      </c>
      <c r="G1165">
        <f t="shared" si="55"/>
        <v>2023</v>
      </c>
      <c r="H1165" s="7" t="str">
        <f t="shared" si="56"/>
        <v>Июль</v>
      </c>
      <c r="I1165" t="s">
        <v>7</v>
      </c>
      <c r="J1165">
        <v>25</v>
      </c>
      <c r="K1165" t="s">
        <v>11</v>
      </c>
      <c r="L1165">
        <v>4</v>
      </c>
      <c r="M1165">
        <v>500</v>
      </c>
      <c r="N1165" s="1">
        <f t="shared" si="57"/>
        <v>2000</v>
      </c>
    </row>
    <row r="1166" spans="5:14" x14ac:dyDescent="0.25">
      <c r="E1166">
        <v>828</v>
      </c>
      <c r="F1166" s="7">
        <v>45099</v>
      </c>
      <c r="G1166">
        <f t="shared" si="55"/>
        <v>2023</v>
      </c>
      <c r="H1166" s="7" t="str">
        <f t="shared" si="56"/>
        <v>Июнь</v>
      </c>
      <c r="I1166" t="s">
        <v>9</v>
      </c>
      <c r="J1166">
        <v>64</v>
      </c>
      <c r="K1166" t="s">
        <v>10</v>
      </c>
      <c r="L1166">
        <v>3</v>
      </c>
      <c r="M1166">
        <v>50</v>
      </c>
      <c r="N1166" s="1">
        <f t="shared" si="57"/>
        <v>150</v>
      </c>
    </row>
    <row r="1167" spans="5:14" x14ac:dyDescent="0.25">
      <c r="E1167">
        <v>451</v>
      </c>
      <c r="F1167" s="7">
        <v>45054</v>
      </c>
      <c r="G1167">
        <f t="shared" si="55"/>
        <v>2023</v>
      </c>
      <c r="H1167" s="7" t="str">
        <f t="shared" si="56"/>
        <v>Май</v>
      </c>
      <c r="I1167" t="s">
        <v>9</v>
      </c>
      <c r="J1167">
        <v>48</v>
      </c>
      <c r="K1167" t="s">
        <v>10</v>
      </c>
      <c r="L1167">
        <v>3</v>
      </c>
      <c r="M1167">
        <v>500</v>
      </c>
      <c r="N1167" s="1">
        <f t="shared" si="57"/>
        <v>1500</v>
      </c>
    </row>
    <row r="1168" spans="5:14" x14ac:dyDescent="0.25">
      <c r="E1168">
        <v>745</v>
      </c>
      <c r="F1168" s="7">
        <v>45245</v>
      </c>
      <c r="G1168">
        <f t="shared" si="55"/>
        <v>2023</v>
      </c>
      <c r="H1168" s="7" t="str">
        <f t="shared" si="56"/>
        <v>Ноябрь</v>
      </c>
      <c r="I1168" t="s">
        <v>7</v>
      </c>
      <c r="J1168">
        <v>23</v>
      </c>
      <c r="K1168" t="s">
        <v>8</v>
      </c>
      <c r="L1168">
        <v>1</v>
      </c>
      <c r="M1168">
        <v>30</v>
      </c>
      <c r="N1168" s="1">
        <f t="shared" si="57"/>
        <v>30</v>
      </c>
    </row>
    <row r="1169" spans="5:14" x14ac:dyDescent="0.25">
      <c r="E1169">
        <v>1114</v>
      </c>
      <c r="F1169" s="7">
        <v>45527</v>
      </c>
      <c r="G1169">
        <f t="shared" si="55"/>
        <v>2024</v>
      </c>
      <c r="H1169" s="7" t="str">
        <f t="shared" si="56"/>
        <v>Август</v>
      </c>
      <c r="I1169" t="s">
        <v>9</v>
      </c>
      <c r="J1169">
        <v>18</v>
      </c>
      <c r="K1169" t="s">
        <v>10</v>
      </c>
      <c r="L1169">
        <v>4</v>
      </c>
      <c r="M1169">
        <v>267</v>
      </c>
      <c r="N1169" s="1">
        <f t="shared" si="57"/>
        <v>1068</v>
      </c>
    </row>
    <row r="1170" spans="5:14" x14ac:dyDescent="0.25">
      <c r="E1170">
        <v>15</v>
      </c>
      <c r="F1170" s="7">
        <v>44942</v>
      </c>
      <c r="G1170">
        <f t="shared" si="55"/>
        <v>2023</v>
      </c>
      <c r="H1170" s="7" t="str">
        <f t="shared" si="56"/>
        <v>Январь</v>
      </c>
      <c r="I1170" t="s">
        <v>9</v>
      </c>
      <c r="J1170">
        <v>42</v>
      </c>
      <c r="K1170" t="s">
        <v>11</v>
      </c>
      <c r="L1170">
        <v>4</v>
      </c>
      <c r="M1170">
        <v>500</v>
      </c>
      <c r="N1170" s="1">
        <f t="shared" si="57"/>
        <v>2000</v>
      </c>
    </row>
    <row r="1171" spans="5:14" x14ac:dyDescent="0.25">
      <c r="E1171">
        <v>1935</v>
      </c>
      <c r="F1171" s="7">
        <v>45644</v>
      </c>
      <c r="G1171">
        <f t="shared" si="55"/>
        <v>2024</v>
      </c>
      <c r="H1171" s="7" t="str">
        <f t="shared" si="56"/>
        <v>Декабрь</v>
      </c>
      <c r="I1171" t="s">
        <v>9</v>
      </c>
      <c r="J1171">
        <v>38</v>
      </c>
      <c r="K1171" t="s">
        <v>11</v>
      </c>
      <c r="L1171">
        <v>1</v>
      </c>
      <c r="M1171">
        <v>189</v>
      </c>
      <c r="N1171" s="1">
        <f t="shared" si="57"/>
        <v>189</v>
      </c>
    </row>
    <row r="1172" spans="5:14" x14ac:dyDescent="0.25">
      <c r="E1172">
        <v>1620</v>
      </c>
      <c r="F1172" s="7">
        <v>45361</v>
      </c>
      <c r="G1172">
        <f t="shared" si="55"/>
        <v>2024</v>
      </c>
      <c r="H1172" s="7" t="str">
        <f t="shared" si="56"/>
        <v>Март</v>
      </c>
      <c r="I1172" t="s">
        <v>7</v>
      </c>
      <c r="J1172">
        <v>51</v>
      </c>
      <c r="K1172" t="s">
        <v>10</v>
      </c>
      <c r="L1172">
        <v>2</v>
      </c>
      <c r="M1172">
        <v>116</v>
      </c>
      <c r="N1172" s="1">
        <f t="shared" si="57"/>
        <v>232</v>
      </c>
    </row>
    <row r="1173" spans="5:14" x14ac:dyDescent="0.25">
      <c r="E1173">
        <v>1608</v>
      </c>
      <c r="F1173" s="7">
        <v>45346</v>
      </c>
      <c r="G1173">
        <f t="shared" si="55"/>
        <v>2024</v>
      </c>
      <c r="H1173" s="7" t="str">
        <f t="shared" si="56"/>
        <v>Февраль</v>
      </c>
      <c r="I1173" t="s">
        <v>7</v>
      </c>
      <c r="J1173">
        <v>64</v>
      </c>
      <c r="K1173" t="s">
        <v>8</v>
      </c>
      <c r="L1173">
        <v>4</v>
      </c>
      <c r="M1173">
        <v>134</v>
      </c>
      <c r="N1173" s="1">
        <f t="shared" si="57"/>
        <v>536</v>
      </c>
    </row>
    <row r="1174" spans="5:14" x14ac:dyDescent="0.25">
      <c r="E1174">
        <v>730</v>
      </c>
      <c r="F1174" s="7">
        <v>44968</v>
      </c>
      <c r="G1174">
        <f t="shared" si="55"/>
        <v>2023</v>
      </c>
      <c r="H1174" s="7" t="str">
        <f t="shared" si="56"/>
        <v>Февраль</v>
      </c>
      <c r="I1174" t="s">
        <v>7</v>
      </c>
      <c r="J1174">
        <v>61</v>
      </c>
      <c r="K1174" t="s">
        <v>11</v>
      </c>
      <c r="L1174">
        <v>2</v>
      </c>
      <c r="M1174">
        <v>500</v>
      </c>
      <c r="N1174" s="1">
        <f t="shared" si="57"/>
        <v>1000</v>
      </c>
    </row>
    <row r="1175" spans="5:14" x14ac:dyDescent="0.25">
      <c r="E1175">
        <v>781</v>
      </c>
      <c r="F1175" s="7">
        <v>45277</v>
      </c>
      <c r="G1175">
        <f t="shared" si="55"/>
        <v>2023</v>
      </c>
      <c r="H1175" s="7" t="str">
        <f t="shared" si="56"/>
        <v>Декабрь</v>
      </c>
      <c r="I1175" t="s">
        <v>9</v>
      </c>
      <c r="J1175">
        <v>56</v>
      </c>
      <c r="K1175" t="s">
        <v>10</v>
      </c>
      <c r="L1175">
        <v>1</v>
      </c>
      <c r="M1175">
        <v>300</v>
      </c>
      <c r="N1175" s="1">
        <f t="shared" si="57"/>
        <v>300</v>
      </c>
    </row>
    <row r="1176" spans="5:14" x14ac:dyDescent="0.25">
      <c r="E1176">
        <v>52</v>
      </c>
      <c r="F1176" s="7">
        <v>44990</v>
      </c>
      <c r="G1176">
        <f t="shared" si="55"/>
        <v>2023</v>
      </c>
      <c r="H1176" s="7" t="str">
        <f t="shared" si="56"/>
        <v>Март</v>
      </c>
      <c r="I1176" t="s">
        <v>9</v>
      </c>
      <c r="J1176">
        <v>36</v>
      </c>
      <c r="K1176" t="s">
        <v>8</v>
      </c>
      <c r="L1176">
        <v>1</v>
      </c>
      <c r="M1176">
        <v>300</v>
      </c>
      <c r="N1176" s="1">
        <f t="shared" si="57"/>
        <v>300</v>
      </c>
    </row>
    <row r="1177" spans="5:14" x14ac:dyDescent="0.25">
      <c r="E1177">
        <v>1000</v>
      </c>
      <c r="F1177" s="7">
        <v>45349</v>
      </c>
      <c r="G1177">
        <f t="shared" si="55"/>
        <v>2024</v>
      </c>
      <c r="H1177" s="7" t="str">
        <f t="shared" si="56"/>
        <v>Февраль</v>
      </c>
      <c r="I1177" t="s">
        <v>9</v>
      </c>
      <c r="J1177">
        <v>61</v>
      </c>
      <c r="K1177" t="s">
        <v>10</v>
      </c>
      <c r="L1177">
        <v>1</v>
      </c>
      <c r="M1177">
        <v>328</v>
      </c>
      <c r="N1177" s="1">
        <f t="shared" si="57"/>
        <v>328</v>
      </c>
    </row>
    <row r="1178" spans="5:14" x14ac:dyDescent="0.25">
      <c r="E1178">
        <v>886</v>
      </c>
      <c r="F1178" s="7">
        <v>44988</v>
      </c>
      <c r="G1178">
        <f t="shared" si="55"/>
        <v>2023</v>
      </c>
      <c r="H1178" s="7" t="str">
        <f t="shared" si="56"/>
        <v>Март</v>
      </c>
      <c r="I1178" t="s">
        <v>9</v>
      </c>
      <c r="J1178">
        <v>52</v>
      </c>
      <c r="K1178" t="s">
        <v>11</v>
      </c>
      <c r="L1178">
        <v>4</v>
      </c>
      <c r="M1178">
        <v>25</v>
      </c>
      <c r="N1178" s="1">
        <f t="shared" si="57"/>
        <v>100</v>
      </c>
    </row>
    <row r="1179" spans="5:14" x14ac:dyDescent="0.25">
      <c r="E1179">
        <v>1129</v>
      </c>
      <c r="F1179" s="7">
        <v>45553</v>
      </c>
      <c r="G1179">
        <f t="shared" si="55"/>
        <v>2024</v>
      </c>
      <c r="H1179" s="7" t="str">
        <f t="shared" si="56"/>
        <v>Сентябрь</v>
      </c>
      <c r="I1179" t="s">
        <v>9</v>
      </c>
      <c r="J1179">
        <v>54</v>
      </c>
      <c r="K1179" t="s">
        <v>8</v>
      </c>
      <c r="L1179">
        <v>6</v>
      </c>
      <c r="M1179">
        <v>468</v>
      </c>
      <c r="N1179" s="1">
        <f t="shared" si="57"/>
        <v>2808</v>
      </c>
    </row>
    <row r="1180" spans="5:14" x14ac:dyDescent="0.25">
      <c r="E1180">
        <v>1863</v>
      </c>
      <c r="F1180" s="7">
        <v>45449</v>
      </c>
      <c r="G1180">
        <f t="shared" si="55"/>
        <v>2024</v>
      </c>
      <c r="H1180" s="7" t="str">
        <f t="shared" si="56"/>
        <v>Июнь</v>
      </c>
      <c r="I1180" t="s">
        <v>7</v>
      </c>
      <c r="J1180">
        <v>62</v>
      </c>
      <c r="K1180" t="s">
        <v>11</v>
      </c>
      <c r="L1180">
        <v>2</v>
      </c>
      <c r="M1180">
        <v>306</v>
      </c>
      <c r="N1180" s="1">
        <f t="shared" si="57"/>
        <v>612</v>
      </c>
    </row>
    <row r="1181" spans="5:14" x14ac:dyDescent="0.25">
      <c r="E1181">
        <v>410</v>
      </c>
      <c r="F1181" s="7">
        <v>45062</v>
      </c>
      <c r="G1181">
        <f t="shared" si="55"/>
        <v>2023</v>
      </c>
      <c r="H1181" s="7" t="str">
        <f t="shared" si="56"/>
        <v>Май</v>
      </c>
      <c r="I1181" t="s">
        <v>7</v>
      </c>
      <c r="J1181">
        <v>62</v>
      </c>
      <c r="K1181" t="s">
        <v>11</v>
      </c>
      <c r="L1181">
        <v>4</v>
      </c>
      <c r="M1181">
        <v>50</v>
      </c>
      <c r="N1181" s="1">
        <f t="shared" si="57"/>
        <v>200</v>
      </c>
    </row>
    <row r="1182" spans="5:14" x14ac:dyDescent="0.25">
      <c r="E1182">
        <v>1008</v>
      </c>
      <c r="F1182" s="7">
        <v>45572</v>
      </c>
      <c r="G1182">
        <f t="shared" si="55"/>
        <v>2024</v>
      </c>
      <c r="H1182" s="7" t="str">
        <f t="shared" si="56"/>
        <v>Октябрь</v>
      </c>
      <c r="I1182" t="s">
        <v>9</v>
      </c>
      <c r="J1182">
        <v>48</v>
      </c>
      <c r="K1182" t="s">
        <v>10</v>
      </c>
      <c r="L1182">
        <v>6</v>
      </c>
      <c r="M1182">
        <v>417</v>
      </c>
      <c r="N1182" s="1">
        <f t="shared" si="57"/>
        <v>2502</v>
      </c>
    </row>
    <row r="1183" spans="5:14" x14ac:dyDescent="0.25">
      <c r="E1183">
        <v>312</v>
      </c>
      <c r="F1183" s="7">
        <v>45006</v>
      </c>
      <c r="G1183">
        <f t="shared" si="55"/>
        <v>2023</v>
      </c>
      <c r="H1183" s="7" t="str">
        <f t="shared" si="56"/>
        <v>Март</v>
      </c>
      <c r="I1183" t="s">
        <v>9</v>
      </c>
      <c r="J1183">
        <v>55</v>
      </c>
      <c r="K1183" t="s">
        <v>8</v>
      </c>
      <c r="L1183">
        <v>3</v>
      </c>
      <c r="M1183">
        <v>500</v>
      </c>
      <c r="N1183" s="1">
        <f t="shared" si="57"/>
        <v>1500</v>
      </c>
    </row>
    <row r="1184" spans="5:14" x14ac:dyDescent="0.25">
      <c r="E1184">
        <v>816</v>
      </c>
      <c r="F1184" s="7">
        <v>45064</v>
      </c>
      <c r="G1184">
        <f t="shared" si="55"/>
        <v>2023</v>
      </c>
      <c r="H1184" s="7" t="str">
        <f t="shared" si="56"/>
        <v>Май</v>
      </c>
      <c r="I1184" t="s">
        <v>7</v>
      </c>
      <c r="J1184">
        <v>30</v>
      </c>
      <c r="K1184" t="s">
        <v>11</v>
      </c>
      <c r="L1184">
        <v>1</v>
      </c>
      <c r="M1184">
        <v>500</v>
      </c>
      <c r="N1184" s="1">
        <f t="shared" si="57"/>
        <v>500</v>
      </c>
    </row>
    <row r="1185" spans="5:14" x14ac:dyDescent="0.25">
      <c r="E1185">
        <v>647</v>
      </c>
      <c r="F1185" s="7">
        <v>45152</v>
      </c>
      <c r="G1185">
        <f t="shared" si="55"/>
        <v>2023</v>
      </c>
      <c r="H1185" s="7" t="str">
        <f t="shared" si="56"/>
        <v>Август</v>
      </c>
      <c r="I1185" t="s">
        <v>7</v>
      </c>
      <c r="J1185">
        <v>53</v>
      </c>
      <c r="K1185" t="s">
        <v>8</v>
      </c>
      <c r="L1185">
        <v>4</v>
      </c>
      <c r="M1185">
        <v>300</v>
      </c>
      <c r="N1185" s="1">
        <f t="shared" si="57"/>
        <v>1200</v>
      </c>
    </row>
    <row r="1186" spans="5:14" x14ac:dyDescent="0.25">
      <c r="E1186">
        <v>1655</v>
      </c>
      <c r="F1186" s="7">
        <v>45370</v>
      </c>
      <c r="G1186">
        <f t="shared" si="55"/>
        <v>2024</v>
      </c>
      <c r="H1186" s="7" t="str">
        <f t="shared" si="56"/>
        <v>Март</v>
      </c>
      <c r="I1186" t="s">
        <v>9</v>
      </c>
      <c r="J1186">
        <v>40</v>
      </c>
      <c r="K1186" t="s">
        <v>11</v>
      </c>
      <c r="L1186">
        <v>6</v>
      </c>
      <c r="M1186">
        <v>278</v>
      </c>
      <c r="N1186" s="1">
        <f t="shared" si="57"/>
        <v>1668</v>
      </c>
    </row>
    <row r="1187" spans="5:14" x14ac:dyDescent="0.25">
      <c r="E1187">
        <v>528</v>
      </c>
      <c r="F1187" s="7">
        <v>45147</v>
      </c>
      <c r="G1187">
        <f t="shared" si="55"/>
        <v>2023</v>
      </c>
      <c r="H1187" s="7" t="str">
        <f t="shared" si="56"/>
        <v>Август</v>
      </c>
      <c r="I1187" t="s">
        <v>9</v>
      </c>
      <c r="J1187">
        <v>35</v>
      </c>
      <c r="K1187" t="s">
        <v>10</v>
      </c>
      <c r="L1187">
        <v>3</v>
      </c>
      <c r="M1187">
        <v>50</v>
      </c>
      <c r="N1187" s="1">
        <f t="shared" si="57"/>
        <v>150</v>
      </c>
    </row>
    <row r="1188" spans="5:14" x14ac:dyDescent="0.25">
      <c r="E1188">
        <v>973</v>
      </c>
      <c r="F1188" s="7">
        <v>45015</v>
      </c>
      <c r="G1188">
        <f t="shared" si="55"/>
        <v>2023</v>
      </c>
      <c r="H1188" s="7" t="str">
        <f t="shared" si="56"/>
        <v>Март</v>
      </c>
      <c r="I1188" t="s">
        <v>9</v>
      </c>
      <c r="J1188">
        <v>56</v>
      </c>
      <c r="K1188" t="s">
        <v>10</v>
      </c>
      <c r="L1188">
        <v>4</v>
      </c>
      <c r="M1188">
        <v>50</v>
      </c>
      <c r="N1188" s="1">
        <f t="shared" si="57"/>
        <v>200</v>
      </c>
    </row>
    <row r="1189" spans="5:14" x14ac:dyDescent="0.25">
      <c r="E1189">
        <v>875</v>
      </c>
      <c r="F1189" s="7">
        <v>45096</v>
      </c>
      <c r="G1189">
        <f t="shared" si="55"/>
        <v>2023</v>
      </c>
      <c r="H1189" s="7" t="str">
        <f t="shared" si="56"/>
        <v>Июнь</v>
      </c>
      <c r="I1189" t="s">
        <v>9</v>
      </c>
      <c r="J1189">
        <v>58</v>
      </c>
      <c r="K1189" t="s">
        <v>10</v>
      </c>
      <c r="L1189">
        <v>1</v>
      </c>
      <c r="M1189">
        <v>25</v>
      </c>
      <c r="N1189" s="1">
        <f t="shared" si="57"/>
        <v>25</v>
      </c>
    </row>
    <row r="1190" spans="5:14" x14ac:dyDescent="0.25">
      <c r="E1190">
        <v>945</v>
      </c>
      <c r="F1190" s="7">
        <v>44987</v>
      </c>
      <c r="G1190">
        <f t="shared" si="55"/>
        <v>2023</v>
      </c>
      <c r="H1190" s="7" t="str">
        <f t="shared" si="56"/>
        <v>Март</v>
      </c>
      <c r="I1190" t="s">
        <v>7</v>
      </c>
      <c r="J1190">
        <v>50</v>
      </c>
      <c r="K1190" t="s">
        <v>8</v>
      </c>
      <c r="L1190">
        <v>1</v>
      </c>
      <c r="M1190">
        <v>300</v>
      </c>
      <c r="N1190" s="1">
        <f t="shared" si="57"/>
        <v>300</v>
      </c>
    </row>
    <row r="1191" spans="5:14" x14ac:dyDescent="0.25">
      <c r="E1191">
        <v>405</v>
      </c>
      <c r="F1191" s="7">
        <v>45034</v>
      </c>
      <c r="G1191">
        <f t="shared" si="55"/>
        <v>2023</v>
      </c>
      <c r="H1191" s="7" t="str">
        <f t="shared" si="56"/>
        <v>Апрель</v>
      </c>
      <c r="I1191" t="s">
        <v>9</v>
      </c>
      <c r="J1191">
        <v>22</v>
      </c>
      <c r="K1191" t="s">
        <v>8</v>
      </c>
      <c r="L1191">
        <v>4</v>
      </c>
      <c r="M1191">
        <v>25</v>
      </c>
      <c r="N1191" s="1">
        <f t="shared" si="57"/>
        <v>100</v>
      </c>
    </row>
    <row r="1192" spans="5:14" x14ac:dyDescent="0.25">
      <c r="E1192">
        <v>116</v>
      </c>
      <c r="F1192" s="7">
        <v>45161</v>
      </c>
      <c r="G1192">
        <f t="shared" si="55"/>
        <v>2023</v>
      </c>
      <c r="H1192" s="7" t="str">
        <f t="shared" si="56"/>
        <v>Август</v>
      </c>
      <c r="I1192" t="s">
        <v>9</v>
      </c>
      <c r="J1192">
        <v>23</v>
      </c>
      <c r="K1192" t="s">
        <v>10</v>
      </c>
      <c r="L1192">
        <v>1</v>
      </c>
      <c r="M1192">
        <v>30</v>
      </c>
      <c r="N1192" s="1">
        <f t="shared" si="57"/>
        <v>30</v>
      </c>
    </row>
    <row r="1193" spans="5:14" x14ac:dyDescent="0.25">
      <c r="E1193">
        <v>1699</v>
      </c>
      <c r="F1193" s="7">
        <v>45377</v>
      </c>
      <c r="G1193">
        <f t="shared" si="55"/>
        <v>2024</v>
      </c>
      <c r="H1193" s="7" t="str">
        <f t="shared" si="56"/>
        <v>Март</v>
      </c>
      <c r="I1193" t="s">
        <v>7</v>
      </c>
      <c r="J1193">
        <v>22</v>
      </c>
      <c r="K1193" t="s">
        <v>11</v>
      </c>
      <c r="L1193">
        <v>6</v>
      </c>
      <c r="M1193">
        <v>70</v>
      </c>
      <c r="N1193" s="1">
        <f t="shared" si="57"/>
        <v>420</v>
      </c>
    </row>
    <row r="1194" spans="5:14" x14ac:dyDescent="0.25">
      <c r="E1194">
        <v>1503</v>
      </c>
      <c r="F1194" s="7">
        <v>45347</v>
      </c>
      <c r="G1194">
        <f t="shared" si="55"/>
        <v>2024</v>
      </c>
      <c r="H1194" s="7" t="str">
        <f t="shared" si="56"/>
        <v>Февраль</v>
      </c>
      <c r="I1194" t="s">
        <v>7</v>
      </c>
      <c r="J1194">
        <v>33</v>
      </c>
      <c r="K1194" t="s">
        <v>8</v>
      </c>
      <c r="L1194">
        <v>4</v>
      </c>
      <c r="M1194">
        <v>312</v>
      </c>
      <c r="N1194" s="1">
        <f t="shared" si="57"/>
        <v>1248</v>
      </c>
    </row>
    <row r="1195" spans="5:14" x14ac:dyDescent="0.25">
      <c r="E1195">
        <v>1306</v>
      </c>
      <c r="F1195" s="7">
        <v>45649</v>
      </c>
      <c r="G1195">
        <f t="shared" si="55"/>
        <v>2024</v>
      </c>
      <c r="H1195" s="7" t="str">
        <f t="shared" si="56"/>
        <v>Декабрь</v>
      </c>
      <c r="I1195" t="s">
        <v>9</v>
      </c>
      <c r="J1195">
        <v>33</v>
      </c>
      <c r="K1195" t="s">
        <v>8</v>
      </c>
      <c r="L1195">
        <v>2</v>
      </c>
      <c r="M1195">
        <v>331</v>
      </c>
      <c r="N1195" s="1">
        <f t="shared" si="57"/>
        <v>662</v>
      </c>
    </row>
    <row r="1196" spans="5:14" x14ac:dyDescent="0.25">
      <c r="E1196">
        <v>1912</v>
      </c>
      <c r="F1196" s="7">
        <v>45650</v>
      </c>
      <c r="G1196">
        <f t="shared" si="55"/>
        <v>2024</v>
      </c>
      <c r="H1196" s="7" t="str">
        <f t="shared" si="56"/>
        <v>Декабрь</v>
      </c>
      <c r="I1196" t="s">
        <v>9</v>
      </c>
      <c r="J1196">
        <v>53</v>
      </c>
      <c r="K1196" t="s">
        <v>11</v>
      </c>
      <c r="L1196">
        <v>4</v>
      </c>
      <c r="M1196">
        <v>341</v>
      </c>
      <c r="N1196" s="1">
        <f t="shared" si="57"/>
        <v>1364</v>
      </c>
    </row>
    <row r="1197" spans="5:14" x14ac:dyDescent="0.25">
      <c r="E1197">
        <v>502</v>
      </c>
      <c r="F1197" s="7">
        <v>45224</v>
      </c>
      <c r="G1197">
        <f t="shared" si="55"/>
        <v>2023</v>
      </c>
      <c r="H1197" s="7" t="str">
        <f t="shared" si="56"/>
        <v>Октябрь</v>
      </c>
      <c r="I1197" t="s">
        <v>7</v>
      </c>
      <c r="J1197">
        <v>45</v>
      </c>
      <c r="K1197" t="s">
        <v>8</v>
      </c>
      <c r="L1197">
        <v>4</v>
      </c>
      <c r="M1197">
        <v>500</v>
      </c>
      <c r="N1197" s="1">
        <f t="shared" si="57"/>
        <v>2000</v>
      </c>
    </row>
    <row r="1198" spans="5:14" x14ac:dyDescent="0.25">
      <c r="E1198">
        <v>1029</v>
      </c>
      <c r="F1198" s="7">
        <v>45435</v>
      </c>
      <c r="G1198">
        <f t="shared" si="55"/>
        <v>2024</v>
      </c>
      <c r="H1198" s="7" t="str">
        <f t="shared" si="56"/>
        <v>Май</v>
      </c>
      <c r="I1198" t="s">
        <v>7</v>
      </c>
      <c r="J1198">
        <v>63</v>
      </c>
      <c r="K1198" t="s">
        <v>11</v>
      </c>
      <c r="L1198">
        <v>4</v>
      </c>
      <c r="M1198">
        <v>159</v>
      </c>
      <c r="N1198" s="1">
        <f t="shared" si="57"/>
        <v>636</v>
      </c>
    </row>
    <row r="1199" spans="5:14" x14ac:dyDescent="0.25">
      <c r="E1199">
        <v>1739</v>
      </c>
      <c r="F1199" s="7">
        <v>45307</v>
      </c>
      <c r="G1199">
        <f t="shared" si="55"/>
        <v>2024</v>
      </c>
      <c r="H1199" s="7" t="str">
        <f t="shared" si="56"/>
        <v>Январь</v>
      </c>
      <c r="I1199" t="s">
        <v>9</v>
      </c>
      <c r="J1199">
        <v>57</v>
      </c>
      <c r="K1199" t="s">
        <v>8</v>
      </c>
      <c r="L1199">
        <v>2</v>
      </c>
      <c r="M1199">
        <v>489</v>
      </c>
      <c r="N1199" s="1">
        <f t="shared" si="57"/>
        <v>978</v>
      </c>
    </row>
    <row r="1200" spans="5:14" x14ac:dyDescent="0.25">
      <c r="E1200">
        <v>107</v>
      </c>
      <c r="F1200" s="7">
        <v>44960</v>
      </c>
      <c r="G1200">
        <f t="shared" si="55"/>
        <v>2023</v>
      </c>
      <c r="H1200" s="7" t="str">
        <f t="shared" si="56"/>
        <v>Февраль</v>
      </c>
      <c r="I1200" t="s">
        <v>9</v>
      </c>
      <c r="J1200">
        <v>21</v>
      </c>
      <c r="K1200" t="s">
        <v>10</v>
      </c>
      <c r="L1200">
        <v>4</v>
      </c>
      <c r="M1200">
        <v>300</v>
      </c>
      <c r="N1200" s="1">
        <f t="shared" si="57"/>
        <v>1200</v>
      </c>
    </row>
    <row r="1201" spans="5:14" x14ac:dyDescent="0.25">
      <c r="E1201">
        <v>28</v>
      </c>
      <c r="F1201" s="7">
        <v>45039</v>
      </c>
      <c r="G1201">
        <f t="shared" si="55"/>
        <v>2023</v>
      </c>
      <c r="H1201" s="7" t="str">
        <f t="shared" si="56"/>
        <v>Апрель</v>
      </c>
      <c r="I1201" t="s">
        <v>9</v>
      </c>
      <c r="J1201">
        <v>43</v>
      </c>
      <c r="K1201" t="s">
        <v>8</v>
      </c>
      <c r="L1201">
        <v>1</v>
      </c>
      <c r="M1201">
        <v>500</v>
      </c>
      <c r="N1201" s="1">
        <f t="shared" si="57"/>
        <v>500</v>
      </c>
    </row>
    <row r="1202" spans="5:14" x14ac:dyDescent="0.25">
      <c r="E1202">
        <v>1571</v>
      </c>
      <c r="F1202" s="7">
        <v>45535</v>
      </c>
      <c r="G1202">
        <f t="shared" si="55"/>
        <v>2024</v>
      </c>
      <c r="H1202" s="7" t="str">
        <f t="shared" si="56"/>
        <v>Август</v>
      </c>
      <c r="I1202" t="s">
        <v>9</v>
      </c>
      <c r="J1202">
        <v>21</v>
      </c>
      <c r="K1202" t="s">
        <v>11</v>
      </c>
      <c r="L1202">
        <v>5</v>
      </c>
      <c r="M1202">
        <v>148</v>
      </c>
      <c r="N1202" s="1">
        <f t="shared" si="57"/>
        <v>740</v>
      </c>
    </row>
    <row r="1203" spans="5:14" x14ac:dyDescent="0.25">
      <c r="E1203">
        <v>1638</v>
      </c>
      <c r="F1203" s="7">
        <v>45619</v>
      </c>
      <c r="G1203">
        <f t="shared" si="55"/>
        <v>2024</v>
      </c>
      <c r="H1203" s="7" t="str">
        <f t="shared" si="56"/>
        <v>Ноябрь</v>
      </c>
      <c r="I1203" t="s">
        <v>9</v>
      </c>
      <c r="J1203">
        <v>29</v>
      </c>
      <c r="K1203" t="s">
        <v>11</v>
      </c>
      <c r="L1203">
        <v>3</v>
      </c>
      <c r="M1203">
        <v>177</v>
      </c>
      <c r="N1203" s="1">
        <f t="shared" si="57"/>
        <v>531</v>
      </c>
    </row>
    <row r="1204" spans="5:14" x14ac:dyDescent="0.25">
      <c r="E1204">
        <v>1574</v>
      </c>
      <c r="F1204" s="7">
        <v>45335</v>
      </c>
      <c r="G1204">
        <f t="shared" si="55"/>
        <v>2024</v>
      </c>
      <c r="H1204" s="7" t="str">
        <f t="shared" si="56"/>
        <v>Февраль</v>
      </c>
      <c r="I1204" t="s">
        <v>7</v>
      </c>
      <c r="J1204">
        <v>65</v>
      </c>
      <c r="K1204" t="s">
        <v>8</v>
      </c>
      <c r="L1204">
        <v>3</v>
      </c>
      <c r="M1204">
        <v>348</v>
      </c>
      <c r="N1204" s="1">
        <f t="shared" si="57"/>
        <v>1044</v>
      </c>
    </row>
    <row r="1205" spans="5:14" x14ac:dyDescent="0.25">
      <c r="E1205">
        <v>947</v>
      </c>
      <c r="F1205" s="7">
        <v>45140</v>
      </c>
      <c r="G1205">
        <f t="shared" si="55"/>
        <v>2023</v>
      </c>
      <c r="H1205" s="7" t="str">
        <f t="shared" si="56"/>
        <v>Август</v>
      </c>
      <c r="I1205" t="s">
        <v>9</v>
      </c>
      <c r="J1205">
        <v>41</v>
      </c>
      <c r="K1205" t="s">
        <v>11</v>
      </c>
      <c r="L1205">
        <v>2</v>
      </c>
      <c r="M1205">
        <v>25</v>
      </c>
      <c r="N1205" s="1">
        <f t="shared" si="57"/>
        <v>50</v>
      </c>
    </row>
    <row r="1206" spans="5:14" x14ac:dyDescent="0.25">
      <c r="E1206">
        <v>1182</v>
      </c>
      <c r="F1206" s="7">
        <v>45301</v>
      </c>
      <c r="G1206">
        <f t="shared" si="55"/>
        <v>2024</v>
      </c>
      <c r="H1206" s="7" t="str">
        <f t="shared" si="56"/>
        <v>Январь</v>
      </c>
      <c r="I1206" t="s">
        <v>7</v>
      </c>
      <c r="J1206">
        <v>59</v>
      </c>
      <c r="K1206" t="s">
        <v>11</v>
      </c>
      <c r="L1206">
        <v>2</v>
      </c>
      <c r="M1206">
        <v>328</v>
      </c>
      <c r="N1206" s="1">
        <f t="shared" si="57"/>
        <v>656</v>
      </c>
    </row>
    <row r="1207" spans="5:14" x14ac:dyDescent="0.25">
      <c r="E1207">
        <v>926</v>
      </c>
      <c r="F1207" s="7">
        <v>45021</v>
      </c>
      <c r="G1207">
        <f t="shared" si="55"/>
        <v>2023</v>
      </c>
      <c r="H1207" s="7" t="str">
        <f t="shared" si="56"/>
        <v>Апрель</v>
      </c>
      <c r="I1207" t="s">
        <v>9</v>
      </c>
      <c r="J1207">
        <v>35</v>
      </c>
      <c r="K1207" t="s">
        <v>10</v>
      </c>
      <c r="L1207">
        <v>4</v>
      </c>
      <c r="M1207">
        <v>300</v>
      </c>
      <c r="N1207" s="1">
        <f t="shared" si="57"/>
        <v>1200</v>
      </c>
    </row>
    <row r="1208" spans="5:14" x14ac:dyDescent="0.25">
      <c r="E1208">
        <v>987</v>
      </c>
      <c r="F1208" s="7">
        <v>45288</v>
      </c>
      <c r="G1208">
        <f t="shared" si="55"/>
        <v>2023</v>
      </c>
      <c r="H1208" s="7" t="str">
        <f t="shared" si="56"/>
        <v>Декабрь</v>
      </c>
      <c r="I1208" t="s">
        <v>9</v>
      </c>
      <c r="J1208">
        <v>44</v>
      </c>
      <c r="K1208" t="s">
        <v>11</v>
      </c>
      <c r="L1208">
        <v>1</v>
      </c>
      <c r="M1208">
        <v>25</v>
      </c>
      <c r="N1208" s="1">
        <f t="shared" si="57"/>
        <v>25</v>
      </c>
    </row>
    <row r="1209" spans="5:14" x14ac:dyDescent="0.25">
      <c r="E1209">
        <v>80</v>
      </c>
      <c r="F1209" s="7">
        <v>45270</v>
      </c>
      <c r="G1209">
        <f t="shared" si="55"/>
        <v>2023</v>
      </c>
      <c r="H1209" s="7" t="str">
        <f t="shared" si="56"/>
        <v>Декабрь</v>
      </c>
      <c r="I1209" t="s">
        <v>9</v>
      </c>
      <c r="J1209">
        <v>64</v>
      </c>
      <c r="K1209" t="s">
        <v>10</v>
      </c>
      <c r="L1209">
        <v>2</v>
      </c>
      <c r="M1209">
        <v>30</v>
      </c>
      <c r="N1209" s="1">
        <f t="shared" si="57"/>
        <v>60</v>
      </c>
    </row>
    <row r="1210" spans="5:14" x14ac:dyDescent="0.25">
      <c r="E1210">
        <v>497</v>
      </c>
      <c r="F1210" s="7">
        <v>45096</v>
      </c>
      <c r="G1210">
        <f t="shared" si="55"/>
        <v>2023</v>
      </c>
      <c r="H1210" s="7" t="str">
        <f t="shared" si="56"/>
        <v>Июнь</v>
      </c>
      <c r="I1210" t="s">
        <v>9</v>
      </c>
      <c r="J1210">
        <v>50</v>
      </c>
      <c r="K1210" t="s">
        <v>10</v>
      </c>
      <c r="L1210">
        <v>4</v>
      </c>
      <c r="M1210">
        <v>25</v>
      </c>
      <c r="N1210" s="1">
        <f t="shared" si="57"/>
        <v>100</v>
      </c>
    </row>
    <row r="1211" spans="5:14" x14ac:dyDescent="0.25">
      <c r="E1211">
        <v>919</v>
      </c>
      <c r="F1211" s="7">
        <v>44933</v>
      </c>
      <c r="G1211">
        <f t="shared" si="55"/>
        <v>2023</v>
      </c>
      <c r="H1211" s="7" t="str">
        <f t="shared" si="56"/>
        <v>Январь</v>
      </c>
      <c r="I1211" t="s">
        <v>7</v>
      </c>
      <c r="J1211">
        <v>51</v>
      </c>
      <c r="K1211" t="s">
        <v>11</v>
      </c>
      <c r="L1211">
        <v>3</v>
      </c>
      <c r="M1211">
        <v>25</v>
      </c>
      <c r="N1211" s="1">
        <f t="shared" si="57"/>
        <v>75</v>
      </c>
    </row>
    <row r="1212" spans="5:14" x14ac:dyDescent="0.25">
      <c r="E1212">
        <v>1505</v>
      </c>
      <c r="F1212" s="7">
        <v>45515</v>
      </c>
      <c r="G1212">
        <f t="shared" si="55"/>
        <v>2024</v>
      </c>
      <c r="H1212" s="7" t="str">
        <f t="shared" si="56"/>
        <v>Август</v>
      </c>
      <c r="I1212" t="s">
        <v>7</v>
      </c>
      <c r="J1212">
        <v>24</v>
      </c>
      <c r="K1212" t="s">
        <v>8</v>
      </c>
      <c r="L1212">
        <v>4</v>
      </c>
      <c r="M1212">
        <v>371</v>
      </c>
      <c r="N1212" s="1">
        <f t="shared" si="57"/>
        <v>1484</v>
      </c>
    </row>
    <row r="1213" spans="5:14" x14ac:dyDescent="0.25">
      <c r="E1213">
        <v>985</v>
      </c>
      <c r="F1213" s="7">
        <v>45045</v>
      </c>
      <c r="G1213">
        <f t="shared" si="55"/>
        <v>2023</v>
      </c>
      <c r="H1213" s="7" t="str">
        <f t="shared" si="56"/>
        <v>Апрель</v>
      </c>
      <c r="I1213" t="s">
        <v>9</v>
      </c>
      <c r="J1213">
        <v>30</v>
      </c>
      <c r="K1213" t="s">
        <v>10</v>
      </c>
      <c r="L1213">
        <v>3</v>
      </c>
      <c r="M1213">
        <v>300</v>
      </c>
      <c r="N1213" s="1">
        <f t="shared" si="57"/>
        <v>900</v>
      </c>
    </row>
    <row r="1214" spans="5:14" x14ac:dyDescent="0.25">
      <c r="E1214">
        <v>1074</v>
      </c>
      <c r="F1214" s="7">
        <v>45376</v>
      </c>
      <c r="G1214">
        <f t="shared" si="55"/>
        <v>2024</v>
      </c>
      <c r="H1214" s="7" t="str">
        <f t="shared" si="56"/>
        <v>Март</v>
      </c>
      <c r="I1214" t="s">
        <v>9</v>
      </c>
      <c r="J1214">
        <v>34</v>
      </c>
      <c r="K1214" t="s">
        <v>11</v>
      </c>
      <c r="L1214">
        <v>4</v>
      </c>
      <c r="M1214">
        <v>392</v>
      </c>
      <c r="N1214" s="1">
        <f t="shared" si="57"/>
        <v>1568</v>
      </c>
    </row>
    <row r="1215" spans="5:14" x14ac:dyDescent="0.25">
      <c r="E1215">
        <v>1324</v>
      </c>
      <c r="F1215" s="7">
        <v>45564</v>
      </c>
      <c r="G1215">
        <f t="shared" si="55"/>
        <v>2024</v>
      </c>
      <c r="H1215" s="7" t="str">
        <f t="shared" si="56"/>
        <v>Сентябрь</v>
      </c>
      <c r="I1215" t="s">
        <v>7</v>
      </c>
      <c r="J1215">
        <v>52</v>
      </c>
      <c r="K1215" t="s">
        <v>11</v>
      </c>
      <c r="L1215">
        <v>3</v>
      </c>
      <c r="M1215">
        <v>247</v>
      </c>
      <c r="N1215" s="1">
        <f t="shared" si="57"/>
        <v>741</v>
      </c>
    </row>
    <row r="1216" spans="5:14" x14ac:dyDescent="0.25">
      <c r="E1216">
        <v>13</v>
      </c>
      <c r="F1216" s="7">
        <v>45143</v>
      </c>
      <c r="G1216">
        <f t="shared" si="55"/>
        <v>2023</v>
      </c>
      <c r="H1216" s="7" t="str">
        <f t="shared" si="56"/>
        <v>Август</v>
      </c>
      <c r="I1216" t="s">
        <v>7</v>
      </c>
      <c r="J1216">
        <v>22</v>
      </c>
      <c r="K1216" t="s">
        <v>11</v>
      </c>
      <c r="L1216">
        <v>3</v>
      </c>
      <c r="M1216">
        <v>500</v>
      </c>
      <c r="N1216" s="1">
        <f t="shared" si="57"/>
        <v>1500</v>
      </c>
    </row>
    <row r="1217" spans="5:14" x14ac:dyDescent="0.25">
      <c r="E1217">
        <v>1232</v>
      </c>
      <c r="F1217" s="7">
        <v>45322</v>
      </c>
      <c r="G1217">
        <f t="shared" si="55"/>
        <v>2024</v>
      </c>
      <c r="H1217" s="7" t="str">
        <f t="shared" si="56"/>
        <v>Январь</v>
      </c>
      <c r="I1217" t="s">
        <v>9</v>
      </c>
      <c r="J1217">
        <v>21</v>
      </c>
      <c r="K1217" t="s">
        <v>11</v>
      </c>
      <c r="L1217">
        <v>3</v>
      </c>
      <c r="M1217">
        <v>497</v>
      </c>
      <c r="N1217" s="1">
        <f t="shared" si="57"/>
        <v>1491</v>
      </c>
    </row>
    <row r="1218" spans="5:14" x14ac:dyDescent="0.25">
      <c r="E1218">
        <v>644</v>
      </c>
      <c r="F1218" s="7">
        <v>45247</v>
      </c>
      <c r="G1218">
        <f t="shared" si="55"/>
        <v>2023</v>
      </c>
      <c r="H1218" s="7" t="str">
        <f t="shared" si="56"/>
        <v>Ноябрь</v>
      </c>
      <c r="I1218" t="s">
        <v>9</v>
      </c>
      <c r="J1218">
        <v>35</v>
      </c>
      <c r="K1218" t="s">
        <v>11</v>
      </c>
      <c r="L1218">
        <v>4</v>
      </c>
      <c r="M1218">
        <v>30</v>
      </c>
      <c r="N1218" s="1">
        <f t="shared" si="57"/>
        <v>120</v>
      </c>
    </row>
    <row r="1219" spans="5:14" x14ac:dyDescent="0.25">
      <c r="E1219">
        <v>1184</v>
      </c>
      <c r="F1219" s="7">
        <v>45478</v>
      </c>
      <c r="G1219">
        <f t="shared" si="55"/>
        <v>2024</v>
      </c>
      <c r="H1219" s="7" t="str">
        <f t="shared" si="56"/>
        <v>Июль</v>
      </c>
      <c r="I1219" t="s">
        <v>7</v>
      </c>
      <c r="J1219">
        <v>49</v>
      </c>
      <c r="K1219" t="s">
        <v>10</v>
      </c>
      <c r="L1219">
        <v>2</v>
      </c>
      <c r="M1219">
        <v>493</v>
      </c>
      <c r="N1219" s="1">
        <f t="shared" si="57"/>
        <v>986</v>
      </c>
    </row>
    <row r="1220" spans="5:14" x14ac:dyDescent="0.25">
      <c r="E1220">
        <v>1055</v>
      </c>
      <c r="F1220" s="7">
        <v>45614</v>
      </c>
      <c r="G1220">
        <f t="shared" si="55"/>
        <v>2024</v>
      </c>
      <c r="H1220" s="7" t="str">
        <f t="shared" si="56"/>
        <v>Ноябрь</v>
      </c>
      <c r="I1220" t="s">
        <v>9</v>
      </c>
      <c r="J1220">
        <v>51</v>
      </c>
      <c r="K1220" t="s">
        <v>8</v>
      </c>
      <c r="L1220">
        <v>1</v>
      </c>
      <c r="M1220">
        <v>100</v>
      </c>
      <c r="N1220" s="1">
        <f t="shared" si="57"/>
        <v>100</v>
      </c>
    </row>
    <row r="1221" spans="5:14" x14ac:dyDescent="0.25">
      <c r="E1221">
        <v>699</v>
      </c>
      <c r="F1221" s="7">
        <v>45274</v>
      </c>
      <c r="G1221">
        <f t="shared" si="55"/>
        <v>2023</v>
      </c>
      <c r="H1221" s="7" t="str">
        <f t="shared" si="56"/>
        <v>Декабрь</v>
      </c>
      <c r="I1221" t="s">
        <v>9</v>
      </c>
      <c r="J1221">
        <v>52</v>
      </c>
      <c r="K1221" t="s">
        <v>8</v>
      </c>
      <c r="L1221">
        <v>2</v>
      </c>
      <c r="M1221">
        <v>30</v>
      </c>
      <c r="N1221" s="1">
        <f t="shared" si="57"/>
        <v>60</v>
      </c>
    </row>
    <row r="1222" spans="5:14" x14ac:dyDescent="0.25">
      <c r="E1222">
        <v>857</v>
      </c>
      <c r="F1222" s="7">
        <v>45156</v>
      </c>
      <c r="G1222">
        <f t="shared" si="55"/>
        <v>2023</v>
      </c>
      <c r="H1222" s="7" t="str">
        <f t="shared" si="56"/>
        <v>Август</v>
      </c>
      <c r="I1222" t="s">
        <v>9</v>
      </c>
      <c r="J1222">
        <v>56</v>
      </c>
      <c r="K1222" t="s">
        <v>11</v>
      </c>
      <c r="L1222">
        <v>3</v>
      </c>
      <c r="M1222">
        <v>500</v>
      </c>
      <c r="N1222" s="1">
        <f t="shared" si="57"/>
        <v>1500</v>
      </c>
    </row>
    <row r="1223" spans="5:14" x14ac:dyDescent="0.25">
      <c r="E1223">
        <v>114</v>
      </c>
      <c r="F1223" s="7">
        <v>45129</v>
      </c>
      <c r="G1223">
        <f t="shared" si="55"/>
        <v>2023</v>
      </c>
      <c r="H1223" s="7" t="str">
        <f t="shared" si="56"/>
        <v>Июль</v>
      </c>
      <c r="I1223" t="s">
        <v>9</v>
      </c>
      <c r="J1223">
        <v>22</v>
      </c>
      <c r="K1223" t="s">
        <v>8</v>
      </c>
      <c r="L1223">
        <v>4</v>
      </c>
      <c r="M1223">
        <v>25</v>
      </c>
      <c r="N1223" s="1">
        <f t="shared" si="57"/>
        <v>100</v>
      </c>
    </row>
    <row r="1224" spans="5:14" x14ac:dyDescent="0.25">
      <c r="E1224">
        <v>820</v>
      </c>
      <c r="F1224" s="7">
        <v>45069</v>
      </c>
      <c r="G1224">
        <f t="shared" si="55"/>
        <v>2023</v>
      </c>
      <c r="H1224" s="7" t="str">
        <f t="shared" si="56"/>
        <v>Май</v>
      </c>
      <c r="I1224" t="s">
        <v>9</v>
      </c>
      <c r="J1224">
        <v>52</v>
      </c>
      <c r="K1224" t="s">
        <v>8</v>
      </c>
      <c r="L1224">
        <v>3</v>
      </c>
      <c r="M1224">
        <v>50</v>
      </c>
      <c r="N1224" s="1">
        <f t="shared" si="57"/>
        <v>150</v>
      </c>
    </row>
    <row r="1225" spans="5:14" x14ac:dyDescent="0.25">
      <c r="E1225">
        <v>1904</v>
      </c>
      <c r="F1225" s="7">
        <v>45655</v>
      </c>
      <c r="G1225">
        <f t="shared" si="55"/>
        <v>2024</v>
      </c>
      <c r="H1225" s="7" t="str">
        <f t="shared" si="56"/>
        <v>Декабрь</v>
      </c>
      <c r="I1225" t="s">
        <v>7</v>
      </c>
      <c r="J1225">
        <v>49</v>
      </c>
      <c r="K1225" t="s">
        <v>8</v>
      </c>
      <c r="L1225">
        <v>3</v>
      </c>
      <c r="M1225">
        <v>415</v>
      </c>
      <c r="N1225" s="1">
        <f t="shared" si="57"/>
        <v>1245</v>
      </c>
    </row>
    <row r="1226" spans="5:14" x14ac:dyDescent="0.25">
      <c r="E1226">
        <v>1233</v>
      </c>
      <c r="F1226" s="7">
        <v>45410</v>
      </c>
      <c r="G1226">
        <f t="shared" ref="G1226:G1289" si="58">YEAR(F1226)</f>
        <v>2024</v>
      </c>
      <c r="H1226" s="7" t="str">
        <f t="shared" ref="H1226:H1289" si="59">TEXT(F1226,"ММММ")</f>
        <v>Апрель</v>
      </c>
      <c r="I1226" t="s">
        <v>9</v>
      </c>
      <c r="J1226">
        <v>35</v>
      </c>
      <c r="K1226" t="s">
        <v>10</v>
      </c>
      <c r="L1226">
        <v>7</v>
      </c>
      <c r="M1226">
        <v>193</v>
      </c>
      <c r="N1226" s="1">
        <f t="shared" ref="N1226:N1289" si="60">L1226*M1226</f>
        <v>1351</v>
      </c>
    </row>
    <row r="1227" spans="5:14" x14ac:dyDescent="0.25">
      <c r="E1227">
        <v>1976</v>
      </c>
      <c r="F1227" s="7">
        <v>45502</v>
      </c>
      <c r="G1227">
        <f t="shared" si="58"/>
        <v>2024</v>
      </c>
      <c r="H1227" s="7" t="str">
        <f t="shared" si="59"/>
        <v>Июль</v>
      </c>
      <c r="I1227" t="s">
        <v>9</v>
      </c>
      <c r="J1227">
        <v>49</v>
      </c>
      <c r="K1227" t="s">
        <v>11</v>
      </c>
      <c r="L1227">
        <v>2</v>
      </c>
      <c r="M1227">
        <v>214</v>
      </c>
      <c r="N1227" s="1">
        <f t="shared" si="60"/>
        <v>428</v>
      </c>
    </row>
    <row r="1228" spans="5:14" x14ac:dyDescent="0.25">
      <c r="E1228">
        <v>1004</v>
      </c>
      <c r="F1228" s="7">
        <v>45407</v>
      </c>
      <c r="G1228">
        <f t="shared" si="58"/>
        <v>2024</v>
      </c>
      <c r="H1228" s="7" t="str">
        <f t="shared" si="59"/>
        <v>Апрель</v>
      </c>
      <c r="I1228" t="s">
        <v>9</v>
      </c>
      <c r="J1228">
        <v>48</v>
      </c>
      <c r="K1228" t="s">
        <v>8</v>
      </c>
      <c r="L1228">
        <v>1</v>
      </c>
      <c r="M1228">
        <v>72</v>
      </c>
      <c r="N1228" s="1">
        <f t="shared" si="60"/>
        <v>72</v>
      </c>
    </row>
    <row r="1229" spans="5:14" x14ac:dyDescent="0.25">
      <c r="E1229">
        <v>1704</v>
      </c>
      <c r="F1229" s="7">
        <v>45305</v>
      </c>
      <c r="G1229">
        <f t="shared" si="58"/>
        <v>2024</v>
      </c>
      <c r="H1229" s="7" t="str">
        <f t="shared" si="59"/>
        <v>Январь</v>
      </c>
      <c r="I1229" t="s">
        <v>9</v>
      </c>
      <c r="J1229">
        <v>46</v>
      </c>
      <c r="K1229" t="s">
        <v>8</v>
      </c>
      <c r="L1229">
        <v>6</v>
      </c>
      <c r="M1229">
        <v>63</v>
      </c>
      <c r="N1229" s="1">
        <f t="shared" si="60"/>
        <v>378</v>
      </c>
    </row>
    <row r="1230" spans="5:14" x14ac:dyDescent="0.25">
      <c r="E1230">
        <v>271</v>
      </c>
      <c r="F1230" s="7">
        <v>44982</v>
      </c>
      <c r="G1230">
        <f t="shared" si="58"/>
        <v>2023</v>
      </c>
      <c r="H1230" s="7" t="str">
        <f t="shared" si="59"/>
        <v>Февраль</v>
      </c>
      <c r="I1230" t="s">
        <v>9</v>
      </c>
      <c r="J1230">
        <v>61</v>
      </c>
      <c r="K1230" t="s">
        <v>11</v>
      </c>
      <c r="L1230">
        <v>2</v>
      </c>
      <c r="M1230">
        <v>50</v>
      </c>
      <c r="N1230" s="1">
        <f t="shared" si="60"/>
        <v>100</v>
      </c>
    </row>
    <row r="1231" spans="5:14" x14ac:dyDescent="0.25">
      <c r="E1231">
        <v>584</v>
      </c>
      <c r="F1231" s="7">
        <v>45047</v>
      </c>
      <c r="G1231">
        <f t="shared" si="58"/>
        <v>2023</v>
      </c>
      <c r="H1231" s="7" t="str">
        <f t="shared" si="59"/>
        <v>Май</v>
      </c>
      <c r="I1231" t="s">
        <v>9</v>
      </c>
      <c r="J1231">
        <v>24</v>
      </c>
      <c r="K1231" t="s">
        <v>10</v>
      </c>
      <c r="L1231">
        <v>1</v>
      </c>
      <c r="M1231">
        <v>25</v>
      </c>
      <c r="N1231" s="1">
        <f t="shared" si="60"/>
        <v>25</v>
      </c>
    </row>
    <row r="1232" spans="5:14" x14ac:dyDescent="0.25">
      <c r="E1232">
        <v>427</v>
      </c>
      <c r="F1232" s="7">
        <v>45209</v>
      </c>
      <c r="G1232">
        <f t="shared" si="58"/>
        <v>2023</v>
      </c>
      <c r="H1232" s="7" t="str">
        <f t="shared" si="59"/>
        <v>Октябрь</v>
      </c>
      <c r="I1232" t="s">
        <v>9</v>
      </c>
      <c r="J1232">
        <v>40</v>
      </c>
      <c r="K1232" t="s">
        <v>11</v>
      </c>
      <c r="L1232">
        <v>4</v>
      </c>
      <c r="M1232">
        <v>50</v>
      </c>
      <c r="N1232" s="1">
        <f t="shared" si="60"/>
        <v>200</v>
      </c>
    </row>
    <row r="1233" spans="5:14" x14ac:dyDescent="0.25">
      <c r="E1233">
        <v>1070</v>
      </c>
      <c r="F1233" s="7">
        <v>45435</v>
      </c>
      <c r="G1233">
        <f t="shared" si="58"/>
        <v>2024</v>
      </c>
      <c r="H1233" s="7" t="str">
        <f t="shared" si="59"/>
        <v>Май</v>
      </c>
      <c r="I1233" t="s">
        <v>9</v>
      </c>
      <c r="J1233">
        <v>27</v>
      </c>
      <c r="K1233" t="s">
        <v>11</v>
      </c>
      <c r="L1233">
        <v>1</v>
      </c>
      <c r="M1233">
        <v>124</v>
      </c>
      <c r="N1233" s="1">
        <f t="shared" si="60"/>
        <v>124</v>
      </c>
    </row>
    <row r="1234" spans="5:14" x14ac:dyDescent="0.25">
      <c r="E1234">
        <v>294</v>
      </c>
      <c r="F1234" s="7">
        <v>45135</v>
      </c>
      <c r="G1234">
        <f t="shared" si="58"/>
        <v>2023</v>
      </c>
      <c r="H1234" s="7" t="str">
        <f t="shared" si="59"/>
        <v>Июль</v>
      </c>
      <c r="I1234" t="s">
        <v>9</v>
      </c>
      <c r="J1234">
        <v>27</v>
      </c>
      <c r="K1234" t="s">
        <v>8</v>
      </c>
      <c r="L1234">
        <v>3</v>
      </c>
      <c r="M1234">
        <v>300</v>
      </c>
      <c r="N1234" s="1">
        <f t="shared" si="60"/>
        <v>900</v>
      </c>
    </row>
    <row r="1235" spans="5:14" x14ac:dyDescent="0.25">
      <c r="E1235">
        <v>866</v>
      </c>
      <c r="F1235" s="7">
        <v>45266</v>
      </c>
      <c r="G1235">
        <f t="shared" si="58"/>
        <v>2023</v>
      </c>
      <c r="H1235" s="7" t="str">
        <f t="shared" si="59"/>
        <v>Декабрь</v>
      </c>
      <c r="I1235" t="s">
        <v>9</v>
      </c>
      <c r="J1235">
        <v>25</v>
      </c>
      <c r="K1235" t="s">
        <v>11</v>
      </c>
      <c r="L1235">
        <v>1</v>
      </c>
      <c r="M1235">
        <v>300</v>
      </c>
      <c r="N1235" s="1">
        <f t="shared" si="60"/>
        <v>300</v>
      </c>
    </row>
    <row r="1236" spans="5:14" x14ac:dyDescent="0.25">
      <c r="E1236">
        <v>367</v>
      </c>
      <c r="F1236" s="7">
        <v>45161</v>
      </c>
      <c r="G1236">
        <f t="shared" si="58"/>
        <v>2023</v>
      </c>
      <c r="H1236" s="7" t="str">
        <f t="shared" si="59"/>
        <v>Август</v>
      </c>
      <c r="I1236" t="s">
        <v>9</v>
      </c>
      <c r="J1236">
        <v>56</v>
      </c>
      <c r="K1236" t="s">
        <v>10</v>
      </c>
      <c r="L1236">
        <v>4</v>
      </c>
      <c r="M1236">
        <v>300</v>
      </c>
      <c r="N1236" s="1">
        <f t="shared" si="60"/>
        <v>1200</v>
      </c>
    </row>
    <row r="1237" spans="5:14" x14ac:dyDescent="0.25">
      <c r="E1237">
        <v>1089</v>
      </c>
      <c r="F1237" s="7">
        <v>45376</v>
      </c>
      <c r="G1237">
        <f t="shared" si="58"/>
        <v>2024</v>
      </c>
      <c r="H1237" s="7" t="str">
        <f t="shared" si="59"/>
        <v>Март</v>
      </c>
      <c r="I1237" t="s">
        <v>9</v>
      </c>
      <c r="J1237">
        <v>51</v>
      </c>
      <c r="K1237" t="s">
        <v>11</v>
      </c>
      <c r="L1237">
        <v>3</v>
      </c>
      <c r="M1237">
        <v>162</v>
      </c>
      <c r="N1237" s="1">
        <f t="shared" si="60"/>
        <v>486</v>
      </c>
    </row>
    <row r="1238" spans="5:14" x14ac:dyDescent="0.25">
      <c r="E1238">
        <v>374</v>
      </c>
      <c r="F1238" s="7">
        <v>45186</v>
      </c>
      <c r="G1238">
        <f t="shared" si="58"/>
        <v>2023</v>
      </c>
      <c r="H1238" s="7" t="str">
        <f t="shared" si="59"/>
        <v>Сентябрь</v>
      </c>
      <c r="I1238" t="s">
        <v>7</v>
      </c>
      <c r="J1238">
        <v>32</v>
      </c>
      <c r="K1238" t="s">
        <v>10</v>
      </c>
      <c r="L1238">
        <v>1</v>
      </c>
      <c r="M1238">
        <v>50</v>
      </c>
      <c r="N1238" s="1">
        <f t="shared" si="60"/>
        <v>50</v>
      </c>
    </row>
    <row r="1239" spans="5:14" x14ac:dyDescent="0.25">
      <c r="E1239">
        <v>453</v>
      </c>
      <c r="F1239" s="7">
        <v>44979</v>
      </c>
      <c r="G1239">
        <f t="shared" si="58"/>
        <v>2023</v>
      </c>
      <c r="H1239" s="7" t="str">
        <f t="shared" si="59"/>
        <v>Февраль</v>
      </c>
      <c r="I1239" t="s">
        <v>9</v>
      </c>
      <c r="J1239">
        <v>46</v>
      </c>
      <c r="K1239" t="s">
        <v>8</v>
      </c>
      <c r="L1239">
        <v>1</v>
      </c>
      <c r="M1239">
        <v>25</v>
      </c>
      <c r="N1239" s="1">
        <f t="shared" si="60"/>
        <v>25</v>
      </c>
    </row>
    <row r="1240" spans="5:14" x14ac:dyDescent="0.25">
      <c r="E1240">
        <v>873</v>
      </c>
      <c r="F1240" s="7">
        <v>45144</v>
      </c>
      <c r="G1240">
        <f t="shared" si="58"/>
        <v>2023</v>
      </c>
      <c r="H1240" s="7" t="str">
        <f t="shared" si="59"/>
        <v>Август</v>
      </c>
      <c r="I1240" t="s">
        <v>9</v>
      </c>
      <c r="J1240">
        <v>51</v>
      </c>
      <c r="K1240" t="s">
        <v>11</v>
      </c>
      <c r="L1240">
        <v>4</v>
      </c>
      <c r="M1240">
        <v>500</v>
      </c>
      <c r="N1240" s="1">
        <f t="shared" si="60"/>
        <v>2000</v>
      </c>
    </row>
    <row r="1241" spans="5:14" x14ac:dyDescent="0.25">
      <c r="E1241">
        <v>1018</v>
      </c>
      <c r="F1241" s="7">
        <v>45601</v>
      </c>
      <c r="G1241">
        <f t="shared" si="58"/>
        <v>2024</v>
      </c>
      <c r="H1241" s="7" t="str">
        <f t="shared" si="59"/>
        <v>Ноябрь</v>
      </c>
      <c r="I1241" t="s">
        <v>7</v>
      </c>
      <c r="J1241">
        <v>19</v>
      </c>
      <c r="K1241" t="s">
        <v>10</v>
      </c>
      <c r="L1241">
        <v>7</v>
      </c>
      <c r="M1241">
        <v>114</v>
      </c>
      <c r="N1241" s="1">
        <f t="shared" si="60"/>
        <v>798</v>
      </c>
    </row>
    <row r="1242" spans="5:14" x14ac:dyDescent="0.25">
      <c r="E1242">
        <v>359</v>
      </c>
      <c r="F1242" s="7">
        <v>44994</v>
      </c>
      <c r="G1242">
        <f t="shared" si="58"/>
        <v>2023</v>
      </c>
      <c r="H1242" s="7" t="str">
        <f t="shared" si="59"/>
        <v>Март</v>
      </c>
      <c r="I1242" t="s">
        <v>7</v>
      </c>
      <c r="J1242">
        <v>42</v>
      </c>
      <c r="K1242" t="s">
        <v>10</v>
      </c>
      <c r="L1242">
        <v>4</v>
      </c>
      <c r="M1242">
        <v>25</v>
      </c>
      <c r="N1242" s="1">
        <f t="shared" si="60"/>
        <v>100</v>
      </c>
    </row>
    <row r="1243" spans="5:14" x14ac:dyDescent="0.25">
      <c r="E1243">
        <v>1395</v>
      </c>
      <c r="F1243" s="7">
        <v>45428</v>
      </c>
      <c r="G1243">
        <f t="shared" si="58"/>
        <v>2024</v>
      </c>
      <c r="H1243" s="7" t="str">
        <f t="shared" si="59"/>
        <v>Май</v>
      </c>
      <c r="I1243" t="s">
        <v>9</v>
      </c>
      <c r="J1243">
        <v>59</v>
      </c>
      <c r="K1243" t="s">
        <v>10</v>
      </c>
      <c r="L1243">
        <v>5</v>
      </c>
      <c r="M1243">
        <v>371</v>
      </c>
      <c r="N1243" s="1">
        <f t="shared" si="60"/>
        <v>1855</v>
      </c>
    </row>
    <row r="1244" spans="5:14" x14ac:dyDescent="0.25">
      <c r="E1244">
        <v>1971</v>
      </c>
      <c r="F1244" s="7">
        <v>45381</v>
      </c>
      <c r="G1244">
        <f t="shared" si="58"/>
        <v>2024</v>
      </c>
      <c r="H1244" s="7" t="str">
        <f t="shared" si="59"/>
        <v>Март</v>
      </c>
      <c r="I1244" t="s">
        <v>9</v>
      </c>
      <c r="J1244">
        <v>62</v>
      </c>
      <c r="K1244" t="s">
        <v>10</v>
      </c>
      <c r="L1244">
        <v>7</v>
      </c>
      <c r="M1244">
        <v>353</v>
      </c>
      <c r="N1244" s="1">
        <f t="shared" si="60"/>
        <v>2471</v>
      </c>
    </row>
    <row r="1245" spans="5:14" x14ac:dyDescent="0.25">
      <c r="E1245">
        <v>1307</v>
      </c>
      <c r="F1245" s="7">
        <v>45577</v>
      </c>
      <c r="G1245">
        <f t="shared" si="58"/>
        <v>2024</v>
      </c>
      <c r="H1245" s="7" t="str">
        <f t="shared" si="59"/>
        <v>Октябрь</v>
      </c>
      <c r="I1245" t="s">
        <v>9</v>
      </c>
      <c r="J1245">
        <v>46</v>
      </c>
      <c r="K1245" t="s">
        <v>8</v>
      </c>
      <c r="L1245">
        <v>3</v>
      </c>
      <c r="M1245">
        <v>334</v>
      </c>
      <c r="N1245" s="1">
        <f t="shared" si="60"/>
        <v>1002</v>
      </c>
    </row>
    <row r="1246" spans="5:14" x14ac:dyDescent="0.25">
      <c r="E1246">
        <v>212</v>
      </c>
      <c r="F1246" s="7">
        <v>45131</v>
      </c>
      <c r="G1246">
        <f t="shared" si="58"/>
        <v>2023</v>
      </c>
      <c r="H1246" s="7" t="str">
        <f t="shared" si="59"/>
        <v>Июль</v>
      </c>
      <c r="I1246" t="s">
        <v>7</v>
      </c>
      <c r="J1246">
        <v>27</v>
      </c>
      <c r="K1246" t="s">
        <v>8</v>
      </c>
      <c r="L1246">
        <v>3</v>
      </c>
      <c r="M1246">
        <v>500</v>
      </c>
      <c r="N1246" s="1">
        <f t="shared" si="60"/>
        <v>1500</v>
      </c>
    </row>
    <row r="1247" spans="5:14" x14ac:dyDescent="0.25">
      <c r="E1247">
        <v>1065</v>
      </c>
      <c r="F1247" s="7">
        <v>45441</v>
      </c>
      <c r="G1247">
        <f t="shared" si="58"/>
        <v>2024</v>
      </c>
      <c r="H1247" s="7" t="str">
        <f t="shared" si="59"/>
        <v>Май</v>
      </c>
      <c r="I1247" t="s">
        <v>9</v>
      </c>
      <c r="J1247">
        <v>48</v>
      </c>
      <c r="K1247" t="s">
        <v>8</v>
      </c>
      <c r="L1247">
        <v>5</v>
      </c>
      <c r="M1247">
        <v>119</v>
      </c>
      <c r="N1247" s="1">
        <f t="shared" si="60"/>
        <v>595</v>
      </c>
    </row>
    <row r="1248" spans="5:14" x14ac:dyDescent="0.25">
      <c r="E1248">
        <v>130</v>
      </c>
      <c r="F1248" s="7">
        <v>44997</v>
      </c>
      <c r="G1248">
        <f t="shared" si="58"/>
        <v>2023</v>
      </c>
      <c r="H1248" s="7" t="str">
        <f t="shared" si="59"/>
        <v>Март</v>
      </c>
      <c r="I1248" t="s">
        <v>9</v>
      </c>
      <c r="J1248">
        <v>57</v>
      </c>
      <c r="K1248" t="s">
        <v>10</v>
      </c>
      <c r="L1248">
        <v>1</v>
      </c>
      <c r="M1248">
        <v>500</v>
      </c>
      <c r="N1248" s="1">
        <f t="shared" si="60"/>
        <v>500</v>
      </c>
    </row>
    <row r="1249" spans="5:14" x14ac:dyDescent="0.25">
      <c r="E1249">
        <v>1933</v>
      </c>
      <c r="F1249" s="7">
        <v>45588</v>
      </c>
      <c r="G1249">
        <f t="shared" si="58"/>
        <v>2024</v>
      </c>
      <c r="H1249" s="7" t="str">
        <f t="shared" si="59"/>
        <v>Октябрь</v>
      </c>
      <c r="I1249" t="s">
        <v>9</v>
      </c>
      <c r="J1249">
        <v>35</v>
      </c>
      <c r="K1249" t="s">
        <v>8</v>
      </c>
      <c r="L1249">
        <v>6</v>
      </c>
      <c r="M1249">
        <v>242</v>
      </c>
      <c r="N1249" s="1">
        <f t="shared" si="60"/>
        <v>1452</v>
      </c>
    </row>
    <row r="1250" spans="5:14" x14ac:dyDescent="0.25">
      <c r="E1250">
        <v>903</v>
      </c>
      <c r="F1250" s="7">
        <v>45018</v>
      </c>
      <c r="G1250">
        <f t="shared" si="58"/>
        <v>2023</v>
      </c>
      <c r="H1250" s="7" t="str">
        <f t="shared" si="59"/>
        <v>Апрель</v>
      </c>
      <c r="I1250" t="s">
        <v>7</v>
      </c>
      <c r="J1250">
        <v>58</v>
      </c>
      <c r="K1250" t="s">
        <v>8</v>
      </c>
      <c r="L1250">
        <v>1</v>
      </c>
      <c r="M1250">
        <v>300</v>
      </c>
      <c r="N1250" s="1">
        <f t="shared" si="60"/>
        <v>300</v>
      </c>
    </row>
    <row r="1251" spans="5:14" x14ac:dyDescent="0.25">
      <c r="E1251">
        <v>768</v>
      </c>
      <c r="F1251" s="7">
        <v>45221</v>
      </c>
      <c r="G1251">
        <f t="shared" si="58"/>
        <v>2023</v>
      </c>
      <c r="H1251" s="7" t="str">
        <f t="shared" si="59"/>
        <v>Октябрь</v>
      </c>
      <c r="I1251" t="s">
        <v>7</v>
      </c>
      <c r="J1251">
        <v>32</v>
      </c>
      <c r="K1251" t="s">
        <v>10</v>
      </c>
      <c r="L1251">
        <v>1</v>
      </c>
      <c r="M1251">
        <v>50</v>
      </c>
      <c r="N1251" s="1">
        <f t="shared" si="60"/>
        <v>50</v>
      </c>
    </row>
    <row r="1252" spans="5:14" x14ac:dyDescent="0.25">
      <c r="E1252">
        <v>1254</v>
      </c>
      <c r="F1252" s="7">
        <v>45341</v>
      </c>
      <c r="G1252">
        <f t="shared" si="58"/>
        <v>2024</v>
      </c>
      <c r="H1252" s="7" t="str">
        <f t="shared" si="59"/>
        <v>Февраль</v>
      </c>
      <c r="I1252" t="s">
        <v>7</v>
      </c>
      <c r="J1252">
        <v>62</v>
      </c>
      <c r="K1252" t="s">
        <v>8</v>
      </c>
      <c r="L1252">
        <v>2</v>
      </c>
      <c r="M1252">
        <v>161</v>
      </c>
      <c r="N1252" s="1">
        <f t="shared" si="60"/>
        <v>322</v>
      </c>
    </row>
    <row r="1253" spans="5:14" x14ac:dyDescent="0.25">
      <c r="E1253">
        <v>231</v>
      </c>
      <c r="F1253" s="7">
        <v>44963</v>
      </c>
      <c r="G1253">
        <f t="shared" si="58"/>
        <v>2023</v>
      </c>
      <c r="H1253" s="7" t="str">
        <f t="shared" si="59"/>
        <v>Февраль</v>
      </c>
      <c r="I1253" t="s">
        <v>9</v>
      </c>
      <c r="J1253">
        <v>43</v>
      </c>
      <c r="K1253" t="s">
        <v>8</v>
      </c>
      <c r="L1253">
        <v>1</v>
      </c>
      <c r="M1253">
        <v>25</v>
      </c>
      <c r="N1253" s="1">
        <f t="shared" si="60"/>
        <v>25</v>
      </c>
    </row>
    <row r="1254" spans="5:14" x14ac:dyDescent="0.25">
      <c r="E1254">
        <v>228</v>
      </c>
      <c r="F1254" s="7">
        <v>45228</v>
      </c>
      <c r="G1254">
        <f t="shared" si="58"/>
        <v>2023</v>
      </c>
      <c r="H1254" s="7" t="str">
        <f t="shared" si="59"/>
        <v>Октябрь</v>
      </c>
      <c r="I1254" t="s">
        <v>7</v>
      </c>
      <c r="J1254">
        <v>58</v>
      </c>
      <c r="K1254" t="s">
        <v>8</v>
      </c>
      <c r="L1254">
        <v>3</v>
      </c>
      <c r="M1254">
        <v>30</v>
      </c>
      <c r="N1254" s="1">
        <f t="shared" si="60"/>
        <v>90</v>
      </c>
    </row>
    <row r="1255" spans="5:14" x14ac:dyDescent="0.25">
      <c r="E1255">
        <v>69</v>
      </c>
      <c r="F1255" s="7">
        <v>45046</v>
      </c>
      <c r="G1255">
        <f t="shared" si="58"/>
        <v>2023</v>
      </c>
      <c r="H1255" s="7" t="str">
        <f t="shared" si="59"/>
        <v>Апрель</v>
      </c>
      <c r="I1255" t="s">
        <v>9</v>
      </c>
      <c r="J1255">
        <v>56</v>
      </c>
      <c r="K1255" t="s">
        <v>8</v>
      </c>
      <c r="L1255">
        <v>3</v>
      </c>
      <c r="M1255">
        <v>25</v>
      </c>
      <c r="N1255" s="1">
        <f t="shared" si="60"/>
        <v>75</v>
      </c>
    </row>
    <row r="1256" spans="5:14" x14ac:dyDescent="0.25">
      <c r="E1256">
        <v>747</v>
      </c>
      <c r="F1256" s="7">
        <v>45049</v>
      </c>
      <c r="G1256">
        <f t="shared" si="58"/>
        <v>2023</v>
      </c>
      <c r="H1256" s="7" t="str">
        <f t="shared" si="59"/>
        <v>Май</v>
      </c>
      <c r="I1256" t="s">
        <v>7</v>
      </c>
      <c r="J1256">
        <v>42</v>
      </c>
      <c r="K1256" t="s">
        <v>8</v>
      </c>
      <c r="L1256">
        <v>1</v>
      </c>
      <c r="M1256">
        <v>30</v>
      </c>
      <c r="N1256" s="1">
        <f t="shared" si="60"/>
        <v>30</v>
      </c>
    </row>
    <row r="1257" spans="5:14" x14ac:dyDescent="0.25">
      <c r="E1257">
        <v>990</v>
      </c>
      <c r="F1257" s="7">
        <v>45159</v>
      </c>
      <c r="G1257">
        <f t="shared" si="58"/>
        <v>2023</v>
      </c>
      <c r="H1257" s="7" t="str">
        <f t="shared" si="59"/>
        <v>Август</v>
      </c>
      <c r="I1257" t="s">
        <v>9</v>
      </c>
      <c r="J1257">
        <v>57</v>
      </c>
      <c r="K1257" t="s">
        <v>11</v>
      </c>
      <c r="L1257">
        <v>2</v>
      </c>
      <c r="M1257">
        <v>30</v>
      </c>
      <c r="N1257" s="1">
        <f t="shared" si="60"/>
        <v>60</v>
      </c>
    </row>
    <row r="1258" spans="5:14" x14ac:dyDescent="0.25">
      <c r="E1258">
        <v>1211</v>
      </c>
      <c r="F1258" s="7">
        <v>45636</v>
      </c>
      <c r="G1258">
        <f t="shared" si="58"/>
        <v>2024</v>
      </c>
      <c r="H1258" s="7" t="str">
        <f t="shared" si="59"/>
        <v>Декабрь</v>
      </c>
      <c r="I1258" t="s">
        <v>7</v>
      </c>
      <c r="J1258">
        <v>27</v>
      </c>
      <c r="K1258" t="s">
        <v>8</v>
      </c>
      <c r="L1258">
        <v>5</v>
      </c>
      <c r="M1258">
        <v>203</v>
      </c>
      <c r="N1258" s="1">
        <f t="shared" si="60"/>
        <v>1015</v>
      </c>
    </row>
    <row r="1259" spans="5:14" x14ac:dyDescent="0.25">
      <c r="E1259">
        <v>517</v>
      </c>
      <c r="F1259" s="7">
        <v>45057</v>
      </c>
      <c r="G1259">
        <f t="shared" si="58"/>
        <v>2023</v>
      </c>
      <c r="H1259" s="7" t="str">
        <f t="shared" si="59"/>
        <v>Май</v>
      </c>
      <c r="I1259" t="s">
        <v>9</v>
      </c>
      <c r="J1259">
        <v>40</v>
      </c>
      <c r="K1259" t="s">
        <v>10</v>
      </c>
      <c r="L1259">
        <v>1</v>
      </c>
      <c r="M1259">
        <v>30</v>
      </c>
      <c r="N1259" s="1">
        <f t="shared" si="60"/>
        <v>30</v>
      </c>
    </row>
    <row r="1260" spans="5:14" x14ac:dyDescent="0.25">
      <c r="E1260">
        <v>63</v>
      </c>
      <c r="F1260" s="7">
        <v>44962</v>
      </c>
      <c r="G1260">
        <f t="shared" si="58"/>
        <v>2023</v>
      </c>
      <c r="H1260" s="7" t="str">
        <f t="shared" si="59"/>
        <v>Февраль</v>
      </c>
      <c r="I1260" t="s">
        <v>7</v>
      </c>
      <c r="J1260">
        <v>57</v>
      </c>
      <c r="K1260" t="s">
        <v>11</v>
      </c>
      <c r="L1260">
        <v>2</v>
      </c>
      <c r="M1260">
        <v>25</v>
      </c>
      <c r="N1260" s="1">
        <f t="shared" si="60"/>
        <v>50</v>
      </c>
    </row>
    <row r="1261" spans="5:14" x14ac:dyDescent="0.25">
      <c r="E1261">
        <v>1587</v>
      </c>
      <c r="F1261" s="7">
        <v>45368</v>
      </c>
      <c r="G1261">
        <f t="shared" si="58"/>
        <v>2024</v>
      </c>
      <c r="H1261" s="7" t="str">
        <f t="shared" si="59"/>
        <v>Март</v>
      </c>
      <c r="I1261" t="s">
        <v>7</v>
      </c>
      <c r="J1261">
        <v>59</v>
      </c>
      <c r="K1261" t="s">
        <v>10</v>
      </c>
      <c r="L1261">
        <v>2</v>
      </c>
      <c r="M1261">
        <v>89</v>
      </c>
      <c r="N1261" s="1">
        <f t="shared" si="60"/>
        <v>178</v>
      </c>
    </row>
    <row r="1262" spans="5:14" x14ac:dyDescent="0.25">
      <c r="E1262">
        <v>1166</v>
      </c>
      <c r="F1262" s="7">
        <v>45346</v>
      </c>
      <c r="G1262">
        <f t="shared" si="58"/>
        <v>2024</v>
      </c>
      <c r="H1262" s="7" t="str">
        <f t="shared" si="59"/>
        <v>Февраль</v>
      </c>
      <c r="I1262" t="s">
        <v>7</v>
      </c>
      <c r="J1262">
        <v>65</v>
      </c>
      <c r="K1262" t="s">
        <v>10</v>
      </c>
      <c r="L1262">
        <v>3</v>
      </c>
      <c r="M1262">
        <v>75</v>
      </c>
      <c r="N1262" s="1">
        <f t="shared" si="60"/>
        <v>225</v>
      </c>
    </row>
    <row r="1263" spans="5:14" x14ac:dyDescent="0.25">
      <c r="E1263">
        <v>752</v>
      </c>
      <c r="F1263" s="7">
        <v>45215</v>
      </c>
      <c r="G1263">
        <f t="shared" si="58"/>
        <v>2023</v>
      </c>
      <c r="H1263" s="7" t="str">
        <f t="shared" si="59"/>
        <v>Октябрь</v>
      </c>
      <c r="I1263" t="s">
        <v>9</v>
      </c>
      <c r="J1263">
        <v>43</v>
      </c>
      <c r="K1263" t="s">
        <v>11</v>
      </c>
      <c r="L1263">
        <v>4</v>
      </c>
      <c r="M1263">
        <v>25</v>
      </c>
      <c r="N1263" s="1">
        <f t="shared" si="60"/>
        <v>100</v>
      </c>
    </row>
    <row r="1264" spans="5:14" x14ac:dyDescent="0.25">
      <c r="E1264">
        <v>1531</v>
      </c>
      <c r="F1264" s="7">
        <v>45453</v>
      </c>
      <c r="G1264">
        <f t="shared" si="58"/>
        <v>2024</v>
      </c>
      <c r="H1264" s="7" t="str">
        <f t="shared" si="59"/>
        <v>Июнь</v>
      </c>
      <c r="I1264" t="s">
        <v>7</v>
      </c>
      <c r="J1264">
        <v>22</v>
      </c>
      <c r="K1264" t="s">
        <v>10</v>
      </c>
      <c r="L1264">
        <v>7</v>
      </c>
      <c r="M1264">
        <v>314</v>
      </c>
      <c r="N1264" s="1">
        <f t="shared" si="60"/>
        <v>2198</v>
      </c>
    </row>
    <row r="1265" spans="5:14" x14ac:dyDescent="0.25">
      <c r="E1265">
        <v>1561</v>
      </c>
      <c r="F1265" s="7">
        <v>45589</v>
      </c>
      <c r="G1265">
        <f t="shared" si="58"/>
        <v>2024</v>
      </c>
      <c r="H1265" s="7" t="str">
        <f t="shared" si="59"/>
        <v>Октябрь</v>
      </c>
      <c r="I1265" t="s">
        <v>7</v>
      </c>
      <c r="J1265">
        <v>19</v>
      </c>
      <c r="K1265" t="s">
        <v>11</v>
      </c>
      <c r="L1265">
        <v>3</v>
      </c>
      <c r="M1265">
        <v>269</v>
      </c>
      <c r="N1265" s="1">
        <f t="shared" si="60"/>
        <v>807</v>
      </c>
    </row>
    <row r="1266" spans="5:14" x14ac:dyDescent="0.25">
      <c r="E1266">
        <v>1840</v>
      </c>
      <c r="F1266" s="7">
        <v>45577</v>
      </c>
      <c r="G1266">
        <f t="shared" si="58"/>
        <v>2024</v>
      </c>
      <c r="H1266" s="7" t="str">
        <f t="shared" si="59"/>
        <v>Октябрь</v>
      </c>
      <c r="I1266" t="s">
        <v>7</v>
      </c>
      <c r="J1266">
        <v>45</v>
      </c>
      <c r="K1266" t="s">
        <v>10</v>
      </c>
      <c r="L1266">
        <v>7</v>
      </c>
      <c r="M1266">
        <v>29</v>
      </c>
      <c r="N1266" s="1">
        <f t="shared" si="60"/>
        <v>203</v>
      </c>
    </row>
    <row r="1267" spans="5:14" x14ac:dyDescent="0.25">
      <c r="E1267">
        <v>1370</v>
      </c>
      <c r="F1267" s="7">
        <v>45568</v>
      </c>
      <c r="G1267">
        <f t="shared" si="58"/>
        <v>2024</v>
      </c>
      <c r="H1267" s="7" t="str">
        <f t="shared" si="59"/>
        <v>Октябрь</v>
      </c>
      <c r="I1267" t="s">
        <v>9</v>
      </c>
      <c r="J1267">
        <v>42</v>
      </c>
      <c r="K1267" t="s">
        <v>8</v>
      </c>
      <c r="L1267">
        <v>4</v>
      </c>
      <c r="M1267">
        <v>250</v>
      </c>
      <c r="N1267" s="1">
        <f t="shared" si="60"/>
        <v>1000</v>
      </c>
    </row>
    <row r="1268" spans="5:14" x14ac:dyDescent="0.25">
      <c r="E1268">
        <v>719</v>
      </c>
      <c r="F1268" s="7">
        <v>45060</v>
      </c>
      <c r="G1268">
        <f t="shared" si="58"/>
        <v>2023</v>
      </c>
      <c r="H1268" s="7" t="str">
        <f t="shared" si="59"/>
        <v>Май</v>
      </c>
      <c r="I1268" t="s">
        <v>9</v>
      </c>
      <c r="J1268">
        <v>52</v>
      </c>
      <c r="K1268" t="s">
        <v>10</v>
      </c>
      <c r="L1268">
        <v>1</v>
      </c>
      <c r="M1268">
        <v>500</v>
      </c>
      <c r="N1268" s="1">
        <f t="shared" si="60"/>
        <v>500</v>
      </c>
    </row>
    <row r="1269" spans="5:14" x14ac:dyDescent="0.25">
      <c r="E1269">
        <v>986</v>
      </c>
      <c r="F1269" s="7">
        <v>45074</v>
      </c>
      <c r="G1269">
        <f t="shared" si="58"/>
        <v>2023</v>
      </c>
      <c r="H1269" s="7" t="str">
        <f t="shared" si="59"/>
        <v>Май</v>
      </c>
      <c r="I1269" t="s">
        <v>9</v>
      </c>
      <c r="J1269">
        <v>63</v>
      </c>
      <c r="K1269" t="s">
        <v>10</v>
      </c>
      <c r="L1269">
        <v>3</v>
      </c>
      <c r="M1269">
        <v>25</v>
      </c>
      <c r="N1269" s="1">
        <f t="shared" si="60"/>
        <v>75</v>
      </c>
    </row>
    <row r="1270" spans="5:14" x14ac:dyDescent="0.25">
      <c r="E1270">
        <v>1365</v>
      </c>
      <c r="F1270" s="7">
        <v>45527</v>
      </c>
      <c r="G1270">
        <f t="shared" si="58"/>
        <v>2024</v>
      </c>
      <c r="H1270" s="7" t="str">
        <f t="shared" si="59"/>
        <v>Август</v>
      </c>
      <c r="I1270" t="s">
        <v>9</v>
      </c>
      <c r="J1270">
        <v>58</v>
      </c>
      <c r="K1270" t="s">
        <v>10</v>
      </c>
      <c r="L1270">
        <v>1</v>
      </c>
      <c r="M1270">
        <v>499</v>
      </c>
      <c r="N1270" s="1">
        <f t="shared" si="60"/>
        <v>499</v>
      </c>
    </row>
    <row r="1271" spans="5:14" x14ac:dyDescent="0.25">
      <c r="E1271">
        <v>138</v>
      </c>
      <c r="F1271" s="7">
        <v>45008</v>
      </c>
      <c r="G1271">
        <f t="shared" si="58"/>
        <v>2023</v>
      </c>
      <c r="H1271" s="7" t="str">
        <f t="shared" si="59"/>
        <v>Март</v>
      </c>
      <c r="I1271" t="s">
        <v>7</v>
      </c>
      <c r="J1271">
        <v>49</v>
      </c>
      <c r="K1271" t="s">
        <v>10</v>
      </c>
      <c r="L1271">
        <v>4</v>
      </c>
      <c r="M1271">
        <v>50</v>
      </c>
      <c r="N1271" s="1">
        <f t="shared" si="60"/>
        <v>200</v>
      </c>
    </row>
    <row r="1272" spans="5:14" x14ac:dyDescent="0.25">
      <c r="E1272">
        <v>1364</v>
      </c>
      <c r="F1272" s="7">
        <v>45296</v>
      </c>
      <c r="G1272">
        <f t="shared" si="58"/>
        <v>2024</v>
      </c>
      <c r="H1272" s="7" t="str">
        <f t="shared" si="59"/>
        <v>Январь</v>
      </c>
      <c r="I1272" t="s">
        <v>9</v>
      </c>
      <c r="J1272">
        <v>24</v>
      </c>
      <c r="K1272" t="s">
        <v>11</v>
      </c>
      <c r="L1272">
        <v>3</v>
      </c>
      <c r="M1272">
        <v>96</v>
      </c>
      <c r="N1272" s="1">
        <f t="shared" si="60"/>
        <v>288</v>
      </c>
    </row>
    <row r="1273" spans="5:14" x14ac:dyDescent="0.25">
      <c r="E1273">
        <v>98</v>
      </c>
      <c r="F1273" s="7">
        <v>45039</v>
      </c>
      <c r="G1273">
        <f t="shared" si="58"/>
        <v>2023</v>
      </c>
      <c r="H1273" s="7" t="str">
        <f t="shared" si="59"/>
        <v>Апрель</v>
      </c>
      <c r="I1273" t="s">
        <v>9</v>
      </c>
      <c r="J1273">
        <v>55</v>
      </c>
      <c r="K1273" t="s">
        <v>8</v>
      </c>
      <c r="L1273">
        <v>2</v>
      </c>
      <c r="M1273">
        <v>50</v>
      </c>
      <c r="N1273" s="1">
        <f t="shared" si="60"/>
        <v>100</v>
      </c>
    </row>
    <row r="1274" spans="5:14" x14ac:dyDescent="0.25">
      <c r="E1274">
        <v>235</v>
      </c>
      <c r="F1274" s="7">
        <v>45044</v>
      </c>
      <c r="G1274">
        <f t="shared" si="58"/>
        <v>2023</v>
      </c>
      <c r="H1274" s="7" t="str">
        <f t="shared" si="59"/>
        <v>Апрель</v>
      </c>
      <c r="I1274" t="s">
        <v>9</v>
      </c>
      <c r="J1274">
        <v>54</v>
      </c>
      <c r="K1274" t="s">
        <v>10</v>
      </c>
      <c r="L1274">
        <v>1</v>
      </c>
      <c r="M1274">
        <v>25</v>
      </c>
      <c r="N1274" s="1">
        <f t="shared" si="60"/>
        <v>25</v>
      </c>
    </row>
    <row r="1275" spans="5:14" x14ac:dyDescent="0.25">
      <c r="E1275">
        <v>1913</v>
      </c>
      <c r="F1275" s="7">
        <v>45357</v>
      </c>
      <c r="G1275">
        <f t="shared" si="58"/>
        <v>2024</v>
      </c>
      <c r="H1275" s="7" t="str">
        <f t="shared" si="59"/>
        <v>Март</v>
      </c>
      <c r="I1275" t="s">
        <v>9</v>
      </c>
      <c r="J1275">
        <v>18</v>
      </c>
      <c r="K1275" t="s">
        <v>11</v>
      </c>
      <c r="L1275">
        <v>2</v>
      </c>
      <c r="M1275">
        <v>415</v>
      </c>
      <c r="N1275" s="1">
        <f t="shared" si="60"/>
        <v>830</v>
      </c>
    </row>
    <row r="1276" spans="5:14" x14ac:dyDescent="0.25">
      <c r="E1276">
        <v>655</v>
      </c>
      <c r="F1276" s="7">
        <v>44968</v>
      </c>
      <c r="G1276">
        <f t="shared" si="58"/>
        <v>2023</v>
      </c>
      <c r="H1276" s="7" t="str">
        <f t="shared" si="59"/>
        <v>Февраль</v>
      </c>
      <c r="I1276" t="s">
        <v>7</v>
      </c>
      <c r="J1276">
        <v>40</v>
      </c>
      <c r="K1276" t="s">
        <v>10</v>
      </c>
      <c r="L1276">
        <v>1</v>
      </c>
      <c r="M1276">
        <v>25</v>
      </c>
      <c r="N1276" s="1">
        <f t="shared" si="60"/>
        <v>25</v>
      </c>
    </row>
    <row r="1277" spans="5:14" x14ac:dyDescent="0.25">
      <c r="E1277">
        <v>1084</v>
      </c>
      <c r="F1277" s="7">
        <v>45604</v>
      </c>
      <c r="G1277">
        <f t="shared" si="58"/>
        <v>2024</v>
      </c>
      <c r="H1277" s="7" t="str">
        <f t="shared" si="59"/>
        <v>Ноябрь</v>
      </c>
      <c r="I1277" t="s">
        <v>7</v>
      </c>
      <c r="J1277">
        <v>32</v>
      </c>
      <c r="K1277" t="s">
        <v>8</v>
      </c>
      <c r="L1277">
        <v>6</v>
      </c>
      <c r="M1277">
        <v>400</v>
      </c>
      <c r="N1277" s="1">
        <f t="shared" si="60"/>
        <v>2400</v>
      </c>
    </row>
    <row r="1278" spans="5:14" x14ac:dyDescent="0.25">
      <c r="E1278">
        <v>1649</v>
      </c>
      <c r="F1278" s="7">
        <v>45432</v>
      </c>
      <c r="G1278">
        <f t="shared" si="58"/>
        <v>2024</v>
      </c>
      <c r="H1278" s="7" t="str">
        <f t="shared" si="59"/>
        <v>Май</v>
      </c>
      <c r="I1278" t="s">
        <v>7</v>
      </c>
      <c r="J1278">
        <v>53</v>
      </c>
      <c r="K1278" t="s">
        <v>10</v>
      </c>
      <c r="L1278">
        <v>1</v>
      </c>
      <c r="M1278">
        <v>47</v>
      </c>
      <c r="N1278" s="1">
        <f t="shared" si="60"/>
        <v>47</v>
      </c>
    </row>
    <row r="1279" spans="5:14" x14ac:dyDescent="0.25">
      <c r="E1279">
        <v>1808</v>
      </c>
      <c r="F1279" s="7">
        <v>45608</v>
      </c>
      <c r="G1279">
        <f t="shared" si="58"/>
        <v>2024</v>
      </c>
      <c r="H1279" s="7" t="str">
        <f t="shared" si="59"/>
        <v>Ноябрь</v>
      </c>
      <c r="I1279" t="s">
        <v>7</v>
      </c>
      <c r="J1279">
        <v>24</v>
      </c>
      <c r="K1279" t="s">
        <v>11</v>
      </c>
      <c r="L1279">
        <v>4</v>
      </c>
      <c r="M1279">
        <v>447</v>
      </c>
      <c r="N1279" s="1">
        <f t="shared" si="60"/>
        <v>1788</v>
      </c>
    </row>
    <row r="1280" spans="5:14" x14ac:dyDescent="0.25">
      <c r="E1280">
        <v>950</v>
      </c>
      <c r="F1280" s="7">
        <v>45243</v>
      </c>
      <c r="G1280">
        <f t="shared" si="58"/>
        <v>2023</v>
      </c>
      <c r="H1280" s="7" t="str">
        <f t="shared" si="59"/>
        <v>Ноябрь</v>
      </c>
      <c r="I1280" t="s">
        <v>9</v>
      </c>
      <c r="J1280">
        <v>57</v>
      </c>
      <c r="K1280" t="s">
        <v>10</v>
      </c>
      <c r="L1280">
        <v>1</v>
      </c>
      <c r="M1280">
        <v>25</v>
      </c>
      <c r="N1280" s="1">
        <f t="shared" si="60"/>
        <v>25</v>
      </c>
    </row>
    <row r="1281" spans="5:14" x14ac:dyDescent="0.25">
      <c r="E1281">
        <v>1101</v>
      </c>
      <c r="F1281" s="7">
        <v>45308</v>
      </c>
      <c r="G1281">
        <f t="shared" si="58"/>
        <v>2024</v>
      </c>
      <c r="H1281" s="7" t="str">
        <f t="shared" si="59"/>
        <v>Январь</v>
      </c>
      <c r="I1281" t="s">
        <v>9</v>
      </c>
      <c r="J1281">
        <v>55</v>
      </c>
      <c r="K1281" t="s">
        <v>10</v>
      </c>
      <c r="L1281">
        <v>2</v>
      </c>
      <c r="M1281">
        <v>261</v>
      </c>
      <c r="N1281" s="1">
        <f t="shared" si="60"/>
        <v>522</v>
      </c>
    </row>
    <row r="1282" spans="5:14" x14ac:dyDescent="0.25">
      <c r="E1282">
        <v>589</v>
      </c>
      <c r="F1282" s="7">
        <v>45002</v>
      </c>
      <c r="G1282">
        <f t="shared" si="58"/>
        <v>2023</v>
      </c>
      <c r="H1282" s="7" t="str">
        <f t="shared" si="59"/>
        <v>Март</v>
      </c>
      <c r="I1282" t="s">
        <v>7</v>
      </c>
      <c r="J1282">
        <v>36</v>
      </c>
      <c r="K1282" t="s">
        <v>10</v>
      </c>
      <c r="L1282">
        <v>3</v>
      </c>
      <c r="M1282">
        <v>300</v>
      </c>
      <c r="N1282" s="1">
        <f t="shared" si="60"/>
        <v>900</v>
      </c>
    </row>
    <row r="1283" spans="5:14" x14ac:dyDescent="0.25">
      <c r="E1283">
        <v>1282</v>
      </c>
      <c r="F1283" s="7">
        <v>45519</v>
      </c>
      <c r="G1283">
        <f t="shared" si="58"/>
        <v>2024</v>
      </c>
      <c r="H1283" s="7" t="str">
        <f t="shared" si="59"/>
        <v>Август</v>
      </c>
      <c r="I1283" t="s">
        <v>9</v>
      </c>
      <c r="J1283">
        <v>60</v>
      </c>
      <c r="K1283" t="s">
        <v>11</v>
      </c>
      <c r="L1283">
        <v>6</v>
      </c>
      <c r="M1283">
        <v>252</v>
      </c>
      <c r="N1283" s="1">
        <f t="shared" si="60"/>
        <v>1512</v>
      </c>
    </row>
    <row r="1284" spans="5:14" x14ac:dyDescent="0.25">
      <c r="E1284">
        <v>466</v>
      </c>
      <c r="F1284" s="7">
        <v>45137</v>
      </c>
      <c r="G1284">
        <f t="shared" si="58"/>
        <v>2023</v>
      </c>
      <c r="H1284" s="7" t="str">
        <f t="shared" si="59"/>
        <v>Июль</v>
      </c>
      <c r="I1284" t="s">
        <v>9</v>
      </c>
      <c r="J1284">
        <v>53</v>
      </c>
      <c r="K1284" t="s">
        <v>11</v>
      </c>
      <c r="L1284">
        <v>3</v>
      </c>
      <c r="M1284">
        <v>50</v>
      </c>
      <c r="N1284" s="1">
        <f t="shared" si="60"/>
        <v>150</v>
      </c>
    </row>
    <row r="1285" spans="5:14" x14ac:dyDescent="0.25">
      <c r="E1285">
        <v>1269</v>
      </c>
      <c r="F1285" s="7">
        <v>45347</v>
      </c>
      <c r="G1285">
        <f t="shared" si="58"/>
        <v>2024</v>
      </c>
      <c r="H1285" s="7" t="str">
        <f t="shared" si="59"/>
        <v>Февраль</v>
      </c>
      <c r="I1285" t="s">
        <v>9</v>
      </c>
      <c r="J1285">
        <v>41</v>
      </c>
      <c r="K1285" t="s">
        <v>11</v>
      </c>
      <c r="L1285">
        <v>5</v>
      </c>
      <c r="M1285">
        <v>128</v>
      </c>
      <c r="N1285" s="1">
        <f t="shared" si="60"/>
        <v>640</v>
      </c>
    </row>
    <row r="1286" spans="5:14" x14ac:dyDescent="0.25">
      <c r="E1286">
        <v>1569</v>
      </c>
      <c r="F1286" s="7">
        <v>45402</v>
      </c>
      <c r="G1286">
        <f t="shared" si="58"/>
        <v>2024</v>
      </c>
      <c r="H1286" s="7" t="str">
        <f t="shared" si="59"/>
        <v>Апрель</v>
      </c>
      <c r="I1286" t="s">
        <v>7</v>
      </c>
      <c r="J1286">
        <v>41</v>
      </c>
      <c r="K1286" t="s">
        <v>10</v>
      </c>
      <c r="L1286">
        <v>3</v>
      </c>
      <c r="M1286">
        <v>323</v>
      </c>
      <c r="N1286" s="1">
        <f t="shared" si="60"/>
        <v>969</v>
      </c>
    </row>
    <row r="1287" spans="5:14" x14ac:dyDescent="0.25">
      <c r="E1287">
        <v>139</v>
      </c>
      <c r="F1287" s="7">
        <v>45275</v>
      </c>
      <c r="G1287">
        <f t="shared" si="58"/>
        <v>2023</v>
      </c>
      <c r="H1287" s="7" t="str">
        <f t="shared" si="59"/>
        <v>Декабрь</v>
      </c>
      <c r="I1287" t="s">
        <v>7</v>
      </c>
      <c r="J1287">
        <v>36</v>
      </c>
      <c r="K1287" t="s">
        <v>8</v>
      </c>
      <c r="L1287">
        <v>4</v>
      </c>
      <c r="M1287">
        <v>500</v>
      </c>
      <c r="N1287" s="1">
        <f t="shared" si="60"/>
        <v>2000</v>
      </c>
    </row>
    <row r="1288" spans="5:14" x14ac:dyDescent="0.25">
      <c r="E1288">
        <v>843</v>
      </c>
      <c r="F1288" s="7">
        <v>44932</v>
      </c>
      <c r="G1288">
        <f t="shared" si="58"/>
        <v>2023</v>
      </c>
      <c r="H1288" s="7" t="str">
        <f t="shared" si="59"/>
        <v>Январь</v>
      </c>
      <c r="I1288" t="s">
        <v>7</v>
      </c>
      <c r="J1288">
        <v>54</v>
      </c>
      <c r="K1288" t="s">
        <v>10</v>
      </c>
      <c r="L1288">
        <v>1</v>
      </c>
      <c r="M1288">
        <v>500</v>
      </c>
      <c r="N1288" s="1">
        <f t="shared" si="60"/>
        <v>500</v>
      </c>
    </row>
    <row r="1289" spans="5:14" x14ac:dyDescent="0.25">
      <c r="E1289">
        <v>1950</v>
      </c>
      <c r="F1289" s="7">
        <v>45560</v>
      </c>
      <c r="G1289">
        <f t="shared" si="58"/>
        <v>2024</v>
      </c>
      <c r="H1289" s="7" t="str">
        <f t="shared" si="59"/>
        <v>Сентябрь</v>
      </c>
      <c r="I1289" t="s">
        <v>9</v>
      </c>
      <c r="J1289">
        <v>57</v>
      </c>
      <c r="K1289" t="s">
        <v>11</v>
      </c>
      <c r="L1289">
        <v>7</v>
      </c>
      <c r="M1289">
        <v>210</v>
      </c>
      <c r="N1289" s="1">
        <f t="shared" si="60"/>
        <v>1470</v>
      </c>
    </row>
    <row r="1290" spans="5:14" x14ac:dyDescent="0.25">
      <c r="E1290">
        <v>764</v>
      </c>
      <c r="F1290" s="7">
        <v>44982</v>
      </c>
      <c r="G1290">
        <f t="shared" ref="G1290:G1353" si="61">YEAR(F1290)</f>
        <v>2023</v>
      </c>
      <c r="H1290" s="7" t="str">
        <f t="shared" ref="H1290:H1353" si="62">TEXT(F1290,"ММММ")</f>
        <v>Февраль</v>
      </c>
      <c r="I1290" t="s">
        <v>7</v>
      </c>
      <c r="J1290">
        <v>38</v>
      </c>
      <c r="K1290" t="s">
        <v>11</v>
      </c>
      <c r="L1290">
        <v>3</v>
      </c>
      <c r="M1290">
        <v>300</v>
      </c>
      <c r="N1290" s="1">
        <f t="shared" ref="N1290:N1353" si="63">L1290*M1290</f>
        <v>900</v>
      </c>
    </row>
    <row r="1291" spans="5:14" x14ac:dyDescent="0.25">
      <c r="E1291">
        <v>871</v>
      </c>
      <c r="F1291" s="7">
        <v>45198</v>
      </c>
      <c r="G1291">
        <f t="shared" si="61"/>
        <v>2023</v>
      </c>
      <c r="H1291" s="7" t="str">
        <f t="shared" si="62"/>
        <v>Сентябрь</v>
      </c>
      <c r="I1291" t="s">
        <v>9</v>
      </c>
      <c r="J1291">
        <v>27</v>
      </c>
      <c r="K1291" t="s">
        <v>11</v>
      </c>
      <c r="L1291">
        <v>4</v>
      </c>
      <c r="M1291">
        <v>25</v>
      </c>
      <c r="N1291" s="1">
        <f t="shared" si="63"/>
        <v>100</v>
      </c>
    </row>
    <row r="1292" spans="5:14" x14ac:dyDescent="0.25">
      <c r="E1292">
        <v>740</v>
      </c>
      <c r="F1292" s="7">
        <v>44947</v>
      </c>
      <c r="G1292">
        <f t="shared" si="61"/>
        <v>2023</v>
      </c>
      <c r="H1292" s="7" t="str">
        <f t="shared" si="62"/>
        <v>Январь</v>
      </c>
      <c r="I1292" t="s">
        <v>9</v>
      </c>
      <c r="J1292">
        <v>38</v>
      </c>
      <c r="K1292" t="s">
        <v>11</v>
      </c>
      <c r="L1292">
        <v>4</v>
      </c>
      <c r="M1292">
        <v>500</v>
      </c>
      <c r="N1292" s="1">
        <f t="shared" si="63"/>
        <v>2000</v>
      </c>
    </row>
    <row r="1293" spans="5:14" x14ac:dyDescent="0.25">
      <c r="E1293">
        <v>1021</v>
      </c>
      <c r="F1293" s="7">
        <v>45394</v>
      </c>
      <c r="G1293">
        <f t="shared" si="61"/>
        <v>2024</v>
      </c>
      <c r="H1293" s="7" t="str">
        <f t="shared" si="62"/>
        <v>Апрель</v>
      </c>
      <c r="I1293" t="s">
        <v>9</v>
      </c>
      <c r="J1293">
        <v>18</v>
      </c>
      <c r="K1293" t="s">
        <v>10</v>
      </c>
      <c r="L1293">
        <v>1</v>
      </c>
      <c r="M1293">
        <v>195</v>
      </c>
      <c r="N1293" s="1">
        <f t="shared" si="63"/>
        <v>195</v>
      </c>
    </row>
    <row r="1294" spans="5:14" x14ac:dyDescent="0.25">
      <c r="E1294">
        <v>1803</v>
      </c>
      <c r="F1294" s="7">
        <v>45515</v>
      </c>
      <c r="G1294">
        <f t="shared" si="61"/>
        <v>2024</v>
      </c>
      <c r="H1294" s="7" t="str">
        <f t="shared" si="62"/>
        <v>Август</v>
      </c>
      <c r="I1294" t="s">
        <v>9</v>
      </c>
      <c r="J1294">
        <v>59</v>
      </c>
      <c r="K1294" t="s">
        <v>11</v>
      </c>
      <c r="L1294">
        <v>1</v>
      </c>
      <c r="M1294">
        <v>483</v>
      </c>
      <c r="N1294" s="1">
        <f t="shared" si="63"/>
        <v>483</v>
      </c>
    </row>
    <row r="1295" spans="5:14" x14ac:dyDescent="0.25">
      <c r="E1295">
        <v>1369</v>
      </c>
      <c r="F1295" s="7">
        <v>45329</v>
      </c>
      <c r="G1295">
        <f t="shared" si="61"/>
        <v>2024</v>
      </c>
      <c r="H1295" s="7" t="str">
        <f t="shared" si="62"/>
        <v>Февраль</v>
      </c>
      <c r="I1295" t="s">
        <v>9</v>
      </c>
      <c r="J1295">
        <v>63</v>
      </c>
      <c r="K1295" t="s">
        <v>8</v>
      </c>
      <c r="L1295">
        <v>4</v>
      </c>
      <c r="M1295">
        <v>335</v>
      </c>
      <c r="N1295" s="1">
        <f t="shared" si="63"/>
        <v>1340</v>
      </c>
    </row>
    <row r="1296" spans="5:14" x14ac:dyDescent="0.25">
      <c r="E1296">
        <v>780</v>
      </c>
      <c r="F1296" s="7">
        <v>45081</v>
      </c>
      <c r="G1296">
        <f t="shared" si="61"/>
        <v>2023</v>
      </c>
      <c r="H1296" s="7" t="str">
        <f t="shared" si="62"/>
        <v>Июнь</v>
      </c>
      <c r="I1296" t="s">
        <v>7</v>
      </c>
      <c r="J1296">
        <v>59</v>
      </c>
      <c r="K1296" t="s">
        <v>10</v>
      </c>
      <c r="L1296">
        <v>3</v>
      </c>
      <c r="M1296">
        <v>300</v>
      </c>
      <c r="N1296" s="1">
        <f t="shared" si="63"/>
        <v>900</v>
      </c>
    </row>
    <row r="1297" spans="5:14" x14ac:dyDescent="0.25">
      <c r="E1297">
        <v>665</v>
      </c>
      <c r="F1297" s="7">
        <v>45139</v>
      </c>
      <c r="G1297">
        <f t="shared" si="61"/>
        <v>2023</v>
      </c>
      <c r="H1297" s="7" t="str">
        <f t="shared" si="62"/>
        <v>Август</v>
      </c>
      <c r="I1297" t="s">
        <v>9</v>
      </c>
      <c r="J1297">
        <v>29</v>
      </c>
      <c r="K1297" t="s">
        <v>11</v>
      </c>
      <c r="L1297">
        <v>1</v>
      </c>
      <c r="M1297">
        <v>500</v>
      </c>
      <c r="N1297" s="1">
        <f t="shared" si="63"/>
        <v>500</v>
      </c>
    </row>
    <row r="1298" spans="5:14" x14ac:dyDescent="0.25">
      <c r="E1298">
        <v>399</v>
      </c>
      <c r="F1298" s="7">
        <v>44981</v>
      </c>
      <c r="G1298">
        <f t="shared" si="61"/>
        <v>2023</v>
      </c>
      <c r="H1298" s="7" t="str">
        <f t="shared" si="62"/>
        <v>Февраль</v>
      </c>
      <c r="I1298" t="s">
        <v>7</v>
      </c>
      <c r="J1298">
        <v>53</v>
      </c>
      <c r="K1298" t="s">
        <v>10</v>
      </c>
      <c r="L1298">
        <v>4</v>
      </c>
      <c r="M1298">
        <v>50</v>
      </c>
      <c r="N1298" s="1">
        <f t="shared" si="63"/>
        <v>200</v>
      </c>
    </row>
    <row r="1299" spans="5:14" x14ac:dyDescent="0.25">
      <c r="E1299">
        <v>1650</v>
      </c>
      <c r="F1299" s="7">
        <v>45464</v>
      </c>
      <c r="G1299">
        <f t="shared" si="61"/>
        <v>2024</v>
      </c>
      <c r="H1299" s="7" t="str">
        <f t="shared" si="62"/>
        <v>Июнь</v>
      </c>
      <c r="I1299" t="s">
        <v>7</v>
      </c>
      <c r="J1299">
        <v>28</v>
      </c>
      <c r="K1299" t="s">
        <v>10</v>
      </c>
      <c r="L1299">
        <v>2</v>
      </c>
      <c r="M1299">
        <v>203</v>
      </c>
      <c r="N1299" s="1">
        <f t="shared" si="63"/>
        <v>406</v>
      </c>
    </row>
    <row r="1300" spans="5:14" x14ac:dyDescent="0.25">
      <c r="E1300">
        <v>688</v>
      </c>
      <c r="F1300" s="7">
        <v>45235</v>
      </c>
      <c r="G1300">
        <f t="shared" si="61"/>
        <v>2023</v>
      </c>
      <c r="H1300" s="7" t="str">
        <f t="shared" si="62"/>
        <v>Ноябрь</v>
      </c>
      <c r="I1300" t="s">
        <v>9</v>
      </c>
      <c r="J1300">
        <v>52</v>
      </c>
      <c r="K1300" t="s">
        <v>10</v>
      </c>
      <c r="L1300">
        <v>3</v>
      </c>
      <c r="M1300">
        <v>300</v>
      </c>
      <c r="N1300" s="1">
        <f t="shared" si="63"/>
        <v>900</v>
      </c>
    </row>
    <row r="1301" spans="5:14" x14ac:dyDescent="0.25">
      <c r="E1301">
        <v>646</v>
      </c>
      <c r="F1301" s="7">
        <v>45067</v>
      </c>
      <c r="G1301">
        <f t="shared" si="61"/>
        <v>2023</v>
      </c>
      <c r="H1301" s="7" t="str">
        <f t="shared" si="62"/>
        <v>Май</v>
      </c>
      <c r="I1301" t="s">
        <v>7</v>
      </c>
      <c r="J1301">
        <v>59</v>
      </c>
      <c r="K1301" t="s">
        <v>10</v>
      </c>
      <c r="L1301">
        <v>3</v>
      </c>
      <c r="M1301">
        <v>500</v>
      </c>
      <c r="N1301" s="1">
        <f t="shared" si="63"/>
        <v>1500</v>
      </c>
    </row>
    <row r="1302" spans="5:14" x14ac:dyDescent="0.25">
      <c r="E1302">
        <v>1884</v>
      </c>
      <c r="F1302" s="7">
        <v>45354</v>
      </c>
      <c r="G1302">
        <f t="shared" si="61"/>
        <v>2024</v>
      </c>
      <c r="H1302" s="7" t="str">
        <f t="shared" si="62"/>
        <v>Март</v>
      </c>
      <c r="I1302" t="s">
        <v>9</v>
      </c>
      <c r="J1302">
        <v>56</v>
      </c>
      <c r="K1302" t="s">
        <v>11</v>
      </c>
      <c r="L1302">
        <v>2</v>
      </c>
      <c r="M1302">
        <v>371</v>
      </c>
      <c r="N1302" s="1">
        <f t="shared" si="63"/>
        <v>742</v>
      </c>
    </row>
    <row r="1303" spans="5:14" x14ac:dyDescent="0.25">
      <c r="E1303">
        <v>610</v>
      </c>
      <c r="F1303" s="7">
        <v>44981</v>
      </c>
      <c r="G1303">
        <f t="shared" si="61"/>
        <v>2023</v>
      </c>
      <c r="H1303" s="7" t="str">
        <f t="shared" si="62"/>
        <v>Февраль</v>
      </c>
      <c r="I1303" t="s">
        <v>7</v>
      </c>
      <c r="J1303">
        <v>51</v>
      </c>
      <c r="K1303" t="s">
        <v>8</v>
      </c>
      <c r="L1303">
        <v>3</v>
      </c>
      <c r="M1303">
        <v>500</v>
      </c>
      <c r="N1303" s="1">
        <f t="shared" si="63"/>
        <v>1500</v>
      </c>
    </row>
    <row r="1304" spans="5:14" x14ac:dyDescent="0.25">
      <c r="E1304">
        <v>1190</v>
      </c>
      <c r="F1304" s="7">
        <v>45332</v>
      </c>
      <c r="G1304">
        <f t="shared" si="61"/>
        <v>2024</v>
      </c>
      <c r="H1304" s="7" t="str">
        <f t="shared" si="62"/>
        <v>Февраль</v>
      </c>
      <c r="I1304" t="s">
        <v>7</v>
      </c>
      <c r="J1304">
        <v>29</v>
      </c>
      <c r="K1304" t="s">
        <v>8</v>
      </c>
      <c r="L1304">
        <v>3</v>
      </c>
      <c r="M1304">
        <v>91</v>
      </c>
      <c r="N1304" s="1">
        <f t="shared" si="63"/>
        <v>273</v>
      </c>
    </row>
    <row r="1305" spans="5:14" x14ac:dyDescent="0.25">
      <c r="E1305">
        <v>469</v>
      </c>
      <c r="F1305" s="7">
        <v>45063</v>
      </c>
      <c r="G1305">
        <f t="shared" si="61"/>
        <v>2023</v>
      </c>
      <c r="H1305" s="7" t="str">
        <f t="shared" si="62"/>
        <v>Май</v>
      </c>
      <c r="I1305" t="s">
        <v>9</v>
      </c>
      <c r="J1305">
        <v>57</v>
      </c>
      <c r="K1305" t="s">
        <v>10</v>
      </c>
      <c r="L1305">
        <v>2</v>
      </c>
      <c r="M1305">
        <v>500</v>
      </c>
      <c r="N1305" s="1">
        <f t="shared" si="63"/>
        <v>1000</v>
      </c>
    </row>
    <row r="1306" spans="5:14" x14ac:dyDescent="0.25">
      <c r="E1306">
        <v>983</v>
      </c>
      <c r="F1306" s="7">
        <v>45076</v>
      </c>
      <c r="G1306">
        <f t="shared" si="61"/>
        <v>2023</v>
      </c>
      <c r="H1306" s="7" t="str">
        <f t="shared" si="62"/>
        <v>Май</v>
      </c>
      <c r="I1306" t="s">
        <v>9</v>
      </c>
      <c r="J1306">
        <v>19</v>
      </c>
      <c r="K1306" t="s">
        <v>11</v>
      </c>
      <c r="L1306">
        <v>2</v>
      </c>
      <c r="M1306">
        <v>25</v>
      </c>
      <c r="N1306" s="1">
        <f t="shared" si="63"/>
        <v>50</v>
      </c>
    </row>
    <row r="1307" spans="5:14" x14ac:dyDescent="0.25">
      <c r="E1307">
        <v>826</v>
      </c>
      <c r="F1307" s="7">
        <v>45269</v>
      </c>
      <c r="G1307">
        <f t="shared" si="61"/>
        <v>2023</v>
      </c>
      <c r="H1307" s="7" t="str">
        <f t="shared" si="62"/>
        <v>Декабрь</v>
      </c>
      <c r="I1307" t="s">
        <v>9</v>
      </c>
      <c r="J1307">
        <v>33</v>
      </c>
      <c r="K1307" t="s">
        <v>11</v>
      </c>
      <c r="L1307">
        <v>4</v>
      </c>
      <c r="M1307">
        <v>300</v>
      </c>
      <c r="N1307" s="1">
        <f t="shared" si="63"/>
        <v>1200</v>
      </c>
    </row>
    <row r="1308" spans="5:14" x14ac:dyDescent="0.25">
      <c r="E1308">
        <v>977</v>
      </c>
      <c r="F1308" s="7">
        <v>44928</v>
      </c>
      <c r="G1308">
        <f t="shared" si="61"/>
        <v>2023</v>
      </c>
      <c r="H1308" s="7" t="str">
        <f t="shared" si="62"/>
        <v>Январь</v>
      </c>
      <c r="I1308" t="s">
        <v>9</v>
      </c>
      <c r="J1308">
        <v>19</v>
      </c>
      <c r="K1308" t="s">
        <v>8</v>
      </c>
      <c r="L1308">
        <v>1</v>
      </c>
      <c r="M1308">
        <v>25</v>
      </c>
      <c r="N1308" s="1">
        <f t="shared" si="63"/>
        <v>25</v>
      </c>
    </row>
    <row r="1309" spans="5:14" x14ac:dyDescent="0.25">
      <c r="E1309">
        <v>1816</v>
      </c>
      <c r="F1309" s="7">
        <v>45418</v>
      </c>
      <c r="G1309">
        <f t="shared" si="61"/>
        <v>2024</v>
      </c>
      <c r="H1309" s="7" t="str">
        <f t="shared" si="62"/>
        <v>Май</v>
      </c>
      <c r="I1309" t="s">
        <v>7</v>
      </c>
      <c r="J1309">
        <v>49</v>
      </c>
      <c r="K1309" t="s">
        <v>11</v>
      </c>
      <c r="L1309">
        <v>1</v>
      </c>
      <c r="M1309">
        <v>492</v>
      </c>
      <c r="N1309" s="1">
        <f t="shared" si="63"/>
        <v>492</v>
      </c>
    </row>
    <row r="1310" spans="5:14" x14ac:dyDescent="0.25">
      <c r="E1310">
        <v>807</v>
      </c>
      <c r="F1310" s="7">
        <v>45194</v>
      </c>
      <c r="G1310">
        <f t="shared" si="61"/>
        <v>2023</v>
      </c>
      <c r="H1310" s="7" t="str">
        <f t="shared" si="62"/>
        <v>Сентябрь</v>
      </c>
      <c r="I1310" t="s">
        <v>9</v>
      </c>
      <c r="J1310">
        <v>62</v>
      </c>
      <c r="K1310" t="s">
        <v>8</v>
      </c>
      <c r="L1310">
        <v>2</v>
      </c>
      <c r="M1310">
        <v>50</v>
      </c>
      <c r="N1310" s="1">
        <f t="shared" si="63"/>
        <v>100</v>
      </c>
    </row>
    <row r="1311" spans="5:14" x14ac:dyDescent="0.25">
      <c r="E1311">
        <v>1147</v>
      </c>
      <c r="F1311" s="7">
        <v>45576</v>
      </c>
      <c r="G1311">
        <f t="shared" si="61"/>
        <v>2024</v>
      </c>
      <c r="H1311" s="7" t="str">
        <f t="shared" si="62"/>
        <v>Октябрь</v>
      </c>
      <c r="I1311" t="s">
        <v>7</v>
      </c>
      <c r="J1311">
        <v>42</v>
      </c>
      <c r="K1311" t="s">
        <v>10</v>
      </c>
      <c r="L1311">
        <v>1</v>
      </c>
      <c r="M1311">
        <v>354</v>
      </c>
      <c r="N1311" s="1">
        <f t="shared" si="63"/>
        <v>354</v>
      </c>
    </row>
    <row r="1312" spans="5:14" x14ac:dyDescent="0.25">
      <c r="E1312">
        <v>772</v>
      </c>
      <c r="F1312" s="7">
        <v>45028</v>
      </c>
      <c r="G1312">
        <f t="shared" si="61"/>
        <v>2023</v>
      </c>
      <c r="H1312" s="7" t="str">
        <f t="shared" si="62"/>
        <v>Апрель</v>
      </c>
      <c r="I1312" t="s">
        <v>9</v>
      </c>
      <c r="J1312">
        <v>40</v>
      </c>
      <c r="K1312" t="s">
        <v>10</v>
      </c>
      <c r="L1312">
        <v>2</v>
      </c>
      <c r="M1312">
        <v>25</v>
      </c>
      <c r="N1312" s="1">
        <f t="shared" si="63"/>
        <v>50</v>
      </c>
    </row>
    <row r="1313" spans="5:14" x14ac:dyDescent="0.25">
      <c r="E1313">
        <v>309</v>
      </c>
      <c r="F1313" s="7">
        <v>45211</v>
      </c>
      <c r="G1313">
        <f t="shared" si="61"/>
        <v>2023</v>
      </c>
      <c r="H1313" s="7" t="str">
        <f t="shared" si="62"/>
        <v>Октябрь</v>
      </c>
      <c r="I1313" t="s">
        <v>9</v>
      </c>
      <c r="J1313">
        <v>28</v>
      </c>
      <c r="K1313" t="s">
        <v>8</v>
      </c>
      <c r="L1313">
        <v>1</v>
      </c>
      <c r="M1313">
        <v>25</v>
      </c>
      <c r="N1313" s="1">
        <f t="shared" si="63"/>
        <v>25</v>
      </c>
    </row>
    <row r="1314" spans="5:14" x14ac:dyDescent="0.25">
      <c r="E1314">
        <v>1381</v>
      </c>
      <c r="F1314" s="7">
        <v>45517</v>
      </c>
      <c r="G1314">
        <f t="shared" si="61"/>
        <v>2024</v>
      </c>
      <c r="H1314" s="7" t="str">
        <f t="shared" si="62"/>
        <v>Август</v>
      </c>
      <c r="I1314" t="s">
        <v>7</v>
      </c>
      <c r="J1314">
        <v>60</v>
      </c>
      <c r="K1314" t="s">
        <v>10</v>
      </c>
      <c r="L1314">
        <v>7</v>
      </c>
      <c r="M1314">
        <v>92</v>
      </c>
      <c r="N1314" s="1">
        <f t="shared" si="63"/>
        <v>644</v>
      </c>
    </row>
    <row r="1315" spans="5:14" x14ac:dyDescent="0.25">
      <c r="E1315">
        <v>946</v>
      </c>
      <c r="F1315" s="7">
        <v>45212</v>
      </c>
      <c r="G1315">
        <f t="shared" si="61"/>
        <v>2023</v>
      </c>
      <c r="H1315" s="7" t="str">
        <f t="shared" si="62"/>
        <v>Октябрь</v>
      </c>
      <c r="I1315" t="s">
        <v>9</v>
      </c>
      <c r="J1315">
        <v>23</v>
      </c>
      <c r="K1315" t="s">
        <v>11</v>
      </c>
      <c r="L1315">
        <v>3</v>
      </c>
      <c r="M1315">
        <v>25</v>
      </c>
      <c r="N1315" s="1">
        <f t="shared" si="63"/>
        <v>75</v>
      </c>
    </row>
    <row r="1316" spans="5:14" x14ac:dyDescent="0.25">
      <c r="E1316">
        <v>1390</v>
      </c>
      <c r="F1316" s="7">
        <v>45576</v>
      </c>
      <c r="G1316">
        <f t="shared" si="61"/>
        <v>2024</v>
      </c>
      <c r="H1316" s="7" t="str">
        <f t="shared" si="62"/>
        <v>Октябрь</v>
      </c>
      <c r="I1316" t="s">
        <v>9</v>
      </c>
      <c r="J1316">
        <v>46</v>
      </c>
      <c r="K1316" t="s">
        <v>8</v>
      </c>
      <c r="L1316">
        <v>7</v>
      </c>
      <c r="M1316">
        <v>232</v>
      </c>
      <c r="N1316" s="1">
        <f t="shared" si="63"/>
        <v>1624</v>
      </c>
    </row>
    <row r="1317" spans="5:14" x14ac:dyDescent="0.25">
      <c r="E1317">
        <v>1143</v>
      </c>
      <c r="F1317" s="7">
        <v>45598</v>
      </c>
      <c r="G1317">
        <f t="shared" si="61"/>
        <v>2024</v>
      </c>
      <c r="H1317" s="7" t="str">
        <f t="shared" si="62"/>
        <v>Ноябрь</v>
      </c>
      <c r="I1317" t="s">
        <v>9</v>
      </c>
      <c r="J1317">
        <v>56</v>
      </c>
      <c r="K1317" t="s">
        <v>10</v>
      </c>
      <c r="L1317">
        <v>6</v>
      </c>
      <c r="M1317">
        <v>130</v>
      </c>
      <c r="N1317" s="1">
        <f t="shared" si="63"/>
        <v>780</v>
      </c>
    </row>
    <row r="1318" spans="5:14" x14ac:dyDescent="0.25">
      <c r="E1318">
        <v>186</v>
      </c>
      <c r="F1318" s="7">
        <v>45112</v>
      </c>
      <c r="G1318">
        <f t="shared" si="61"/>
        <v>2023</v>
      </c>
      <c r="H1318" s="7" t="str">
        <f t="shared" si="62"/>
        <v>Июль</v>
      </c>
      <c r="I1318" t="s">
        <v>7</v>
      </c>
      <c r="J1318">
        <v>20</v>
      </c>
      <c r="K1318" t="s">
        <v>10</v>
      </c>
      <c r="L1318">
        <v>4</v>
      </c>
      <c r="M1318">
        <v>50</v>
      </c>
      <c r="N1318" s="1">
        <f t="shared" si="63"/>
        <v>200</v>
      </c>
    </row>
    <row r="1319" spans="5:14" x14ac:dyDescent="0.25">
      <c r="E1319">
        <v>1296</v>
      </c>
      <c r="F1319" s="7">
        <v>45498</v>
      </c>
      <c r="G1319">
        <f t="shared" si="61"/>
        <v>2024</v>
      </c>
      <c r="H1319" s="7" t="str">
        <f t="shared" si="62"/>
        <v>Июль</v>
      </c>
      <c r="I1319" t="s">
        <v>7</v>
      </c>
      <c r="J1319">
        <v>42</v>
      </c>
      <c r="K1319" t="s">
        <v>11</v>
      </c>
      <c r="L1319">
        <v>2</v>
      </c>
      <c r="M1319">
        <v>37</v>
      </c>
      <c r="N1319" s="1">
        <f t="shared" si="63"/>
        <v>74</v>
      </c>
    </row>
    <row r="1320" spans="5:14" x14ac:dyDescent="0.25">
      <c r="E1320">
        <v>695</v>
      </c>
      <c r="F1320" s="7">
        <v>44941</v>
      </c>
      <c r="G1320">
        <f t="shared" si="61"/>
        <v>2023</v>
      </c>
      <c r="H1320" s="7" t="str">
        <f t="shared" si="62"/>
        <v>Январь</v>
      </c>
      <c r="I1320" t="s">
        <v>7</v>
      </c>
      <c r="J1320">
        <v>53</v>
      </c>
      <c r="K1320" t="s">
        <v>10</v>
      </c>
      <c r="L1320">
        <v>1</v>
      </c>
      <c r="M1320">
        <v>500</v>
      </c>
      <c r="N1320" s="1">
        <f t="shared" si="63"/>
        <v>500</v>
      </c>
    </row>
    <row r="1321" spans="5:14" x14ac:dyDescent="0.25">
      <c r="E1321">
        <v>614</v>
      </c>
      <c r="F1321" s="7">
        <v>45283</v>
      </c>
      <c r="G1321">
        <f t="shared" si="61"/>
        <v>2023</v>
      </c>
      <c r="H1321" s="7" t="str">
        <f t="shared" si="62"/>
        <v>Декабрь</v>
      </c>
      <c r="I1321" t="s">
        <v>9</v>
      </c>
      <c r="J1321">
        <v>61</v>
      </c>
      <c r="K1321" t="s">
        <v>10</v>
      </c>
      <c r="L1321">
        <v>4</v>
      </c>
      <c r="M1321">
        <v>25</v>
      </c>
      <c r="N1321" s="1">
        <f t="shared" si="63"/>
        <v>100</v>
      </c>
    </row>
    <row r="1322" spans="5:14" x14ac:dyDescent="0.25">
      <c r="E1322">
        <v>341</v>
      </c>
      <c r="F1322" s="7">
        <v>45223</v>
      </c>
      <c r="G1322">
        <f t="shared" si="61"/>
        <v>2023</v>
      </c>
      <c r="H1322" s="7" t="str">
        <f t="shared" si="62"/>
        <v>Октябрь</v>
      </c>
      <c r="I1322" t="s">
        <v>9</v>
      </c>
      <c r="J1322">
        <v>43</v>
      </c>
      <c r="K1322" t="s">
        <v>10</v>
      </c>
      <c r="L1322">
        <v>4</v>
      </c>
      <c r="M1322">
        <v>500</v>
      </c>
      <c r="N1322" s="1">
        <f t="shared" si="63"/>
        <v>2000</v>
      </c>
    </row>
    <row r="1323" spans="5:14" x14ac:dyDescent="0.25">
      <c r="E1323">
        <v>685</v>
      </c>
      <c r="F1323" s="7">
        <v>45141</v>
      </c>
      <c r="G1323">
        <f t="shared" si="61"/>
        <v>2023</v>
      </c>
      <c r="H1323" s="7" t="str">
        <f t="shared" si="62"/>
        <v>Август</v>
      </c>
      <c r="I1323" t="s">
        <v>9</v>
      </c>
      <c r="J1323">
        <v>53</v>
      </c>
      <c r="K1323" t="s">
        <v>11</v>
      </c>
      <c r="L1323">
        <v>1</v>
      </c>
      <c r="M1323">
        <v>300</v>
      </c>
      <c r="N1323" s="1">
        <f t="shared" si="63"/>
        <v>300</v>
      </c>
    </row>
    <row r="1324" spans="5:14" x14ac:dyDescent="0.25">
      <c r="E1324">
        <v>471</v>
      </c>
      <c r="F1324" s="7">
        <v>45286</v>
      </c>
      <c r="G1324">
        <f t="shared" si="61"/>
        <v>2023</v>
      </c>
      <c r="H1324" s="7" t="str">
        <f t="shared" si="62"/>
        <v>Декабрь</v>
      </c>
      <c r="I1324" t="s">
        <v>9</v>
      </c>
      <c r="J1324">
        <v>38</v>
      </c>
      <c r="K1324" t="s">
        <v>8</v>
      </c>
      <c r="L1324">
        <v>3</v>
      </c>
      <c r="M1324">
        <v>300</v>
      </c>
      <c r="N1324" s="1">
        <f t="shared" si="63"/>
        <v>900</v>
      </c>
    </row>
    <row r="1325" spans="5:14" x14ac:dyDescent="0.25">
      <c r="E1325">
        <v>1045</v>
      </c>
      <c r="F1325" s="7">
        <v>45602</v>
      </c>
      <c r="G1325">
        <f t="shared" si="61"/>
        <v>2024</v>
      </c>
      <c r="H1325" s="7" t="str">
        <f t="shared" si="62"/>
        <v>Ноябрь</v>
      </c>
      <c r="I1325" t="s">
        <v>9</v>
      </c>
      <c r="J1325">
        <v>43</v>
      </c>
      <c r="K1325" t="s">
        <v>8</v>
      </c>
      <c r="L1325">
        <v>5</v>
      </c>
      <c r="M1325">
        <v>449</v>
      </c>
      <c r="N1325" s="1">
        <f t="shared" si="63"/>
        <v>2245</v>
      </c>
    </row>
    <row r="1326" spans="5:14" x14ac:dyDescent="0.25">
      <c r="E1326">
        <v>1216</v>
      </c>
      <c r="F1326" s="7">
        <v>45524</v>
      </c>
      <c r="G1326">
        <f t="shared" si="61"/>
        <v>2024</v>
      </c>
      <c r="H1326" s="7" t="str">
        <f t="shared" si="62"/>
        <v>Август</v>
      </c>
      <c r="I1326" t="s">
        <v>9</v>
      </c>
      <c r="J1326">
        <v>58</v>
      </c>
      <c r="K1326" t="s">
        <v>11</v>
      </c>
      <c r="L1326">
        <v>1</v>
      </c>
      <c r="M1326">
        <v>142</v>
      </c>
      <c r="N1326" s="1">
        <f t="shared" si="63"/>
        <v>142</v>
      </c>
    </row>
    <row r="1327" spans="5:14" x14ac:dyDescent="0.25">
      <c r="E1327">
        <v>810</v>
      </c>
      <c r="F1327" s="7">
        <v>45242</v>
      </c>
      <c r="G1327">
        <f t="shared" si="61"/>
        <v>2023</v>
      </c>
      <c r="H1327" s="7" t="str">
        <f t="shared" si="62"/>
        <v>Ноябрь</v>
      </c>
      <c r="I1327" t="s">
        <v>7</v>
      </c>
      <c r="J1327">
        <v>19</v>
      </c>
      <c r="K1327" t="s">
        <v>11</v>
      </c>
      <c r="L1327">
        <v>3</v>
      </c>
      <c r="M1327">
        <v>25</v>
      </c>
      <c r="N1327" s="1">
        <f t="shared" si="63"/>
        <v>75</v>
      </c>
    </row>
    <row r="1328" spans="5:14" x14ac:dyDescent="0.25">
      <c r="E1328">
        <v>1817</v>
      </c>
      <c r="F1328" s="7">
        <v>45336</v>
      </c>
      <c r="G1328">
        <f t="shared" si="61"/>
        <v>2024</v>
      </c>
      <c r="H1328" s="7" t="str">
        <f t="shared" si="62"/>
        <v>Февраль</v>
      </c>
      <c r="I1328" t="s">
        <v>7</v>
      </c>
      <c r="J1328">
        <v>30</v>
      </c>
      <c r="K1328" t="s">
        <v>11</v>
      </c>
      <c r="L1328">
        <v>4</v>
      </c>
      <c r="M1328">
        <v>259</v>
      </c>
      <c r="N1328" s="1">
        <f t="shared" si="63"/>
        <v>1036</v>
      </c>
    </row>
    <row r="1329" spans="5:14" x14ac:dyDescent="0.25">
      <c r="E1329">
        <v>727</v>
      </c>
      <c r="F1329" s="7">
        <v>45069</v>
      </c>
      <c r="G1329">
        <f t="shared" si="61"/>
        <v>2023</v>
      </c>
      <c r="H1329" s="7" t="str">
        <f t="shared" si="62"/>
        <v>Май</v>
      </c>
      <c r="I1329" t="s">
        <v>7</v>
      </c>
      <c r="J1329">
        <v>29</v>
      </c>
      <c r="K1329" t="s">
        <v>10</v>
      </c>
      <c r="L1329">
        <v>4</v>
      </c>
      <c r="M1329">
        <v>300</v>
      </c>
      <c r="N1329" s="1">
        <f t="shared" si="63"/>
        <v>1200</v>
      </c>
    </row>
    <row r="1330" spans="5:14" x14ac:dyDescent="0.25">
      <c r="E1330">
        <v>1308</v>
      </c>
      <c r="F1330" s="7">
        <v>45631</v>
      </c>
      <c r="G1330">
        <f t="shared" si="61"/>
        <v>2024</v>
      </c>
      <c r="H1330" s="7" t="str">
        <f t="shared" si="62"/>
        <v>Декабрь</v>
      </c>
      <c r="I1330" t="s">
        <v>9</v>
      </c>
      <c r="J1330">
        <v>28</v>
      </c>
      <c r="K1330" t="s">
        <v>8</v>
      </c>
      <c r="L1330">
        <v>5</v>
      </c>
      <c r="M1330">
        <v>53</v>
      </c>
      <c r="N1330" s="1">
        <f t="shared" si="63"/>
        <v>265</v>
      </c>
    </row>
    <row r="1331" spans="5:14" x14ac:dyDescent="0.25">
      <c r="E1331">
        <v>530</v>
      </c>
      <c r="F1331" s="7">
        <v>45267</v>
      </c>
      <c r="G1331">
        <f t="shared" si="61"/>
        <v>2023</v>
      </c>
      <c r="H1331" s="7" t="str">
        <f t="shared" si="62"/>
        <v>Декабрь</v>
      </c>
      <c r="I1331" t="s">
        <v>7</v>
      </c>
      <c r="J1331">
        <v>31</v>
      </c>
      <c r="K1331" t="s">
        <v>11</v>
      </c>
      <c r="L1331">
        <v>1</v>
      </c>
      <c r="M1331">
        <v>500</v>
      </c>
      <c r="N1331" s="1">
        <f t="shared" si="63"/>
        <v>500</v>
      </c>
    </row>
    <row r="1332" spans="5:14" x14ac:dyDescent="0.25">
      <c r="E1332">
        <v>429</v>
      </c>
      <c r="F1332" s="7">
        <v>45145</v>
      </c>
      <c r="G1332">
        <f t="shared" si="61"/>
        <v>2023</v>
      </c>
      <c r="H1332" s="7" t="str">
        <f t="shared" si="62"/>
        <v>Август</v>
      </c>
      <c r="I1332" t="s">
        <v>9</v>
      </c>
      <c r="J1332">
        <v>43</v>
      </c>
      <c r="K1332" t="s">
        <v>11</v>
      </c>
      <c r="L1332">
        <v>3</v>
      </c>
      <c r="M1332">
        <v>300</v>
      </c>
      <c r="N1332" s="1">
        <f t="shared" si="63"/>
        <v>900</v>
      </c>
    </row>
    <row r="1333" spans="5:14" x14ac:dyDescent="0.25">
      <c r="E1333">
        <v>597</v>
      </c>
      <c r="F1333" s="7">
        <v>45139</v>
      </c>
      <c r="G1333">
        <f t="shared" si="61"/>
        <v>2023</v>
      </c>
      <c r="H1333" s="7" t="str">
        <f t="shared" si="62"/>
        <v>Август</v>
      </c>
      <c r="I1333" t="s">
        <v>7</v>
      </c>
      <c r="J1333">
        <v>37</v>
      </c>
      <c r="K1333" t="s">
        <v>8</v>
      </c>
      <c r="L1333">
        <v>4</v>
      </c>
      <c r="M1333">
        <v>30</v>
      </c>
      <c r="N1333" s="1">
        <f t="shared" si="63"/>
        <v>120</v>
      </c>
    </row>
    <row r="1334" spans="5:14" x14ac:dyDescent="0.25">
      <c r="E1334">
        <v>698</v>
      </c>
      <c r="F1334" s="7">
        <v>45269</v>
      </c>
      <c r="G1334">
        <f t="shared" si="61"/>
        <v>2023</v>
      </c>
      <c r="H1334" s="7" t="str">
        <f t="shared" si="62"/>
        <v>Декабрь</v>
      </c>
      <c r="I1334" t="s">
        <v>7</v>
      </c>
      <c r="J1334">
        <v>36</v>
      </c>
      <c r="K1334" t="s">
        <v>11</v>
      </c>
      <c r="L1334">
        <v>4</v>
      </c>
      <c r="M1334">
        <v>500</v>
      </c>
      <c r="N1334" s="1">
        <f t="shared" si="63"/>
        <v>2000</v>
      </c>
    </row>
    <row r="1335" spans="5:14" x14ac:dyDescent="0.25">
      <c r="E1335">
        <v>1162</v>
      </c>
      <c r="F1335" s="7">
        <v>45427</v>
      </c>
      <c r="G1335">
        <f t="shared" si="61"/>
        <v>2024</v>
      </c>
      <c r="H1335" s="7" t="str">
        <f t="shared" si="62"/>
        <v>Май</v>
      </c>
      <c r="I1335" t="s">
        <v>9</v>
      </c>
      <c r="J1335">
        <v>60</v>
      </c>
      <c r="K1335" t="s">
        <v>8</v>
      </c>
      <c r="L1335">
        <v>5</v>
      </c>
      <c r="M1335">
        <v>377</v>
      </c>
      <c r="N1335" s="1">
        <f t="shared" si="63"/>
        <v>1885</v>
      </c>
    </row>
    <row r="1336" spans="5:14" x14ac:dyDescent="0.25">
      <c r="E1336">
        <v>141</v>
      </c>
      <c r="F1336" s="7">
        <v>45232</v>
      </c>
      <c r="G1336">
        <f t="shared" si="61"/>
        <v>2023</v>
      </c>
      <c r="H1336" s="7" t="str">
        <f t="shared" si="62"/>
        <v>Ноябрь</v>
      </c>
      <c r="I1336" t="s">
        <v>9</v>
      </c>
      <c r="J1336">
        <v>22</v>
      </c>
      <c r="K1336" t="s">
        <v>11</v>
      </c>
      <c r="L1336">
        <v>1</v>
      </c>
      <c r="M1336">
        <v>50</v>
      </c>
      <c r="N1336" s="1">
        <f t="shared" si="63"/>
        <v>50</v>
      </c>
    </row>
    <row r="1337" spans="5:14" x14ac:dyDescent="0.25">
      <c r="E1337">
        <v>320</v>
      </c>
      <c r="F1337" s="7">
        <v>45087</v>
      </c>
      <c r="G1337">
        <f t="shared" si="61"/>
        <v>2023</v>
      </c>
      <c r="H1337" s="7" t="str">
        <f t="shared" si="62"/>
        <v>Июнь</v>
      </c>
      <c r="I1337" t="s">
        <v>9</v>
      </c>
      <c r="J1337">
        <v>26</v>
      </c>
      <c r="K1337" t="s">
        <v>11</v>
      </c>
      <c r="L1337">
        <v>2</v>
      </c>
      <c r="M1337">
        <v>25</v>
      </c>
      <c r="N1337" s="1">
        <f t="shared" si="63"/>
        <v>50</v>
      </c>
    </row>
    <row r="1338" spans="5:14" x14ac:dyDescent="0.25">
      <c r="E1338">
        <v>1119</v>
      </c>
      <c r="F1338" s="7">
        <v>45580</v>
      </c>
      <c r="G1338">
        <f t="shared" si="61"/>
        <v>2024</v>
      </c>
      <c r="H1338" s="7" t="str">
        <f t="shared" si="62"/>
        <v>Октябрь</v>
      </c>
      <c r="I1338" t="s">
        <v>9</v>
      </c>
      <c r="J1338">
        <v>54</v>
      </c>
      <c r="K1338" t="s">
        <v>11</v>
      </c>
      <c r="L1338">
        <v>4</v>
      </c>
      <c r="M1338">
        <v>185</v>
      </c>
      <c r="N1338" s="1">
        <f t="shared" si="63"/>
        <v>740</v>
      </c>
    </row>
    <row r="1339" spans="5:14" x14ac:dyDescent="0.25">
      <c r="E1339">
        <v>254</v>
      </c>
      <c r="F1339" s="7">
        <v>45024</v>
      </c>
      <c r="G1339">
        <f t="shared" si="61"/>
        <v>2023</v>
      </c>
      <c r="H1339" s="7" t="str">
        <f t="shared" si="62"/>
        <v>Апрель</v>
      </c>
      <c r="I1339" t="s">
        <v>7</v>
      </c>
      <c r="J1339">
        <v>48</v>
      </c>
      <c r="K1339" t="s">
        <v>10</v>
      </c>
      <c r="L1339">
        <v>1</v>
      </c>
      <c r="M1339">
        <v>30</v>
      </c>
      <c r="N1339" s="1">
        <f t="shared" si="63"/>
        <v>30</v>
      </c>
    </row>
    <row r="1340" spans="5:14" x14ac:dyDescent="0.25">
      <c r="E1340">
        <v>1516</v>
      </c>
      <c r="F1340" s="7">
        <v>45314</v>
      </c>
      <c r="G1340">
        <f t="shared" si="61"/>
        <v>2024</v>
      </c>
      <c r="H1340" s="7" t="str">
        <f t="shared" si="62"/>
        <v>Январь</v>
      </c>
      <c r="I1340" t="s">
        <v>9</v>
      </c>
      <c r="J1340">
        <v>34</v>
      </c>
      <c r="K1340" t="s">
        <v>11</v>
      </c>
      <c r="L1340">
        <v>5</v>
      </c>
      <c r="M1340">
        <v>45</v>
      </c>
      <c r="N1340" s="1">
        <f t="shared" si="63"/>
        <v>225</v>
      </c>
    </row>
    <row r="1341" spans="5:14" x14ac:dyDescent="0.25">
      <c r="E1341">
        <v>64</v>
      </c>
      <c r="F1341" s="7">
        <v>44950</v>
      </c>
      <c r="G1341">
        <f t="shared" si="61"/>
        <v>2023</v>
      </c>
      <c r="H1341" s="7" t="str">
        <f t="shared" si="62"/>
        <v>Январь</v>
      </c>
      <c r="I1341" t="s">
        <v>7</v>
      </c>
      <c r="J1341">
        <v>49</v>
      </c>
      <c r="K1341" t="s">
        <v>10</v>
      </c>
      <c r="L1341">
        <v>4</v>
      </c>
      <c r="M1341">
        <v>25</v>
      </c>
      <c r="N1341" s="1">
        <f t="shared" si="63"/>
        <v>100</v>
      </c>
    </row>
    <row r="1342" spans="5:14" x14ac:dyDescent="0.25">
      <c r="E1342">
        <v>10</v>
      </c>
      <c r="F1342" s="7">
        <v>45206</v>
      </c>
      <c r="G1342">
        <f t="shared" si="61"/>
        <v>2023</v>
      </c>
      <c r="H1342" s="7" t="str">
        <f t="shared" si="62"/>
        <v>Октябрь</v>
      </c>
      <c r="I1342" t="s">
        <v>9</v>
      </c>
      <c r="J1342">
        <v>52</v>
      </c>
      <c r="K1342" t="s">
        <v>10</v>
      </c>
      <c r="L1342">
        <v>4</v>
      </c>
      <c r="M1342">
        <v>50</v>
      </c>
      <c r="N1342" s="1">
        <f t="shared" si="63"/>
        <v>200</v>
      </c>
    </row>
    <row r="1343" spans="5:14" x14ac:dyDescent="0.25">
      <c r="E1343">
        <v>967</v>
      </c>
      <c r="F1343" s="7">
        <v>45035</v>
      </c>
      <c r="G1343">
        <f t="shared" si="61"/>
        <v>2023</v>
      </c>
      <c r="H1343" s="7" t="str">
        <f t="shared" si="62"/>
        <v>Апрель</v>
      </c>
      <c r="I1343" t="s">
        <v>9</v>
      </c>
      <c r="J1343">
        <v>40</v>
      </c>
      <c r="K1343" t="s">
        <v>10</v>
      </c>
      <c r="L1343">
        <v>3</v>
      </c>
      <c r="M1343">
        <v>300</v>
      </c>
      <c r="N1343" s="1">
        <f t="shared" si="63"/>
        <v>900</v>
      </c>
    </row>
    <row r="1344" spans="5:14" x14ac:dyDescent="0.25">
      <c r="E1344">
        <v>196</v>
      </c>
      <c r="F1344" s="7">
        <v>45199</v>
      </c>
      <c r="G1344">
        <f t="shared" si="61"/>
        <v>2023</v>
      </c>
      <c r="H1344" s="7" t="str">
        <f t="shared" si="62"/>
        <v>Сентябрь</v>
      </c>
      <c r="I1344" t="s">
        <v>9</v>
      </c>
      <c r="J1344">
        <v>32</v>
      </c>
      <c r="K1344" t="s">
        <v>10</v>
      </c>
      <c r="L1344">
        <v>3</v>
      </c>
      <c r="M1344">
        <v>300</v>
      </c>
      <c r="N1344" s="1">
        <f t="shared" si="63"/>
        <v>900</v>
      </c>
    </row>
    <row r="1345" spans="5:14" x14ac:dyDescent="0.25">
      <c r="E1345">
        <v>1537</v>
      </c>
      <c r="F1345" s="7">
        <v>45634</v>
      </c>
      <c r="G1345">
        <f t="shared" si="61"/>
        <v>2024</v>
      </c>
      <c r="H1345" s="7" t="str">
        <f t="shared" si="62"/>
        <v>Декабрь</v>
      </c>
      <c r="I1345" t="s">
        <v>9</v>
      </c>
      <c r="J1345">
        <v>22</v>
      </c>
      <c r="K1345" t="s">
        <v>11</v>
      </c>
      <c r="L1345">
        <v>2</v>
      </c>
      <c r="M1345">
        <v>379</v>
      </c>
      <c r="N1345" s="1">
        <f t="shared" si="63"/>
        <v>758</v>
      </c>
    </row>
    <row r="1346" spans="5:14" x14ac:dyDescent="0.25">
      <c r="E1346">
        <v>1482</v>
      </c>
      <c r="F1346" s="7">
        <v>45630</v>
      </c>
      <c r="G1346">
        <f t="shared" si="61"/>
        <v>2024</v>
      </c>
      <c r="H1346" s="7" t="str">
        <f t="shared" si="62"/>
        <v>Декабрь</v>
      </c>
      <c r="I1346" t="s">
        <v>7</v>
      </c>
      <c r="J1346">
        <v>59</v>
      </c>
      <c r="K1346" t="s">
        <v>11</v>
      </c>
      <c r="L1346">
        <v>4</v>
      </c>
      <c r="M1346">
        <v>246</v>
      </c>
      <c r="N1346" s="1">
        <f t="shared" si="63"/>
        <v>984</v>
      </c>
    </row>
    <row r="1347" spans="5:14" x14ac:dyDescent="0.25">
      <c r="E1347">
        <v>9</v>
      </c>
      <c r="F1347" s="7">
        <v>45273</v>
      </c>
      <c r="G1347">
        <f t="shared" si="61"/>
        <v>2023</v>
      </c>
      <c r="H1347" s="7" t="str">
        <f t="shared" si="62"/>
        <v>Декабрь</v>
      </c>
      <c r="I1347" t="s">
        <v>7</v>
      </c>
      <c r="J1347">
        <v>63</v>
      </c>
      <c r="K1347" t="s">
        <v>11</v>
      </c>
      <c r="L1347">
        <v>2</v>
      </c>
      <c r="M1347">
        <v>300</v>
      </c>
      <c r="N1347" s="1">
        <f t="shared" si="63"/>
        <v>600</v>
      </c>
    </row>
    <row r="1348" spans="5:14" x14ac:dyDescent="0.25">
      <c r="E1348">
        <v>1508</v>
      </c>
      <c r="F1348" s="7">
        <v>45516</v>
      </c>
      <c r="G1348">
        <f t="shared" si="61"/>
        <v>2024</v>
      </c>
      <c r="H1348" s="7" t="str">
        <f t="shared" si="62"/>
        <v>Август</v>
      </c>
      <c r="I1348" t="s">
        <v>7</v>
      </c>
      <c r="J1348">
        <v>62</v>
      </c>
      <c r="K1348" t="s">
        <v>8</v>
      </c>
      <c r="L1348">
        <v>1</v>
      </c>
      <c r="M1348">
        <v>157</v>
      </c>
      <c r="N1348" s="1">
        <f t="shared" si="63"/>
        <v>157</v>
      </c>
    </row>
    <row r="1349" spans="5:14" x14ac:dyDescent="0.25">
      <c r="E1349">
        <v>287</v>
      </c>
      <c r="F1349" s="7">
        <v>44952</v>
      </c>
      <c r="G1349">
        <f t="shared" si="61"/>
        <v>2023</v>
      </c>
      <c r="H1349" s="7" t="str">
        <f t="shared" si="62"/>
        <v>Январь</v>
      </c>
      <c r="I1349" t="s">
        <v>7</v>
      </c>
      <c r="J1349">
        <v>28</v>
      </c>
      <c r="K1349" t="s">
        <v>10</v>
      </c>
      <c r="L1349">
        <v>4</v>
      </c>
      <c r="M1349">
        <v>30</v>
      </c>
      <c r="N1349" s="1">
        <f t="shared" si="63"/>
        <v>120</v>
      </c>
    </row>
    <row r="1350" spans="5:14" x14ac:dyDescent="0.25">
      <c r="E1350">
        <v>111</v>
      </c>
      <c r="F1350" s="7">
        <v>45035</v>
      </c>
      <c r="G1350">
        <f t="shared" si="61"/>
        <v>2023</v>
      </c>
      <c r="H1350" s="7" t="str">
        <f t="shared" si="62"/>
        <v>Апрель</v>
      </c>
      <c r="I1350" t="s">
        <v>9</v>
      </c>
      <c r="J1350">
        <v>34</v>
      </c>
      <c r="K1350" t="s">
        <v>11</v>
      </c>
      <c r="L1350">
        <v>3</v>
      </c>
      <c r="M1350">
        <v>500</v>
      </c>
      <c r="N1350" s="1">
        <f t="shared" si="63"/>
        <v>1500</v>
      </c>
    </row>
    <row r="1351" spans="5:14" x14ac:dyDescent="0.25">
      <c r="E1351">
        <v>1346</v>
      </c>
      <c r="F1351" s="7">
        <v>45591</v>
      </c>
      <c r="G1351">
        <f t="shared" si="61"/>
        <v>2024</v>
      </c>
      <c r="H1351" s="7" t="str">
        <f t="shared" si="62"/>
        <v>Октябрь</v>
      </c>
      <c r="I1351" t="s">
        <v>9</v>
      </c>
      <c r="J1351">
        <v>53</v>
      </c>
      <c r="K1351" t="s">
        <v>8</v>
      </c>
      <c r="L1351">
        <v>3</v>
      </c>
      <c r="M1351">
        <v>218</v>
      </c>
      <c r="N1351" s="1">
        <f t="shared" si="63"/>
        <v>654</v>
      </c>
    </row>
    <row r="1352" spans="5:14" x14ac:dyDescent="0.25">
      <c r="E1352">
        <v>1112</v>
      </c>
      <c r="F1352" s="7">
        <v>45495</v>
      </c>
      <c r="G1352">
        <f t="shared" si="61"/>
        <v>2024</v>
      </c>
      <c r="H1352" s="7" t="str">
        <f t="shared" si="62"/>
        <v>Июль</v>
      </c>
      <c r="I1352" t="s">
        <v>9</v>
      </c>
      <c r="J1352">
        <v>35</v>
      </c>
      <c r="K1352" t="s">
        <v>8</v>
      </c>
      <c r="L1352">
        <v>3</v>
      </c>
      <c r="M1352">
        <v>215</v>
      </c>
      <c r="N1352" s="1">
        <f t="shared" si="63"/>
        <v>645</v>
      </c>
    </row>
    <row r="1353" spans="5:14" x14ac:dyDescent="0.25">
      <c r="E1353">
        <v>457</v>
      </c>
      <c r="F1353" s="7">
        <v>45244</v>
      </c>
      <c r="G1353">
        <f t="shared" si="61"/>
        <v>2023</v>
      </c>
      <c r="H1353" s="7" t="str">
        <f t="shared" si="62"/>
        <v>Ноябрь</v>
      </c>
      <c r="I1353" t="s">
        <v>9</v>
      </c>
      <c r="J1353">
        <v>39</v>
      </c>
      <c r="K1353" t="s">
        <v>11</v>
      </c>
      <c r="L1353">
        <v>4</v>
      </c>
      <c r="M1353">
        <v>25</v>
      </c>
      <c r="N1353" s="1">
        <f t="shared" si="63"/>
        <v>100</v>
      </c>
    </row>
    <row r="1354" spans="5:14" x14ac:dyDescent="0.25">
      <c r="E1354">
        <v>850</v>
      </c>
      <c r="F1354" s="7">
        <v>45211</v>
      </c>
      <c r="G1354">
        <f t="shared" ref="G1354:G1417" si="64">YEAR(F1354)</f>
        <v>2023</v>
      </c>
      <c r="H1354" s="7" t="str">
        <f t="shared" ref="H1354:H1417" si="65">TEXT(F1354,"ММММ")</f>
        <v>Октябрь</v>
      </c>
      <c r="I1354" t="s">
        <v>9</v>
      </c>
      <c r="J1354">
        <v>41</v>
      </c>
      <c r="K1354" t="s">
        <v>10</v>
      </c>
      <c r="L1354">
        <v>1</v>
      </c>
      <c r="M1354">
        <v>300</v>
      </c>
      <c r="N1354" s="1">
        <f t="shared" ref="N1354:N1417" si="66">L1354*M1354</f>
        <v>300</v>
      </c>
    </row>
    <row r="1355" spans="5:14" x14ac:dyDescent="0.25">
      <c r="E1355">
        <v>1493</v>
      </c>
      <c r="F1355" s="7">
        <v>45640</v>
      </c>
      <c r="G1355">
        <f t="shared" si="64"/>
        <v>2024</v>
      </c>
      <c r="H1355" s="7" t="str">
        <f t="shared" si="65"/>
        <v>Декабрь</v>
      </c>
      <c r="I1355" t="s">
        <v>7</v>
      </c>
      <c r="J1355">
        <v>48</v>
      </c>
      <c r="K1355" t="s">
        <v>10</v>
      </c>
      <c r="L1355">
        <v>4</v>
      </c>
      <c r="M1355">
        <v>438</v>
      </c>
      <c r="N1355" s="1">
        <f t="shared" si="66"/>
        <v>1752</v>
      </c>
    </row>
    <row r="1356" spans="5:14" x14ac:dyDescent="0.25">
      <c r="E1356">
        <v>409</v>
      </c>
      <c r="F1356" s="7">
        <v>45251</v>
      </c>
      <c r="G1356">
        <f t="shared" si="64"/>
        <v>2023</v>
      </c>
      <c r="H1356" s="7" t="str">
        <f t="shared" si="65"/>
        <v>Ноябрь</v>
      </c>
      <c r="I1356" t="s">
        <v>9</v>
      </c>
      <c r="J1356">
        <v>29</v>
      </c>
      <c r="K1356" t="s">
        <v>10</v>
      </c>
      <c r="L1356">
        <v>2</v>
      </c>
      <c r="M1356">
        <v>50</v>
      </c>
      <c r="N1356" s="1">
        <f t="shared" si="66"/>
        <v>100</v>
      </c>
    </row>
    <row r="1357" spans="5:14" x14ac:dyDescent="0.25">
      <c r="E1357">
        <v>1091</v>
      </c>
      <c r="F1357" s="7">
        <v>45487</v>
      </c>
      <c r="G1357">
        <f t="shared" si="64"/>
        <v>2024</v>
      </c>
      <c r="H1357" s="7" t="str">
        <f t="shared" si="65"/>
        <v>Июль</v>
      </c>
      <c r="I1357" t="s">
        <v>9</v>
      </c>
      <c r="J1357">
        <v>22</v>
      </c>
      <c r="K1357" t="s">
        <v>8</v>
      </c>
      <c r="L1357">
        <v>3</v>
      </c>
      <c r="M1357">
        <v>54</v>
      </c>
      <c r="N1357" s="1">
        <f t="shared" si="66"/>
        <v>162</v>
      </c>
    </row>
    <row r="1358" spans="5:14" x14ac:dyDescent="0.25">
      <c r="E1358">
        <v>845</v>
      </c>
      <c r="F1358" s="7">
        <v>45024</v>
      </c>
      <c r="G1358">
        <f t="shared" si="64"/>
        <v>2023</v>
      </c>
      <c r="H1358" s="7" t="str">
        <f t="shared" si="65"/>
        <v>Апрель</v>
      </c>
      <c r="I1358" t="s">
        <v>9</v>
      </c>
      <c r="J1358">
        <v>18</v>
      </c>
      <c r="K1358" t="s">
        <v>11</v>
      </c>
      <c r="L1358">
        <v>4</v>
      </c>
      <c r="M1358">
        <v>300</v>
      </c>
      <c r="N1358" s="1">
        <f t="shared" si="66"/>
        <v>1200</v>
      </c>
    </row>
    <row r="1359" spans="5:14" x14ac:dyDescent="0.25">
      <c r="E1359">
        <v>119</v>
      </c>
      <c r="F1359" s="7">
        <v>44998</v>
      </c>
      <c r="G1359">
        <f t="shared" si="64"/>
        <v>2023</v>
      </c>
      <c r="H1359" s="7" t="str">
        <f t="shared" si="65"/>
        <v>Март</v>
      </c>
      <c r="I1359" t="s">
        <v>9</v>
      </c>
      <c r="J1359">
        <v>60</v>
      </c>
      <c r="K1359" t="s">
        <v>10</v>
      </c>
      <c r="L1359">
        <v>3</v>
      </c>
      <c r="M1359">
        <v>50</v>
      </c>
      <c r="N1359" s="1">
        <f t="shared" si="66"/>
        <v>150</v>
      </c>
    </row>
    <row r="1360" spans="5:14" x14ac:dyDescent="0.25">
      <c r="E1360">
        <v>796</v>
      </c>
      <c r="F1360" s="7">
        <v>45142</v>
      </c>
      <c r="G1360">
        <f t="shared" si="64"/>
        <v>2023</v>
      </c>
      <c r="H1360" s="7" t="str">
        <f t="shared" si="65"/>
        <v>Август</v>
      </c>
      <c r="I1360" t="s">
        <v>7</v>
      </c>
      <c r="J1360">
        <v>61</v>
      </c>
      <c r="K1360" t="s">
        <v>10</v>
      </c>
      <c r="L1360">
        <v>1</v>
      </c>
      <c r="M1360">
        <v>50</v>
      </c>
      <c r="N1360" s="1">
        <f t="shared" si="66"/>
        <v>50</v>
      </c>
    </row>
    <row r="1361" spans="5:14" x14ac:dyDescent="0.25">
      <c r="E1361">
        <v>1066</v>
      </c>
      <c r="F1361" s="7">
        <v>45332</v>
      </c>
      <c r="G1361">
        <f t="shared" si="64"/>
        <v>2024</v>
      </c>
      <c r="H1361" s="7" t="str">
        <f t="shared" si="65"/>
        <v>Февраль</v>
      </c>
      <c r="I1361" t="s">
        <v>7</v>
      </c>
      <c r="J1361">
        <v>26</v>
      </c>
      <c r="K1361" t="s">
        <v>11</v>
      </c>
      <c r="L1361">
        <v>4</v>
      </c>
      <c r="M1361">
        <v>240</v>
      </c>
      <c r="N1361" s="1">
        <f t="shared" si="66"/>
        <v>960</v>
      </c>
    </row>
    <row r="1362" spans="5:14" x14ac:dyDescent="0.25">
      <c r="E1362">
        <v>120</v>
      </c>
      <c r="F1362" s="7">
        <v>45053</v>
      </c>
      <c r="G1362">
        <f t="shared" si="64"/>
        <v>2023</v>
      </c>
      <c r="H1362" s="7" t="str">
        <f t="shared" si="65"/>
        <v>Май</v>
      </c>
      <c r="I1362" t="s">
        <v>7</v>
      </c>
      <c r="J1362">
        <v>60</v>
      </c>
      <c r="K1362" t="s">
        <v>8</v>
      </c>
      <c r="L1362">
        <v>1</v>
      </c>
      <c r="M1362">
        <v>50</v>
      </c>
      <c r="N1362" s="1">
        <f t="shared" si="66"/>
        <v>50</v>
      </c>
    </row>
    <row r="1363" spans="5:14" x14ac:dyDescent="0.25">
      <c r="E1363">
        <v>738</v>
      </c>
      <c r="F1363" s="7">
        <v>44962</v>
      </c>
      <c r="G1363">
        <f t="shared" si="64"/>
        <v>2023</v>
      </c>
      <c r="H1363" s="7" t="str">
        <f t="shared" si="65"/>
        <v>Февраль</v>
      </c>
      <c r="I1363" t="s">
        <v>9</v>
      </c>
      <c r="J1363">
        <v>25</v>
      </c>
      <c r="K1363" t="s">
        <v>8</v>
      </c>
      <c r="L1363">
        <v>4</v>
      </c>
      <c r="M1363">
        <v>50</v>
      </c>
      <c r="N1363" s="1">
        <f t="shared" si="66"/>
        <v>200</v>
      </c>
    </row>
    <row r="1364" spans="5:14" x14ac:dyDescent="0.25">
      <c r="E1364">
        <v>1251</v>
      </c>
      <c r="F1364" s="7">
        <v>45501</v>
      </c>
      <c r="G1364">
        <f t="shared" si="64"/>
        <v>2024</v>
      </c>
      <c r="H1364" s="7" t="str">
        <f t="shared" si="65"/>
        <v>Июль</v>
      </c>
      <c r="I1364" t="s">
        <v>7</v>
      </c>
      <c r="J1364">
        <v>57</v>
      </c>
      <c r="K1364" t="s">
        <v>11</v>
      </c>
      <c r="L1364">
        <v>3</v>
      </c>
      <c r="M1364">
        <v>292</v>
      </c>
      <c r="N1364" s="1">
        <f t="shared" si="66"/>
        <v>876</v>
      </c>
    </row>
    <row r="1365" spans="5:14" x14ac:dyDescent="0.25">
      <c r="E1365">
        <v>904</v>
      </c>
      <c r="F1365" s="7">
        <v>45081</v>
      </c>
      <c r="G1365">
        <f t="shared" si="64"/>
        <v>2023</v>
      </c>
      <c r="H1365" s="7" t="str">
        <f t="shared" si="65"/>
        <v>Июнь</v>
      </c>
      <c r="I1365" t="s">
        <v>9</v>
      </c>
      <c r="J1365">
        <v>20</v>
      </c>
      <c r="K1365" t="s">
        <v>10</v>
      </c>
      <c r="L1365">
        <v>1</v>
      </c>
      <c r="M1365">
        <v>50</v>
      </c>
      <c r="N1365" s="1">
        <f t="shared" si="66"/>
        <v>50</v>
      </c>
    </row>
    <row r="1366" spans="5:14" x14ac:dyDescent="0.25">
      <c r="E1366">
        <v>608</v>
      </c>
      <c r="F1366" s="7">
        <v>45279</v>
      </c>
      <c r="G1366">
        <f t="shared" si="64"/>
        <v>2023</v>
      </c>
      <c r="H1366" s="7" t="str">
        <f t="shared" si="65"/>
        <v>Декабрь</v>
      </c>
      <c r="I1366" t="s">
        <v>9</v>
      </c>
      <c r="J1366">
        <v>47</v>
      </c>
      <c r="K1366" t="s">
        <v>10</v>
      </c>
      <c r="L1366">
        <v>2</v>
      </c>
      <c r="M1366">
        <v>50</v>
      </c>
      <c r="N1366" s="1">
        <f t="shared" si="66"/>
        <v>100</v>
      </c>
    </row>
    <row r="1367" spans="5:14" x14ac:dyDescent="0.25">
      <c r="E1367">
        <v>1600</v>
      </c>
      <c r="F1367" s="7">
        <v>45489</v>
      </c>
      <c r="G1367">
        <f t="shared" si="64"/>
        <v>2024</v>
      </c>
      <c r="H1367" s="7" t="str">
        <f t="shared" si="65"/>
        <v>Июль</v>
      </c>
      <c r="I1367" t="s">
        <v>9</v>
      </c>
      <c r="J1367">
        <v>30</v>
      </c>
      <c r="K1367" t="s">
        <v>10</v>
      </c>
      <c r="L1367">
        <v>1</v>
      </c>
      <c r="M1367">
        <v>387</v>
      </c>
      <c r="N1367" s="1">
        <f t="shared" si="66"/>
        <v>387</v>
      </c>
    </row>
    <row r="1368" spans="5:14" x14ac:dyDescent="0.25">
      <c r="E1368">
        <v>1736</v>
      </c>
      <c r="F1368" s="7">
        <v>45327</v>
      </c>
      <c r="G1368">
        <f t="shared" si="64"/>
        <v>2024</v>
      </c>
      <c r="H1368" s="7" t="str">
        <f t="shared" si="65"/>
        <v>Февраль</v>
      </c>
      <c r="I1368" t="s">
        <v>9</v>
      </c>
      <c r="J1368">
        <v>38</v>
      </c>
      <c r="K1368" t="s">
        <v>8</v>
      </c>
      <c r="L1368">
        <v>6</v>
      </c>
      <c r="M1368">
        <v>298</v>
      </c>
      <c r="N1368" s="1">
        <f t="shared" si="66"/>
        <v>1788</v>
      </c>
    </row>
    <row r="1369" spans="5:14" x14ac:dyDescent="0.25">
      <c r="E1369">
        <v>1553</v>
      </c>
      <c r="F1369" s="7">
        <v>45447</v>
      </c>
      <c r="G1369">
        <f t="shared" si="64"/>
        <v>2024</v>
      </c>
      <c r="H1369" s="7" t="str">
        <f t="shared" si="65"/>
        <v>Июнь</v>
      </c>
      <c r="I1369" t="s">
        <v>9</v>
      </c>
      <c r="J1369">
        <v>19</v>
      </c>
      <c r="K1369" t="s">
        <v>11</v>
      </c>
      <c r="L1369">
        <v>6</v>
      </c>
      <c r="M1369">
        <v>426</v>
      </c>
      <c r="N1369" s="1">
        <f t="shared" si="66"/>
        <v>2556</v>
      </c>
    </row>
    <row r="1370" spans="5:14" x14ac:dyDescent="0.25">
      <c r="E1370">
        <v>1643</v>
      </c>
      <c r="F1370" s="7">
        <v>45415</v>
      </c>
      <c r="G1370">
        <f t="shared" si="64"/>
        <v>2024</v>
      </c>
      <c r="H1370" s="7" t="str">
        <f t="shared" si="65"/>
        <v>Май</v>
      </c>
      <c r="I1370" t="s">
        <v>7</v>
      </c>
      <c r="J1370">
        <v>21</v>
      </c>
      <c r="K1370" t="s">
        <v>10</v>
      </c>
      <c r="L1370">
        <v>1</v>
      </c>
      <c r="M1370">
        <v>403</v>
      </c>
      <c r="N1370" s="1">
        <f t="shared" si="66"/>
        <v>403</v>
      </c>
    </row>
    <row r="1371" spans="5:14" x14ac:dyDescent="0.25">
      <c r="E1371">
        <v>1500</v>
      </c>
      <c r="F1371" s="7">
        <v>45590</v>
      </c>
      <c r="G1371">
        <f t="shared" si="64"/>
        <v>2024</v>
      </c>
      <c r="H1371" s="7" t="str">
        <f t="shared" si="65"/>
        <v>Октябрь</v>
      </c>
      <c r="I1371" t="s">
        <v>7</v>
      </c>
      <c r="J1371">
        <v>47</v>
      </c>
      <c r="K1371" t="s">
        <v>8</v>
      </c>
      <c r="L1371">
        <v>2</v>
      </c>
      <c r="M1371">
        <v>166</v>
      </c>
      <c r="N1371" s="1">
        <f t="shared" si="66"/>
        <v>332</v>
      </c>
    </row>
    <row r="1372" spans="5:14" x14ac:dyDescent="0.25">
      <c r="E1372">
        <v>1804</v>
      </c>
      <c r="F1372" s="7">
        <v>45383</v>
      </c>
      <c r="G1372">
        <f t="shared" si="64"/>
        <v>2024</v>
      </c>
      <c r="H1372" s="7" t="str">
        <f t="shared" si="65"/>
        <v>Апрель</v>
      </c>
      <c r="I1372" t="s">
        <v>7</v>
      </c>
      <c r="J1372">
        <v>22</v>
      </c>
      <c r="K1372" t="s">
        <v>8</v>
      </c>
      <c r="L1372">
        <v>1</v>
      </c>
      <c r="M1372">
        <v>300</v>
      </c>
      <c r="N1372" s="1">
        <f t="shared" si="66"/>
        <v>300</v>
      </c>
    </row>
    <row r="1373" spans="5:14" x14ac:dyDescent="0.25">
      <c r="E1373">
        <v>1478</v>
      </c>
      <c r="F1373" s="7">
        <v>45449</v>
      </c>
      <c r="G1373">
        <f t="shared" si="64"/>
        <v>2024</v>
      </c>
      <c r="H1373" s="7" t="str">
        <f t="shared" si="65"/>
        <v>Июнь</v>
      </c>
      <c r="I1373" t="s">
        <v>9</v>
      </c>
      <c r="J1373">
        <v>64</v>
      </c>
      <c r="K1373" t="s">
        <v>11</v>
      </c>
      <c r="L1373">
        <v>3</v>
      </c>
      <c r="M1373">
        <v>333</v>
      </c>
      <c r="N1373" s="1">
        <f t="shared" si="66"/>
        <v>999</v>
      </c>
    </row>
    <row r="1374" spans="5:14" x14ac:dyDescent="0.25">
      <c r="E1374">
        <v>1383</v>
      </c>
      <c r="F1374" s="7">
        <v>45653</v>
      </c>
      <c r="G1374">
        <f t="shared" si="64"/>
        <v>2024</v>
      </c>
      <c r="H1374" s="7" t="str">
        <f t="shared" si="65"/>
        <v>Декабрь</v>
      </c>
      <c r="I1374" t="s">
        <v>9</v>
      </c>
      <c r="J1374">
        <v>55</v>
      </c>
      <c r="K1374" t="s">
        <v>11</v>
      </c>
      <c r="L1374">
        <v>6</v>
      </c>
      <c r="M1374">
        <v>491</v>
      </c>
      <c r="N1374" s="1">
        <f t="shared" si="66"/>
        <v>2946</v>
      </c>
    </row>
    <row r="1375" spans="5:14" x14ac:dyDescent="0.25">
      <c r="E1375">
        <v>476</v>
      </c>
      <c r="F1375" s="7">
        <v>45040</v>
      </c>
      <c r="G1375">
        <f t="shared" si="64"/>
        <v>2023</v>
      </c>
      <c r="H1375" s="7" t="str">
        <f t="shared" si="65"/>
        <v>Апрель</v>
      </c>
      <c r="I1375" t="s">
        <v>7</v>
      </c>
      <c r="J1375">
        <v>43</v>
      </c>
      <c r="K1375" t="s">
        <v>10</v>
      </c>
      <c r="L1375">
        <v>4</v>
      </c>
      <c r="M1375">
        <v>30</v>
      </c>
      <c r="N1375" s="1">
        <f t="shared" si="66"/>
        <v>120</v>
      </c>
    </row>
    <row r="1376" spans="5:14" x14ac:dyDescent="0.25">
      <c r="E1376">
        <v>1799</v>
      </c>
      <c r="F1376" s="7">
        <v>45618</v>
      </c>
      <c r="G1376">
        <f t="shared" si="64"/>
        <v>2024</v>
      </c>
      <c r="H1376" s="7" t="str">
        <f t="shared" si="65"/>
        <v>Ноябрь</v>
      </c>
      <c r="I1376" t="s">
        <v>7</v>
      </c>
      <c r="J1376">
        <v>60</v>
      </c>
      <c r="K1376" t="s">
        <v>10</v>
      </c>
      <c r="L1376">
        <v>3</v>
      </c>
      <c r="M1376">
        <v>187</v>
      </c>
      <c r="N1376" s="1">
        <f t="shared" si="66"/>
        <v>561</v>
      </c>
    </row>
    <row r="1377" spans="5:14" x14ac:dyDescent="0.25">
      <c r="E1377">
        <v>1992</v>
      </c>
      <c r="F1377" s="7">
        <v>45428</v>
      </c>
      <c r="G1377">
        <f t="shared" si="64"/>
        <v>2024</v>
      </c>
      <c r="H1377" s="7" t="str">
        <f t="shared" si="65"/>
        <v>Май</v>
      </c>
      <c r="I1377" t="s">
        <v>7</v>
      </c>
      <c r="J1377">
        <v>25</v>
      </c>
      <c r="K1377" t="s">
        <v>10</v>
      </c>
      <c r="L1377">
        <v>5</v>
      </c>
      <c r="M1377">
        <v>90</v>
      </c>
      <c r="N1377" s="1">
        <f t="shared" si="66"/>
        <v>450</v>
      </c>
    </row>
    <row r="1378" spans="5:14" x14ac:dyDescent="0.25">
      <c r="E1378">
        <v>1777</v>
      </c>
      <c r="F1378" s="7">
        <v>45649</v>
      </c>
      <c r="G1378">
        <f t="shared" si="64"/>
        <v>2024</v>
      </c>
      <c r="H1378" s="7" t="str">
        <f t="shared" si="65"/>
        <v>Декабрь</v>
      </c>
      <c r="I1378" t="s">
        <v>7</v>
      </c>
      <c r="J1378">
        <v>31</v>
      </c>
      <c r="K1378" t="s">
        <v>8</v>
      </c>
      <c r="L1378">
        <v>7</v>
      </c>
      <c r="M1378">
        <v>206</v>
      </c>
      <c r="N1378" s="1">
        <f t="shared" si="66"/>
        <v>1442</v>
      </c>
    </row>
    <row r="1379" spans="5:14" x14ac:dyDescent="0.25">
      <c r="E1379">
        <v>1866</v>
      </c>
      <c r="F1379" s="7">
        <v>45481</v>
      </c>
      <c r="G1379">
        <f t="shared" si="64"/>
        <v>2024</v>
      </c>
      <c r="H1379" s="7" t="str">
        <f t="shared" si="65"/>
        <v>Июль</v>
      </c>
      <c r="I1379" t="s">
        <v>9</v>
      </c>
      <c r="J1379">
        <v>64</v>
      </c>
      <c r="K1379" t="s">
        <v>11</v>
      </c>
      <c r="L1379">
        <v>4</v>
      </c>
      <c r="M1379">
        <v>448</v>
      </c>
      <c r="N1379" s="1">
        <f t="shared" si="66"/>
        <v>1792</v>
      </c>
    </row>
    <row r="1380" spans="5:14" x14ac:dyDescent="0.25">
      <c r="E1380">
        <v>718</v>
      </c>
      <c r="F1380" s="7">
        <v>44952</v>
      </c>
      <c r="G1380">
        <f t="shared" si="64"/>
        <v>2023</v>
      </c>
      <c r="H1380" s="7" t="str">
        <f t="shared" si="65"/>
        <v>Январь</v>
      </c>
      <c r="I1380" t="s">
        <v>9</v>
      </c>
      <c r="J1380">
        <v>56</v>
      </c>
      <c r="K1380" t="s">
        <v>8</v>
      </c>
      <c r="L1380">
        <v>3</v>
      </c>
      <c r="M1380">
        <v>500</v>
      </c>
      <c r="N1380" s="1">
        <f t="shared" si="66"/>
        <v>1500</v>
      </c>
    </row>
    <row r="1381" spans="5:14" x14ac:dyDescent="0.25">
      <c r="E1381">
        <v>1484</v>
      </c>
      <c r="F1381" s="7">
        <v>45497</v>
      </c>
      <c r="G1381">
        <f t="shared" si="64"/>
        <v>2024</v>
      </c>
      <c r="H1381" s="7" t="str">
        <f t="shared" si="65"/>
        <v>Июль</v>
      </c>
      <c r="I1381" t="s">
        <v>7</v>
      </c>
      <c r="J1381">
        <v>44</v>
      </c>
      <c r="K1381" t="s">
        <v>10</v>
      </c>
      <c r="L1381">
        <v>2</v>
      </c>
      <c r="M1381">
        <v>397</v>
      </c>
      <c r="N1381" s="1">
        <f t="shared" si="66"/>
        <v>794</v>
      </c>
    </row>
    <row r="1382" spans="5:14" x14ac:dyDescent="0.25">
      <c r="E1382">
        <v>535</v>
      </c>
      <c r="F1382" s="7">
        <v>44990</v>
      </c>
      <c r="G1382">
        <f t="shared" si="64"/>
        <v>2023</v>
      </c>
      <c r="H1382" s="7" t="str">
        <f t="shared" si="65"/>
        <v>Март</v>
      </c>
      <c r="I1382" t="s">
        <v>9</v>
      </c>
      <c r="J1382">
        <v>55</v>
      </c>
      <c r="K1382" t="s">
        <v>8</v>
      </c>
      <c r="L1382">
        <v>4</v>
      </c>
      <c r="M1382">
        <v>30</v>
      </c>
      <c r="N1382" s="1">
        <f t="shared" si="66"/>
        <v>120</v>
      </c>
    </row>
    <row r="1383" spans="5:14" x14ac:dyDescent="0.25">
      <c r="E1383">
        <v>761</v>
      </c>
      <c r="F1383" s="7">
        <v>44985</v>
      </c>
      <c r="G1383">
        <f t="shared" si="64"/>
        <v>2023</v>
      </c>
      <c r="H1383" s="7" t="str">
        <f t="shared" si="65"/>
        <v>Февраль</v>
      </c>
      <c r="I1383" t="s">
        <v>7</v>
      </c>
      <c r="J1383">
        <v>34</v>
      </c>
      <c r="K1383" t="s">
        <v>10</v>
      </c>
      <c r="L1383">
        <v>2</v>
      </c>
      <c r="M1383">
        <v>25</v>
      </c>
      <c r="N1383" s="1">
        <f t="shared" si="66"/>
        <v>50</v>
      </c>
    </row>
    <row r="1384" spans="5:14" x14ac:dyDescent="0.25">
      <c r="E1384">
        <v>291</v>
      </c>
      <c r="F1384" s="7">
        <v>44974</v>
      </c>
      <c r="G1384">
        <f t="shared" si="64"/>
        <v>2023</v>
      </c>
      <c r="H1384" s="7" t="str">
        <f t="shared" si="65"/>
        <v>Февраль</v>
      </c>
      <c r="I1384" t="s">
        <v>7</v>
      </c>
      <c r="J1384">
        <v>20</v>
      </c>
      <c r="K1384" t="s">
        <v>8</v>
      </c>
      <c r="L1384">
        <v>4</v>
      </c>
      <c r="M1384">
        <v>300</v>
      </c>
      <c r="N1384" s="1">
        <f t="shared" si="66"/>
        <v>1200</v>
      </c>
    </row>
    <row r="1385" spans="5:14" x14ac:dyDescent="0.25">
      <c r="E1385">
        <v>870</v>
      </c>
      <c r="F1385" s="7">
        <v>45210</v>
      </c>
      <c r="G1385">
        <f t="shared" si="64"/>
        <v>2023</v>
      </c>
      <c r="H1385" s="7" t="str">
        <f t="shared" si="65"/>
        <v>Октябрь</v>
      </c>
      <c r="I1385" t="s">
        <v>9</v>
      </c>
      <c r="J1385">
        <v>63</v>
      </c>
      <c r="K1385" t="s">
        <v>8</v>
      </c>
      <c r="L1385">
        <v>3</v>
      </c>
      <c r="M1385">
        <v>25</v>
      </c>
      <c r="N1385" s="1">
        <f t="shared" si="66"/>
        <v>75</v>
      </c>
    </row>
    <row r="1386" spans="5:14" x14ac:dyDescent="0.25">
      <c r="E1386">
        <v>1141</v>
      </c>
      <c r="F1386" s="7">
        <v>45490</v>
      </c>
      <c r="G1386">
        <f t="shared" si="64"/>
        <v>2024</v>
      </c>
      <c r="H1386" s="7" t="str">
        <f t="shared" si="65"/>
        <v>Июль</v>
      </c>
      <c r="I1386" t="s">
        <v>9</v>
      </c>
      <c r="J1386">
        <v>32</v>
      </c>
      <c r="K1386" t="s">
        <v>10</v>
      </c>
      <c r="L1386">
        <v>1</v>
      </c>
      <c r="M1386">
        <v>395</v>
      </c>
      <c r="N1386" s="1">
        <f t="shared" si="66"/>
        <v>395</v>
      </c>
    </row>
    <row r="1387" spans="5:14" x14ac:dyDescent="0.25">
      <c r="E1387">
        <v>1734</v>
      </c>
      <c r="F1387" s="7">
        <v>45407</v>
      </c>
      <c r="G1387">
        <f t="shared" si="64"/>
        <v>2024</v>
      </c>
      <c r="H1387" s="7" t="str">
        <f t="shared" si="65"/>
        <v>Апрель</v>
      </c>
      <c r="I1387" t="s">
        <v>7</v>
      </c>
      <c r="J1387">
        <v>29</v>
      </c>
      <c r="K1387" t="s">
        <v>10</v>
      </c>
      <c r="L1387">
        <v>6</v>
      </c>
      <c r="M1387">
        <v>258</v>
      </c>
      <c r="N1387" s="1">
        <f t="shared" si="66"/>
        <v>1548</v>
      </c>
    </row>
    <row r="1388" spans="5:14" x14ac:dyDescent="0.25">
      <c r="E1388">
        <v>1983</v>
      </c>
      <c r="F1388" s="7">
        <v>45411</v>
      </c>
      <c r="G1388">
        <f t="shared" si="64"/>
        <v>2024</v>
      </c>
      <c r="H1388" s="7" t="str">
        <f t="shared" si="65"/>
        <v>Апрель</v>
      </c>
      <c r="I1388" t="s">
        <v>9</v>
      </c>
      <c r="J1388">
        <v>47</v>
      </c>
      <c r="K1388" t="s">
        <v>10</v>
      </c>
      <c r="L1388">
        <v>2</v>
      </c>
      <c r="M1388">
        <v>426</v>
      </c>
      <c r="N1388" s="1">
        <f t="shared" si="66"/>
        <v>852</v>
      </c>
    </row>
    <row r="1389" spans="5:14" x14ac:dyDescent="0.25">
      <c r="E1389">
        <v>1612</v>
      </c>
      <c r="F1389" s="7">
        <v>45649</v>
      </c>
      <c r="G1389">
        <f t="shared" si="64"/>
        <v>2024</v>
      </c>
      <c r="H1389" s="7" t="str">
        <f t="shared" si="65"/>
        <v>Декабрь</v>
      </c>
      <c r="I1389" t="s">
        <v>9</v>
      </c>
      <c r="J1389">
        <v>27</v>
      </c>
      <c r="K1389" t="s">
        <v>10</v>
      </c>
      <c r="L1389">
        <v>5</v>
      </c>
      <c r="M1389">
        <v>438</v>
      </c>
      <c r="N1389" s="1">
        <f t="shared" si="66"/>
        <v>2190</v>
      </c>
    </row>
    <row r="1390" spans="5:14" x14ac:dyDescent="0.25">
      <c r="E1390">
        <v>954</v>
      </c>
      <c r="F1390" s="7">
        <v>45157</v>
      </c>
      <c r="G1390">
        <f t="shared" si="64"/>
        <v>2023</v>
      </c>
      <c r="H1390" s="7" t="str">
        <f t="shared" si="65"/>
        <v>Август</v>
      </c>
      <c r="I1390" t="s">
        <v>7</v>
      </c>
      <c r="J1390">
        <v>30</v>
      </c>
      <c r="K1390" t="s">
        <v>10</v>
      </c>
      <c r="L1390">
        <v>3</v>
      </c>
      <c r="M1390">
        <v>500</v>
      </c>
      <c r="N1390" s="1">
        <f t="shared" si="66"/>
        <v>1500</v>
      </c>
    </row>
    <row r="1391" spans="5:14" x14ac:dyDescent="0.25">
      <c r="E1391">
        <v>1827</v>
      </c>
      <c r="F1391" s="7">
        <v>45306</v>
      </c>
      <c r="G1391">
        <f t="shared" si="64"/>
        <v>2024</v>
      </c>
      <c r="H1391" s="7" t="str">
        <f t="shared" si="65"/>
        <v>Январь</v>
      </c>
      <c r="I1391" t="s">
        <v>7</v>
      </c>
      <c r="J1391">
        <v>45</v>
      </c>
      <c r="K1391" t="s">
        <v>11</v>
      </c>
      <c r="L1391">
        <v>3</v>
      </c>
      <c r="M1391">
        <v>480</v>
      </c>
      <c r="N1391" s="1">
        <f t="shared" si="66"/>
        <v>1440</v>
      </c>
    </row>
    <row r="1392" spans="5:14" x14ac:dyDescent="0.25">
      <c r="E1392">
        <v>1454</v>
      </c>
      <c r="F1392" s="7">
        <v>45501</v>
      </c>
      <c r="G1392">
        <f t="shared" si="64"/>
        <v>2024</v>
      </c>
      <c r="H1392" s="7" t="str">
        <f t="shared" si="65"/>
        <v>Июль</v>
      </c>
      <c r="I1392" t="s">
        <v>9</v>
      </c>
      <c r="J1392">
        <v>64</v>
      </c>
      <c r="K1392" t="s">
        <v>8</v>
      </c>
      <c r="L1392">
        <v>5</v>
      </c>
      <c r="M1392">
        <v>41</v>
      </c>
      <c r="N1392" s="1">
        <f t="shared" si="66"/>
        <v>205</v>
      </c>
    </row>
    <row r="1393" spans="5:14" x14ac:dyDescent="0.25">
      <c r="E1393">
        <v>105</v>
      </c>
      <c r="F1393" s="7">
        <v>45132</v>
      </c>
      <c r="G1393">
        <f t="shared" si="64"/>
        <v>2023</v>
      </c>
      <c r="H1393" s="7" t="str">
        <f t="shared" si="65"/>
        <v>Июль</v>
      </c>
      <c r="I1393" t="s">
        <v>9</v>
      </c>
      <c r="J1393">
        <v>22</v>
      </c>
      <c r="K1393" t="s">
        <v>11</v>
      </c>
      <c r="L1393">
        <v>1</v>
      </c>
      <c r="M1393">
        <v>500</v>
      </c>
      <c r="N1393" s="1">
        <f t="shared" si="66"/>
        <v>500</v>
      </c>
    </row>
    <row r="1394" spans="5:14" x14ac:dyDescent="0.25">
      <c r="E1394">
        <v>472</v>
      </c>
      <c r="F1394" s="7">
        <v>44982</v>
      </c>
      <c r="G1394">
        <f t="shared" si="64"/>
        <v>2023</v>
      </c>
      <c r="H1394" s="7" t="str">
        <f t="shared" si="65"/>
        <v>Февраль</v>
      </c>
      <c r="I1394" t="s">
        <v>7</v>
      </c>
      <c r="J1394">
        <v>64</v>
      </c>
      <c r="K1394" t="s">
        <v>8</v>
      </c>
      <c r="L1394">
        <v>1</v>
      </c>
      <c r="M1394">
        <v>50</v>
      </c>
      <c r="N1394" s="1">
        <f t="shared" si="66"/>
        <v>50</v>
      </c>
    </row>
    <row r="1395" spans="5:14" x14ac:dyDescent="0.25">
      <c r="E1395">
        <v>1378</v>
      </c>
      <c r="F1395" s="7">
        <v>45482</v>
      </c>
      <c r="G1395">
        <f t="shared" si="64"/>
        <v>2024</v>
      </c>
      <c r="H1395" s="7" t="str">
        <f t="shared" si="65"/>
        <v>Июль</v>
      </c>
      <c r="I1395" t="s">
        <v>9</v>
      </c>
      <c r="J1395">
        <v>18</v>
      </c>
      <c r="K1395" t="s">
        <v>10</v>
      </c>
      <c r="L1395">
        <v>4</v>
      </c>
      <c r="M1395">
        <v>449</v>
      </c>
      <c r="N1395" s="1">
        <f t="shared" si="66"/>
        <v>1796</v>
      </c>
    </row>
    <row r="1396" spans="5:14" x14ac:dyDescent="0.25">
      <c r="E1396">
        <v>200</v>
      </c>
      <c r="F1396" s="7">
        <v>45170</v>
      </c>
      <c r="G1396">
        <f t="shared" si="64"/>
        <v>2023</v>
      </c>
      <c r="H1396" s="7" t="str">
        <f t="shared" si="65"/>
        <v>Сентябрь</v>
      </c>
      <c r="I1396" t="s">
        <v>7</v>
      </c>
      <c r="J1396">
        <v>27</v>
      </c>
      <c r="K1396" t="s">
        <v>8</v>
      </c>
      <c r="L1396">
        <v>3</v>
      </c>
      <c r="M1396">
        <v>50</v>
      </c>
      <c r="N1396" s="1">
        <f t="shared" si="66"/>
        <v>150</v>
      </c>
    </row>
    <row r="1397" spans="5:14" x14ac:dyDescent="0.25">
      <c r="E1397">
        <v>1974</v>
      </c>
      <c r="F1397" s="7">
        <v>45373</v>
      </c>
      <c r="G1397">
        <f t="shared" si="64"/>
        <v>2024</v>
      </c>
      <c r="H1397" s="7" t="str">
        <f t="shared" si="65"/>
        <v>Март</v>
      </c>
      <c r="I1397" t="s">
        <v>9</v>
      </c>
      <c r="J1397">
        <v>59</v>
      </c>
      <c r="K1397" t="s">
        <v>10</v>
      </c>
      <c r="L1397">
        <v>7</v>
      </c>
      <c r="M1397">
        <v>360</v>
      </c>
      <c r="N1397" s="1">
        <f t="shared" si="66"/>
        <v>2520</v>
      </c>
    </row>
    <row r="1398" spans="5:14" x14ac:dyDescent="0.25">
      <c r="E1398">
        <v>175</v>
      </c>
      <c r="F1398" s="7">
        <v>45005</v>
      </c>
      <c r="G1398">
        <f t="shared" si="64"/>
        <v>2023</v>
      </c>
      <c r="H1398" s="7" t="str">
        <f t="shared" si="65"/>
        <v>Март</v>
      </c>
      <c r="I1398" t="s">
        <v>9</v>
      </c>
      <c r="J1398">
        <v>31</v>
      </c>
      <c r="K1398" t="s">
        <v>11</v>
      </c>
      <c r="L1398">
        <v>4</v>
      </c>
      <c r="M1398">
        <v>25</v>
      </c>
      <c r="N1398" s="1">
        <f t="shared" si="66"/>
        <v>100</v>
      </c>
    </row>
    <row r="1399" spans="5:14" x14ac:dyDescent="0.25">
      <c r="E1399">
        <v>1900</v>
      </c>
      <c r="F1399" s="7">
        <v>45477</v>
      </c>
      <c r="G1399">
        <f t="shared" si="64"/>
        <v>2024</v>
      </c>
      <c r="H1399" s="7" t="str">
        <f t="shared" si="65"/>
        <v>Июль</v>
      </c>
      <c r="I1399" t="s">
        <v>7</v>
      </c>
      <c r="J1399">
        <v>48</v>
      </c>
      <c r="K1399" t="s">
        <v>10</v>
      </c>
      <c r="L1399">
        <v>4</v>
      </c>
      <c r="M1399">
        <v>222</v>
      </c>
      <c r="N1399" s="1">
        <f t="shared" si="66"/>
        <v>888</v>
      </c>
    </row>
    <row r="1400" spans="5:14" x14ac:dyDescent="0.25">
      <c r="E1400">
        <v>1037</v>
      </c>
      <c r="F1400" s="7">
        <v>45403</v>
      </c>
      <c r="G1400">
        <f t="shared" si="64"/>
        <v>2024</v>
      </c>
      <c r="H1400" s="7" t="str">
        <f t="shared" si="65"/>
        <v>Апрель</v>
      </c>
      <c r="I1400" t="s">
        <v>7</v>
      </c>
      <c r="J1400">
        <v>36</v>
      </c>
      <c r="K1400" t="s">
        <v>10</v>
      </c>
      <c r="L1400">
        <v>3</v>
      </c>
      <c r="M1400">
        <v>88</v>
      </c>
      <c r="N1400" s="1">
        <f t="shared" si="66"/>
        <v>264</v>
      </c>
    </row>
    <row r="1401" spans="5:14" x14ac:dyDescent="0.25">
      <c r="E1401">
        <v>1063</v>
      </c>
      <c r="F1401" s="7">
        <v>45631</v>
      </c>
      <c r="G1401">
        <f t="shared" si="64"/>
        <v>2024</v>
      </c>
      <c r="H1401" s="7" t="str">
        <f t="shared" si="65"/>
        <v>Декабрь</v>
      </c>
      <c r="I1401" t="s">
        <v>7</v>
      </c>
      <c r="J1401">
        <v>37</v>
      </c>
      <c r="K1401" t="s">
        <v>11</v>
      </c>
      <c r="L1401">
        <v>2</v>
      </c>
      <c r="M1401">
        <v>415</v>
      </c>
      <c r="N1401" s="1">
        <f t="shared" si="66"/>
        <v>830</v>
      </c>
    </row>
    <row r="1402" spans="5:14" x14ac:dyDescent="0.25">
      <c r="E1402">
        <v>1740</v>
      </c>
      <c r="F1402" s="7">
        <v>45419</v>
      </c>
      <c r="G1402">
        <f t="shared" si="64"/>
        <v>2024</v>
      </c>
      <c r="H1402" s="7" t="str">
        <f t="shared" si="65"/>
        <v>Май</v>
      </c>
      <c r="I1402" t="s">
        <v>7</v>
      </c>
      <c r="J1402">
        <v>34</v>
      </c>
      <c r="K1402" t="s">
        <v>11</v>
      </c>
      <c r="L1402">
        <v>3</v>
      </c>
      <c r="M1402">
        <v>54</v>
      </c>
      <c r="N1402" s="1">
        <f t="shared" si="66"/>
        <v>162</v>
      </c>
    </row>
    <row r="1403" spans="5:14" x14ac:dyDescent="0.25">
      <c r="E1403">
        <v>168</v>
      </c>
      <c r="F1403" s="7">
        <v>44981</v>
      </c>
      <c r="G1403">
        <f t="shared" si="64"/>
        <v>2023</v>
      </c>
      <c r="H1403" s="7" t="str">
        <f t="shared" si="65"/>
        <v>Февраль</v>
      </c>
      <c r="I1403" t="s">
        <v>7</v>
      </c>
      <c r="J1403">
        <v>53</v>
      </c>
      <c r="K1403" t="s">
        <v>10</v>
      </c>
      <c r="L1403">
        <v>1</v>
      </c>
      <c r="M1403">
        <v>300</v>
      </c>
      <c r="N1403" s="1">
        <f t="shared" si="66"/>
        <v>300</v>
      </c>
    </row>
    <row r="1404" spans="5:14" x14ac:dyDescent="0.25">
      <c r="E1404">
        <v>259</v>
      </c>
      <c r="F1404" s="7">
        <v>45108</v>
      </c>
      <c r="G1404">
        <f t="shared" si="64"/>
        <v>2023</v>
      </c>
      <c r="H1404" s="7" t="str">
        <f t="shared" si="65"/>
        <v>Июль</v>
      </c>
      <c r="I1404" t="s">
        <v>7</v>
      </c>
      <c r="J1404">
        <v>28</v>
      </c>
      <c r="K1404" t="s">
        <v>8</v>
      </c>
      <c r="L1404">
        <v>2</v>
      </c>
      <c r="M1404">
        <v>30</v>
      </c>
      <c r="N1404" s="1">
        <f t="shared" si="66"/>
        <v>60</v>
      </c>
    </row>
    <row r="1405" spans="5:14" x14ac:dyDescent="0.25">
      <c r="E1405">
        <v>194</v>
      </c>
      <c r="F1405" s="7">
        <v>45175</v>
      </c>
      <c r="G1405">
        <f t="shared" si="64"/>
        <v>2023</v>
      </c>
      <c r="H1405" s="7" t="str">
        <f t="shared" si="65"/>
        <v>Сентябрь</v>
      </c>
      <c r="I1405" t="s">
        <v>7</v>
      </c>
      <c r="J1405">
        <v>55</v>
      </c>
      <c r="K1405" t="s">
        <v>10</v>
      </c>
      <c r="L1405">
        <v>4</v>
      </c>
      <c r="M1405">
        <v>50</v>
      </c>
      <c r="N1405" s="1">
        <f t="shared" si="66"/>
        <v>200</v>
      </c>
    </row>
    <row r="1406" spans="5:14" x14ac:dyDescent="0.25">
      <c r="E1406">
        <v>760</v>
      </c>
      <c r="F1406" s="7">
        <v>45237</v>
      </c>
      <c r="G1406">
        <f t="shared" si="64"/>
        <v>2023</v>
      </c>
      <c r="H1406" s="7" t="str">
        <f t="shared" si="65"/>
        <v>Ноябрь</v>
      </c>
      <c r="I1406" t="s">
        <v>9</v>
      </c>
      <c r="J1406">
        <v>24</v>
      </c>
      <c r="K1406" t="s">
        <v>11</v>
      </c>
      <c r="L1406">
        <v>2</v>
      </c>
      <c r="M1406">
        <v>25</v>
      </c>
      <c r="N1406" s="1">
        <f t="shared" si="66"/>
        <v>50</v>
      </c>
    </row>
    <row r="1407" spans="5:14" x14ac:dyDescent="0.25">
      <c r="E1407">
        <v>858</v>
      </c>
      <c r="F1407" s="7">
        <v>44935</v>
      </c>
      <c r="G1407">
        <f t="shared" si="64"/>
        <v>2023</v>
      </c>
      <c r="H1407" s="7" t="str">
        <f t="shared" si="65"/>
        <v>Январь</v>
      </c>
      <c r="I1407" t="s">
        <v>7</v>
      </c>
      <c r="J1407">
        <v>63</v>
      </c>
      <c r="K1407" t="s">
        <v>10</v>
      </c>
      <c r="L1407">
        <v>4</v>
      </c>
      <c r="M1407">
        <v>50</v>
      </c>
      <c r="N1407" s="1">
        <f t="shared" si="66"/>
        <v>200</v>
      </c>
    </row>
    <row r="1408" spans="5:14" x14ac:dyDescent="0.25">
      <c r="E1408">
        <v>1401</v>
      </c>
      <c r="F1408" s="7">
        <v>45437</v>
      </c>
      <c r="G1408">
        <f t="shared" si="64"/>
        <v>2024</v>
      </c>
      <c r="H1408" s="7" t="str">
        <f t="shared" si="65"/>
        <v>Май</v>
      </c>
      <c r="I1408" t="s">
        <v>7</v>
      </c>
      <c r="J1408">
        <v>41</v>
      </c>
      <c r="K1408" t="s">
        <v>11</v>
      </c>
      <c r="L1408">
        <v>3</v>
      </c>
      <c r="M1408">
        <v>99</v>
      </c>
      <c r="N1408" s="1">
        <f t="shared" si="66"/>
        <v>297</v>
      </c>
    </row>
    <row r="1409" spans="5:14" x14ac:dyDescent="0.25">
      <c r="E1409">
        <v>1758</v>
      </c>
      <c r="F1409" s="7">
        <v>45603</v>
      </c>
      <c r="G1409">
        <f t="shared" si="64"/>
        <v>2024</v>
      </c>
      <c r="H1409" s="7" t="str">
        <f t="shared" si="65"/>
        <v>Ноябрь</v>
      </c>
      <c r="I1409" t="s">
        <v>9</v>
      </c>
      <c r="J1409">
        <v>31</v>
      </c>
      <c r="K1409" t="s">
        <v>11</v>
      </c>
      <c r="L1409">
        <v>3</v>
      </c>
      <c r="M1409">
        <v>191</v>
      </c>
      <c r="N1409" s="1">
        <f t="shared" si="66"/>
        <v>573</v>
      </c>
    </row>
    <row r="1410" spans="5:14" x14ac:dyDescent="0.25">
      <c r="E1410">
        <v>1149</v>
      </c>
      <c r="F1410" s="7">
        <v>45641</v>
      </c>
      <c r="G1410">
        <f t="shared" si="64"/>
        <v>2024</v>
      </c>
      <c r="H1410" s="7" t="str">
        <f t="shared" si="65"/>
        <v>Декабрь</v>
      </c>
      <c r="I1410" t="s">
        <v>7</v>
      </c>
      <c r="J1410">
        <v>35</v>
      </c>
      <c r="K1410" t="s">
        <v>10</v>
      </c>
      <c r="L1410">
        <v>5</v>
      </c>
      <c r="M1410">
        <v>295</v>
      </c>
      <c r="N1410" s="1">
        <f t="shared" si="66"/>
        <v>1475</v>
      </c>
    </row>
    <row r="1411" spans="5:14" x14ac:dyDescent="0.25">
      <c r="E1411">
        <v>1173</v>
      </c>
      <c r="F1411" s="7">
        <v>45371</v>
      </c>
      <c r="G1411">
        <f t="shared" si="64"/>
        <v>2024</v>
      </c>
      <c r="H1411" s="7" t="str">
        <f t="shared" si="65"/>
        <v>Март</v>
      </c>
      <c r="I1411" t="s">
        <v>9</v>
      </c>
      <c r="J1411">
        <v>56</v>
      </c>
      <c r="K1411" t="s">
        <v>11</v>
      </c>
      <c r="L1411">
        <v>4</v>
      </c>
      <c r="M1411">
        <v>12</v>
      </c>
      <c r="N1411" s="1">
        <f t="shared" si="66"/>
        <v>48</v>
      </c>
    </row>
    <row r="1412" spans="5:14" x14ac:dyDescent="0.25">
      <c r="E1412">
        <v>731</v>
      </c>
      <c r="F1412" s="7">
        <v>45167</v>
      </c>
      <c r="G1412">
        <f t="shared" si="64"/>
        <v>2023</v>
      </c>
      <c r="H1412" s="7" t="str">
        <f t="shared" si="65"/>
        <v>Август</v>
      </c>
      <c r="I1412" t="s">
        <v>7</v>
      </c>
      <c r="J1412">
        <v>34</v>
      </c>
      <c r="K1412" t="s">
        <v>8</v>
      </c>
      <c r="L1412">
        <v>1</v>
      </c>
      <c r="M1412">
        <v>30</v>
      </c>
      <c r="N1412" s="1">
        <f t="shared" si="66"/>
        <v>30</v>
      </c>
    </row>
    <row r="1413" spans="5:14" x14ac:dyDescent="0.25">
      <c r="E1413">
        <v>1358</v>
      </c>
      <c r="F1413" s="7">
        <v>45636</v>
      </c>
      <c r="G1413">
        <f t="shared" si="64"/>
        <v>2024</v>
      </c>
      <c r="H1413" s="7" t="str">
        <f t="shared" si="65"/>
        <v>Декабрь</v>
      </c>
      <c r="I1413" t="s">
        <v>9</v>
      </c>
      <c r="J1413">
        <v>33</v>
      </c>
      <c r="K1413" t="s">
        <v>11</v>
      </c>
      <c r="L1413">
        <v>1</v>
      </c>
      <c r="M1413">
        <v>249</v>
      </c>
      <c r="N1413" s="1">
        <f t="shared" si="66"/>
        <v>249</v>
      </c>
    </row>
    <row r="1414" spans="5:14" x14ac:dyDescent="0.25">
      <c r="E1414">
        <v>1127</v>
      </c>
      <c r="F1414" s="7">
        <v>45405</v>
      </c>
      <c r="G1414">
        <f t="shared" si="64"/>
        <v>2024</v>
      </c>
      <c r="H1414" s="7" t="str">
        <f t="shared" si="65"/>
        <v>Апрель</v>
      </c>
      <c r="I1414" t="s">
        <v>9</v>
      </c>
      <c r="J1414">
        <v>39</v>
      </c>
      <c r="K1414" t="s">
        <v>8</v>
      </c>
      <c r="L1414">
        <v>4</v>
      </c>
      <c r="M1414">
        <v>485</v>
      </c>
      <c r="N1414" s="1">
        <f t="shared" si="66"/>
        <v>1940</v>
      </c>
    </row>
    <row r="1415" spans="5:14" x14ac:dyDescent="0.25">
      <c r="E1415">
        <v>1261</v>
      </c>
      <c r="F1415" s="7">
        <v>45319</v>
      </c>
      <c r="G1415">
        <f t="shared" si="64"/>
        <v>2024</v>
      </c>
      <c r="H1415" s="7" t="str">
        <f t="shared" si="65"/>
        <v>Январь</v>
      </c>
      <c r="I1415" t="s">
        <v>7</v>
      </c>
      <c r="J1415">
        <v>57</v>
      </c>
      <c r="K1415" t="s">
        <v>10</v>
      </c>
      <c r="L1415">
        <v>2</v>
      </c>
      <c r="M1415">
        <v>384</v>
      </c>
      <c r="N1415" s="1">
        <f t="shared" si="66"/>
        <v>768</v>
      </c>
    </row>
    <row r="1416" spans="5:14" x14ac:dyDescent="0.25">
      <c r="E1416">
        <v>865</v>
      </c>
      <c r="F1416" s="7">
        <v>45083</v>
      </c>
      <c r="G1416">
        <f t="shared" si="64"/>
        <v>2023</v>
      </c>
      <c r="H1416" s="7" t="str">
        <f t="shared" si="65"/>
        <v>Июнь</v>
      </c>
      <c r="I1416" t="s">
        <v>7</v>
      </c>
      <c r="J1416">
        <v>21</v>
      </c>
      <c r="K1416" t="s">
        <v>11</v>
      </c>
      <c r="L1416">
        <v>1</v>
      </c>
      <c r="M1416">
        <v>500</v>
      </c>
      <c r="N1416" s="1">
        <f t="shared" si="66"/>
        <v>500</v>
      </c>
    </row>
    <row r="1417" spans="5:14" x14ac:dyDescent="0.25">
      <c r="E1417">
        <v>732</v>
      </c>
      <c r="F1417" s="7">
        <v>44936</v>
      </c>
      <c r="G1417">
        <f t="shared" si="64"/>
        <v>2023</v>
      </c>
      <c r="H1417" s="7" t="str">
        <f t="shared" si="65"/>
        <v>Январь</v>
      </c>
      <c r="I1417" t="s">
        <v>9</v>
      </c>
      <c r="J1417">
        <v>27</v>
      </c>
      <c r="K1417" t="s">
        <v>10</v>
      </c>
      <c r="L1417">
        <v>1</v>
      </c>
      <c r="M1417">
        <v>30</v>
      </c>
      <c r="N1417" s="1">
        <f t="shared" si="66"/>
        <v>30</v>
      </c>
    </row>
    <row r="1418" spans="5:14" x14ac:dyDescent="0.25">
      <c r="E1418">
        <v>884</v>
      </c>
      <c r="F1418" s="7">
        <v>45025</v>
      </c>
      <c r="G1418">
        <f t="shared" ref="G1418:G1481" si="67">YEAR(F1418)</f>
        <v>2023</v>
      </c>
      <c r="H1418" s="7" t="str">
        <f t="shared" ref="H1418:H1481" si="68">TEXT(F1418,"ММММ")</f>
        <v>Апрель</v>
      </c>
      <c r="I1418" t="s">
        <v>7</v>
      </c>
      <c r="J1418">
        <v>37</v>
      </c>
      <c r="K1418" t="s">
        <v>11</v>
      </c>
      <c r="L1418">
        <v>3</v>
      </c>
      <c r="M1418">
        <v>300</v>
      </c>
      <c r="N1418" s="1">
        <f t="shared" ref="N1418:N1481" si="69">L1418*M1418</f>
        <v>900</v>
      </c>
    </row>
    <row r="1419" spans="5:14" x14ac:dyDescent="0.25">
      <c r="E1419">
        <v>1871</v>
      </c>
      <c r="F1419" s="7">
        <v>45510</v>
      </c>
      <c r="G1419">
        <f t="shared" si="67"/>
        <v>2024</v>
      </c>
      <c r="H1419" s="7" t="str">
        <f t="shared" si="68"/>
        <v>Август</v>
      </c>
      <c r="I1419" t="s">
        <v>9</v>
      </c>
      <c r="J1419">
        <v>63</v>
      </c>
      <c r="K1419" t="s">
        <v>11</v>
      </c>
      <c r="L1419">
        <v>5</v>
      </c>
      <c r="M1419">
        <v>388</v>
      </c>
      <c r="N1419" s="1">
        <f t="shared" si="69"/>
        <v>1940</v>
      </c>
    </row>
    <row r="1420" spans="5:14" x14ac:dyDescent="0.25">
      <c r="E1420">
        <v>1654</v>
      </c>
      <c r="F1420" s="7">
        <v>45363</v>
      </c>
      <c r="G1420">
        <f t="shared" si="67"/>
        <v>2024</v>
      </c>
      <c r="H1420" s="7" t="str">
        <f t="shared" si="68"/>
        <v>Март</v>
      </c>
      <c r="I1420" t="s">
        <v>7</v>
      </c>
      <c r="J1420">
        <v>23</v>
      </c>
      <c r="K1420" t="s">
        <v>10</v>
      </c>
      <c r="L1420">
        <v>1</v>
      </c>
      <c r="M1420">
        <v>496</v>
      </c>
      <c r="N1420" s="1">
        <f t="shared" si="69"/>
        <v>496</v>
      </c>
    </row>
    <row r="1421" spans="5:14" x14ac:dyDescent="0.25">
      <c r="E1421">
        <v>217</v>
      </c>
      <c r="F1421" s="7">
        <v>45191</v>
      </c>
      <c r="G1421">
        <f t="shared" si="67"/>
        <v>2023</v>
      </c>
      <c r="H1421" s="7" t="str">
        <f t="shared" si="68"/>
        <v>Сентябрь</v>
      </c>
      <c r="I1421" t="s">
        <v>7</v>
      </c>
      <c r="J1421">
        <v>64</v>
      </c>
      <c r="K1421" t="s">
        <v>8</v>
      </c>
      <c r="L1421">
        <v>3</v>
      </c>
      <c r="M1421">
        <v>30</v>
      </c>
      <c r="N1421" s="1">
        <f t="shared" si="69"/>
        <v>90</v>
      </c>
    </row>
    <row r="1422" spans="5:14" x14ac:dyDescent="0.25">
      <c r="E1422">
        <v>1227</v>
      </c>
      <c r="F1422" s="7">
        <v>45405</v>
      </c>
      <c r="G1422">
        <f t="shared" si="67"/>
        <v>2024</v>
      </c>
      <c r="H1422" s="7" t="str">
        <f t="shared" si="68"/>
        <v>Апрель</v>
      </c>
      <c r="I1422" t="s">
        <v>7</v>
      </c>
      <c r="J1422">
        <v>47</v>
      </c>
      <c r="K1422" t="s">
        <v>8</v>
      </c>
      <c r="L1422">
        <v>7</v>
      </c>
      <c r="M1422">
        <v>242</v>
      </c>
      <c r="N1422" s="1">
        <f t="shared" si="69"/>
        <v>1694</v>
      </c>
    </row>
    <row r="1423" spans="5:14" x14ac:dyDescent="0.25">
      <c r="E1423">
        <v>20</v>
      </c>
      <c r="F1423" s="7">
        <v>45235</v>
      </c>
      <c r="G1423">
        <f t="shared" si="67"/>
        <v>2023</v>
      </c>
      <c r="H1423" s="7" t="str">
        <f t="shared" si="68"/>
        <v>Ноябрь</v>
      </c>
      <c r="I1423" t="s">
        <v>7</v>
      </c>
      <c r="J1423">
        <v>22</v>
      </c>
      <c r="K1423" t="s">
        <v>10</v>
      </c>
      <c r="L1423">
        <v>3</v>
      </c>
      <c r="M1423">
        <v>300</v>
      </c>
      <c r="N1423" s="1">
        <f t="shared" si="69"/>
        <v>900</v>
      </c>
    </row>
    <row r="1424" spans="5:14" x14ac:dyDescent="0.25">
      <c r="E1424">
        <v>529</v>
      </c>
      <c r="F1424" s="7">
        <v>44962</v>
      </c>
      <c r="G1424">
        <f t="shared" si="67"/>
        <v>2023</v>
      </c>
      <c r="H1424" s="7" t="str">
        <f t="shared" si="68"/>
        <v>Февраль</v>
      </c>
      <c r="I1424" t="s">
        <v>9</v>
      </c>
      <c r="J1424">
        <v>18</v>
      </c>
      <c r="K1424" t="s">
        <v>11</v>
      </c>
      <c r="L1424">
        <v>4</v>
      </c>
      <c r="M1424">
        <v>30</v>
      </c>
      <c r="N1424" s="1">
        <f t="shared" si="69"/>
        <v>120</v>
      </c>
    </row>
    <row r="1425" spans="5:14" x14ac:dyDescent="0.25">
      <c r="E1425">
        <v>970</v>
      </c>
      <c r="F1425" s="7">
        <v>44968</v>
      </c>
      <c r="G1425">
        <f t="shared" si="67"/>
        <v>2023</v>
      </c>
      <c r="H1425" s="7" t="str">
        <f t="shared" si="68"/>
        <v>Февраль</v>
      </c>
      <c r="I1425" t="s">
        <v>7</v>
      </c>
      <c r="J1425">
        <v>49</v>
      </c>
      <c r="K1425" t="s">
        <v>8</v>
      </c>
      <c r="L1425">
        <v>4</v>
      </c>
      <c r="M1425">
        <v>25</v>
      </c>
      <c r="N1425" s="1">
        <f t="shared" si="69"/>
        <v>100</v>
      </c>
    </row>
    <row r="1426" spans="5:14" x14ac:dyDescent="0.25">
      <c r="E1426">
        <v>1772</v>
      </c>
      <c r="F1426" s="7">
        <v>45596</v>
      </c>
      <c r="G1426">
        <f t="shared" si="67"/>
        <v>2024</v>
      </c>
      <c r="H1426" s="7" t="str">
        <f t="shared" si="68"/>
        <v>Октябрь</v>
      </c>
      <c r="I1426" t="s">
        <v>7</v>
      </c>
      <c r="J1426">
        <v>35</v>
      </c>
      <c r="K1426" t="s">
        <v>10</v>
      </c>
      <c r="L1426">
        <v>6</v>
      </c>
      <c r="M1426">
        <v>336</v>
      </c>
      <c r="N1426" s="1">
        <f t="shared" si="69"/>
        <v>2016</v>
      </c>
    </row>
    <row r="1427" spans="5:14" x14ac:dyDescent="0.25">
      <c r="E1427">
        <v>1072</v>
      </c>
      <c r="F1427" s="7">
        <v>45618</v>
      </c>
      <c r="G1427">
        <f t="shared" si="67"/>
        <v>2024</v>
      </c>
      <c r="H1427" s="7" t="str">
        <f t="shared" si="68"/>
        <v>Ноябрь</v>
      </c>
      <c r="I1427" t="s">
        <v>9</v>
      </c>
      <c r="J1427">
        <v>43</v>
      </c>
      <c r="K1427" t="s">
        <v>8</v>
      </c>
      <c r="L1427">
        <v>3</v>
      </c>
      <c r="M1427">
        <v>210</v>
      </c>
      <c r="N1427" s="1">
        <f t="shared" si="69"/>
        <v>630</v>
      </c>
    </row>
    <row r="1428" spans="5:14" x14ac:dyDescent="0.25">
      <c r="E1428">
        <v>601</v>
      </c>
      <c r="F1428" s="7">
        <v>45283</v>
      </c>
      <c r="G1428">
        <f t="shared" si="67"/>
        <v>2023</v>
      </c>
      <c r="H1428" s="7" t="str">
        <f t="shared" si="68"/>
        <v>Декабрь</v>
      </c>
      <c r="I1428" t="s">
        <v>9</v>
      </c>
      <c r="J1428">
        <v>20</v>
      </c>
      <c r="K1428" t="s">
        <v>11</v>
      </c>
      <c r="L1428">
        <v>1</v>
      </c>
      <c r="M1428">
        <v>300</v>
      </c>
      <c r="N1428" s="1">
        <f t="shared" si="69"/>
        <v>300</v>
      </c>
    </row>
    <row r="1429" spans="5:14" x14ac:dyDescent="0.25">
      <c r="E1429">
        <v>932</v>
      </c>
      <c r="F1429" s="7">
        <v>45132</v>
      </c>
      <c r="G1429">
        <f t="shared" si="67"/>
        <v>2023</v>
      </c>
      <c r="H1429" s="7" t="str">
        <f t="shared" si="68"/>
        <v>Июль</v>
      </c>
      <c r="I1429" t="s">
        <v>7</v>
      </c>
      <c r="J1429">
        <v>30</v>
      </c>
      <c r="K1429" t="s">
        <v>8</v>
      </c>
      <c r="L1429">
        <v>1</v>
      </c>
      <c r="M1429">
        <v>500</v>
      </c>
      <c r="N1429" s="1">
        <f t="shared" si="69"/>
        <v>500</v>
      </c>
    </row>
    <row r="1430" spans="5:14" x14ac:dyDescent="0.25">
      <c r="E1430">
        <v>261</v>
      </c>
      <c r="F1430" s="7">
        <v>45137</v>
      </c>
      <c r="G1430">
        <f t="shared" si="67"/>
        <v>2023</v>
      </c>
      <c r="H1430" s="7" t="str">
        <f t="shared" si="68"/>
        <v>Июль</v>
      </c>
      <c r="I1430" t="s">
        <v>9</v>
      </c>
      <c r="J1430">
        <v>32</v>
      </c>
      <c r="K1430" t="s">
        <v>8</v>
      </c>
      <c r="L1430">
        <v>4</v>
      </c>
      <c r="M1430">
        <v>30</v>
      </c>
      <c r="N1430" s="1">
        <f t="shared" si="69"/>
        <v>120</v>
      </c>
    </row>
    <row r="1431" spans="5:14" x14ac:dyDescent="0.25">
      <c r="E1431">
        <v>197</v>
      </c>
      <c r="F1431" s="7">
        <v>44991</v>
      </c>
      <c r="G1431">
        <f t="shared" si="67"/>
        <v>2023</v>
      </c>
      <c r="H1431" s="7" t="str">
        <f t="shared" si="68"/>
        <v>Март</v>
      </c>
      <c r="I1431" t="s">
        <v>9</v>
      </c>
      <c r="J1431">
        <v>42</v>
      </c>
      <c r="K1431" t="s">
        <v>10</v>
      </c>
      <c r="L1431">
        <v>4</v>
      </c>
      <c r="M1431">
        <v>50</v>
      </c>
      <c r="N1431" s="1">
        <f t="shared" si="69"/>
        <v>200</v>
      </c>
    </row>
    <row r="1432" spans="5:14" x14ac:dyDescent="0.25">
      <c r="E1432">
        <v>1770</v>
      </c>
      <c r="F1432" s="7">
        <v>45394</v>
      </c>
      <c r="G1432">
        <f t="shared" si="67"/>
        <v>2024</v>
      </c>
      <c r="H1432" s="7" t="str">
        <f t="shared" si="68"/>
        <v>Апрель</v>
      </c>
      <c r="I1432" t="s">
        <v>9</v>
      </c>
      <c r="J1432">
        <v>40</v>
      </c>
      <c r="K1432" t="s">
        <v>10</v>
      </c>
      <c r="L1432">
        <v>7</v>
      </c>
      <c r="M1432">
        <v>392</v>
      </c>
      <c r="N1432" s="1">
        <f t="shared" si="69"/>
        <v>2744</v>
      </c>
    </row>
    <row r="1433" spans="5:14" x14ac:dyDescent="0.25">
      <c r="E1433">
        <v>156</v>
      </c>
      <c r="F1433" s="7">
        <v>45255</v>
      </c>
      <c r="G1433">
        <f t="shared" si="67"/>
        <v>2023</v>
      </c>
      <c r="H1433" s="7" t="str">
        <f t="shared" si="68"/>
        <v>Ноябрь</v>
      </c>
      <c r="I1433" t="s">
        <v>9</v>
      </c>
      <c r="J1433">
        <v>43</v>
      </c>
      <c r="K1433" t="s">
        <v>10</v>
      </c>
      <c r="L1433">
        <v>4</v>
      </c>
      <c r="M1433">
        <v>25</v>
      </c>
      <c r="N1433" s="1">
        <f t="shared" si="69"/>
        <v>100</v>
      </c>
    </row>
    <row r="1434" spans="5:14" x14ac:dyDescent="0.25">
      <c r="E1434">
        <v>1170</v>
      </c>
      <c r="F1434" s="7">
        <v>45552</v>
      </c>
      <c r="G1434">
        <f t="shared" si="67"/>
        <v>2024</v>
      </c>
      <c r="H1434" s="7" t="str">
        <f t="shared" si="68"/>
        <v>Сентябрь</v>
      </c>
      <c r="I1434" t="s">
        <v>7</v>
      </c>
      <c r="J1434">
        <v>51</v>
      </c>
      <c r="K1434" t="s">
        <v>8</v>
      </c>
      <c r="L1434">
        <v>5</v>
      </c>
      <c r="M1434">
        <v>112</v>
      </c>
      <c r="N1434" s="1">
        <f t="shared" si="69"/>
        <v>560</v>
      </c>
    </row>
    <row r="1435" spans="5:14" x14ac:dyDescent="0.25">
      <c r="E1435">
        <v>132</v>
      </c>
      <c r="F1435" s="7">
        <v>45179</v>
      </c>
      <c r="G1435">
        <f t="shared" si="67"/>
        <v>2023</v>
      </c>
      <c r="H1435" s="7" t="str">
        <f t="shared" si="68"/>
        <v>Сентябрь</v>
      </c>
      <c r="I1435" t="s">
        <v>7</v>
      </c>
      <c r="J1435">
        <v>42</v>
      </c>
      <c r="K1435" t="s">
        <v>11</v>
      </c>
      <c r="L1435">
        <v>4</v>
      </c>
      <c r="M1435">
        <v>50</v>
      </c>
      <c r="N1435" s="1">
        <f t="shared" si="69"/>
        <v>200</v>
      </c>
    </row>
    <row r="1436" spans="5:14" x14ac:dyDescent="0.25">
      <c r="E1436">
        <v>638</v>
      </c>
      <c r="F1436" s="7">
        <v>45059</v>
      </c>
      <c r="G1436">
        <f t="shared" si="67"/>
        <v>2023</v>
      </c>
      <c r="H1436" s="7" t="str">
        <f t="shared" si="68"/>
        <v>Май</v>
      </c>
      <c r="I1436" t="s">
        <v>9</v>
      </c>
      <c r="J1436">
        <v>62</v>
      </c>
      <c r="K1436" t="s">
        <v>8</v>
      </c>
      <c r="L1436">
        <v>4</v>
      </c>
      <c r="M1436">
        <v>50</v>
      </c>
      <c r="N1436" s="1">
        <f t="shared" si="69"/>
        <v>200</v>
      </c>
    </row>
    <row r="1437" spans="5:14" x14ac:dyDescent="0.25">
      <c r="E1437">
        <v>1581</v>
      </c>
      <c r="F1437" s="7">
        <v>45339</v>
      </c>
      <c r="G1437">
        <f t="shared" si="67"/>
        <v>2024</v>
      </c>
      <c r="H1437" s="7" t="str">
        <f t="shared" si="68"/>
        <v>Февраль</v>
      </c>
      <c r="I1437" t="s">
        <v>9</v>
      </c>
      <c r="J1437">
        <v>52</v>
      </c>
      <c r="K1437" t="s">
        <v>8</v>
      </c>
      <c r="L1437">
        <v>4</v>
      </c>
      <c r="M1437">
        <v>499</v>
      </c>
      <c r="N1437" s="1">
        <f t="shared" si="69"/>
        <v>1996</v>
      </c>
    </row>
    <row r="1438" spans="5:14" x14ac:dyDescent="0.25">
      <c r="E1438">
        <v>1330</v>
      </c>
      <c r="F1438" s="7">
        <v>45327</v>
      </c>
      <c r="G1438">
        <f t="shared" si="67"/>
        <v>2024</v>
      </c>
      <c r="H1438" s="7" t="str">
        <f t="shared" si="68"/>
        <v>Февраль</v>
      </c>
      <c r="I1438" t="s">
        <v>9</v>
      </c>
      <c r="J1438">
        <v>18</v>
      </c>
      <c r="K1438" t="s">
        <v>11</v>
      </c>
      <c r="L1438">
        <v>5</v>
      </c>
      <c r="M1438">
        <v>442</v>
      </c>
      <c r="N1438" s="1">
        <f t="shared" si="69"/>
        <v>2210</v>
      </c>
    </row>
    <row r="1439" spans="5:14" x14ac:dyDescent="0.25">
      <c r="E1439">
        <v>603</v>
      </c>
      <c r="F1439" s="7">
        <v>45180</v>
      </c>
      <c r="G1439">
        <f t="shared" si="67"/>
        <v>2023</v>
      </c>
      <c r="H1439" s="7" t="str">
        <f t="shared" si="68"/>
        <v>Сентябрь</v>
      </c>
      <c r="I1439" t="s">
        <v>9</v>
      </c>
      <c r="J1439">
        <v>29</v>
      </c>
      <c r="K1439" t="s">
        <v>11</v>
      </c>
      <c r="L1439">
        <v>4</v>
      </c>
      <c r="M1439">
        <v>50</v>
      </c>
      <c r="N1439" s="1">
        <f t="shared" si="69"/>
        <v>200</v>
      </c>
    </row>
    <row r="1440" spans="5:14" x14ac:dyDescent="0.25">
      <c r="E1440">
        <v>1605</v>
      </c>
      <c r="F1440" s="7">
        <v>45628</v>
      </c>
      <c r="G1440">
        <f t="shared" si="67"/>
        <v>2024</v>
      </c>
      <c r="H1440" s="7" t="str">
        <f t="shared" si="68"/>
        <v>Декабрь</v>
      </c>
      <c r="I1440" t="s">
        <v>9</v>
      </c>
      <c r="J1440">
        <v>37</v>
      </c>
      <c r="K1440" t="s">
        <v>11</v>
      </c>
      <c r="L1440">
        <v>3</v>
      </c>
      <c r="M1440">
        <v>281</v>
      </c>
      <c r="N1440" s="1">
        <f t="shared" si="69"/>
        <v>843</v>
      </c>
    </row>
    <row r="1441" spans="5:14" x14ac:dyDescent="0.25">
      <c r="E1441">
        <v>73</v>
      </c>
      <c r="F1441" s="7">
        <v>45159</v>
      </c>
      <c r="G1441">
        <f t="shared" si="67"/>
        <v>2023</v>
      </c>
      <c r="H1441" s="7" t="str">
        <f t="shared" si="68"/>
        <v>Август</v>
      </c>
      <c r="I1441" t="s">
        <v>7</v>
      </c>
      <c r="J1441">
        <v>29</v>
      </c>
      <c r="K1441" t="s">
        <v>11</v>
      </c>
      <c r="L1441">
        <v>3</v>
      </c>
      <c r="M1441">
        <v>30</v>
      </c>
      <c r="N1441" s="1">
        <f t="shared" si="69"/>
        <v>90</v>
      </c>
    </row>
    <row r="1442" spans="5:14" x14ac:dyDescent="0.25">
      <c r="E1442">
        <v>737</v>
      </c>
      <c r="F1442" s="7">
        <v>45259</v>
      </c>
      <c r="G1442">
        <f t="shared" si="67"/>
        <v>2023</v>
      </c>
      <c r="H1442" s="7" t="str">
        <f t="shared" si="68"/>
        <v>Ноябрь</v>
      </c>
      <c r="I1442" t="s">
        <v>7</v>
      </c>
      <c r="J1442">
        <v>36</v>
      </c>
      <c r="K1442" t="s">
        <v>8</v>
      </c>
      <c r="L1442">
        <v>1</v>
      </c>
      <c r="M1442">
        <v>25</v>
      </c>
      <c r="N1442" s="1">
        <f t="shared" si="69"/>
        <v>25</v>
      </c>
    </row>
    <row r="1443" spans="5:14" x14ac:dyDescent="0.25">
      <c r="E1443">
        <v>1191</v>
      </c>
      <c r="F1443" s="7">
        <v>45335</v>
      </c>
      <c r="G1443">
        <f t="shared" si="67"/>
        <v>2024</v>
      </c>
      <c r="H1443" s="7" t="str">
        <f t="shared" si="68"/>
        <v>Февраль</v>
      </c>
      <c r="I1443" t="s">
        <v>7</v>
      </c>
      <c r="J1443">
        <v>49</v>
      </c>
      <c r="K1443" t="s">
        <v>8</v>
      </c>
      <c r="L1443">
        <v>3</v>
      </c>
      <c r="M1443">
        <v>461</v>
      </c>
      <c r="N1443" s="1">
        <f t="shared" si="69"/>
        <v>1383</v>
      </c>
    </row>
    <row r="1444" spans="5:14" x14ac:dyDescent="0.25">
      <c r="E1444">
        <v>793</v>
      </c>
      <c r="F1444" s="7">
        <v>45258</v>
      </c>
      <c r="G1444">
        <f t="shared" si="67"/>
        <v>2023</v>
      </c>
      <c r="H1444" s="7" t="str">
        <f t="shared" si="68"/>
        <v>Ноябрь</v>
      </c>
      <c r="I1444" t="s">
        <v>7</v>
      </c>
      <c r="J1444">
        <v>57</v>
      </c>
      <c r="K1444" t="s">
        <v>11</v>
      </c>
      <c r="L1444">
        <v>1</v>
      </c>
      <c r="M1444">
        <v>300</v>
      </c>
      <c r="N1444" s="1">
        <f t="shared" si="69"/>
        <v>300</v>
      </c>
    </row>
    <row r="1445" spans="5:14" x14ac:dyDescent="0.25">
      <c r="E1445">
        <v>253</v>
      </c>
      <c r="F1445" s="7">
        <v>45135</v>
      </c>
      <c r="G1445">
        <f t="shared" si="67"/>
        <v>2023</v>
      </c>
      <c r="H1445" s="7" t="str">
        <f t="shared" si="68"/>
        <v>Июль</v>
      </c>
      <c r="I1445" t="s">
        <v>7</v>
      </c>
      <c r="J1445">
        <v>41</v>
      </c>
      <c r="K1445" t="s">
        <v>11</v>
      </c>
      <c r="L1445">
        <v>1</v>
      </c>
      <c r="M1445">
        <v>500</v>
      </c>
      <c r="N1445" s="1">
        <f t="shared" si="69"/>
        <v>500</v>
      </c>
    </row>
    <row r="1446" spans="5:14" x14ac:dyDescent="0.25">
      <c r="E1446">
        <v>1910</v>
      </c>
      <c r="F1446" s="7">
        <v>45576</v>
      </c>
      <c r="G1446">
        <f t="shared" si="67"/>
        <v>2024</v>
      </c>
      <c r="H1446" s="7" t="str">
        <f t="shared" si="68"/>
        <v>Октябрь</v>
      </c>
      <c r="I1446" t="s">
        <v>9</v>
      </c>
      <c r="J1446">
        <v>58</v>
      </c>
      <c r="K1446" t="s">
        <v>11</v>
      </c>
      <c r="L1446">
        <v>6</v>
      </c>
      <c r="M1446">
        <v>80</v>
      </c>
      <c r="N1446" s="1">
        <f t="shared" si="69"/>
        <v>480</v>
      </c>
    </row>
    <row r="1447" spans="5:14" x14ac:dyDescent="0.25">
      <c r="E1447">
        <v>232</v>
      </c>
      <c r="F1447" s="7">
        <v>45289</v>
      </c>
      <c r="G1447">
        <f t="shared" si="67"/>
        <v>2023</v>
      </c>
      <c r="H1447" s="7" t="str">
        <f t="shared" si="68"/>
        <v>Декабрь</v>
      </c>
      <c r="I1447" t="s">
        <v>9</v>
      </c>
      <c r="J1447">
        <v>51</v>
      </c>
      <c r="K1447" t="s">
        <v>8</v>
      </c>
      <c r="L1447">
        <v>2</v>
      </c>
      <c r="M1447">
        <v>300</v>
      </c>
      <c r="N1447" s="1">
        <f t="shared" si="69"/>
        <v>600</v>
      </c>
    </row>
    <row r="1448" spans="5:14" x14ac:dyDescent="0.25">
      <c r="E1448">
        <v>491</v>
      </c>
      <c r="F1448" s="7">
        <v>45106</v>
      </c>
      <c r="G1448">
        <f t="shared" si="67"/>
        <v>2023</v>
      </c>
      <c r="H1448" s="7" t="str">
        <f t="shared" si="68"/>
        <v>Июнь</v>
      </c>
      <c r="I1448" t="s">
        <v>7</v>
      </c>
      <c r="J1448">
        <v>61</v>
      </c>
      <c r="K1448" t="s">
        <v>8</v>
      </c>
      <c r="L1448">
        <v>4</v>
      </c>
      <c r="M1448">
        <v>25</v>
      </c>
      <c r="N1448" s="1">
        <f t="shared" si="69"/>
        <v>100</v>
      </c>
    </row>
    <row r="1449" spans="5:14" x14ac:dyDescent="0.25">
      <c r="E1449">
        <v>290</v>
      </c>
      <c r="F1449" s="7">
        <v>44934</v>
      </c>
      <c r="G1449">
        <f t="shared" si="67"/>
        <v>2023</v>
      </c>
      <c r="H1449" s="7" t="str">
        <f t="shared" si="68"/>
        <v>Январь</v>
      </c>
      <c r="I1449" t="s">
        <v>7</v>
      </c>
      <c r="J1449">
        <v>60</v>
      </c>
      <c r="K1449" t="s">
        <v>10</v>
      </c>
      <c r="L1449">
        <v>2</v>
      </c>
      <c r="M1449">
        <v>300</v>
      </c>
      <c r="N1449" s="1">
        <f t="shared" si="69"/>
        <v>600</v>
      </c>
    </row>
    <row r="1450" spans="5:14" x14ac:dyDescent="0.25">
      <c r="E1450">
        <v>956</v>
      </c>
      <c r="F1450" s="7">
        <v>45079</v>
      </c>
      <c r="G1450">
        <f t="shared" si="67"/>
        <v>2023</v>
      </c>
      <c r="H1450" s="7" t="str">
        <f t="shared" si="68"/>
        <v>Июнь</v>
      </c>
      <c r="I1450" t="s">
        <v>7</v>
      </c>
      <c r="J1450">
        <v>62</v>
      </c>
      <c r="K1450" t="s">
        <v>11</v>
      </c>
      <c r="L1450">
        <v>2</v>
      </c>
      <c r="M1450">
        <v>25</v>
      </c>
      <c r="N1450" s="1">
        <f t="shared" si="69"/>
        <v>50</v>
      </c>
    </row>
    <row r="1451" spans="5:14" x14ac:dyDescent="0.25">
      <c r="E1451">
        <v>690</v>
      </c>
      <c r="F1451" s="7">
        <v>45176</v>
      </c>
      <c r="G1451">
        <f t="shared" si="67"/>
        <v>2023</v>
      </c>
      <c r="H1451" s="7" t="str">
        <f t="shared" si="68"/>
        <v>Сентябрь</v>
      </c>
      <c r="I1451" t="s">
        <v>9</v>
      </c>
      <c r="J1451">
        <v>64</v>
      </c>
      <c r="K1451" t="s">
        <v>10</v>
      </c>
      <c r="L1451">
        <v>2</v>
      </c>
      <c r="M1451">
        <v>50</v>
      </c>
      <c r="N1451" s="1">
        <f t="shared" si="69"/>
        <v>100</v>
      </c>
    </row>
    <row r="1452" spans="5:14" x14ac:dyDescent="0.25">
      <c r="E1452">
        <v>189</v>
      </c>
      <c r="F1452" s="7">
        <v>44956</v>
      </c>
      <c r="G1452">
        <f t="shared" si="67"/>
        <v>2023</v>
      </c>
      <c r="H1452" s="7" t="str">
        <f t="shared" si="68"/>
        <v>Январь</v>
      </c>
      <c r="I1452" t="s">
        <v>7</v>
      </c>
      <c r="J1452">
        <v>63</v>
      </c>
      <c r="K1452" t="s">
        <v>8</v>
      </c>
      <c r="L1452">
        <v>1</v>
      </c>
      <c r="M1452">
        <v>50</v>
      </c>
      <c r="N1452" s="1">
        <f t="shared" si="69"/>
        <v>50</v>
      </c>
    </row>
    <row r="1453" spans="5:14" x14ac:dyDescent="0.25">
      <c r="E1453">
        <v>682</v>
      </c>
      <c r="F1453" s="7">
        <v>45107</v>
      </c>
      <c r="G1453">
        <f t="shared" si="67"/>
        <v>2023</v>
      </c>
      <c r="H1453" s="7" t="str">
        <f t="shared" si="68"/>
        <v>Июнь</v>
      </c>
      <c r="I1453" t="s">
        <v>9</v>
      </c>
      <c r="J1453">
        <v>28</v>
      </c>
      <c r="K1453" t="s">
        <v>10</v>
      </c>
      <c r="L1453">
        <v>2</v>
      </c>
      <c r="M1453">
        <v>500</v>
      </c>
      <c r="N1453" s="1">
        <f t="shared" si="69"/>
        <v>1000</v>
      </c>
    </row>
    <row r="1454" spans="5:14" x14ac:dyDescent="0.25">
      <c r="E1454">
        <v>313</v>
      </c>
      <c r="F1454" s="7">
        <v>45024</v>
      </c>
      <c r="G1454">
        <f t="shared" si="67"/>
        <v>2023</v>
      </c>
      <c r="H1454" s="7" t="str">
        <f t="shared" si="68"/>
        <v>Апрель</v>
      </c>
      <c r="I1454" t="s">
        <v>7</v>
      </c>
      <c r="J1454">
        <v>52</v>
      </c>
      <c r="K1454" t="s">
        <v>10</v>
      </c>
      <c r="L1454">
        <v>4</v>
      </c>
      <c r="M1454">
        <v>30</v>
      </c>
      <c r="N1454" s="1">
        <f t="shared" si="69"/>
        <v>120</v>
      </c>
    </row>
    <row r="1455" spans="5:14" x14ac:dyDescent="0.25">
      <c r="E1455">
        <v>1109</v>
      </c>
      <c r="F1455" s="7">
        <v>45401</v>
      </c>
      <c r="G1455">
        <f t="shared" si="67"/>
        <v>2024</v>
      </c>
      <c r="H1455" s="7" t="str">
        <f t="shared" si="68"/>
        <v>Апрель</v>
      </c>
      <c r="I1455" t="s">
        <v>9</v>
      </c>
      <c r="J1455">
        <v>38</v>
      </c>
      <c r="K1455" t="s">
        <v>11</v>
      </c>
      <c r="L1455">
        <v>1</v>
      </c>
      <c r="M1455">
        <v>114</v>
      </c>
      <c r="N1455" s="1">
        <f t="shared" si="69"/>
        <v>114</v>
      </c>
    </row>
    <row r="1456" spans="5:14" x14ac:dyDescent="0.25">
      <c r="E1456">
        <v>723</v>
      </c>
      <c r="F1456" s="7">
        <v>45159</v>
      </c>
      <c r="G1456">
        <f t="shared" si="67"/>
        <v>2023</v>
      </c>
      <c r="H1456" s="7" t="str">
        <f t="shared" si="68"/>
        <v>Август</v>
      </c>
      <c r="I1456" t="s">
        <v>7</v>
      </c>
      <c r="J1456">
        <v>61</v>
      </c>
      <c r="K1456" t="s">
        <v>11</v>
      </c>
      <c r="L1456">
        <v>1</v>
      </c>
      <c r="M1456">
        <v>300</v>
      </c>
      <c r="N1456" s="1">
        <f t="shared" si="69"/>
        <v>300</v>
      </c>
    </row>
    <row r="1457" spans="5:14" x14ac:dyDescent="0.25">
      <c r="E1457">
        <v>482</v>
      </c>
      <c r="F1457" s="7">
        <v>45041</v>
      </c>
      <c r="G1457">
        <f t="shared" si="67"/>
        <v>2023</v>
      </c>
      <c r="H1457" s="7" t="str">
        <f t="shared" si="68"/>
        <v>Апрель</v>
      </c>
      <c r="I1457" t="s">
        <v>7</v>
      </c>
      <c r="J1457">
        <v>55</v>
      </c>
      <c r="K1457" t="s">
        <v>10</v>
      </c>
      <c r="L1457">
        <v>1</v>
      </c>
      <c r="M1457">
        <v>30</v>
      </c>
      <c r="N1457" s="1">
        <f t="shared" si="69"/>
        <v>30</v>
      </c>
    </row>
    <row r="1458" spans="5:14" x14ac:dyDescent="0.25">
      <c r="E1458">
        <v>1630</v>
      </c>
      <c r="F1458" s="7">
        <v>45511</v>
      </c>
      <c r="G1458">
        <f t="shared" si="67"/>
        <v>2024</v>
      </c>
      <c r="H1458" s="7" t="str">
        <f t="shared" si="68"/>
        <v>Август</v>
      </c>
      <c r="I1458" t="s">
        <v>7</v>
      </c>
      <c r="J1458">
        <v>41</v>
      </c>
      <c r="K1458" t="s">
        <v>8</v>
      </c>
      <c r="L1458">
        <v>1</v>
      </c>
      <c r="M1458">
        <v>384</v>
      </c>
      <c r="N1458" s="1">
        <f t="shared" si="69"/>
        <v>384</v>
      </c>
    </row>
    <row r="1459" spans="5:14" x14ac:dyDescent="0.25">
      <c r="E1459">
        <v>1761</v>
      </c>
      <c r="F1459" s="7">
        <v>45452</v>
      </c>
      <c r="G1459">
        <f t="shared" si="67"/>
        <v>2024</v>
      </c>
      <c r="H1459" s="7" t="str">
        <f t="shared" si="68"/>
        <v>Июнь</v>
      </c>
      <c r="I1459" t="s">
        <v>7</v>
      </c>
      <c r="J1459">
        <v>19</v>
      </c>
      <c r="K1459" t="s">
        <v>10</v>
      </c>
      <c r="L1459">
        <v>6</v>
      </c>
      <c r="M1459">
        <v>406</v>
      </c>
      <c r="N1459" s="1">
        <f t="shared" si="69"/>
        <v>2436</v>
      </c>
    </row>
    <row r="1460" spans="5:14" x14ac:dyDescent="0.25">
      <c r="E1460">
        <v>136</v>
      </c>
      <c r="F1460" s="7">
        <v>45005</v>
      </c>
      <c r="G1460">
        <f t="shared" si="67"/>
        <v>2023</v>
      </c>
      <c r="H1460" s="7" t="str">
        <f t="shared" si="68"/>
        <v>Март</v>
      </c>
      <c r="I1460" t="s">
        <v>7</v>
      </c>
      <c r="J1460">
        <v>44</v>
      </c>
      <c r="K1460" t="s">
        <v>11</v>
      </c>
      <c r="L1460">
        <v>2</v>
      </c>
      <c r="M1460">
        <v>300</v>
      </c>
      <c r="N1460" s="1">
        <f t="shared" si="69"/>
        <v>600</v>
      </c>
    </row>
    <row r="1461" spans="5:14" x14ac:dyDescent="0.25">
      <c r="E1461">
        <v>1049</v>
      </c>
      <c r="F1461" s="7">
        <v>45567</v>
      </c>
      <c r="G1461">
        <f t="shared" si="67"/>
        <v>2024</v>
      </c>
      <c r="H1461" s="7" t="str">
        <f t="shared" si="68"/>
        <v>Октябрь</v>
      </c>
      <c r="I1461" t="s">
        <v>7</v>
      </c>
      <c r="J1461">
        <v>20</v>
      </c>
      <c r="K1461" t="s">
        <v>8</v>
      </c>
      <c r="L1461">
        <v>5</v>
      </c>
      <c r="M1461">
        <v>270</v>
      </c>
      <c r="N1461" s="1">
        <f t="shared" si="69"/>
        <v>1350</v>
      </c>
    </row>
    <row r="1462" spans="5:14" x14ac:dyDescent="0.25">
      <c r="E1462">
        <v>1902</v>
      </c>
      <c r="F1462" s="7">
        <v>45447</v>
      </c>
      <c r="G1462">
        <f t="shared" si="67"/>
        <v>2024</v>
      </c>
      <c r="H1462" s="7" t="str">
        <f t="shared" si="68"/>
        <v>Июнь</v>
      </c>
      <c r="I1462" t="s">
        <v>9</v>
      </c>
      <c r="J1462">
        <v>25</v>
      </c>
      <c r="K1462" t="s">
        <v>10</v>
      </c>
      <c r="L1462">
        <v>5</v>
      </c>
      <c r="M1462">
        <v>209</v>
      </c>
      <c r="N1462" s="1">
        <f t="shared" si="69"/>
        <v>1045</v>
      </c>
    </row>
    <row r="1463" spans="5:14" x14ac:dyDescent="0.25">
      <c r="E1463">
        <v>1519</v>
      </c>
      <c r="F1463" s="7">
        <v>45292</v>
      </c>
      <c r="G1463">
        <f t="shared" si="67"/>
        <v>2024</v>
      </c>
      <c r="H1463" s="7" t="str">
        <f t="shared" si="68"/>
        <v>Январь</v>
      </c>
      <c r="I1463" t="s">
        <v>7</v>
      </c>
      <c r="J1463">
        <v>34</v>
      </c>
      <c r="K1463" t="s">
        <v>8</v>
      </c>
      <c r="L1463">
        <v>2</v>
      </c>
      <c r="M1463">
        <v>149</v>
      </c>
      <c r="N1463" s="1">
        <f t="shared" si="69"/>
        <v>298</v>
      </c>
    </row>
    <row r="1464" spans="5:14" x14ac:dyDescent="0.25">
      <c r="E1464">
        <v>711</v>
      </c>
      <c r="F1464" s="7">
        <v>44940</v>
      </c>
      <c r="G1464">
        <f t="shared" si="67"/>
        <v>2023</v>
      </c>
      <c r="H1464" s="7" t="str">
        <f t="shared" si="68"/>
        <v>Январь</v>
      </c>
      <c r="I1464" t="s">
        <v>7</v>
      </c>
      <c r="J1464">
        <v>34</v>
      </c>
      <c r="K1464" t="s">
        <v>8</v>
      </c>
      <c r="L1464">
        <v>3</v>
      </c>
      <c r="M1464">
        <v>25</v>
      </c>
      <c r="N1464" s="1">
        <f t="shared" si="69"/>
        <v>75</v>
      </c>
    </row>
    <row r="1465" spans="5:14" x14ac:dyDescent="0.25">
      <c r="E1465">
        <v>1122</v>
      </c>
      <c r="F1465" s="7">
        <v>45592</v>
      </c>
      <c r="G1465">
        <f t="shared" si="67"/>
        <v>2024</v>
      </c>
      <c r="H1465" s="7" t="str">
        <f t="shared" si="68"/>
        <v>Октябрь</v>
      </c>
      <c r="I1465" t="s">
        <v>7</v>
      </c>
      <c r="J1465">
        <v>64</v>
      </c>
      <c r="K1465" t="s">
        <v>10</v>
      </c>
      <c r="L1465">
        <v>1</v>
      </c>
      <c r="M1465">
        <v>197</v>
      </c>
      <c r="N1465" s="1">
        <f t="shared" si="69"/>
        <v>197</v>
      </c>
    </row>
    <row r="1466" spans="5:14" x14ac:dyDescent="0.25">
      <c r="E1466">
        <v>1786</v>
      </c>
      <c r="F1466" s="7">
        <v>45512</v>
      </c>
      <c r="G1466">
        <f t="shared" si="67"/>
        <v>2024</v>
      </c>
      <c r="H1466" s="7" t="str">
        <f t="shared" si="68"/>
        <v>Август</v>
      </c>
      <c r="I1466" t="s">
        <v>7</v>
      </c>
      <c r="J1466">
        <v>60</v>
      </c>
      <c r="K1466" t="s">
        <v>10</v>
      </c>
      <c r="L1466">
        <v>6</v>
      </c>
      <c r="M1466">
        <v>410</v>
      </c>
      <c r="N1466" s="1">
        <f t="shared" si="69"/>
        <v>2460</v>
      </c>
    </row>
    <row r="1467" spans="5:14" x14ac:dyDescent="0.25">
      <c r="E1467">
        <v>835</v>
      </c>
      <c r="F1467" s="7">
        <v>45108</v>
      </c>
      <c r="G1467">
        <f t="shared" si="67"/>
        <v>2023</v>
      </c>
      <c r="H1467" s="7" t="str">
        <f t="shared" si="68"/>
        <v>Июль</v>
      </c>
      <c r="I1467" t="s">
        <v>7</v>
      </c>
      <c r="J1467">
        <v>18</v>
      </c>
      <c r="K1467" t="s">
        <v>8</v>
      </c>
      <c r="L1467">
        <v>3</v>
      </c>
      <c r="M1467">
        <v>30</v>
      </c>
      <c r="N1467" s="1">
        <f t="shared" si="69"/>
        <v>90</v>
      </c>
    </row>
    <row r="1468" spans="5:14" x14ac:dyDescent="0.25">
      <c r="E1468">
        <v>923</v>
      </c>
      <c r="F1468" s="7">
        <v>45172</v>
      </c>
      <c r="G1468">
        <f t="shared" si="67"/>
        <v>2023</v>
      </c>
      <c r="H1468" s="7" t="str">
        <f t="shared" si="68"/>
        <v>Сентябрь</v>
      </c>
      <c r="I1468" t="s">
        <v>7</v>
      </c>
      <c r="J1468">
        <v>25</v>
      </c>
      <c r="K1468" t="s">
        <v>11</v>
      </c>
      <c r="L1468">
        <v>1</v>
      </c>
      <c r="M1468">
        <v>300</v>
      </c>
      <c r="N1468" s="1">
        <f t="shared" si="69"/>
        <v>300</v>
      </c>
    </row>
    <row r="1469" spans="5:14" x14ac:dyDescent="0.25">
      <c r="E1469">
        <v>1394</v>
      </c>
      <c r="F1469" s="7">
        <v>45361</v>
      </c>
      <c r="G1469">
        <f t="shared" si="67"/>
        <v>2024</v>
      </c>
      <c r="H1469" s="7" t="str">
        <f t="shared" si="68"/>
        <v>Март</v>
      </c>
      <c r="I1469" t="s">
        <v>9</v>
      </c>
      <c r="J1469">
        <v>25</v>
      </c>
      <c r="K1469" t="s">
        <v>8</v>
      </c>
      <c r="L1469">
        <v>4</v>
      </c>
      <c r="M1469">
        <v>36</v>
      </c>
      <c r="N1469" s="1">
        <f t="shared" si="69"/>
        <v>144</v>
      </c>
    </row>
    <row r="1470" spans="5:14" x14ac:dyDescent="0.25">
      <c r="E1470">
        <v>637</v>
      </c>
      <c r="F1470" s="7">
        <v>45157</v>
      </c>
      <c r="G1470">
        <f t="shared" si="67"/>
        <v>2023</v>
      </c>
      <c r="H1470" s="7" t="str">
        <f t="shared" si="68"/>
        <v>Август</v>
      </c>
      <c r="I1470" t="s">
        <v>7</v>
      </c>
      <c r="J1470">
        <v>46</v>
      </c>
      <c r="K1470" t="s">
        <v>11</v>
      </c>
      <c r="L1470">
        <v>1</v>
      </c>
      <c r="M1470">
        <v>500</v>
      </c>
      <c r="N1470" s="1">
        <f t="shared" si="69"/>
        <v>500</v>
      </c>
    </row>
    <row r="1471" spans="5:14" x14ac:dyDescent="0.25">
      <c r="E1471">
        <v>1685</v>
      </c>
      <c r="F1471" s="7">
        <v>45572</v>
      </c>
      <c r="G1471">
        <f t="shared" si="67"/>
        <v>2024</v>
      </c>
      <c r="H1471" s="7" t="str">
        <f t="shared" si="68"/>
        <v>Октябрь</v>
      </c>
      <c r="I1471" t="s">
        <v>7</v>
      </c>
      <c r="J1471">
        <v>35</v>
      </c>
      <c r="K1471" t="s">
        <v>11</v>
      </c>
      <c r="L1471">
        <v>3</v>
      </c>
      <c r="M1471">
        <v>178</v>
      </c>
      <c r="N1471" s="1">
        <f t="shared" si="69"/>
        <v>534</v>
      </c>
    </row>
    <row r="1472" spans="5:14" x14ac:dyDescent="0.25">
      <c r="E1472">
        <v>1006</v>
      </c>
      <c r="F1472" s="7">
        <v>45344</v>
      </c>
      <c r="G1472">
        <f t="shared" si="67"/>
        <v>2024</v>
      </c>
      <c r="H1472" s="7" t="str">
        <f t="shared" si="68"/>
        <v>Февраль</v>
      </c>
      <c r="I1472" t="s">
        <v>7</v>
      </c>
      <c r="J1472">
        <v>25</v>
      </c>
      <c r="K1472" t="s">
        <v>11</v>
      </c>
      <c r="L1472">
        <v>3</v>
      </c>
      <c r="M1472">
        <v>485</v>
      </c>
      <c r="N1472" s="1">
        <f t="shared" si="69"/>
        <v>1455</v>
      </c>
    </row>
    <row r="1473" spans="5:14" x14ac:dyDescent="0.25">
      <c r="E1473">
        <v>474</v>
      </c>
      <c r="F1473" s="7">
        <v>44946</v>
      </c>
      <c r="G1473">
        <f t="shared" si="67"/>
        <v>2023</v>
      </c>
      <c r="H1473" s="7" t="str">
        <f t="shared" si="68"/>
        <v>Январь</v>
      </c>
      <c r="I1473" t="s">
        <v>7</v>
      </c>
      <c r="J1473">
        <v>26</v>
      </c>
      <c r="K1473" t="s">
        <v>10</v>
      </c>
      <c r="L1473">
        <v>3</v>
      </c>
      <c r="M1473">
        <v>25</v>
      </c>
      <c r="N1473" s="1">
        <f t="shared" si="69"/>
        <v>75</v>
      </c>
    </row>
    <row r="1474" spans="5:14" x14ac:dyDescent="0.25">
      <c r="E1474">
        <v>1907</v>
      </c>
      <c r="F1474" s="7">
        <v>45433</v>
      </c>
      <c r="G1474">
        <f t="shared" si="67"/>
        <v>2024</v>
      </c>
      <c r="H1474" s="7" t="str">
        <f t="shared" si="68"/>
        <v>Май</v>
      </c>
      <c r="I1474" t="s">
        <v>7</v>
      </c>
      <c r="J1474">
        <v>52</v>
      </c>
      <c r="K1474" t="s">
        <v>11</v>
      </c>
      <c r="L1474">
        <v>1</v>
      </c>
      <c r="M1474">
        <v>249</v>
      </c>
      <c r="N1474" s="1">
        <f t="shared" si="69"/>
        <v>249</v>
      </c>
    </row>
    <row r="1475" spans="5:14" x14ac:dyDescent="0.25">
      <c r="E1475">
        <v>1207</v>
      </c>
      <c r="F1475" s="7">
        <v>45646</v>
      </c>
      <c r="G1475">
        <f t="shared" si="67"/>
        <v>2024</v>
      </c>
      <c r="H1475" s="7" t="str">
        <f t="shared" si="68"/>
        <v>Декабрь</v>
      </c>
      <c r="I1475" t="s">
        <v>9</v>
      </c>
      <c r="J1475">
        <v>36</v>
      </c>
      <c r="K1475" t="s">
        <v>11</v>
      </c>
      <c r="L1475">
        <v>5</v>
      </c>
      <c r="M1475">
        <v>368</v>
      </c>
      <c r="N1475" s="1">
        <f t="shared" si="69"/>
        <v>1840</v>
      </c>
    </row>
    <row r="1476" spans="5:14" x14ac:dyDescent="0.25">
      <c r="E1476">
        <v>355</v>
      </c>
      <c r="F1476" s="7">
        <v>45087</v>
      </c>
      <c r="G1476">
        <f t="shared" si="67"/>
        <v>2023</v>
      </c>
      <c r="H1476" s="7" t="str">
        <f t="shared" si="68"/>
        <v>Июнь</v>
      </c>
      <c r="I1476" t="s">
        <v>7</v>
      </c>
      <c r="J1476">
        <v>50</v>
      </c>
      <c r="K1476" t="s">
        <v>11</v>
      </c>
      <c r="L1476">
        <v>3</v>
      </c>
      <c r="M1476">
        <v>500</v>
      </c>
      <c r="N1476" s="1">
        <f t="shared" si="69"/>
        <v>1500</v>
      </c>
    </row>
    <row r="1477" spans="5:14" x14ac:dyDescent="0.25">
      <c r="E1477">
        <v>21</v>
      </c>
      <c r="F1477" s="7">
        <v>44940</v>
      </c>
      <c r="G1477">
        <f t="shared" si="67"/>
        <v>2023</v>
      </c>
      <c r="H1477" s="7" t="str">
        <f t="shared" si="68"/>
        <v>Январь</v>
      </c>
      <c r="I1477" t="s">
        <v>9</v>
      </c>
      <c r="J1477">
        <v>50</v>
      </c>
      <c r="K1477" t="s">
        <v>8</v>
      </c>
      <c r="L1477">
        <v>1</v>
      </c>
      <c r="M1477">
        <v>500</v>
      </c>
      <c r="N1477" s="1">
        <f t="shared" si="69"/>
        <v>500</v>
      </c>
    </row>
    <row r="1478" spans="5:14" x14ac:dyDescent="0.25">
      <c r="E1478">
        <v>1310</v>
      </c>
      <c r="F1478" s="7">
        <v>45372</v>
      </c>
      <c r="G1478">
        <f t="shared" si="67"/>
        <v>2024</v>
      </c>
      <c r="H1478" s="7" t="str">
        <f t="shared" si="68"/>
        <v>Март</v>
      </c>
      <c r="I1478" t="s">
        <v>9</v>
      </c>
      <c r="J1478">
        <v>45</v>
      </c>
      <c r="K1478" t="s">
        <v>8</v>
      </c>
      <c r="L1478">
        <v>3</v>
      </c>
      <c r="M1478">
        <v>428</v>
      </c>
      <c r="N1478" s="1">
        <f t="shared" si="69"/>
        <v>1284</v>
      </c>
    </row>
    <row r="1479" spans="5:14" x14ac:dyDescent="0.25">
      <c r="E1479">
        <v>1848</v>
      </c>
      <c r="F1479" s="7">
        <v>45577</v>
      </c>
      <c r="G1479">
        <f t="shared" si="67"/>
        <v>2024</v>
      </c>
      <c r="H1479" s="7" t="str">
        <f t="shared" si="68"/>
        <v>Октябрь</v>
      </c>
      <c r="I1479" t="s">
        <v>9</v>
      </c>
      <c r="J1479">
        <v>20</v>
      </c>
      <c r="K1479" t="s">
        <v>10</v>
      </c>
      <c r="L1479">
        <v>1</v>
      </c>
      <c r="M1479">
        <v>135</v>
      </c>
      <c r="N1479" s="1">
        <f t="shared" si="69"/>
        <v>135</v>
      </c>
    </row>
    <row r="1480" spans="5:14" x14ac:dyDescent="0.25">
      <c r="E1480">
        <v>1771</v>
      </c>
      <c r="F1480" s="7">
        <v>45330</v>
      </c>
      <c r="G1480">
        <f t="shared" si="67"/>
        <v>2024</v>
      </c>
      <c r="H1480" s="7" t="str">
        <f t="shared" si="68"/>
        <v>Февраль</v>
      </c>
      <c r="I1480" t="s">
        <v>9</v>
      </c>
      <c r="J1480">
        <v>35</v>
      </c>
      <c r="K1480" t="s">
        <v>11</v>
      </c>
      <c r="L1480">
        <v>6</v>
      </c>
      <c r="M1480">
        <v>23</v>
      </c>
      <c r="N1480" s="1">
        <f t="shared" si="69"/>
        <v>138</v>
      </c>
    </row>
    <row r="1481" spans="5:14" x14ac:dyDescent="0.25">
      <c r="E1481">
        <v>467</v>
      </c>
      <c r="F1481" s="7">
        <v>45269</v>
      </c>
      <c r="G1481">
        <f t="shared" si="67"/>
        <v>2023</v>
      </c>
      <c r="H1481" s="7" t="str">
        <f t="shared" si="68"/>
        <v>Декабрь</v>
      </c>
      <c r="I1481" t="s">
        <v>7</v>
      </c>
      <c r="J1481">
        <v>40</v>
      </c>
      <c r="K1481" t="s">
        <v>11</v>
      </c>
      <c r="L1481">
        <v>1</v>
      </c>
      <c r="M1481">
        <v>25</v>
      </c>
      <c r="N1481" s="1">
        <f t="shared" si="69"/>
        <v>25</v>
      </c>
    </row>
    <row r="1482" spans="5:14" x14ac:dyDescent="0.25">
      <c r="E1482">
        <v>279</v>
      </c>
      <c r="F1482" s="7">
        <v>45020</v>
      </c>
      <c r="G1482">
        <f t="shared" ref="G1482:G1545" si="70">YEAR(F1482)</f>
        <v>2023</v>
      </c>
      <c r="H1482" s="7" t="str">
        <f t="shared" ref="H1482:H1545" si="71">TEXT(F1482,"ММММ")</f>
        <v>Апрель</v>
      </c>
      <c r="I1482" t="s">
        <v>9</v>
      </c>
      <c r="J1482">
        <v>37</v>
      </c>
      <c r="K1482" t="s">
        <v>10</v>
      </c>
      <c r="L1482">
        <v>3</v>
      </c>
      <c r="M1482">
        <v>500</v>
      </c>
      <c r="N1482" s="1">
        <f t="shared" ref="N1482:N1545" si="72">L1482*M1482</f>
        <v>1500</v>
      </c>
    </row>
    <row r="1483" spans="5:14" x14ac:dyDescent="0.25">
      <c r="E1483">
        <v>974</v>
      </c>
      <c r="F1483" s="7">
        <v>45209</v>
      </c>
      <c r="G1483">
        <f t="shared" si="70"/>
        <v>2023</v>
      </c>
      <c r="H1483" s="7" t="str">
        <f t="shared" si="71"/>
        <v>Октябрь</v>
      </c>
      <c r="I1483" t="s">
        <v>9</v>
      </c>
      <c r="J1483">
        <v>48</v>
      </c>
      <c r="K1483" t="s">
        <v>8</v>
      </c>
      <c r="L1483">
        <v>2</v>
      </c>
      <c r="M1483">
        <v>300</v>
      </c>
      <c r="N1483" s="1">
        <f t="shared" si="72"/>
        <v>600</v>
      </c>
    </row>
    <row r="1484" spans="5:14" x14ac:dyDescent="0.25">
      <c r="E1484">
        <v>1276</v>
      </c>
      <c r="F1484" s="7">
        <v>45509</v>
      </c>
      <c r="G1484">
        <f t="shared" si="70"/>
        <v>2024</v>
      </c>
      <c r="H1484" s="7" t="str">
        <f t="shared" si="71"/>
        <v>Август</v>
      </c>
      <c r="I1484" t="s">
        <v>7</v>
      </c>
      <c r="J1484">
        <v>58</v>
      </c>
      <c r="K1484" t="s">
        <v>10</v>
      </c>
      <c r="L1484">
        <v>4</v>
      </c>
      <c r="M1484">
        <v>165</v>
      </c>
      <c r="N1484" s="1">
        <f t="shared" si="72"/>
        <v>660</v>
      </c>
    </row>
    <row r="1485" spans="5:14" x14ac:dyDescent="0.25">
      <c r="E1485">
        <v>479</v>
      </c>
      <c r="F1485" s="7">
        <v>45106</v>
      </c>
      <c r="G1485">
        <f t="shared" si="70"/>
        <v>2023</v>
      </c>
      <c r="H1485" s="7" t="str">
        <f t="shared" si="71"/>
        <v>Июнь</v>
      </c>
      <c r="I1485" t="s">
        <v>9</v>
      </c>
      <c r="J1485">
        <v>42</v>
      </c>
      <c r="K1485" t="s">
        <v>8</v>
      </c>
      <c r="L1485">
        <v>4</v>
      </c>
      <c r="M1485">
        <v>500</v>
      </c>
      <c r="N1485" s="1">
        <f t="shared" si="72"/>
        <v>2000</v>
      </c>
    </row>
    <row r="1486" spans="5:14" x14ac:dyDescent="0.25">
      <c r="E1486">
        <v>81</v>
      </c>
      <c r="F1486" s="7">
        <v>45063</v>
      </c>
      <c r="G1486">
        <f t="shared" si="70"/>
        <v>2023</v>
      </c>
      <c r="H1486" s="7" t="str">
        <f t="shared" si="71"/>
        <v>Май</v>
      </c>
      <c r="I1486" t="s">
        <v>7</v>
      </c>
      <c r="J1486">
        <v>40</v>
      </c>
      <c r="K1486" t="s">
        <v>11</v>
      </c>
      <c r="L1486">
        <v>1</v>
      </c>
      <c r="M1486">
        <v>50</v>
      </c>
      <c r="N1486" s="1">
        <f t="shared" si="72"/>
        <v>50</v>
      </c>
    </row>
    <row r="1487" spans="5:14" x14ac:dyDescent="0.25">
      <c r="E1487">
        <v>95</v>
      </c>
      <c r="F1487" s="7">
        <v>45254</v>
      </c>
      <c r="G1487">
        <f t="shared" si="70"/>
        <v>2023</v>
      </c>
      <c r="H1487" s="7" t="str">
        <f t="shared" si="71"/>
        <v>Ноябрь</v>
      </c>
      <c r="I1487" t="s">
        <v>9</v>
      </c>
      <c r="J1487">
        <v>32</v>
      </c>
      <c r="K1487" t="s">
        <v>10</v>
      </c>
      <c r="L1487">
        <v>2</v>
      </c>
      <c r="M1487">
        <v>30</v>
      </c>
      <c r="N1487" s="1">
        <f t="shared" si="72"/>
        <v>60</v>
      </c>
    </row>
    <row r="1488" spans="5:14" x14ac:dyDescent="0.25">
      <c r="E1488">
        <v>1514</v>
      </c>
      <c r="F1488" s="7">
        <v>45390</v>
      </c>
      <c r="G1488">
        <f t="shared" si="70"/>
        <v>2024</v>
      </c>
      <c r="H1488" s="7" t="str">
        <f t="shared" si="71"/>
        <v>Апрель</v>
      </c>
      <c r="I1488" t="s">
        <v>9</v>
      </c>
      <c r="J1488">
        <v>49</v>
      </c>
      <c r="K1488" t="s">
        <v>10</v>
      </c>
      <c r="L1488">
        <v>2</v>
      </c>
      <c r="M1488">
        <v>351</v>
      </c>
      <c r="N1488" s="1">
        <f t="shared" si="72"/>
        <v>702</v>
      </c>
    </row>
    <row r="1489" spans="5:14" x14ac:dyDescent="0.25">
      <c r="E1489">
        <v>1199</v>
      </c>
      <c r="F1489" s="7">
        <v>45574</v>
      </c>
      <c r="G1489">
        <f t="shared" si="70"/>
        <v>2024</v>
      </c>
      <c r="H1489" s="7" t="str">
        <f t="shared" si="71"/>
        <v>Октябрь</v>
      </c>
      <c r="I1489" t="s">
        <v>7</v>
      </c>
      <c r="J1489">
        <v>30</v>
      </c>
      <c r="K1489" t="s">
        <v>11</v>
      </c>
      <c r="L1489">
        <v>3</v>
      </c>
      <c r="M1489">
        <v>189</v>
      </c>
      <c r="N1489" s="1">
        <f t="shared" si="72"/>
        <v>567</v>
      </c>
    </row>
    <row r="1490" spans="5:14" x14ac:dyDescent="0.25">
      <c r="E1490">
        <v>351</v>
      </c>
      <c r="F1490" s="7">
        <v>45088</v>
      </c>
      <c r="G1490">
        <f t="shared" si="70"/>
        <v>2023</v>
      </c>
      <c r="H1490" s="7" t="str">
        <f t="shared" si="71"/>
        <v>Июнь</v>
      </c>
      <c r="I1490" t="s">
        <v>7</v>
      </c>
      <c r="J1490">
        <v>57</v>
      </c>
      <c r="K1490" t="s">
        <v>11</v>
      </c>
      <c r="L1490">
        <v>2</v>
      </c>
      <c r="M1490">
        <v>500</v>
      </c>
      <c r="N1490" s="1">
        <f t="shared" si="72"/>
        <v>1000</v>
      </c>
    </row>
    <row r="1491" spans="5:14" x14ac:dyDescent="0.25">
      <c r="E1491">
        <v>1546</v>
      </c>
      <c r="F1491" s="7">
        <v>45508</v>
      </c>
      <c r="G1491">
        <f t="shared" si="70"/>
        <v>2024</v>
      </c>
      <c r="H1491" s="7" t="str">
        <f t="shared" si="71"/>
        <v>Август</v>
      </c>
      <c r="I1491" t="s">
        <v>9</v>
      </c>
      <c r="J1491">
        <v>47</v>
      </c>
      <c r="K1491" t="s">
        <v>8</v>
      </c>
      <c r="L1491">
        <v>5</v>
      </c>
      <c r="M1491">
        <v>415</v>
      </c>
      <c r="N1491" s="1">
        <f t="shared" si="72"/>
        <v>2075</v>
      </c>
    </row>
    <row r="1492" spans="5:14" x14ac:dyDescent="0.25">
      <c r="E1492">
        <v>905</v>
      </c>
      <c r="F1492" s="7">
        <v>44934</v>
      </c>
      <c r="G1492">
        <f t="shared" si="70"/>
        <v>2023</v>
      </c>
      <c r="H1492" s="7" t="str">
        <f t="shared" si="71"/>
        <v>Январь</v>
      </c>
      <c r="I1492" t="s">
        <v>9</v>
      </c>
      <c r="J1492">
        <v>45</v>
      </c>
      <c r="K1492" t="s">
        <v>11</v>
      </c>
      <c r="L1492">
        <v>1</v>
      </c>
      <c r="M1492">
        <v>25</v>
      </c>
      <c r="N1492" s="1">
        <f t="shared" si="72"/>
        <v>25</v>
      </c>
    </row>
    <row r="1493" spans="5:14" x14ac:dyDescent="0.25">
      <c r="E1493">
        <v>365</v>
      </c>
      <c r="F1493" s="7">
        <v>44964</v>
      </c>
      <c r="G1493">
        <f t="shared" si="70"/>
        <v>2023</v>
      </c>
      <c r="H1493" s="7" t="str">
        <f t="shared" si="71"/>
        <v>Февраль</v>
      </c>
      <c r="I1493" t="s">
        <v>7</v>
      </c>
      <c r="J1493">
        <v>57</v>
      </c>
      <c r="K1493" t="s">
        <v>10</v>
      </c>
      <c r="L1493">
        <v>2</v>
      </c>
      <c r="M1493">
        <v>50</v>
      </c>
      <c r="N1493" s="1">
        <f t="shared" si="72"/>
        <v>100</v>
      </c>
    </row>
    <row r="1494" spans="5:14" x14ac:dyDescent="0.25">
      <c r="E1494">
        <v>1140</v>
      </c>
      <c r="F1494" s="7">
        <v>45324</v>
      </c>
      <c r="G1494">
        <f t="shared" si="70"/>
        <v>2024</v>
      </c>
      <c r="H1494" s="7" t="str">
        <f t="shared" si="71"/>
        <v>Февраль</v>
      </c>
      <c r="I1494" t="s">
        <v>7</v>
      </c>
      <c r="J1494">
        <v>43</v>
      </c>
      <c r="K1494" t="s">
        <v>11</v>
      </c>
      <c r="L1494">
        <v>1</v>
      </c>
      <c r="M1494">
        <v>310</v>
      </c>
      <c r="N1494" s="1">
        <f t="shared" si="72"/>
        <v>310</v>
      </c>
    </row>
    <row r="1495" spans="5:14" x14ac:dyDescent="0.25">
      <c r="E1495">
        <v>1126</v>
      </c>
      <c r="F1495" s="7">
        <v>45478</v>
      </c>
      <c r="G1495">
        <f t="shared" si="70"/>
        <v>2024</v>
      </c>
      <c r="H1495" s="7" t="str">
        <f t="shared" si="71"/>
        <v>Июль</v>
      </c>
      <c r="I1495" t="s">
        <v>7</v>
      </c>
      <c r="J1495">
        <v>24</v>
      </c>
      <c r="K1495" t="s">
        <v>8</v>
      </c>
      <c r="L1495">
        <v>2</v>
      </c>
      <c r="M1495">
        <v>231</v>
      </c>
      <c r="N1495" s="1">
        <f t="shared" si="72"/>
        <v>462</v>
      </c>
    </row>
    <row r="1496" spans="5:14" x14ac:dyDescent="0.25">
      <c r="E1496">
        <v>585</v>
      </c>
      <c r="F1496" s="7">
        <v>45271</v>
      </c>
      <c r="G1496">
        <f t="shared" si="70"/>
        <v>2023</v>
      </c>
      <c r="H1496" s="7" t="str">
        <f t="shared" si="71"/>
        <v>Декабрь</v>
      </c>
      <c r="I1496" t="s">
        <v>7</v>
      </c>
      <c r="J1496">
        <v>50</v>
      </c>
      <c r="K1496" t="s">
        <v>11</v>
      </c>
      <c r="L1496">
        <v>1</v>
      </c>
      <c r="M1496">
        <v>50</v>
      </c>
      <c r="N1496" s="1">
        <f t="shared" si="72"/>
        <v>50</v>
      </c>
    </row>
    <row r="1497" spans="5:14" x14ac:dyDescent="0.25">
      <c r="E1497">
        <v>877</v>
      </c>
      <c r="F1497" s="7">
        <v>45286</v>
      </c>
      <c r="G1497">
        <f t="shared" si="70"/>
        <v>2023</v>
      </c>
      <c r="H1497" s="7" t="str">
        <f t="shared" si="71"/>
        <v>Декабрь</v>
      </c>
      <c r="I1497" t="s">
        <v>7</v>
      </c>
      <c r="J1497">
        <v>23</v>
      </c>
      <c r="K1497" t="s">
        <v>10</v>
      </c>
      <c r="L1497">
        <v>1</v>
      </c>
      <c r="M1497">
        <v>30</v>
      </c>
      <c r="N1497" s="1">
        <f t="shared" si="72"/>
        <v>30</v>
      </c>
    </row>
    <row r="1498" spans="5:14" x14ac:dyDescent="0.25">
      <c r="E1498">
        <v>1318</v>
      </c>
      <c r="F1498" s="7">
        <v>45453</v>
      </c>
      <c r="G1498">
        <f t="shared" si="70"/>
        <v>2024</v>
      </c>
      <c r="H1498" s="7" t="str">
        <f t="shared" si="71"/>
        <v>Июнь</v>
      </c>
      <c r="I1498" t="s">
        <v>9</v>
      </c>
      <c r="J1498">
        <v>34</v>
      </c>
      <c r="K1498" t="s">
        <v>11</v>
      </c>
      <c r="L1498">
        <v>6</v>
      </c>
      <c r="M1498">
        <v>396</v>
      </c>
      <c r="N1498" s="1">
        <f t="shared" si="72"/>
        <v>2376</v>
      </c>
    </row>
    <row r="1499" spans="5:14" x14ac:dyDescent="0.25">
      <c r="E1499">
        <v>325</v>
      </c>
      <c r="F1499" s="7">
        <v>45184</v>
      </c>
      <c r="G1499">
        <f t="shared" si="70"/>
        <v>2023</v>
      </c>
      <c r="H1499" s="7" t="str">
        <f t="shared" si="71"/>
        <v>Сентябрь</v>
      </c>
      <c r="I1499" t="s">
        <v>9</v>
      </c>
      <c r="J1499">
        <v>18</v>
      </c>
      <c r="K1499" t="s">
        <v>10</v>
      </c>
      <c r="L1499">
        <v>3</v>
      </c>
      <c r="M1499">
        <v>25</v>
      </c>
      <c r="N1499" s="1">
        <f t="shared" si="72"/>
        <v>75</v>
      </c>
    </row>
    <row r="1500" spans="5:14" x14ac:dyDescent="0.25">
      <c r="E1500">
        <v>721</v>
      </c>
      <c r="F1500" s="7">
        <v>45094</v>
      </c>
      <c r="G1500">
        <f t="shared" si="70"/>
        <v>2023</v>
      </c>
      <c r="H1500" s="7" t="str">
        <f t="shared" si="71"/>
        <v>Июнь</v>
      </c>
      <c r="I1500" t="s">
        <v>9</v>
      </c>
      <c r="J1500">
        <v>54</v>
      </c>
      <c r="K1500" t="s">
        <v>8</v>
      </c>
      <c r="L1500">
        <v>4</v>
      </c>
      <c r="M1500">
        <v>50</v>
      </c>
      <c r="N1500" s="1">
        <f t="shared" si="72"/>
        <v>200</v>
      </c>
    </row>
    <row r="1501" spans="5:14" x14ac:dyDescent="0.25">
      <c r="E1501">
        <v>1272</v>
      </c>
      <c r="F1501" s="7">
        <v>45390</v>
      </c>
      <c r="G1501">
        <f t="shared" si="70"/>
        <v>2024</v>
      </c>
      <c r="H1501" s="7" t="str">
        <f t="shared" si="71"/>
        <v>Апрель</v>
      </c>
      <c r="I1501" t="s">
        <v>7</v>
      </c>
      <c r="J1501">
        <v>47</v>
      </c>
      <c r="K1501" t="s">
        <v>10</v>
      </c>
      <c r="L1501">
        <v>4</v>
      </c>
      <c r="M1501">
        <v>405</v>
      </c>
      <c r="N1501" s="1">
        <f t="shared" si="72"/>
        <v>1620</v>
      </c>
    </row>
    <row r="1502" spans="5:14" x14ac:dyDescent="0.25">
      <c r="E1502">
        <v>285</v>
      </c>
      <c r="F1502" s="7">
        <v>45208</v>
      </c>
      <c r="G1502">
        <f t="shared" si="70"/>
        <v>2023</v>
      </c>
      <c r="H1502" s="7" t="str">
        <f t="shared" si="71"/>
        <v>Октябрь</v>
      </c>
      <c r="I1502" t="s">
        <v>7</v>
      </c>
      <c r="J1502">
        <v>55</v>
      </c>
      <c r="K1502" t="s">
        <v>11</v>
      </c>
      <c r="L1502">
        <v>2</v>
      </c>
      <c r="M1502">
        <v>25</v>
      </c>
      <c r="N1502" s="1">
        <f t="shared" si="72"/>
        <v>50</v>
      </c>
    </row>
    <row r="1503" spans="5:14" x14ac:dyDescent="0.25">
      <c r="E1503">
        <v>1988</v>
      </c>
      <c r="F1503" s="7">
        <v>45525</v>
      </c>
      <c r="G1503">
        <f t="shared" si="70"/>
        <v>2024</v>
      </c>
      <c r="H1503" s="7" t="str">
        <f t="shared" si="71"/>
        <v>Август</v>
      </c>
      <c r="I1503" t="s">
        <v>9</v>
      </c>
      <c r="J1503">
        <v>18</v>
      </c>
      <c r="K1503" t="s">
        <v>11</v>
      </c>
      <c r="L1503">
        <v>7</v>
      </c>
      <c r="M1503">
        <v>344</v>
      </c>
      <c r="N1503" s="1">
        <f t="shared" si="72"/>
        <v>2408</v>
      </c>
    </row>
    <row r="1504" spans="5:14" x14ac:dyDescent="0.25">
      <c r="E1504">
        <v>1825</v>
      </c>
      <c r="F1504" s="7">
        <v>45487</v>
      </c>
      <c r="G1504">
        <f t="shared" si="70"/>
        <v>2024</v>
      </c>
      <c r="H1504" s="7" t="str">
        <f t="shared" si="71"/>
        <v>Июль</v>
      </c>
      <c r="I1504" t="s">
        <v>7</v>
      </c>
      <c r="J1504">
        <v>28</v>
      </c>
      <c r="K1504" t="s">
        <v>8</v>
      </c>
      <c r="L1504">
        <v>1</v>
      </c>
      <c r="M1504">
        <v>399</v>
      </c>
      <c r="N1504" s="1">
        <f t="shared" si="72"/>
        <v>399</v>
      </c>
    </row>
    <row r="1505" spans="5:14" x14ac:dyDescent="0.25">
      <c r="E1505">
        <v>1165</v>
      </c>
      <c r="F1505" s="7">
        <v>45552</v>
      </c>
      <c r="G1505">
        <f t="shared" si="70"/>
        <v>2024</v>
      </c>
      <c r="H1505" s="7" t="str">
        <f t="shared" si="71"/>
        <v>Сентябрь</v>
      </c>
      <c r="I1505" t="s">
        <v>9</v>
      </c>
      <c r="J1505">
        <v>35</v>
      </c>
      <c r="K1505" t="s">
        <v>10</v>
      </c>
      <c r="L1505">
        <v>6</v>
      </c>
      <c r="M1505">
        <v>430</v>
      </c>
      <c r="N1505" s="1">
        <f t="shared" si="72"/>
        <v>2580</v>
      </c>
    </row>
    <row r="1506" spans="5:14" x14ac:dyDescent="0.25">
      <c r="E1506">
        <v>984</v>
      </c>
      <c r="F1506" s="7">
        <v>44943</v>
      </c>
      <c r="G1506">
        <f t="shared" si="70"/>
        <v>2023</v>
      </c>
      <c r="H1506" s="7" t="str">
        <f t="shared" si="71"/>
        <v>Январь</v>
      </c>
      <c r="I1506" t="s">
        <v>9</v>
      </c>
      <c r="J1506">
        <v>49</v>
      </c>
      <c r="K1506" t="s">
        <v>10</v>
      </c>
      <c r="L1506">
        <v>2</v>
      </c>
      <c r="M1506">
        <v>500</v>
      </c>
      <c r="N1506" s="1">
        <f t="shared" si="72"/>
        <v>1000</v>
      </c>
    </row>
    <row r="1507" spans="5:14" x14ac:dyDescent="0.25">
      <c r="E1507">
        <v>393</v>
      </c>
      <c r="F1507" s="7">
        <v>45080</v>
      </c>
      <c r="G1507">
        <f t="shared" si="70"/>
        <v>2023</v>
      </c>
      <c r="H1507" s="7" t="str">
        <f t="shared" si="71"/>
        <v>Июнь</v>
      </c>
      <c r="I1507" t="s">
        <v>9</v>
      </c>
      <c r="J1507">
        <v>27</v>
      </c>
      <c r="K1507" t="s">
        <v>10</v>
      </c>
      <c r="L1507">
        <v>1</v>
      </c>
      <c r="M1507">
        <v>500</v>
      </c>
      <c r="N1507" s="1">
        <f t="shared" si="72"/>
        <v>500</v>
      </c>
    </row>
    <row r="1508" spans="5:14" x14ac:dyDescent="0.25">
      <c r="E1508">
        <v>1314</v>
      </c>
      <c r="F1508" s="7">
        <v>45321</v>
      </c>
      <c r="G1508">
        <f t="shared" si="70"/>
        <v>2024</v>
      </c>
      <c r="H1508" s="7" t="str">
        <f t="shared" si="71"/>
        <v>Январь</v>
      </c>
      <c r="I1508" t="s">
        <v>7</v>
      </c>
      <c r="J1508">
        <v>39</v>
      </c>
      <c r="K1508" t="s">
        <v>11</v>
      </c>
      <c r="L1508">
        <v>2</v>
      </c>
      <c r="M1508">
        <v>132</v>
      </c>
      <c r="N1508" s="1">
        <f t="shared" si="72"/>
        <v>264</v>
      </c>
    </row>
    <row r="1509" spans="5:14" x14ac:dyDescent="0.25">
      <c r="E1509">
        <v>498</v>
      </c>
      <c r="F1509" s="7">
        <v>44941</v>
      </c>
      <c r="G1509">
        <f t="shared" si="70"/>
        <v>2023</v>
      </c>
      <c r="H1509" s="7" t="str">
        <f t="shared" si="71"/>
        <v>Январь</v>
      </c>
      <c r="I1509" t="s">
        <v>7</v>
      </c>
      <c r="J1509">
        <v>46</v>
      </c>
      <c r="K1509" t="s">
        <v>8</v>
      </c>
      <c r="L1509">
        <v>2</v>
      </c>
      <c r="M1509">
        <v>30</v>
      </c>
      <c r="N1509" s="1">
        <f t="shared" si="72"/>
        <v>60</v>
      </c>
    </row>
    <row r="1510" spans="5:14" x14ac:dyDescent="0.25">
      <c r="E1510">
        <v>48</v>
      </c>
      <c r="F1510" s="7">
        <v>45062</v>
      </c>
      <c r="G1510">
        <f t="shared" si="70"/>
        <v>2023</v>
      </c>
      <c r="H1510" s="7" t="str">
        <f t="shared" si="71"/>
        <v>Май</v>
      </c>
      <c r="I1510" t="s">
        <v>7</v>
      </c>
      <c r="J1510">
        <v>54</v>
      </c>
      <c r="K1510" t="s">
        <v>11</v>
      </c>
      <c r="L1510">
        <v>3</v>
      </c>
      <c r="M1510">
        <v>300</v>
      </c>
      <c r="N1510" s="1">
        <f t="shared" si="72"/>
        <v>900</v>
      </c>
    </row>
    <row r="1511" spans="5:14" x14ac:dyDescent="0.25">
      <c r="E1511">
        <v>966</v>
      </c>
      <c r="F1511" s="7">
        <v>45247</v>
      </c>
      <c r="G1511">
        <f t="shared" si="70"/>
        <v>2023</v>
      </c>
      <c r="H1511" s="7" t="str">
        <f t="shared" si="71"/>
        <v>Ноябрь</v>
      </c>
      <c r="I1511" t="s">
        <v>9</v>
      </c>
      <c r="J1511">
        <v>48</v>
      </c>
      <c r="K1511" t="s">
        <v>10</v>
      </c>
      <c r="L1511">
        <v>3</v>
      </c>
      <c r="M1511">
        <v>300</v>
      </c>
      <c r="N1511" s="1">
        <f t="shared" si="72"/>
        <v>900</v>
      </c>
    </row>
    <row r="1512" spans="5:14" x14ac:dyDescent="0.25">
      <c r="E1512">
        <v>800</v>
      </c>
      <c r="F1512" s="7">
        <v>45112</v>
      </c>
      <c r="G1512">
        <f t="shared" si="70"/>
        <v>2023</v>
      </c>
      <c r="H1512" s="7" t="str">
        <f t="shared" si="71"/>
        <v>Июль</v>
      </c>
      <c r="I1512" t="s">
        <v>9</v>
      </c>
      <c r="J1512">
        <v>46</v>
      </c>
      <c r="K1512" t="s">
        <v>8</v>
      </c>
      <c r="L1512">
        <v>1</v>
      </c>
      <c r="M1512">
        <v>30</v>
      </c>
      <c r="N1512" s="1">
        <f t="shared" si="72"/>
        <v>30</v>
      </c>
    </row>
    <row r="1513" spans="5:14" x14ac:dyDescent="0.25">
      <c r="E1513">
        <v>1033</v>
      </c>
      <c r="F1513" s="7">
        <v>45509</v>
      </c>
      <c r="G1513">
        <f t="shared" si="70"/>
        <v>2024</v>
      </c>
      <c r="H1513" s="7" t="str">
        <f t="shared" si="71"/>
        <v>Август</v>
      </c>
      <c r="I1513" t="s">
        <v>9</v>
      </c>
      <c r="J1513">
        <v>48</v>
      </c>
      <c r="K1513" t="s">
        <v>8</v>
      </c>
      <c r="L1513">
        <v>3</v>
      </c>
      <c r="M1513">
        <v>436</v>
      </c>
      <c r="N1513" s="1">
        <f t="shared" si="72"/>
        <v>1308</v>
      </c>
    </row>
    <row r="1514" spans="5:14" x14ac:dyDescent="0.25">
      <c r="E1514">
        <v>1751</v>
      </c>
      <c r="F1514" s="7">
        <v>45404</v>
      </c>
      <c r="G1514">
        <f t="shared" si="70"/>
        <v>2024</v>
      </c>
      <c r="H1514" s="7" t="str">
        <f t="shared" si="71"/>
        <v>Апрель</v>
      </c>
      <c r="I1514" t="s">
        <v>9</v>
      </c>
      <c r="J1514">
        <v>62</v>
      </c>
      <c r="K1514" t="s">
        <v>10</v>
      </c>
      <c r="L1514">
        <v>3</v>
      </c>
      <c r="M1514">
        <v>227</v>
      </c>
      <c r="N1514" s="1">
        <f t="shared" si="72"/>
        <v>681</v>
      </c>
    </row>
    <row r="1515" spans="5:14" x14ac:dyDescent="0.25">
      <c r="E1515">
        <v>1077</v>
      </c>
      <c r="F1515" s="7">
        <v>45400</v>
      </c>
      <c r="G1515">
        <f t="shared" si="70"/>
        <v>2024</v>
      </c>
      <c r="H1515" s="7" t="str">
        <f t="shared" si="71"/>
        <v>Апрель</v>
      </c>
      <c r="I1515" t="s">
        <v>7</v>
      </c>
      <c r="J1515">
        <v>60</v>
      </c>
      <c r="K1515" t="s">
        <v>8</v>
      </c>
      <c r="L1515">
        <v>4</v>
      </c>
      <c r="M1515">
        <v>121</v>
      </c>
      <c r="N1515" s="1">
        <f t="shared" si="72"/>
        <v>484</v>
      </c>
    </row>
    <row r="1516" spans="5:14" x14ac:dyDescent="0.25">
      <c r="E1516">
        <v>1</v>
      </c>
      <c r="F1516" s="7">
        <v>45254</v>
      </c>
      <c r="G1516">
        <f t="shared" si="70"/>
        <v>2023</v>
      </c>
      <c r="H1516" s="7" t="str">
        <f t="shared" si="71"/>
        <v>Ноябрь</v>
      </c>
      <c r="I1516" t="s">
        <v>7</v>
      </c>
      <c r="J1516">
        <v>34</v>
      </c>
      <c r="K1516" t="s">
        <v>8</v>
      </c>
      <c r="L1516">
        <v>3</v>
      </c>
      <c r="M1516">
        <v>50</v>
      </c>
      <c r="N1516" s="1">
        <f t="shared" si="72"/>
        <v>150</v>
      </c>
    </row>
    <row r="1517" spans="5:14" x14ac:dyDescent="0.25">
      <c r="E1517">
        <v>1455</v>
      </c>
      <c r="F1517" s="7">
        <v>45610</v>
      </c>
      <c r="G1517">
        <f t="shared" si="70"/>
        <v>2024</v>
      </c>
      <c r="H1517" s="7" t="str">
        <f t="shared" si="71"/>
        <v>Ноябрь</v>
      </c>
      <c r="I1517" t="s">
        <v>9</v>
      </c>
      <c r="J1517">
        <v>28</v>
      </c>
      <c r="K1517" t="s">
        <v>11</v>
      </c>
      <c r="L1517">
        <v>4</v>
      </c>
      <c r="M1517">
        <v>163</v>
      </c>
      <c r="N1517" s="1">
        <f t="shared" si="72"/>
        <v>652</v>
      </c>
    </row>
    <row r="1518" spans="5:14" x14ac:dyDescent="0.25">
      <c r="E1518">
        <v>925</v>
      </c>
      <c r="F1518" s="7">
        <v>45101</v>
      </c>
      <c r="G1518">
        <f t="shared" si="70"/>
        <v>2023</v>
      </c>
      <c r="H1518" s="7" t="str">
        <f t="shared" si="71"/>
        <v>Июнь</v>
      </c>
      <c r="I1518" t="s">
        <v>7</v>
      </c>
      <c r="J1518">
        <v>43</v>
      </c>
      <c r="K1518" t="s">
        <v>11</v>
      </c>
      <c r="L1518">
        <v>4</v>
      </c>
      <c r="M1518">
        <v>500</v>
      </c>
      <c r="N1518" s="1">
        <f t="shared" si="72"/>
        <v>2000</v>
      </c>
    </row>
    <row r="1519" spans="5:14" x14ac:dyDescent="0.25">
      <c r="E1519">
        <v>24</v>
      </c>
      <c r="F1519" s="7">
        <v>45259</v>
      </c>
      <c r="G1519">
        <f t="shared" si="70"/>
        <v>2023</v>
      </c>
      <c r="H1519" s="7" t="str">
        <f t="shared" si="71"/>
        <v>Ноябрь</v>
      </c>
      <c r="I1519" t="s">
        <v>9</v>
      </c>
      <c r="J1519">
        <v>49</v>
      </c>
      <c r="K1519" t="s">
        <v>10</v>
      </c>
      <c r="L1519">
        <v>1</v>
      </c>
      <c r="M1519">
        <v>300</v>
      </c>
      <c r="N1519" s="1">
        <f t="shared" si="72"/>
        <v>300</v>
      </c>
    </row>
    <row r="1520" spans="5:14" x14ac:dyDescent="0.25">
      <c r="E1520">
        <v>1366</v>
      </c>
      <c r="F1520" s="7">
        <v>45611</v>
      </c>
      <c r="G1520">
        <f t="shared" si="70"/>
        <v>2024</v>
      </c>
      <c r="H1520" s="7" t="str">
        <f t="shared" si="71"/>
        <v>Ноябрь</v>
      </c>
      <c r="I1520" t="s">
        <v>7</v>
      </c>
      <c r="J1520">
        <v>18</v>
      </c>
      <c r="K1520" t="s">
        <v>11</v>
      </c>
      <c r="L1520">
        <v>7</v>
      </c>
      <c r="M1520">
        <v>31</v>
      </c>
      <c r="N1520" s="1">
        <f t="shared" si="72"/>
        <v>217</v>
      </c>
    </row>
    <row r="1521" spans="5:14" x14ac:dyDescent="0.25">
      <c r="E1521">
        <v>1922</v>
      </c>
      <c r="F1521" s="7">
        <v>45518</v>
      </c>
      <c r="G1521">
        <f t="shared" si="70"/>
        <v>2024</v>
      </c>
      <c r="H1521" s="7" t="str">
        <f t="shared" si="71"/>
        <v>Август</v>
      </c>
      <c r="I1521" t="s">
        <v>7</v>
      </c>
      <c r="J1521">
        <v>64</v>
      </c>
      <c r="K1521" t="s">
        <v>11</v>
      </c>
      <c r="L1521">
        <v>1</v>
      </c>
      <c r="M1521">
        <v>270</v>
      </c>
      <c r="N1521" s="1">
        <f t="shared" si="72"/>
        <v>270</v>
      </c>
    </row>
    <row r="1522" spans="5:14" x14ac:dyDescent="0.25">
      <c r="E1522">
        <v>1750</v>
      </c>
      <c r="F1522" s="7">
        <v>45581</v>
      </c>
      <c r="G1522">
        <f t="shared" si="70"/>
        <v>2024</v>
      </c>
      <c r="H1522" s="7" t="str">
        <f t="shared" si="71"/>
        <v>Октябрь</v>
      </c>
      <c r="I1522" t="s">
        <v>9</v>
      </c>
      <c r="J1522">
        <v>25</v>
      </c>
      <c r="K1522" t="s">
        <v>11</v>
      </c>
      <c r="L1522">
        <v>4</v>
      </c>
      <c r="M1522">
        <v>161</v>
      </c>
      <c r="N1522" s="1">
        <f t="shared" si="72"/>
        <v>644</v>
      </c>
    </row>
    <row r="1523" spans="5:14" x14ac:dyDescent="0.25">
      <c r="E1523">
        <v>1870</v>
      </c>
      <c r="F1523" s="7">
        <v>45469</v>
      </c>
      <c r="G1523">
        <f t="shared" si="70"/>
        <v>2024</v>
      </c>
      <c r="H1523" s="7" t="str">
        <f t="shared" si="71"/>
        <v>Июнь</v>
      </c>
      <c r="I1523" t="s">
        <v>7</v>
      </c>
      <c r="J1523">
        <v>37</v>
      </c>
      <c r="K1523" t="s">
        <v>8</v>
      </c>
      <c r="L1523">
        <v>4</v>
      </c>
      <c r="M1523">
        <v>18</v>
      </c>
      <c r="N1523" s="1">
        <f t="shared" si="72"/>
        <v>72</v>
      </c>
    </row>
    <row r="1524" spans="5:14" x14ac:dyDescent="0.25">
      <c r="E1524">
        <v>1551</v>
      </c>
      <c r="F1524" s="7">
        <v>45608</v>
      </c>
      <c r="G1524">
        <f t="shared" si="70"/>
        <v>2024</v>
      </c>
      <c r="H1524" s="7" t="str">
        <f t="shared" si="71"/>
        <v>Ноябрь</v>
      </c>
      <c r="I1524" t="s">
        <v>9</v>
      </c>
      <c r="J1524">
        <v>53</v>
      </c>
      <c r="K1524" t="s">
        <v>8</v>
      </c>
      <c r="L1524">
        <v>6</v>
      </c>
      <c r="M1524">
        <v>240</v>
      </c>
      <c r="N1524" s="1">
        <f t="shared" si="72"/>
        <v>1440</v>
      </c>
    </row>
    <row r="1525" spans="5:14" x14ac:dyDescent="0.25">
      <c r="E1525">
        <v>1410</v>
      </c>
      <c r="F1525" s="7">
        <v>45543</v>
      </c>
      <c r="G1525">
        <f t="shared" si="70"/>
        <v>2024</v>
      </c>
      <c r="H1525" s="7" t="str">
        <f t="shared" si="71"/>
        <v>Сентябрь</v>
      </c>
      <c r="I1525" t="s">
        <v>9</v>
      </c>
      <c r="J1525">
        <v>45</v>
      </c>
      <c r="K1525" t="s">
        <v>8</v>
      </c>
      <c r="L1525">
        <v>4</v>
      </c>
      <c r="M1525">
        <v>50</v>
      </c>
      <c r="N1525" s="1">
        <f t="shared" si="72"/>
        <v>200</v>
      </c>
    </row>
    <row r="1526" spans="5:14" x14ac:dyDescent="0.25">
      <c r="E1526">
        <v>112</v>
      </c>
      <c r="F1526" s="7">
        <v>45262</v>
      </c>
      <c r="G1526">
        <f t="shared" si="70"/>
        <v>2023</v>
      </c>
      <c r="H1526" s="7" t="str">
        <f t="shared" si="71"/>
        <v>Декабрь</v>
      </c>
      <c r="I1526" t="s">
        <v>7</v>
      </c>
      <c r="J1526">
        <v>37</v>
      </c>
      <c r="K1526" t="s">
        <v>10</v>
      </c>
      <c r="L1526">
        <v>3</v>
      </c>
      <c r="M1526">
        <v>500</v>
      </c>
      <c r="N1526" s="1">
        <f t="shared" si="72"/>
        <v>1500</v>
      </c>
    </row>
    <row r="1527" spans="5:14" x14ac:dyDescent="0.25">
      <c r="E1527">
        <v>814</v>
      </c>
      <c r="F1527" s="7">
        <v>45150</v>
      </c>
      <c r="G1527">
        <f t="shared" si="70"/>
        <v>2023</v>
      </c>
      <c r="H1527" s="7" t="str">
        <f t="shared" si="71"/>
        <v>Август</v>
      </c>
      <c r="I1527" t="s">
        <v>7</v>
      </c>
      <c r="J1527">
        <v>47</v>
      </c>
      <c r="K1527" t="s">
        <v>8</v>
      </c>
      <c r="L1527">
        <v>2</v>
      </c>
      <c r="M1527">
        <v>500</v>
      </c>
      <c r="N1527" s="1">
        <f t="shared" si="72"/>
        <v>1000</v>
      </c>
    </row>
    <row r="1528" spans="5:14" x14ac:dyDescent="0.25">
      <c r="E1528">
        <v>757</v>
      </c>
      <c r="F1528" s="7">
        <v>45115</v>
      </c>
      <c r="G1528">
        <f t="shared" si="70"/>
        <v>2023</v>
      </c>
      <c r="H1528" s="7" t="str">
        <f t="shared" si="71"/>
        <v>Июль</v>
      </c>
      <c r="I1528" t="s">
        <v>7</v>
      </c>
      <c r="J1528">
        <v>49</v>
      </c>
      <c r="K1528" t="s">
        <v>11</v>
      </c>
      <c r="L1528">
        <v>2</v>
      </c>
      <c r="M1528">
        <v>50</v>
      </c>
      <c r="N1528" s="1">
        <f t="shared" si="72"/>
        <v>100</v>
      </c>
    </row>
    <row r="1529" spans="5:14" x14ac:dyDescent="0.25">
      <c r="E1529">
        <v>195</v>
      </c>
      <c r="F1529" s="7">
        <v>44962</v>
      </c>
      <c r="G1529">
        <f t="shared" si="70"/>
        <v>2023</v>
      </c>
      <c r="H1529" s="7" t="str">
        <f t="shared" si="71"/>
        <v>Февраль</v>
      </c>
      <c r="I1529" t="s">
        <v>7</v>
      </c>
      <c r="J1529">
        <v>52</v>
      </c>
      <c r="K1529" t="s">
        <v>10</v>
      </c>
      <c r="L1529">
        <v>1</v>
      </c>
      <c r="M1529">
        <v>30</v>
      </c>
      <c r="N1529" s="1">
        <f t="shared" si="72"/>
        <v>30</v>
      </c>
    </row>
    <row r="1530" spans="5:14" x14ac:dyDescent="0.25">
      <c r="E1530">
        <v>400</v>
      </c>
      <c r="F1530" s="7">
        <v>45210</v>
      </c>
      <c r="G1530">
        <f t="shared" si="70"/>
        <v>2023</v>
      </c>
      <c r="H1530" s="7" t="str">
        <f t="shared" si="71"/>
        <v>Октябрь</v>
      </c>
      <c r="I1530" t="s">
        <v>9</v>
      </c>
      <c r="J1530">
        <v>62</v>
      </c>
      <c r="K1530" t="s">
        <v>10</v>
      </c>
      <c r="L1530">
        <v>1</v>
      </c>
      <c r="M1530">
        <v>300</v>
      </c>
      <c r="N1530" s="1">
        <f t="shared" si="72"/>
        <v>300</v>
      </c>
    </row>
    <row r="1531" spans="5:14" x14ac:dyDescent="0.25">
      <c r="E1531">
        <v>371</v>
      </c>
      <c r="F1531" s="7">
        <v>44964</v>
      </c>
      <c r="G1531">
        <f t="shared" si="70"/>
        <v>2023</v>
      </c>
      <c r="H1531" s="7" t="str">
        <f t="shared" si="71"/>
        <v>Февраль</v>
      </c>
      <c r="I1531" t="s">
        <v>9</v>
      </c>
      <c r="J1531">
        <v>24</v>
      </c>
      <c r="K1531" t="s">
        <v>8</v>
      </c>
      <c r="L1531">
        <v>3</v>
      </c>
      <c r="M1531">
        <v>500</v>
      </c>
      <c r="N1531" s="1">
        <f t="shared" si="72"/>
        <v>1500</v>
      </c>
    </row>
    <row r="1532" spans="5:14" x14ac:dyDescent="0.25">
      <c r="E1532">
        <v>1726</v>
      </c>
      <c r="F1532" s="7">
        <v>45508</v>
      </c>
      <c r="G1532">
        <f t="shared" si="70"/>
        <v>2024</v>
      </c>
      <c r="H1532" s="7" t="str">
        <f t="shared" si="71"/>
        <v>Август</v>
      </c>
      <c r="I1532" t="s">
        <v>9</v>
      </c>
      <c r="J1532">
        <v>61</v>
      </c>
      <c r="K1532" t="s">
        <v>10</v>
      </c>
      <c r="L1532">
        <v>2</v>
      </c>
      <c r="M1532">
        <v>13</v>
      </c>
      <c r="N1532" s="1">
        <f t="shared" si="72"/>
        <v>26</v>
      </c>
    </row>
    <row r="1533" spans="5:14" x14ac:dyDescent="0.25">
      <c r="E1533">
        <v>1139</v>
      </c>
      <c r="F1533" s="7">
        <v>45598</v>
      </c>
      <c r="G1533">
        <f t="shared" si="70"/>
        <v>2024</v>
      </c>
      <c r="H1533" s="7" t="str">
        <f t="shared" si="71"/>
        <v>Ноябрь</v>
      </c>
      <c r="I1533" t="s">
        <v>9</v>
      </c>
      <c r="J1533">
        <v>50</v>
      </c>
      <c r="K1533" t="s">
        <v>11</v>
      </c>
      <c r="L1533">
        <v>6</v>
      </c>
      <c r="M1533">
        <v>112</v>
      </c>
      <c r="N1533" s="1">
        <f t="shared" si="72"/>
        <v>672</v>
      </c>
    </row>
    <row r="1534" spans="5:14" x14ac:dyDescent="0.25">
      <c r="E1534">
        <v>1944</v>
      </c>
      <c r="F1534" s="7">
        <v>45578</v>
      </c>
      <c r="G1534">
        <f t="shared" si="70"/>
        <v>2024</v>
      </c>
      <c r="H1534" s="7" t="str">
        <f t="shared" si="71"/>
        <v>Октябрь</v>
      </c>
      <c r="I1534" t="s">
        <v>9</v>
      </c>
      <c r="J1534">
        <v>37</v>
      </c>
      <c r="K1534" t="s">
        <v>11</v>
      </c>
      <c r="L1534">
        <v>2</v>
      </c>
      <c r="M1534">
        <v>304</v>
      </c>
      <c r="N1534" s="1">
        <f t="shared" si="72"/>
        <v>608</v>
      </c>
    </row>
    <row r="1535" spans="5:14" x14ac:dyDescent="0.25">
      <c r="E1535">
        <v>1336</v>
      </c>
      <c r="F1535" s="7">
        <v>45354</v>
      </c>
      <c r="G1535">
        <f t="shared" si="70"/>
        <v>2024</v>
      </c>
      <c r="H1535" s="7" t="str">
        <f t="shared" si="71"/>
        <v>Март</v>
      </c>
      <c r="I1535" t="s">
        <v>9</v>
      </c>
      <c r="J1535">
        <v>62</v>
      </c>
      <c r="K1535" t="s">
        <v>11</v>
      </c>
      <c r="L1535">
        <v>2</v>
      </c>
      <c r="M1535">
        <v>432</v>
      </c>
      <c r="N1535" s="1">
        <f t="shared" si="72"/>
        <v>864</v>
      </c>
    </row>
    <row r="1536" spans="5:14" x14ac:dyDescent="0.25">
      <c r="E1536">
        <v>376</v>
      </c>
      <c r="F1536" s="7">
        <v>44994</v>
      </c>
      <c r="G1536">
        <f t="shared" si="70"/>
        <v>2023</v>
      </c>
      <c r="H1536" s="7" t="str">
        <f t="shared" si="71"/>
        <v>Март</v>
      </c>
      <c r="I1536" t="s">
        <v>9</v>
      </c>
      <c r="J1536">
        <v>46</v>
      </c>
      <c r="K1536" t="s">
        <v>10</v>
      </c>
      <c r="L1536">
        <v>4</v>
      </c>
      <c r="M1536">
        <v>50</v>
      </c>
      <c r="N1536" s="1">
        <f t="shared" si="72"/>
        <v>200</v>
      </c>
    </row>
    <row r="1537" spans="5:14" x14ac:dyDescent="0.25">
      <c r="E1537">
        <v>1985</v>
      </c>
      <c r="F1537" s="7">
        <v>45654</v>
      </c>
      <c r="G1537">
        <f t="shared" si="70"/>
        <v>2024</v>
      </c>
      <c r="H1537" s="7" t="str">
        <f t="shared" si="71"/>
        <v>Декабрь</v>
      </c>
      <c r="I1537" t="s">
        <v>9</v>
      </c>
      <c r="J1537">
        <v>23</v>
      </c>
      <c r="K1537" t="s">
        <v>11</v>
      </c>
      <c r="L1537">
        <v>7</v>
      </c>
      <c r="M1537">
        <v>104</v>
      </c>
      <c r="N1537" s="1">
        <f t="shared" si="72"/>
        <v>728</v>
      </c>
    </row>
    <row r="1538" spans="5:14" x14ac:dyDescent="0.25">
      <c r="E1538">
        <v>1636</v>
      </c>
      <c r="F1538" s="7">
        <v>45425</v>
      </c>
      <c r="G1538">
        <f t="shared" si="70"/>
        <v>2024</v>
      </c>
      <c r="H1538" s="7" t="str">
        <f t="shared" si="71"/>
        <v>Май</v>
      </c>
      <c r="I1538" t="s">
        <v>9</v>
      </c>
      <c r="J1538">
        <v>41</v>
      </c>
      <c r="K1538" t="s">
        <v>8</v>
      </c>
      <c r="L1538">
        <v>3</v>
      </c>
      <c r="M1538">
        <v>331</v>
      </c>
      <c r="N1538" s="1">
        <f t="shared" si="72"/>
        <v>993</v>
      </c>
    </row>
    <row r="1539" spans="5:14" x14ac:dyDescent="0.25">
      <c r="E1539">
        <v>382</v>
      </c>
      <c r="F1539" s="7">
        <v>45007</v>
      </c>
      <c r="G1539">
        <f t="shared" si="70"/>
        <v>2023</v>
      </c>
      <c r="H1539" s="7" t="str">
        <f t="shared" si="71"/>
        <v>Март</v>
      </c>
      <c r="I1539" t="s">
        <v>9</v>
      </c>
      <c r="J1539">
        <v>46</v>
      </c>
      <c r="K1539" t="s">
        <v>8</v>
      </c>
      <c r="L1539">
        <v>3</v>
      </c>
      <c r="M1539">
        <v>30</v>
      </c>
      <c r="N1539" s="1">
        <f t="shared" si="72"/>
        <v>90</v>
      </c>
    </row>
    <row r="1540" spans="5:14" x14ac:dyDescent="0.25">
      <c r="E1540">
        <v>209</v>
      </c>
      <c r="F1540" s="7">
        <v>45280</v>
      </c>
      <c r="G1540">
        <f t="shared" si="70"/>
        <v>2023</v>
      </c>
      <c r="H1540" s="7" t="str">
        <f t="shared" si="71"/>
        <v>Декабрь</v>
      </c>
      <c r="I1540" t="s">
        <v>9</v>
      </c>
      <c r="J1540">
        <v>30</v>
      </c>
      <c r="K1540" t="s">
        <v>11</v>
      </c>
      <c r="L1540">
        <v>4</v>
      </c>
      <c r="M1540">
        <v>50</v>
      </c>
      <c r="N1540" s="1">
        <f t="shared" si="72"/>
        <v>200</v>
      </c>
    </row>
    <row r="1541" spans="5:14" x14ac:dyDescent="0.25">
      <c r="E1541">
        <v>851</v>
      </c>
      <c r="F1541" s="7">
        <v>45050</v>
      </c>
      <c r="G1541">
        <f t="shared" si="70"/>
        <v>2023</v>
      </c>
      <c r="H1541" s="7" t="str">
        <f t="shared" si="71"/>
        <v>Май</v>
      </c>
      <c r="I1541" t="s">
        <v>7</v>
      </c>
      <c r="J1541">
        <v>21</v>
      </c>
      <c r="K1541" t="s">
        <v>8</v>
      </c>
      <c r="L1541">
        <v>2</v>
      </c>
      <c r="M1541">
        <v>500</v>
      </c>
      <c r="N1541" s="1">
        <f t="shared" si="72"/>
        <v>1000</v>
      </c>
    </row>
    <row r="1542" spans="5:14" x14ac:dyDescent="0.25">
      <c r="E1542">
        <v>404</v>
      </c>
      <c r="F1542" s="7">
        <v>45236</v>
      </c>
      <c r="G1542">
        <f t="shared" si="70"/>
        <v>2023</v>
      </c>
      <c r="H1542" s="7" t="str">
        <f t="shared" si="71"/>
        <v>Ноябрь</v>
      </c>
      <c r="I1542" t="s">
        <v>9</v>
      </c>
      <c r="J1542">
        <v>25</v>
      </c>
      <c r="K1542" t="s">
        <v>10</v>
      </c>
      <c r="L1542">
        <v>4</v>
      </c>
      <c r="M1542">
        <v>300</v>
      </c>
      <c r="N1542" s="1">
        <f t="shared" si="72"/>
        <v>1200</v>
      </c>
    </row>
    <row r="1543" spans="5:14" x14ac:dyDescent="0.25">
      <c r="E1543">
        <v>1943</v>
      </c>
      <c r="F1543" s="7">
        <v>45353</v>
      </c>
      <c r="G1543">
        <f t="shared" si="70"/>
        <v>2024</v>
      </c>
      <c r="H1543" s="7" t="str">
        <f t="shared" si="71"/>
        <v>Март</v>
      </c>
      <c r="I1543" t="s">
        <v>7</v>
      </c>
      <c r="J1543">
        <v>62</v>
      </c>
      <c r="K1543" t="s">
        <v>8</v>
      </c>
      <c r="L1543">
        <v>7</v>
      </c>
      <c r="M1543">
        <v>186</v>
      </c>
      <c r="N1543" s="1">
        <f t="shared" si="72"/>
        <v>1302</v>
      </c>
    </row>
    <row r="1544" spans="5:14" x14ac:dyDescent="0.25">
      <c r="E1544">
        <v>632</v>
      </c>
      <c r="F1544" s="7">
        <v>45145</v>
      </c>
      <c r="G1544">
        <f t="shared" si="70"/>
        <v>2023</v>
      </c>
      <c r="H1544" s="7" t="str">
        <f t="shared" si="71"/>
        <v>Август</v>
      </c>
      <c r="I1544" t="s">
        <v>7</v>
      </c>
      <c r="J1544">
        <v>39</v>
      </c>
      <c r="K1544" t="s">
        <v>8</v>
      </c>
      <c r="L1544">
        <v>4</v>
      </c>
      <c r="M1544">
        <v>30</v>
      </c>
      <c r="N1544" s="1">
        <f t="shared" si="72"/>
        <v>120</v>
      </c>
    </row>
    <row r="1545" spans="5:14" x14ac:dyDescent="0.25">
      <c r="E1545">
        <v>1555</v>
      </c>
      <c r="F1545" s="7">
        <v>45573</v>
      </c>
      <c r="G1545">
        <f t="shared" si="70"/>
        <v>2024</v>
      </c>
      <c r="H1545" s="7" t="str">
        <f t="shared" si="71"/>
        <v>Октябрь</v>
      </c>
      <c r="I1545" t="s">
        <v>9</v>
      </c>
      <c r="J1545">
        <v>47</v>
      </c>
      <c r="K1545" t="s">
        <v>10</v>
      </c>
      <c r="L1545">
        <v>1</v>
      </c>
      <c r="M1545">
        <v>207</v>
      </c>
      <c r="N1545" s="1">
        <f t="shared" si="72"/>
        <v>207</v>
      </c>
    </row>
    <row r="1546" spans="5:14" x14ac:dyDescent="0.25">
      <c r="E1546">
        <v>651</v>
      </c>
      <c r="F1546" s="7">
        <v>45066</v>
      </c>
      <c r="G1546">
        <f t="shared" ref="G1546:G1609" si="73">YEAR(F1546)</f>
        <v>2023</v>
      </c>
      <c r="H1546" s="7" t="str">
        <f t="shared" ref="H1546:H1609" si="74">TEXT(F1546,"ММММ")</f>
        <v>Май</v>
      </c>
      <c r="I1546" t="s">
        <v>7</v>
      </c>
      <c r="J1546">
        <v>54</v>
      </c>
      <c r="K1546" t="s">
        <v>10</v>
      </c>
      <c r="L1546">
        <v>3</v>
      </c>
      <c r="M1546">
        <v>25</v>
      </c>
      <c r="N1546" s="1">
        <f t="shared" ref="N1546:N1609" si="75">L1546*M1546</f>
        <v>75</v>
      </c>
    </row>
    <row r="1547" spans="5:14" x14ac:dyDescent="0.25">
      <c r="E1547">
        <v>1205</v>
      </c>
      <c r="F1547" s="7">
        <v>45401</v>
      </c>
      <c r="G1547">
        <f t="shared" si="73"/>
        <v>2024</v>
      </c>
      <c r="H1547" s="7" t="str">
        <f t="shared" si="74"/>
        <v>Апрель</v>
      </c>
      <c r="I1547" t="s">
        <v>9</v>
      </c>
      <c r="J1547">
        <v>26</v>
      </c>
      <c r="K1547" t="s">
        <v>8</v>
      </c>
      <c r="L1547">
        <v>7</v>
      </c>
      <c r="M1547">
        <v>366</v>
      </c>
      <c r="N1547" s="1">
        <f t="shared" si="75"/>
        <v>2562</v>
      </c>
    </row>
    <row r="1548" spans="5:14" x14ac:dyDescent="0.25">
      <c r="E1548">
        <v>1104</v>
      </c>
      <c r="F1548" s="7">
        <v>45430</v>
      </c>
      <c r="G1548">
        <f t="shared" si="73"/>
        <v>2024</v>
      </c>
      <c r="H1548" s="7" t="str">
        <f t="shared" si="74"/>
        <v>Май</v>
      </c>
      <c r="I1548" t="s">
        <v>9</v>
      </c>
      <c r="J1548">
        <v>50</v>
      </c>
      <c r="K1548" t="s">
        <v>10</v>
      </c>
      <c r="L1548">
        <v>7</v>
      </c>
      <c r="M1548">
        <v>90</v>
      </c>
      <c r="N1548" s="1">
        <f t="shared" si="75"/>
        <v>630</v>
      </c>
    </row>
    <row r="1549" spans="5:14" x14ac:dyDescent="0.25">
      <c r="E1549">
        <v>1898</v>
      </c>
      <c r="F1549" s="7">
        <v>45444</v>
      </c>
      <c r="G1549">
        <f t="shared" si="73"/>
        <v>2024</v>
      </c>
      <c r="H1549" s="7" t="str">
        <f t="shared" si="74"/>
        <v>Июнь</v>
      </c>
      <c r="I1549" t="s">
        <v>9</v>
      </c>
      <c r="J1549">
        <v>31</v>
      </c>
      <c r="K1549" t="s">
        <v>8</v>
      </c>
      <c r="L1549">
        <v>2</v>
      </c>
      <c r="M1549">
        <v>298</v>
      </c>
      <c r="N1549" s="1">
        <f t="shared" si="75"/>
        <v>596</v>
      </c>
    </row>
    <row r="1550" spans="5:14" x14ac:dyDescent="0.25">
      <c r="E1550">
        <v>709</v>
      </c>
      <c r="F1550" s="7">
        <v>45215</v>
      </c>
      <c r="G1550">
        <f t="shared" si="73"/>
        <v>2023</v>
      </c>
      <c r="H1550" s="7" t="str">
        <f t="shared" si="74"/>
        <v>Октябрь</v>
      </c>
      <c r="I1550" t="s">
        <v>7</v>
      </c>
      <c r="J1550">
        <v>26</v>
      </c>
      <c r="K1550" t="s">
        <v>11</v>
      </c>
      <c r="L1550">
        <v>3</v>
      </c>
      <c r="M1550">
        <v>500</v>
      </c>
      <c r="N1550" s="1">
        <f t="shared" si="75"/>
        <v>1500</v>
      </c>
    </row>
    <row r="1551" spans="5:14" x14ac:dyDescent="0.25">
      <c r="E1551">
        <v>734</v>
      </c>
      <c r="F1551" s="7">
        <v>44953</v>
      </c>
      <c r="G1551">
        <f t="shared" si="73"/>
        <v>2023</v>
      </c>
      <c r="H1551" s="7" t="str">
        <f t="shared" si="74"/>
        <v>Январь</v>
      </c>
      <c r="I1551" t="s">
        <v>7</v>
      </c>
      <c r="J1551">
        <v>29</v>
      </c>
      <c r="K1551" t="s">
        <v>10</v>
      </c>
      <c r="L1551">
        <v>4</v>
      </c>
      <c r="M1551">
        <v>25</v>
      </c>
      <c r="N1551" s="1">
        <f t="shared" si="75"/>
        <v>100</v>
      </c>
    </row>
    <row r="1552" spans="5:14" x14ac:dyDescent="0.25">
      <c r="E1552">
        <v>1796</v>
      </c>
      <c r="F1552" s="7">
        <v>45346</v>
      </c>
      <c r="G1552">
        <f t="shared" si="73"/>
        <v>2024</v>
      </c>
      <c r="H1552" s="7" t="str">
        <f t="shared" si="74"/>
        <v>Февраль</v>
      </c>
      <c r="I1552" t="s">
        <v>7</v>
      </c>
      <c r="J1552">
        <v>35</v>
      </c>
      <c r="K1552" t="s">
        <v>10</v>
      </c>
      <c r="L1552">
        <v>2</v>
      </c>
      <c r="M1552">
        <v>231</v>
      </c>
      <c r="N1552" s="1">
        <f t="shared" si="75"/>
        <v>462</v>
      </c>
    </row>
    <row r="1553" spans="5:14" x14ac:dyDescent="0.25">
      <c r="E1553">
        <v>426</v>
      </c>
      <c r="F1553" s="7">
        <v>45153</v>
      </c>
      <c r="G1553">
        <f t="shared" si="73"/>
        <v>2023</v>
      </c>
      <c r="H1553" s="7" t="str">
        <f t="shared" si="74"/>
        <v>Август</v>
      </c>
      <c r="I1553" t="s">
        <v>7</v>
      </c>
      <c r="J1553">
        <v>25</v>
      </c>
      <c r="K1553" t="s">
        <v>11</v>
      </c>
      <c r="L1553">
        <v>1</v>
      </c>
      <c r="M1553">
        <v>25</v>
      </c>
      <c r="N1553" s="1">
        <f t="shared" si="75"/>
        <v>25</v>
      </c>
    </row>
    <row r="1554" spans="5:14" x14ac:dyDescent="0.25">
      <c r="E1554">
        <v>982</v>
      </c>
      <c r="F1554" s="7">
        <v>45167</v>
      </c>
      <c r="G1554">
        <f t="shared" si="73"/>
        <v>2023</v>
      </c>
      <c r="H1554" s="7" t="str">
        <f t="shared" si="74"/>
        <v>Август</v>
      </c>
      <c r="I1554" t="s">
        <v>7</v>
      </c>
      <c r="J1554">
        <v>56</v>
      </c>
      <c r="K1554" t="s">
        <v>10</v>
      </c>
      <c r="L1554">
        <v>1</v>
      </c>
      <c r="M1554">
        <v>500</v>
      </c>
      <c r="N1554" s="1">
        <f t="shared" si="75"/>
        <v>500</v>
      </c>
    </row>
    <row r="1555" spans="5:14" x14ac:dyDescent="0.25">
      <c r="E1555">
        <v>728</v>
      </c>
      <c r="F1555" s="7">
        <v>45142</v>
      </c>
      <c r="G1555">
        <f t="shared" si="73"/>
        <v>2023</v>
      </c>
      <c r="H1555" s="7" t="str">
        <f t="shared" si="74"/>
        <v>Август</v>
      </c>
      <c r="I1555" t="s">
        <v>9</v>
      </c>
      <c r="J1555">
        <v>36</v>
      </c>
      <c r="K1555" t="s">
        <v>10</v>
      </c>
      <c r="L1555">
        <v>2</v>
      </c>
      <c r="M1555">
        <v>25</v>
      </c>
      <c r="N1555" s="1">
        <f t="shared" si="75"/>
        <v>50</v>
      </c>
    </row>
    <row r="1556" spans="5:14" x14ac:dyDescent="0.25">
      <c r="E1556">
        <v>1439</v>
      </c>
      <c r="F1556" s="7">
        <v>45368</v>
      </c>
      <c r="G1556">
        <f t="shared" si="73"/>
        <v>2024</v>
      </c>
      <c r="H1556" s="7" t="str">
        <f t="shared" si="74"/>
        <v>Март</v>
      </c>
      <c r="I1556" t="s">
        <v>9</v>
      </c>
      <c r="J1556">
        <v>23</v>
      </c>
      <c r="K1556" t="s">
        <v>10</v>
      </c>
      <c r="L1556">
        <v>3</v>
      </c>
      <c r="M1556">
        <v>377</v>
      </c>
      <c r="N1556" s="1">
        <f t="shared" si="75"/>
        <v>1131</v>
      </c>
    </row>
    <row r="1557" spans="5:14" x14ac:dyDescent="0.25">
      <c r="E1557">
        <v>418</v>
      </c>
      <c r="F1557" s="7">
        <v>45068</v>
      </c>
      <c r="G1557">
        <f t="shared" si="73"/>
        <v>2023</v>
      </c>
      <c r="H1557" s="7" t="str">
        <f t="shared" si="74"/>
        <v>Май</v>
      </c>
      <c r="I1557" t="s">
        <v>9</v>
      </c>
      <c r="J1557">
        <v>44</v>
      </c>
      <c r="K1557" t="s">
        <v>10</v>
      </c>
      <c r="L1557">
        <v>3</v>
      </c>
      <c r="M1557">
        <v>30</v>
      </c>
      <c r="N1557" s="1">
        <f t="shared" si="75"/>
        <v>90</v>
      </c>
    </row>
    <row r="1558" spans="5:14" x14ac:dyDescent="0.25">
      <c r="E1558">
        <v>817</v>
      </c>
      <c r="F1558" s="7">
        <v>45092</v>
      </c>
      <c r="G1558">
        <f t="shared" si="73"/>
        <v>2023</v>
      </c>
      <c r="H1558" s="7" t="str">
        <f t="shared" si="74"/>
        <v>Июнь</v>
      </c>
      <c r="I1558" t="s">
        <v>9</v>
      </c>
      <c r="J1558">
        <v>35</v>
      </c>
      <c r="K1558" t="s">
        <v>8</v>
      </c>
      <c r="L1558">
        <v>2</v>
      </c>
      <c r="M1558">
        <v>50</v>
      </c>
      <c r="N1558" s="1">
        <f t="shared" si="75"/>
        <v>100</v>
      </c>
    </row>
    <row r="1559" spans="5:14" x14ac:dyDescent="0.25">
      <c r="E1559">
        <v>1901</v>
      </c>
      <c r="F1559" s="7">
        <v>45384</v>
      </c>
      <c r="G1559">
        <f t="shared" si="73"/>
        <v>2024</v>
      </c>
      <c r="H1559" s="7" t="str">
        <f t="shared" si="74"/>
        <v>Апрель</v>
      </c>
      <c r="I1559" t="s">
        <v>7</v>
      </c>
      <c r="J1559">
        <v>52</v>
      </c>
      <c r="K1559" t="s">
        <v>8</v>
      </c>
      <c r="L1559">
        <v>3</v>
      </c>
      <c r="M1559">
        <v>298</v>
      </c>
      <c r="N1559" s="1">
        <f t="shared" si="75"/>
        <v>894</v>
      </c>
    </row>
    <row r="1560" spans="5:14" x14ac:dyDescent="0.25">
      <c r="E1560">
        <v>1890</v>
      </c>
      <c r="F1560" s="7">
        <v>45540</v>
      </c>
      <c r="G1560">
        <f t="shared" si="73"/>
        <v>2024</v>
      </c>
      <c r="H1560" s="7" t="str">
        <f t="shared" si="74"/>
        <v>Сентябрь</v>
      </c>
      <c r="I1560" t="s">
        <v>7</v>
      </c>
      <c r="J1560">
        <v>63</v>
      </c>
      <c r="K1560" t="s">
        <v>11</v>
      </c>
      <c r="L1560">
        <v>5</v>
      </c>
      <c r="M1560">
        <v>467</v>
      </c>
      <c r="N1560" s="1">
        <f t="shared" si="75"/>
        <v>2335</v>
      </c>
    </row>
    <row r="1561" spans="5:14" x14ac:dyDescent="0.25">
      <c r="E1561">
        <v>1098</v>
      </c>
      <c r="F1561" s="7">
        <v>45459</v>
      </c>
      <c r="G1561">
        <f t="shared" si="73"/>
        <v>2024</v>
      </c>
      <c r="H1561" s="7" t="str">
        <f t="shared" si="74"/>
        <v>Июнь</v>
      </c>
      <c r="I1561" t="s">
        <v>7</v>
      </c>
      <c r="J1561">
        <v>27</v>
      </c>
      <c r="K1561" t="s">
        <v>11</v>
      </c>
      <c r="L1561">
        <v>6</v>
      </c>
      <c r="M1561">
        <v>96</v>
      </c>
      <c r="N1561" s="1">
        <f t="shared" si="75"/>
        <v>576</v>
      </c>
    </row>
    <row r="1562" spans="5:14" x14ac:dyDescent="0.25">
      <c r="E1562">
        <v>1833</v>
      </c>
      <c r="F1562" s="7">
        <v>45474</v>
      </c>
      <c r="G1562">
        <f t="shared" si="73"/>
        <v>2024</v>
      </c>
      <c r="H1562" s="7" t="str">
        <f t="shared" si="74"/>
        <v>Июль</v>
      </c>
      <c r="I1562" t="s">
        <v>7</v>
      </c>
      <c r="J1562">
        <v>65</v>
      </c>
      <c r="K1562" t="s">
        <v>8</v>
      </c>
      <c r="L1562">
        <v>4</v>
      </c>
      <c r="M1562">
        <v>24</v>
      </c>
      <c r="N1562" s="1">
        <f t="shared" si="75"/>
        <v>96</v>
      </c>
    </row>
    <row r="1563" spans="5:14" x14ac:dyDescent="0.25">
      <c r="E1563">
        <v>1589</v>
      </c>
      <c r="F1563" s="7">
        <v>45315</v>
      </c>
      <c r="G1563">
        <f t="shared" si="73"/>
        <v>2024</v>
      </c>
      <c r="H1563" s="7" t="str">
        <f t="shared" si="74"/>
        <v>Январь</v>
      </c>
      <c r="I1563" t="s">
        <v>9</v>
      </c>
      <c r="J1563">
        <v>54</v>
      </c>
      <c r="K1563" t="s">
        <v>8</v>
      </c>
      <c r="L1563">
        <v>7</v>
      </c>
      <c r="M1563">
        <v>320</v>
      </c>
      <c r="N1563" s="1">
        <f t="shared" si="75"/>
        <v>2240</v>
      </c>
    </row>
    <row r="1564" spans="5:14" x14ac:dyDescent="0.25">
      <c r="E1564">
        <v>1899</v>
      </c>
      <c r="F1564" s="7">
        <v>45409</v>
      </c>
      <c r="G1564">
        <f t="shared" si="73"/>
        <v>2024</v>
      </c>
      <c r="H1564" s="7" t="str">
        <f t="shared" si="74"/>
        <v>Апрель</v>
      </c>
      <c r="I1564" t="s">
        <v>9</v>
      </c>
      <c r="J1564">
        <v>53</v>
      </c>
      <c r="K1564" t="s">
        <v>8</v>
      </c>
      <c r="L1564">
        <v>2</v>
      </c>
      <c r="M1564">
        <v>70</v>
      </c>
      <c r="N1564" s="1">
        <f t="shared" si="75"/>
        <v>140</v>
      </c>
    </row>
    <row r="1565" spans="5:14" x14ac:dyDescent="0.25">
      <c r="E1565">
        <v>789</v>
      </c>
      <c r="F1565" s="7">
        <v>45265</v>
      </c>
      <c r="G1565">
        <f t="shared" si="73"/>
        <v>2023</v>
      </c>
      <c r="H1565" s="7" t="str">
        <f t="shared" si="74"/>
        <v>Декабрь</v>
      </c>
      <c r="I1565" t="s">
        <v>9</v>
      </c>
      <c r="J1565">
        <v>51</v>
      </c>
      <c r="K1565" t="s">
        <v>8</v>
      </c>
      <c r="L1565">
        <v>1</v>
      </c>
      <c r="M1565">
        <v>25</v>
      </c>
      <c r="N1565" s="1">
        <f t="shared" si="75"/>
        <v>25</v>
      </c>
    </row>
    <row r="1566" spans="5:14" x14ac:dyDescent="0.25">
      <c r="E1566">
        <v>1536</v>
      </c>
      <c r="F1566" s="7">
        <v>45451</v>
      </c>
      <c r="G1566">
        <f t="shared" si="73"/>
        <v>2024</v>
      </c>
      <c r="H1566" s="7" t="str">
        <f t="shared" si="74"/>
        <v>Июнь</v>
      </c>
      <c r="I1566" t="s">
        <v>7</v>
      </c>
      <c r="J1566">
        <v>44</v>
      </c>
      <c r="K1566" t="s">
        <v>8</v>
      </c>
      <c r="L1566">
        <v>3</v>
      </c>
      <c r="M1566">
        <v>108</v>
      </c>
      <c r="N1566" s="1">
        <f t="shared" si="75"/>
        <v>324</v>
      </c>
    </row>
    <row r="1567" spans="5:14" x14ac:dyDescent="0.25">
      <c r="E1567">
        <v>334</v>
      </c>
      <c r="F1567" s="7">
        <v>44961</v>
      </c>
      <c r="G1567">
        <f t="shared" si="73"/>
        <v>2023</v>
      </c>
      <c r="H1567" s="7" t="str">
        <f t="shared" si="74"/>
        <v>Февраль</v>
      </c>
      <c r="I1567" t="s">
        <v>9</v>
      </c>
      <c r="J1567">
        <v>47</v>
      </c>
      <c r="K1567" t="s">
        <v>8</v>
      </c>
      <c r="L1567">
        <v>4</v>
      </c>
      <c r="M1567">
        <v>30</v>
      </c>
      <c r="N1567" s="1">
        <f t="shared" si="75"/>
        <v>120</v>
      </c>
    </row>
    <row r="1568" spans="5:14" x14ac:dyDescent="0.25">
      <c r="E1568">
        <v>275</v>
      </c>
      <c r="F1568" s="7">
        <v>45201</v>
      </c>
      <c r="G1568">
        <f t="shared" si="73"/>
        <v>2023</v>
      </c>
      <c r="H1568" s="7" t="str">
        <f t="shared" si="74"/>
        <v>Октябрь</v>
      </c>
      <c r="I1568" t="s">
        <v>9</v>
      </c>
      <c r="J1568">
        <v>21</v>
      </c>
      <c r="K1568" t="s">
        <v>8</v>
      </c>
      <c r="L1568">
        <v>4</v>
      </c>
      <c r="M1568">
        <v>25</v>
      </c>
      <c r="N1568" s="1">
        <f t="shared" si="75"/>
        <v>100</v>
      </c>
    </row>
    <row r="1569" spans="5:14" x14ac:dyDescent="0.25">
      <c r="E1569">
        <v>1543</v>
      </c>
      <c r="F1569" s="7">
        <v>45576</v>
      </c>
      <c r="G1569">
        <f t="shared" si="73"/>
        <v>2024</v>
      </c>
      <c r="H1569" s="7" t="str">
        <f t="shared" si="74"/>
        <v>Октябрь</v>
      </c>
      <c r="I1569" t="s">
        <v>9</v>
      </c>
      <c r="J1569">
        <v>27</v>
      </c>
      <c r="K1569" t="s">
        <v>11</v>
      </c>
      <c r="L1569">
        <v>1</v>
      </c>
      <c r="M1569">
        <v>204</v>
      </c>
      <c r="N1569" s="1">
        <f t="shared" si="75"/>
        <v>204</v>
      </c>
    </row>
    <row r="1570" spans="5:14" x14ac:dyDescent="0.25">
      <c r="E1570">
        <v>602</v>
      </c>
      <c r="F1570" s="7">
        <v>45123</v>
      </c>
      <c r="G1570">
        <f t="shared" si="73"/>
        <v>2023</v>
      </c>
      <c r="H1570" s="7" t="str">
        <f t="shared" si="74"/>
        <v>Июль</v>
      </c>
      <c r="I1570" t="s">
        <v>9</v>
      </c>
      <c r="J1570">
        <v>40</v>
      </c>
      <c r="K1570" t="s">
        <v>10</v>
      </c>
      <c r="L1570">
        <v>3</v>
      </c>
      <c r="M1570">
        <v>30</v>
      </c>
      <c r="N1570" s="1">
        <f t="shared" si="75"/>
        <v>90</v>
      </c>
    </row>
    <row r="1571" spans="5:14" x14ac:dyDescent="0.25">
      <c r="E1571">
        <v>468</v>
      </c>
      <c r="F1571" s="7">
        <v>45054</v>
      </c>
      <c r="G1571">
        <f t="shared" si="73"/>
        <v>2023</v>
      </c>
      <c r="H1571" s="7" t="str">
        <f t="shared" si="74"/>
        <v>Май</v>
      </c>
      <c r="I1571" t="s">
        <v>7</v>
      </c>
      <c r="J1571">
        <v>18</v>
      </c>
      <c r="K1571" t="s">
        <v>8</v>
      </c>
      <c r="L1571">
        <v>3</v>
      </c>
      <c r="M1571">
        <v>25</v>
      </c>
      <c r="N1571" s="1">
        <f t="shared" si="75"/>
        <v>75</v>
      </c>
    </row>
    <row r="1572" spans="5:14" x14ac:dyDescent="0.25">
      <c r="E1572">
        <v>894</v>
      </c>
      <c r="F1572" s="7">
        <v>45228</v>
      </c>
      <c r="G1572">
        <f t="shared" si="73"/>
        <v>2023</v>
      </c>
      <c r="H1572" s="7" t="str">
        <f t="shared" si="74"/>
        <v>Октябрь</v>
      </c>
      <c r="I1572" t="s">
        <v>9</v>
      </c>
      <c r="J1572">
        <v>30</v>
      </c>
      <c r="K1572" t="s">
        <v>11</v>
      </c>
      <c r="L1572">
        <v>2</v>
      </c>
      <c r="M1572">
        <v>25</v>
      </c>
      <c r="N1572" s="1">
        <f t="shared" si="75"/>
        <v>50</v>
      </c>
    </row>
    <row r="1573" spans="5:14" x14ac:dyDescent="0.25">
      <c r="E1573">
        <v>1533</v>
      </c>
      <c r="F1573" s="7">
        <v>45356</v>
      </c>
      <c r="G1573">
        <f t="shared" si="73"/>
        <v>2024</v>
      </c>
      <c r="H1573" s="7" t="str">
        <f t="shared" si="74"/>
        <v>Март</v>
      </c>
      <c r="I1573" t="s">
        <v>9</v>
      </c>
      <c r="J1573">
        <v>42</v>
      </c>
      <c r="K1573" t="s">
        <v>8</v>
      </c>
      <c r="L1573">
        <v>4</v>
      </c>
      <c r="M1573">
        <v>129</v>
      </c>
      <c r="N1573" s="1">
        <f t="shared" si="75"/>
        <v>516</v>
      </c>
    </row>
    <row r="1574" spans="5:14" x14ac:dyDescent="0.25">
      <c r="E1574">
        <v>1878</v>
      </c>
      <c r="F1574" s="7">
        <v>45449</v>
      </c>
      <c r="G1574">
        <f t="shared" si="73"/>
        <v>2024</v>
      </c>
      <c r="H1574" s="7" t="str">
        <f t="shared" si="74"/>
        <v>Июнь</v>
      </c>
      <c r="I1574" t="s">
        <v>9</v>
      </c>
      <c r="J1574">
        <v>49</v>
      </c>
      <c r="K1574" t="s">
        <v>11</v>
      </c>
      <c r="L1574">
        <v>6</v>
      </c>
      <c r="M1574">
        <v>496</v>
      </c>
      <c r="N1574" s="1">
        <f t="shared" si="75"/>
        <v>2976</v>
      </c>
    </row>
    <row r="1575" spans="5:14" x14ac:dyDescent="0.25">
      <c r="E1575">
        <v>1480</v>
      </c>
      <c r="F1575" s="7">
        <v>45407</v>
      </c>
      <c r="G1575">
        <f t="shared" si="73"/>
        <v>2024</v>
      </c>
      <c r="H1575" s="7" t="str">
        <f t="shared" si="74"/>
        <v>Апрель</v>
      </c>
      <c r="I1575" t="s">
        <v>7</v>
      </c>
      <c r="J1575">
        <v>37</v>
      </c>
      <c r="K1575" t="s">
        <v>10</v>
      </c>
      <c r="L1575">
        <v>7</v>
      </c>
      <c r="M1575">
        <v>370</v>
      </c>
      <c r="N1575" s="1">
        <f t="shared" si="75"/>
        <v>2590</v>
      </c>
    </row>
    <row r="1576" spans="5:14" x14ac:dyDescent="0.25">
      <c r="E1576">
        <v>215</v>
      </c>
      <c r="F1576" s="7">
        <v>45118</v>
      </c>
      <c r="G1576">
        <f t="shared" si="73"/>
        <v>2023</v>
      </c>
      <c r="H1576" s="7" t="str">
        <f t="shared" si="74"/>
        <v>Июль</v>
      </c>
      <c r="I1576" t="s">
        <v>7</v>
      </c>
      <c r="J1576">
        <v>62</v>
      </c>
      <c r="K1576" t="s">
        <v>11</v>
      </c>
      <c r="L1576">
        <v>2</v>
      </c>
      <c r="M1576">
        <v>50</v>
      </c>
      <c r="N1576" s="1">
        <f t="shared" si="75"/>
        <v>100</v>
      </c>
    </row>
    <row r="1577" spans="5:14" x14ac:dyDescent="0.25">
      <c r="E1577">
        <v>1513</v>
      </c>
      <c r="F1577" s="7">
        <v>45588</v>
      </c>
      <c r="G1577">
        <f t="shared" si="73"/>
        <v>2024</v>
      </c>
      <c r="H1577" s="7" t="str">
        <f t="shared" si="74"/>
        <v>Октябрь</v>
      </c>
      <c r="I1577" t="s">
        <v>7</v>
      </c>
      <c r="J1577">
        <v>49</v>
      </c>
      <c r="K1577" t="s">
        <v>8</v>
      </c>
      <c r="L1577">
        <v>1</v>
      </c>
      <c r="M1577">
        <v>151</v>
      </c>
      <c r="N1577" s="1">
        <f t="shared" si="75"/>
        <v>151</v>
      </c>
    </row>
    <row r="1578" spans="5:14" x14ac:dyDescent="0.25">
      <c r="E1578">
        <v>1588</v>
      </c>
      <c r="F1578" s="7">
        <v>45304</v>
      </c>
      <c r="G1578">
        <f t="shared" si="73"/>
        <v>2024</v>
      </c>
      <c r="H1578" s="7" t="str">
        <f t="shared" si="74"/>
        <v>Январь</v>
      </c>
      <c r="I1578" t="s">
        <v>7</v>
      </c>
      <c r="J1578">
        <v>33</v>
      </c>
      <c r="K1578" t="s">
        <v>11</v>
      </c>
      <c r="L1578">
        <v>6</v>
      </c>
      <c r="M1578">
        <v>252</v>
      </c>
      <c r="N1578" s="1">
        <f t="shared" si="75"/>
        <v>1512</v>
      </c>
    </row>
    <row r="1579" spans="5:14" x14ac:dyDescent="0.25">
      <c r="E1579">
        <v>170</v>
      </c>
      <c r="F1579" s="7">
        <v>45079</v>
      </c>
      <c r="G1579">
        <f t="shared" si="73"/>
        <v>2023</v>
      </c>
      <c r="H1579" s="7" t="str">
        <f t="shared" si="74"/>
        <v>Июнь</v>
      </c>
      <c r="I1579" t="s">
        <v>9</v>
      </c>
      <c r="J1579">
        <v>25</v>
      </c>
      <c r="K1579" t="s">
        <v>10</v>
      </c>
      <c r="L1579">
        <v>2</v>
      </c>
      <c r="M1579">
        <v>25</v>
      </c>
      <c r="N1579" s="1">
        <f t="shared" si="75"/>
        <v>50</v>
      </c>
    </row>
    <row r="1580" spans="5:14" x14ac:dyDescent="0.25">
      <c r="E1580">
        <v>744</v>
      </c>
      <c r="F1580" s="7">
        <v>44937</v>
      </c>
      <c r="G1580">
        <f t="shared" si="73"/>
        <v>2023</v>
      </c>
      <c r="H1580" s="7" t="str">
        <f t="shared" si="74"/>
        <v>Январь</v>
      </c>
      <c r="I1580" t="s">
        <v>9</v>
      </c>
      <c r="J1580">
        <v>33</v>
      </c>
      <c r="K1580" t="s">
        <v>10</v>
      </c>
      <c r="L1580">
        <v>3</v>
      </c>
      <c r="M1580">
        <v>30</v>
      </c>
      <c r="N1580" s="1">
        <f t="shared" si="75"/>
        <v>90</v>
      </c>
    </row>
    <row r="1581" spans="5:14" x14ac:dyDescent="0.25">
      <c r="E1581">
        <v>108</v>
      </c>
      <c r="F1581" s="7">
        <v>45035</v>
      </c>
      <c r="G1581">
        <f t="shared" si="73"/>
        <v>2023</v>
      </c>
      <c r="H1581" s="7" t="str">
        <f t="shared" si="74"/>
        <v>Апрель</v>
      </c>
      <c r="I1581" t="s">
        <v>9</v>
      </c>
      <c r="J1581">
        <v>27</v>
      </c>
      <c r="K1581" t="s">
        <v>8</v>
      </c>
      <c r="L1581">
        <v>3</v>
      </c>
      <c r="M1581">
        <v>25</v>
      </c>
      <c r="N1581" s="1">
        <f t="shared" si="75"/>
        <v>75</v>
      </c>
    </row>
    <row r="1582" spans="5:14" x14ac:dyDescent="0.25">
      <c r="E1582">
        <v>558</v>
      </c>
      <c r="F1582" s="7">
        <v>44927</v>
      </c>
      <c r="G1582">
        <f t="shared" si="73"/>
        <v>2023</v>
      </c>
      <c r="H1582" s="7" t="str">
        <f t="shared" si="74"/>
        <v>Январь</v>
      </c>
      <c r="I1582" t="s">
        <v>9</v>
      </c>
      <c r="J1582">
        <v>40</v>
      </c>
      <c r="K1582" t="s">
        <v>10</v>
      </c>
      <c r="L1582">
        <v>4</v>
      </c>
      <c r="M1582">
        <v>300</v>
      </c>
      <c r="N1582" s="1">
        <f t="shared" si="75"/>
        <v>1200</v>
      </c>
    </row>
    <row r="1583" spans="5:14" x14ac:dyDescent="0.25">
      <c r="E1583">
        <v>1075</v>
      </c>
      <c r="F1583" s="7">
        <v>45482</v>
      </c>
      <c r="G1583">
        <f t="shared" si="73"/>
        <v>2024</v>
      </c>
      <c r="H1583" s="7" t="str">
        <f t="shared" si="74"/>
        <v>Июль</v>
      </c>
      <c r="I1583" t="s">
        <v>9</v>
      </c>
      <c r="J1583">
        <v>53</v>
      </c>
      <c r="K1583" t="s">
        <v>10</v>
      </c>
      <c r="L1583">
        <v>2</v>
      </c>
      <c r="M1583">
        <v>352</v>
      </c>
      <c r="N1583" s="1">
        <f t="shared" si="75"/>
        <v>704</v>
      </c>
    </row>
    <row r="1584" spans="5:14" x14ac:dyDescent="0.25">
      <c r="E1584">
        <v>346</v>
      </c>
      <c r="F1584" s="7">
        <v>45141</v>
      </c>
      <c r="G1584">
        <f t="shared" si="73"/>
        <v>2023</v>
      </c>
      <c r="H1584" s="7" t="str">
        <f t="shared" si="74"/>
        <v>Август</v>
      </c>
      <c r="I1584" t="s">
        <v>7</v>
      </c>
      <c r="J1584">
        <v>42</v>
      </c>
      <c r="K1584" t="s">
        <v>11</v>
      </c>
      <c r="L1584">
        <v>1</v>
      </c>
      <c r="M1584">
        <v>25</v>
      </c>
      <c r="N1584" s="1">
        <f t="shared" si="75"/>
        <v>25</v>
      </c>
    </row>
    <row r="1585" spans="5:14" x14ac:dyDescent="0.25">
      <c r="E1585">
        <v>1951</v>
      </c>
      <c r="F1585" s="7">
        <v>45487</v>
      </c>
      <c r="G1585">
        <f t="shared" si="73"/>
        <v>2024</v>
      </c>
      <c r="H1585" s="7" t="str">
        <f t="shared" si="74"/>
        <v>Июль</v>
      </c>
      <c r="I1585" t="s">
        <v>7</v>
      </c>
      <c r="J1585">
        <v>20</v>
      </c>
      <c r="K1585" t="s">
        <v>10</v>
      </c>
      <c r="L1585">
        <v>7</v>
      </c>
      <c r="M1585">
        <v>394</v>
      </c>
      <c r="N1585" s="1">
        <f t="shared" si="75"/>
        <v>2758</v>
      </c>
    </row>
    <row r="1586" spans="5:14" x14ac:dyDescent="0.25">
      <c r="E1586">
        <v>1557</v>
      </c>
      <c r="F1586" s="7">
        <v>45448</v>
      </c>
      <c r="G1586">
        <f t="shared" si="73"/>
        <v>2024</v>
      </c>
      <c r="H1586" s="7" t="str">
        <f t="shared" si="74"/>
        <v>Июнь</v>
      </c>
      <c r="I1586" t="s">
        <v>9</v>
      </c>
      <c r="J1586">
        <v>55</v>
      </c>
      <c r="K1586" t="s">
        <v>11</v>
      </c>
      <c r="L1586">
        <v>2</v>
      </c>
      <c r="M1586">
        <v>211</v>
      </c>
      <c r="N1586" s="1">
        <f t="shared" si="75"/>
        <v>422</v>
      </c>
    </row>
    <row r="1587" spans="5:14" x14ac:dyDescent="0.25">
      <c r="E1587">
        <v>962</v>
      </c>
      <c r="F1587" s="7">
        <v>44957</v>
      </c>
      <c r="G1587">
        <f t="shared" si="73"/>
        <v>2023</v>
      </c>
      <c r="H1587" s="7" t="str">
        <f t="shared" si="74"/>
        <v>Январь</v>
      </c>
      <c r="I1587" t="s">
        <v>7</v>
      </c>
      <c r="J1587">
        <v>24</v>
      </c>
      <c r="K1587" t="s">
        <v>10</v>
      </c>
      <c r="L1587">
        <v>3</v>
      </c>
      <c r="M1587">
        <v>300</v>
      </c>
      <c r="N1587" s="1">
        <f t="shared" si="75"/>
        <v>900</v>
      </c>
    </row>
    <row r="1588" spans="5:14" x14ac:dyDescent="0.25">
      <c r="E1588">
        <v>1425</v>
      </c>
      <c r="F1588" s="7">
        <v>45575</v>
      </c>
      <c r="G1588">
        <f t="shared" si="73"/>
        <v>2024</v>
      </c>
      <c r="H1588" s="7" t="str">
        <f t="shared" si="74"/>
        <v>Октябрь</v>
      </c>
      <c r="I1588" t="s">
        <v>9</v>
      </c>
      <c r="J1588">
        <v>57</v>
      </c>
      <c r="K1588" t="s">
        <v>11</v>
      </c>
      <c r="L1588">
        <v>3</v>
      </c>
      <c r="M1588">
        <v>30</v>
      </c>
      <c r="N1588" s="1">
        <f t="shared" si="75"/>
        <v>90</v>
      </c>
    </row>
    <row r="1589" spans="5:14" x14ac:dyDescent="0.25">
      <c r="E1589">
        <v>328</v>
      </c>
      <c r="F1589" s="7">
        <v>44956</v>
      </c>
      <c r="G1589">
        <f t="shared" si="73"/>
        <v>2023</v>
      </c>
      <c r="H1589" s="7" t="str">
        <f t="shared" si="74"/>
        <v>Январь</v>
      </c>
      <c r="I1589" t="s">
        <v>9</v>
      </c>
      <c r="J1589">
        <v>46</v>
      </c>
      <c r="K1589" t="s">
        <v>11</v>
      </c>
      <c r="L1589">
        <v>4</v>
      </c>
      <c r="M1589">
        <v>25</v>
      </c>
      <c r="N1589" s="1">
        <f t="shared" si="75"/>
        <v>100</v>
      </c>
    </row>
    <row r="1590" spans="5:14" x14ac:dyDescent="0.25">
      <c r="E1590">
        <v>501</v>
      </c>
      <c r="F1590" s="7">
        <v>45018</v>
      </c>
      <c r="G1590">
        <f t="shared" si="73"/>
        <v>2023</v>
      </c>
      <c r="H1590" s="7" t="str">
        <f t="shared" si="74"/>
        <v>Апрель</v>
      </c>
      <c r="I1590" t="s">
        <v>7</v>
      </c>
      <c r="J1590">
        <v>43</v>
      </c>
      <c r="K1590" t="s">
        <v>11</v>
      </c>
      <c r="L1590">
        <v>3</v>
      </c>
      <c r="M1590">
        <v>50</v>
      </c>
      <c r="N1590" s="1">
        <f t="shared" si="75"/>
        <v>150</v>
      </c>
    </row>
    <row r="1591" spans="5:14" x14ac:dyDescent="0.25">
      <c r="E1591">
        <v>1585</v>
      </c>
      <c r="F1591" s="7">
        <v>45408</v>
      </c>
      <c r="G1591">
        <f t="shared" si="73"/>
        <v>2024</v>
      </c>
      <c r="H1591" s="7" t="str">
        <f t="shared" si="74"/>
        <v>Апрель</v>
      </c>
      <c r="I1591" t="s">
        <v>7</v>
      </c>
      <c r="J1591">
        <v>41</v>
      </c>
      <c r="K1591" t="s">
        <v>11</v>
      </c>
      <c r="L1591">
        <v>7</v>
      </c>
      <c r="M1591">
        <v>186</v>
      </c>
      <c r="N1591" s="1">
        <f t="shared" si="75"/>
        <v>1302</v>
      </c>
    </row>
    <row r="1592" spans="5:14" x14ac:dyDescent="0.25">
      <c r="E1592">
        <v>1535</v>
      </c>
      <c r="F1592" s="7">
        <v>45552</v>
      </c>
      <c r="G1592">
        <f t="shared" si="73"/>
        <v>2024</v>
      </c>
      <c r="H1592" s="7" t="str">
        <f t="shared" si="74"/>
        <v>Сентябрь</v>
      </c>
      <c r="I1592" t="s">
        <v>7</v>
      </c>
      <c r="J1592">
        <v>31</v>
      </c>
      <c r="K1592" t="s">
        <v>10</v>
      </c>
      <c r="L1592">
        <v>2</v>
      </c>
      <c r="M1592">
        <v>281</v>
      </c>
      <c r="N1592" s="1">
        <f t="shared" si="75"/>
        <v>562</v>
      </c>
    </row>
    <row r="1593" spans="5:14" x14ac:dyDescent="0.25">
      <c r="E1593">
        <v>89</v>
      </c>
      <c r="F1593" s="7">
        <v>45200</v>
      </c>
      <c r="G1593">
        <f t="shared" si="73"/>
        <v>2023</v>
      </c>
      <c r="H1593" s="7" t="str">
        <f t="shared" si="74"/>
        <v>Октябрь</v>
      </c>
      <c r="I1593" t="s">
        <v>9</v>
      </c>
      <c r="J1593">
        <v>55</v>
      </c>
      <c r="K1593" t="s">
        <v>11</v>
      </c>
      <c r="L1593">
        <v>4</v>
      </c>
      <c r="M1593">
        <v>500</v>
      </c>
      <c r="N1593" s="1">
        <f t="shared" si="75"/>
        <v>2000</v>
      </c>
    </row>
    <row r="1594" spans="5:14" x14ac:dyDescent="0.25">
      <c r="E1594">
        <v>145</v>
      </c>
      <c r="F1594" s="7">
        <v>45232</v>
      </c>
      <c r="G1594">
        <f t="shared" si="73"/>
        <v>2023</v>
      </c>
      <c r="H1594" s="7" t="str">
        <f t="shared" si="74"/>
        <v>Ноябрь</v>
      </c>
      <c r="I1594" t="s">
        <v>9</v>
      </c>
      <c r="J1594">
        <v>39</v>
      </c>
      <c r="K1594" t="s">
        <v>10</v>
      </c>
      <c r="L1594">
        <v>3</v>
      </c>
      <c r="M1594">
        <v>25</v>
      </c>
      <c r="N1594" s="1">
        <f t="shared" si="75"/>
        <v>75</v>
      </c>
    </row>
    <row r="1595" spans="5:14" x14ac:dyDescent="0.25">
      <c r="E1595">
        <v>1436</v>
      </c>
      <c r="F1595" s="7">
        <v>45482</v>
      </c>
      <c r="G1595">
        <f t="shared" si="73"/>
        <v>2024</v>
      </c>
      <c r="H1595" s="7" t="str">
        <f t="shared" si="74"/>
        <v>Июль</v>
      </c>
      <c r="I1595" t="s">
        <v>7</v>
      </c>
      <c r="J1595">
        <v>29</v>
      </c>
      <c r="K1595" t="s">
        <v>10</v>
      </c>
      <c r="L1595">
        <v>7</v>
      </c>
      <c r="M1595">
        <v>466</v>
      </c>
      <c r="N1595" s="1">
        <f t="shared" si="75"/>
        <v>3262</v>
      </c>
    </row>
    <row r="1596" spans="5:14" x14ac:dyDescent="0.25">
      <c r="E1596">
        <v>1213</v>
      </c>
      <c r="F1596" s="7">
        <v>45484</v>
      </c>
      <c r="G1596">
        <f t="shared" si="73"/>
        <v>2024</v>
      </c>
      <c r="H1596" s="7" t="str">
        <f t="shared" si="74"/>
        <v>Июль</v>
      </c>
      <c r="I1596" t="s">
        <v>7</v>
      </c>
      <c r="J1596">
        <v>56</v>
      </c>
      <c r="K1596" t="s">
        <v>11</v>
      </c>
      <c r="L1596">
        <v>2</v>
      </c>
      <c r="M1596">
        <v>264</v>
      </c>
      <c r="N1596" s="1">
        <f t="shared" si="75"/>
        <v>528</v>
      </c>
    </row>
    <row r="1597" spans="5:14" x14ac:dyDescent="0.25">
      <c r="E1597">
        <v>1086</v>
      </c>
      <c r="F1597" s="7">
        <v>45380</v>
      </c>
      <c r="G1597">
        <f t="shared" si="73"/>
        <v>2024</v>
      </c>
      <c r="H1597" s="7" t="str">
        <f t="shared" si="74"/>
        <v>Март</v>
      </c>
      <c r="I1597" t="s">
        <v>7</v>
      </c>
      <c r="J1597">
        <v>23</v>
      </c>
      <c r="K1597" t="s">
        <v>10</v>
      </c>
      <c r="L1597">
        <v>4</v>
      </c>
      <c r="M1597">
        <v>198</v>
      </c>
      <c r="N1597" s="1">
        <f t="shared" si="75"/>
        <v>792</v>
      </c>
    </row>
    <row r="1598" spans="5:14" x14ac:dyDescent="0.25">
      <c r="E1598">
        <v>1936</v>
      </c>
      <c r="F1598" s="7">
        <v>45319</v>
      </c>
      <c r="G1598">
        <f t="shared" si="73"/>
        <v>2024</v>
      </c>
      <c r="H1598" s="7" t="str">
        <f t="shared" si="74"/>
        <v>Январь</v>
      </c>
      <c r="I1598" t="s">
        <v>9</v>
      </c>
      <c r="J1598">
        <v>35</v>
      </c>
      <c r="K1598" t="s">
        <v>11</v>
      </c>
      <c r="L1598">
        <v>3</v>
      </c>
      <c r="M1598">
        <v>212</v>
      </c>
      <c r="N1598" s="1">
        <f t="shared" si="75"/>
        <v>636</v>
      </c>
    </row>
    <row r="1599" spans="5:14" x14ac:dyDescent="0.25">
      <c r="E1599">
        <v>1565</v>
      </c>
      <c r="F1599" s="7">
        <v>45531</v>
      </c>
      <c r="G1599">
        <f t="shared" si="73"/>
        <v>2024</v>
      </c>
      <c r="H1599" s="7" t="str">
        <f t="shared" si="74"/>
        <v>Август</v>
      </c>
      <c r="I1599" t="s">
        <v>9</v>
      </c>
      <c r="J1599">
        <v>18</v>
      </c>
      <c r="K1599" t="s">
        <v>11</v>
      </c>
      <c r="L1599">
        <v>1</v>
      </c>
      <c r="M1599">
        <v>477</v>
      </c>
      <c r="N1599" s="1">
        <f t="shared" si="75"/>
        <v>477</v>
      </c>
    </row>
    <row r="1600" spans="5:14" x14ac:dyDescent="0.25">
      <c r="E1600">
        <v>1467</v>
      </c>
      <c r="F1600" s="7">
        <v>45429</v>
      </c>
      <c r="G1600">
        <f t="shared" si="73"/>
        <v>2024</v>
      </c>
      <c r="H1600" s="7" t="str">
        <f t="shared" si="74"/>
        <v>Май</v>
      </c>
      <c r="I1600" t="s">
        <v>9</v>
      </c>
      <c r="J1600">
        <v>18</v>
      </c>
      <c r="K1600" t="s">
        <v>10</v>
      </c>
      <c r="L1600">
        <v>2</v>
      </c>
      <c r="M1600">
        <v>186</v>
      </c>
      <c r="N1600" s="1">
        <f t="shared" si="75"/>
        <v>372</v>
      </c>
    </row>
    <row r="1601" spans="5:14" x14ac:dyDescent="0.25">
      <c r="E1601">
        <v>1609</v>
      </c>
      <c r="F1601" s="7">
        <v>45510</v>
      </c>
      <c r="G1601">
        <f t="shared" si="73"/>
        <v>2024</v>
      </c>
      <c r="H1601" s="7" t="str">
        <f t="shared" si="74"/>
        <v>Август</v>
      </c>
      <c r="I1601" t="s">
        <v>9</v>
      </c>
      <c r="J1601">
        <v>52</v>
      </c>
      <c r="K1601" t="s">
        <v>11</v>
      </c>
      <c r="L1601">
        <v>5</v>
      </c>
      <c r="M1601">
        <v>135</v>
      </c>
      <c r="N1601" s="1">
        <f t="shared" si="75"/>
        <v>675</v>
      </c>
    </row>
    <row r="1602" spans="5:14" x14ac:dyDescent="0.25">
      <c r="E1602">
        <v>140</v>
      </c>
      <c r="F1602" s="7">
        <v>45143</v>
      </c>
      <c r="G1602">
        <f t="shared" si="73"/>
        <v>2023</v>
      </c>
      <c r="H1602" s="7" t="str">
        <f t="shared" si="74"/>
        <v>Август</v>
      </c>
      <c r="I1602" t="s">
        <v>7</v>
      </c>
      <c r="J1602">
        <v>38</v>
      </c>
      <c r="K1602" t="s">
        <v>11</v>
      </c>
      <c r="L1602">
        <v>1</v>
      </c>
      <c r="M1602">
        <v>30</v>
      </c>
      <c r="N1602" s="1">
        <f t="shared" si="75"/>
        <v>30</v>
      </c>
    </row>
    <row r="1603" spans="5:14" x14ac:dyDescent="0.25">
      <c r="E1603">
        <v>135</v>
      </c>
      <c r="F1603" s="7">
        <v>44983</v>
      </c>
      <c r="G1603">
        <f t="shared" si="73"/>
        <v>2023</v>
      </c>
      <c r="H1603" s="7" t="str">
        <f t="shared" si="74"/>
        <v>Февраль</v>
      </c>
      <c r="I1603" t="s">
        <v>7</v>
      </c>
      <c r="J1603">
        <v>20</v>
      </c>
      <c r="K1603" t="s">
        <v>10</v>
      </c>
      <c r="L1603">
        <v>2</v>
      </c>
      <c r="M1603">
        <v>25</v>
      </c>
      <c r="N1603" s="1">
        <f t="shared" si="75"/>
        <v>50</v>
      </c>
    </row>
    <row r="1604" spans="5:14" x14ac:dyDescent="0.25">
      <c r="E1604">
        <v>75</v>
      </c>
      <c r="F1604" s="7">
        <v>45113</v>
      </c>
      <c r="G1604">
        <f t="shared" si="73"/>
        <v>2023</v>
      </c>
      <c r="H1604" s="7" t="str">
        <f t="shared" si="74"/>
        <v>Июль</v>
      </c>
      <c r="I1604" t="s">
        <v>7</v>
      </c>
      <c r="J1604">
        <v>61</v>
      </c>
      <c r="K1604" t="s">
        <v>8</v>
      </c>
      <c r="L1604">
        <v>4</v>
      </c>
      <c r="M1604">
        <v>50</v>
      </c>
      <c r="N1604" s="1">
        <f t="shared" si="75"/>
        <v>200</v>
      </c>
    </row>
    <row r="1605" spans="5:14" x14ac:dyDescent="0.25">
      <c r="E1605">
        <v>1973</v>
      </c>
      <c r="F1605" s="7">
        <v>45330</v>
      </c>
      <c r="G1605">
        <f t="shared" si="73"/>
        <v>2024</v>
      </c>
      <c r="H1605" s="7" t="str">
        <f t="shared" si="74"/>
        <v>Февраль</v>
      </c>
      <c r="I1605" t="s">
        <v>9</v>
      </c>
      <c r="J1605">
        <v>19</v>
      </c>
      <c r="K1605" t="s">
        <v>11</v>
      </c>
      <c r="L1605">
        <v>4</v>
      </c>
      <c r="M1605">
        <v>388</v>
      </c>
      <c r="N1605" s="1">
        <f t="shared" si="75"/>
        <v>1552</v>
      </c>
    </row>
    <row r="1606" spans="5:14" x14ac:dyDescent="0.25">
      <c r="E1606">
        <v>1292</v>
      </c>
      <c r="F1606" s="7">
        <v>45501</v>
      </c>
      <c r="G1606">
        <f t="shared" si="73"/>
        <v>2024</v>
      </c>
      <c r="H1606" s="7" t="str">
        <f t="shared" si="74"/>
        <v>Июль</v>
      </c>
      <c r="I1606" t="s">
        <v>9</v>
      </c>
      <c r="J1606">
        <v>32</v>
      </c>
      <c r="K1606" t="s">
        <v>8</v>
      </c>
      <c r="L1606">
        <v>3</v>
      </c>
      <c r="M1606">
        <v>229</v>
      </c>
      <c r="N1606" s="1">
        <f t="shared" si="75"/>
        <v>687</v>
      </c>
    </row>
    <row r="1607" spans="5:14" x14ac:dyDescent="0.25">
      <c r="E1607">
        <v>1273</v>
      </c>
      <c r="F1607" s="7">
        <v>45567</v>
      </c>
      <c r="G1607">
        <f t="shared" si="73"/>
        <v>2024</v>
      </c>
      <c r="H1607" s="7" t="str">
        <f t="shared" si="74"/>
        <v>Октябрь</v>
      </c>
      <c r="I1607" t="s">
        <v>9</v>
      </c>
      <c r="J1607">
        <v>34</v>
      </c>
      <c r="K1607" t="s">
        <v>8</v>
      </c>
      <c r="L1607">
        <v>5</v>
      </c>
      <c r="M1607">
        <v>304</v>
      </c>
      <c r="N1607" s="1">
        <f t="shared" si="75"/>
        <v>1520</v>
      </c>
    </row>
    <row r="1608" spans="5:14" x14ac:dyDescent="0.25">
      <c r="E1608">
        <v>1879</v>
      </c>
      <c r="F1608" s="7">
        <v>45421</v>
      </c>
      <c r="G1608">
        <f t="shared" si="73"/>
        <v>2024</v>
      </c>
      <c r="H1608" s="7" t="str">
        <f t="shared" si="74"/>
        <v>Май</v>
      </c>
      <c r="I1608" t="s">
        <v>7</v>
      </c>
      <c r="J1608">
        <v>61</v>
      </c>
      <c r="K1608" t="s">
        <v>11</v>
      </c>
      <c r="L1608">
        <v>6</v>
      </c>
      <c r="M1608">
        <v>254</v>
      </c>
      <c r="N1608" s="1">
        <f t="shared" si="75"/>
        <v>1524</v>
      </c>
    </row>
    <row r="1609" spans="5:14" x14ac:dyDescent="0.25">
      <c r="E1609">
        <v>964</v>
      </c>
      <c r="F1609" s="7">
        <v>44977</v>
      </c>
      <c r="G1609">
        <f t="shared" si="73"/>
        <v>2023</v>
      </c>
      <c r="H1609" s="7" t="str">
        <f t="shared" si="74"/>
        <v>Февраль</v>
      </c>
      <c r="I1609" t="s">
        <v>7</v>
      </c>
      <c r="J1609">
        <v>60</v>
      </c>
      <c r="K1609" t="s">
        <v>11</v>
      </c>
      <c r="L1609">
        <v>2</v>
      </c>
      <c r="M1609">
        <v>500</v>
      </c>
      <c r="N1609" s="1">
        <f t="shared" si="75"/>
        <v>1000</v>
      </c>
    </row>
    <row r="1610" spans="5:14" x14ac:dyDescent="0.25">
      <c r="E1610">
        <v>1932</v>
      </c>
      <c r="F1610" s="7">
        <v>45329</v>
      </c>
      <c r="G1610">
        <f t="shared" ref="G1610:G1673" si="76">YEAR(F1610)</f>
        <v>2024</v>
      </c>
      <c r="H1610" s="7" t="str">
        <f t="shared" ref="H1610:H1673" si="77">TEXT(F1610,"ММММ")</f>
        <v>Февраль</v>
      </c>
      <c r="I1610" t="s">
        <v>7</v>
      </c>
      <c r="J1610">
        <v>38</v>
      </c>
      <c r="K1610" t="s">
        <v>8</v>
      </c>
      <c r="L1610">
        <v>6</v>
      </c>
      <c r="M1610">
        <v>497</v>
      </c>
      <c r="N1610" s="1">
        <f t="shared" ref="N1610:N1673" si="78">L1610*M1610</f>
        <v>2982</v>
      </c>
    </row>
    <row r="1611" spans="5:14" x14ac:dyDescent="0.25">
      <c r="E1611">
        <v>1248</v>
      </c>
      <c r="F1611" s="7">
        <v>45535</v>
      </c>
      <c r="G1611">
        <f t="shared" si="76"/>
        <v>2024</v>
      </c>
      <c r="H1611" s="7" t="str">
        <f t="shared" si="77"/>
        <v>Август</v>
      </c>
      <c r="I1611" t="s">
        <v>9</v>
      </c>
      <c r="J1611">
        <v>46</v>
      </c>
      <c r="K1611" t="s">
        <v>8</v>
      </c>
      <c r="L1611">
        <v>5</v>
      </c>
      <c r="M1611">
        <v>106</v>
      </c>
      <c r="N1611" s="1">
        <f t="shared" si="78"/>
        <v>530</v>
      </c>
    </row>
    <row r="1612" spans="5:14" x14ac:dyDescent="0.25">
      <c r="E1612">
        <v>936</v>
      </c>
      <c r="F1612" s="7">
        <v>45249</v>
      </c>
      <c r="G1612">
        <f t="shared" si="76"/>
        <v>2023</v>
      </c>
      <c r="H1612" s="7" t="str">
        <f t="shared" si="77"/>
        <v>Ноябрь</v>
      </c>
      <c r="I1612" t="s">
        <v>7</v>
      </c>
      <c r="J1612">
        <v>49</v>
      </c>
      <c r="K1612" t="s">
        <v>10</v>
      </c>
      <c r="L1612">
        <v>4</v>
      </c>
      <c r="M1612">
        <v>50</v>
      </c>
      <c r="N1612" s="1">
        <f t="shared" si="78"/>
        <v>200</v>
      </c>
    </row>
    <row r="1613" spans="5:14" x14ac:dyDescent="0.25">
      <c r="E1613">
        <v>1666</v>
      </c>
      <c r="F1613" s="7">
        <v>45570</v>
      </c>
      <c r="G1613">
        <f t="shared" si="76"/>
        <v>2024</v>
      </c>
      <c r="H1613" s="7" t="str">
        <f t="shared" si="77"/>
        <v>Октябрь</v>
      </c>
      <c r="I1613" t="s">
        <v>7</v>
      </c>
      <c r="J1613">
        <v>19</v>
      </c>
      <c r="K1613" t="s">
        <v>8</v>
      </c>
      <c r="L1613">
        <v>2</v>
      </c>
      <c r="M1613">
        <v>285</v>
      </c>
      <c r="N1613" s="1">
        <f t="shared" si="78"/>
        <v>570</v>
      </c>
    </row>
    <row r="1614" spans="5:14" x14ac:dyDescent="0.25">
      <c r="E1614">
        <v>66</v>
      </c>
      <c r="F1614" s="7">
        <v>45043</v>
      </c>
      <c r="G1614">
        <f t="shared" si="76"/>
        <v>2023</v>
      </c>
      <c r="H1614" s="7" t="str">
        <f t="shared" si="77"/>
        <v>Апрель</v>
      </c>
      <c r="I1614" t="s">
        <v>9</v>
      </c>
      <c r="J1614">
        <v>45</v>
      </c>
      <c r="K1614" t="s">
        <v>11</v>
      </c>
      <c r="L1614">
        <v>1</v>
      </c>
      <c r="M1614">
        <v>30</v>
      </c>
      <c r="N1614" s="1">
        <f t="shared" si="78"/>
        <v>30</v>
      </c>
    </row>
    <row r="1615" spans="5:14" x14ac:dyDescent="0.25">
      <c r="E1615">
        <v>1262</v>
      </c>
      <c r="F1615" s="7">
        <v>45637</v>
      </c>
      <c r="G1615">
        <f t="shared" si="76"/>
        <v>2024</v>
      </c>
      <c r="H1615" s="7" t="str">
        <f t="shared" si="77"/>
        <v>Декабрь</v>
      </c>
      <c r="I1615" t="s">
        <v>7</v>
      </c>
      <c r="J1615">
        <v>24</v>
      </c>
      <c r="K1615" t="s">
        <v>10</v>
      </c>
      <c r="L1615">
        <v>5</v>
      </c>
      <c r="M1615">
        <v>365</v>
      </c>
      <c r="N1615" s="1">
        <f t="shared" si="78"/>
        <v>1825</v>
      </c>
    </row>
    <row r="1616" spans="5:14" x14ac:dyDescent="0.25">
      <c r="E1616">
        <v>1085</v>
      </c>
      <c r="F1616" s="7">
        <v>45618</v>
      </c>
      <c r="G1616">
        <f t="shared" si="76"/>
        <v>2024</v>
      </c>
      <c r="H1616" s="7" t="str">
        <f t="shared" si="77"/>
        <v>Ноябрь</v>
      </c>
      <c r="I1616" t="s">
        <v>9</v>
      </c>
      <c r="J1616">
        <v>38</v>
      </c>
      <c r="K1616" t="s">
        <v>8</v>
      </c>
      <c r="L1616">
        <v>6</v>
      </c>
      <c r="M1616">
        <v>34</v>
      </c>
      <c r="N1616" s="1">
        <f t="shared" si="78"/>
        <v>204</v>
      </c>
    </row>
    <row r="1617" spans="5:14" x14ac:dyDescent="0.25">
      <c r="E1617">
        <v>465</v>
      </c>
      <c r="F1617" s="7">
        <v>45097</v>
      </c>
      <c r="G1617">
        <f t="shared" si="76"/>
        <v>2023</v>
      </c>
      <c r="H1617" s="7" t="str">
        <f t="shared" si="77"/>
        <v>Июнь</v>
      </c>
      <c r="I1617" t="s">
        <v>7</v>
      </c>
      <c r="J1617">
        <v>63</v>
      </c>
      <c r="K1617" t="s">
        <v>11</v>
      </c>
      <c r="L1617">
        <v>4</v>
      </c>
      <c r="M1617">
        <v>25</v>
      </c>
      <c r="N1617" s="1">
        <f t="shared" si="78"/>
        <v>100</v>
      </c>
    </row>
    <row r="1618" spans="5:14" x14ac:dyDescent="0.25">
      <c r="E1618">
        <v>1389</v>
      </c>
      <c r="F1618" s="7">
        <v>45634</v>
      </c>
      <c r="G1618">
        <f t="shared" si="76"/>
        <v>2024</v>
      </c>
      <c r="H1618" s="7" t="str">
        <f t="shared" si="77"/>
        <v>Декабрь</v>
      </c>
      <c r="I1618" t="s">
        <v>7</v>
      </c>
      <c r="J1618">
        <v>27</v>
      </c>
      <c r="K1618" t="s">
        <v>10</v>
      </c>
      <c r="L1618">
        <v>1</v>
      </c>
      <c r="M1618">
        <v>268</v>
      </c>
      <c r="N1618" s="1">
        <f t="shared" si="78"/>
        <v>268</v>
      </c>
    </row>
    <row r="1619" spans="5:14" x14ac:dyDescent="0.25">
      <c r="E1619">
        <v>520</v>
      </c>
      <c r="F1619" s="7">
        <v>45150</v>
      </c>
      <c r="G1619">
        <f t="shared" si="76"/>
        <v>2023</v>
      </c>
      <c r="H1619" s="7" t="str">
        <f t="shared" si="77"/>
        <v>Август</v>
      </c>
      <c r="I1619" t="s">
        <v>9</v>
      </c>
      <c r="J1619">
        <v>47</v>
      </c>
      <c r="K1619" t="s">
        <v>10</v>
      </c>
      <c r="L1619">
        <v>4</v>
      </c>
      <c r="M1619">
        <v>30</v>
      </c>
      <c r="N1619" s="1">
        <f t="shared" si="78"/>
        <v>120</v>
      </c>
    </row>
    <row r="1620" spans="5:14" x14ac:dyDescent="0.25">
      <c r="E1620">
        <v>1694</v>
      </c>
      <c r="F1620" s="7">
        <v>45492</v>
      </c>
      <c r="G1620">
        <f t="shared" si="76"/>
        <v>2024</v>
      </c>
      <c r="H1620" s="7" t="str">
        <f t="shared" si="77"/>
        <v>Июль</v>
      </c>
      <c r="I1620" t="s">
        <v>9</v>
      </c>
      <c r="J1620">
        <v>42</v>
      </c>
      <c r="K1620" t="s">
        <v>11</v>
      </c>
      <c r="L1620">
        <v>5</v>
      </c>
      <c r="M1620">
        <v>34</v>
      </c>
      <c r="N1620" s="1">
        <f t="shared" si="78"/>
        <v>170</v>
      </c>
    </row>
    <row r="1621" spans="5:14" x14ac:dyDescent="0.25">
      <c r="E1621">
        <v>1110</v>
      </c>
      <c r="F1621" s="7">
        <v>45628</v>
      </c>
      <c r="G1621">
        <f t="shared" si="76"/>
        <v>2024</v>
      </c>
      <c r="H1621" s="7" t="str">
        <f t="shared" si="77"/>
        <v>Декабрь</v>
      </c>
      <c r="I1621" t="s">
        <v>7</v>
      </c>
      <c r="J1621">
        <v>26</v>
      </c>
      <c r="K1621" t="s">
        <v>10</v>
      </c>
      <c r="L1621">
        <v>4</v>
      </c>
      <c r="M1621">
        <v>100</v>
      </c>
      <c r="N1621" s="1">
        <f t="shared" si="78"/>
        <v>400</v>
      </c>
    </row>
    <row r="1622" spans="5:14" x14ac:dyDescent="0.25">
      <c r="E1622">
        <v>1527</v>
      </c>
      <c r="F1622" s="7">
        <v>45327</v>
      </c>
      <c r="G1622">
        <f t="shared" si="76"/>
        <v>2024</v>
      </c>
      <c r="H1622" s="7" t="str">
        <f t="shared" si="77"/>
        <v>Февраль</v>
      </c>
      <c r="I1622" t="s">
        <v>9</v>
      </c>
      <c r="J1622">
        <v>29</v>
      </c>
      <c r="K1622" t="s">
        <v>11</v>
      </c>
      <c r="L1622">
        <v>5</v>
      </c>
      <c r="M1622">
        <v>468</v>
      </c>
      <c r="N1622" s="1">
        <f t="shared" si="78"/>
        <v>2340</v>
      </c>
    </row>
    <row r="1623" spans="5:14" x14ac:dyDescent="0.25">
      <c r="E1623">
        <v>1471</v>
      </c>
      <c r="F1623" s="7">
        <v>45488</v>
      </c>
      <c r="G1623">
        <f t="shared" si="76"/>
        <v>2024</v>
      </c>
      <c r="H1623" s="7" t="str">
        <f t="shared" si="77"/>
        <v>Июль</v>
      </c>
      <c r="I1623" t="s">
        <v>9</v>
      </c>
      <c r="J1623">
        <v>60</v>
      </c>
      <c r="K1623" t="s">
        <v>10</v>
      </c>
      <c r="L1623">
        <v>4</v>
      </c>
      <c r="M1623">
        <v>243</v>
      </c>
      <c r="N1623" s="1">
        <f t="shared" si="78"/>
        <v>972</v>
      </c>
    </row>
    <row r="1624" spans="5:14" x14ac:dyDescent="0.25">
      <c r="E1624">
        <v>514</v>
      </c>
      <c r="F1624" s="7">
        <v>45124</v>
      </c>
      <c r="G1624">
        <f t="shared" si="76"/>
        <v>2023</v>
      </c>
      <c r="H1624" s="7" t="str">
        <f t="shared" si="77"/>
        <v>Июль</v>
      </c>
      <c r="I1624" t="s">
        <v>9</v>
      </c>
      <c r="J1624">
        <v>49</v>
      </c>
      <c r="K1624" t="s">
        <v>10</v>
      </c>
      <c r="L1624">
        <v>3</v>
      </c>
      <c r="M1624">
        <v>300</v>
      </c>
      <c r="N1624" s="1">
        <f t="shared" si="78"/>
        <v>900</v>
      </c>
    </row>
    <row r="1625" spans="5:14" x14ac:dyDescent="0.25">
      <c r="E1625">
        <v>581</v>
      </c>
      <c r="F1625" s="7">
        <v>45244</v>
      </c>
      <c r="G1625">
        <f t="shared" si="76"/>
        <v>2023</v>
      </c>
      <c r="H1625" s="7" t="str">
        <f t="shared" si="77"/>
        <v>Ноябрь</v>
      </c>
      <c r="I1625" t="s">
        <v>7</v>
      </c>
      <c r="J1625">
        <v>35</v>
      </c>
      <c r="K1625" t="s">
        <v>10</v>
      </c>
      <c r="L1625">
        <v>3</v>
      </c>
      <c r="M1625">
        <v>300</v>
      </c>
      <c r="N1625" s="1">
        <f t="shared" si="78"/>
        <v>900</v>
      </c>
    </row>
    <row r="1626" spans="5:14" x14ac:dyDescent="0.25">
      <c r="E1626">
        <v>1047</v>
      </c>
      <c r="F1626" s="7">
        <v>45314</v>
      </c>
      <c r="G1626">
        <f t="shared" si="76"/>
        <v>2024</v>
      </c>
      <c r="H1626" s="7" t="str">
        <f t="shared" si="77"/>
        <v>Январь</v>
      </c>
      <c r="I1626" t="s">
        <v>9</v>
      </c>
      <c r="J1626">
        <v>26</v>
      </c>
      <c r="K1626" t="s">
        <v>11</v>
      </c>
      <c r="L1626">
        <v>6</v>
      </c>
      <c r="M1626">
        <v>301</v>
      </c>
      <c r="N1626" s="1">
        <f t="shared" si="78"/>
        <v>1806</v>
      </c>
    </row>
    <row r="1627" spans="5:14" x14ac:dyDescent="0.25">
      <c r="E1627">
        <v>1349</v>
      </c>
      <c r="F1627" s="7">
        <v>45454</v>
      </c>
      <c r="G1627">
        <f t="shared" si="76"/>
        <v>2024</v>
      </c>
      <c r="H1627" s="7" t="str">
        <f t="shared" si="77"/>
        <v>Июнь</v>
      </c>
      <c r="I1627" t="s">
        <v>7</v>
      </c>
      <c r="J1627">
        <v>18</v>
      </c>
      <c r="K1627" t="s">
        <v>11</v>
      </c>
      <c r="L1627">
        <v>4</v>
      </c>
      <c r="M1627">
        <v>180</v>
      </c>
      <c r="N1627" s="1">
        <f t="shared" si="78"/>
        <v>720</v>
      </c>
    </row>
    <row r="1628" spans="5:14" x14ac:dyDescent="0.25">
      <c r="E1628">
        <v>106</v>
      </c>
      <c r="F1628" s="7">
        <v>45064</v>
      </c>
      <c r="G1628">
        <f t="shared" si="76"/>
        <v>2023</v>
      </c>
      <c r="H1628" s="7" t="str">
        <f t="shared" si="77"/>
        <v>Май</v>
      </c>
      <c r="I1628" t="s">
        <v>9</v>
      </c>
      <c r="J1628">
        <v>46</v>
      </c>
      <c r="K1628" t="s">
        <v>10</v>
      </c>
      <c r="L1628">
        <v>1</v>
      </c>
      <c r="M1628">
        <v>50</v>
      </c>
      <c r="N1628" s="1">
        <f t="shared" si="78"/>
        <v>50</v>
      </c>
    </row>
    <row r="1629" spans="5:14" x14ac:dyDescent="0.25">
      <c r="E1629">
        <v>775</v>
      </c>
      <c r="F1629" s="7">
        <v>45280</v>
      </c>
      <c r="G1629">
        <f t="shared" si="76"/>
        <v>2023</v>
      </c>
      <c r="H1629" s="7" t="str">
        <f t="shared" si="77"/>
        <v>Декабрь</v>
      </c>
      <c r="I1629" t="s">
        <v>7</v>
      </c>
      <c r="J1629">
        <v>48</v>
      </c>
      <c r="K1629" t="s">
        <v>11</v>
      </c>
      <c r="L1629">
        <v>3</v>
      </c>
      <c r="M1629">
        <v>50</v>
      </c>
      <c r="N1629" s="1">
        <f t="shared" si="78"/>
        <v>150</v>
      </c>
    </row>
    <row r="1630" spans="5:14" x14ac:dyDescent="0.25">
      <c r="E1630">
        <v>753</v>
      </c>
      <c r="F1630" s="7">
        <v>45038</v>
      </c>
      <c r="G1630">
        <f t="shared" si="76"/>
        <v>2023</v>
      </c>
      <c r="H1630" s="7" t="str">
        <f t="shared" si="77"/>
        <v>Апрель</v>
      </c>
      <c r="I1630" t="s">
        <v>9</v>
      </c>
      <c r="J1630">
        <v>58</v>
      </c>
      <c r="K1630" t="s">
        <v>10</v>
      </c>
      <c r="L1630">
        <v>3</v>
      </c>
      <c r="M1630">
        <v>25</v>
      </c>
      <c r="N1630" s="1">
        <f t="shared" si="78"/>
        <v>75</v>
      </c>
    </row>
    <row r="1631" spans="5:14" x14ac:dyDescent="0.25">
      <c r="E1631">
        <v>123</v>
      </c>
      <c r="F1631" s="7">
        <v>45061</v>
      </c>
      <c r="G1631">
        <f t="shared" si="76"/>
        <v>2023</v>
      </c>
      <c r="H1631" s="7" t="str">
        <f t="shared" si="77"/>
        <v>Май</v>
      </c>
      <c r="I1631" t="s">
        <v>9</v>
      </c>
      <c r="J1631">
        <v>40</v>
      </c>
      <c r="K1631" t="s">
        <v>11</v>
      </c>
      <c r="L1631">
        <v>2</v>
      </c>
      <c r="M1631">
        <v>30</v>
      </c>
      <c r="N1631" s="1">
        <f t="shared" si="78"/>
        <v>60</v>
      </c>
    </row>
    <row r="1632" spans="5:14" x14ac:dyDescent="0.25">
      <c r="E1632">
        <v>592</v>
      </c>
      <c r="F1632" s="7">
        <v>45052</v>
      </c>
      <c r="G1632">
        <f t="shared" si="76"/>
        <v>2023</v>
      </c>
      <c r="H1632" s="7" t="str">
        <f t="shared" si="77"/>
        <v>Май</v>
      </c>
      <c r="I1632" t="s">
        <v>7</v>
      </c>
      <c r="J1632">
        <v>35</v>
      </c>
      <c r="K1632" t="s">
        <v>11</v>
      </c>
      <c r="L1632">
        <v>2</v>
      </c>
      <c r="M1632">
        <v>30</v>
      </c>
      <c r="N1632" s="1">
        <f t="shared" si="78"/>
        <v>60</v>
      </c>
    </row>
    <row r="1633" spans="5:14" x14ac:dyDescent="0.25">
      <c r="E1633">
        <v>580</v>
      </c>
      <c r="F1633" s="7">
        <v>45251</v>
      </c>
      <c r="G1633">
        <f t="shared" si="76"/>
        <v>2023</v>
      </c>
      <c r="H1633" s="7" t="str">
        <f t="shared" si="77"/>
        <v>Ноябрь</v>
      </c>
      <c r="I1633" t="s">
        <v>9</v>
      </c>
      <c r="J1633">
        <v>48</v>
      </c>
      <c r="K1633" t="s">
        <v>8</v>
      </c>
      <c r="L1633">
        <v>2</v>
      </c>
      <c r="M1633">
        <v>30</v>
      </c>
      <c r="N1633" s="1">
        <f t="shared" si="78"/>
        <v>60</v>
      </c>
    </row>
    <row r="1634" spans="5:14" x14ac:dyDescent="0.25">
      <c r="E1634">
        <v>43</v>
      </c>
      <c r="F1634" s="7">
        <v>45121</v>
      </c>
      <c r="G1634">
        <f t="shared" si="76"/>
        <v>2023</v>
      </c>
      <c r="H1634" s="7" t="str">
        <f t="shared" si="77"/>
        <v>Июль</v>
      </c>
      <c r="I1634" t="s">
        <v>9</v>
      </c>
      <c r="J1634">
        <v>48</v>
      </c>
      <c r="K1634" t="s">
        <v>10</v>
      </c>
      <c r="L1634">
        <v>1</v>
      </c>
      <c r="M1634">
        <v>300</v>
      </c>
      <c r="N1634" s="1">
        <f t="shared" si="78"/>
        <v>300</v>
      </c>
    </row>
    <row r="1635" spans="5:14" x14ac:dyDescent="0.25">
      <c r="E1635">
        <v>630</v>
      </c>
      <c r="F1635" s="7">
        <v>45240</v>
      </c>
      <c r="G1635">
        <f t="shared" si="76"/>
        <v>2023</v>
      </c>
      <c r="H1635" s="7" t="str">
        <f t="shared" si="77"/>
        <v>Ноябрь</v>
      </c>
      <c r="I1635" t="s">
        <v>7</v>
      </c>
      <c r="J1635">
        <v>56</v>
      </c>
      <c r="K1635" t="s">
        <v>11</v>
      </c>
      <c r="L1635">
        <v>3</v>
      </c>
      <c r="M1635">
        <v>30</v>
      </c>
      <c r="N1635" s="1">
        <f t="shared" si="78"/>
        <v>90</v>
      </c>
    </row>
    <row r="1636" spans="5:14" x14ac:dyDescent="0.25">
      <c r="E1636">
        <v>1218</v>
      </c>
      <c r="F1636" s="7">
        <v>45419</v>
      </c>
      <c r="G1636">
        <f t="shared" si="76"/>
        <v>2024</v>
      </c>
      <c r="H1636" s="7" t="str">
        <f t="shared" si="77"/>
        <v>Май</v>
      </c>
      <c r="I1636" t="s">
        <v>7</v>
      </c>
      <c r="J1636">
        <v>64</v>
      </c>
      <c r="K1636" t="s">
        <v>8</v>
      </c>
      <c r="L1636">
        <v>3</v>
      </c>
      <c r="M1636">
        <v>188</v>
      </c>
      <c r="N1636" s="1">
        <f t="shared" si="78"/>
        <v>564</v>
      </c>
    </row>
    <row r="1637" spans="5:14" x14ac:dyDescent="0.25">
      <c r="E1637">
        <v>885</v>
      </c>
      <c r="F1637" s="7">
        <v>45088</v>
      </c>
      <c r="G1637">
        <f t="shared" si="76"/>
        <v>2023</v>
      </c>
      <c r="H1637" s="7" t="str">
        <f t="shared" si="77"/>
        <v>Июнь</v>
      </c>
      <c r="I1637" t="s">
        <v>7</v>
      </c>
      <c r="J1637">
        <v>59</v>
      </c>
      <c r="K1637" t="s">
        <v>10</v>
      </c>
      <c r="L1637">
        <v>4</v>
      </c>
      <c r="M1637">
        <v>25</v>
      </c>
      <c r="N1637" s="1">
        <f t="shared" si="78"/>
        <v>100</v>
      </c>
    </row>
    <row r="1638" spans="5:14" x14ac:dyDescent="0.25">
      <c r="E1638">
        <v>868</v>
      </c>
      <c r="F1638" s="7">
        <v>45115</v>
      </c>
      <c r="G1638">
        <f t="shared" si="76"/>
        <v>2023</v>
      </c>
      <c r="H1638" s="7" t="str">
        <f t="shared" si="77"/>
        <v>Июль</v>
      </c>
      <c r="I1638" t="s">
        <v>9</v>
      </c>
      <c r="J1638">
        <v>46</v>
      </c>
      <c r="K1638" t="s">
        <v>11</v>
      </c>
      <c r="L1638">
        <v>4</v>
      </c>
      <c r="M1638">
        <v>30</v>
      </c>
      <c r="N1638" s="1">
        <f t="shared" si="78"/>
        <v>120</v>
      </c>
    </row>
    <row r="1639" spans="5:14" x14ac:dyDescent="0.25">
      <c r="E1639">
        <v>99</v>
      </c>
      <c r="F1639" s="7">
        <v>45277</v>
      </c>
      <c r="G1639">
        <f t="shared" si="76"/>
        <v>2023</v>
      </c>
      <c r="H1639" s="7" t="str">
        <f t="shared" si="77"/>
        <v>Декабрь</v>
      </c>
      <c r="I1639" t="s">
        <v>9</v>
      </c>
      <c r="J1639">
        <v>50</v>
      </c>
      <c r="K1639" t="s">
        <v>11</v>
      </c>
      <c r="L1639">
        <v>4</v>
      </c>
      <c r="M1639">
        <v>300</v>
      </c>
      <c r="N1639" s="1">
        <f t="shared" si="78"/>
        <v>1200</v>
      </c>
    </row>
    <row r="1640" spans="5:14" x14ac:dyDescent="0.25">
      <c r="E1640">
        <v>179</v>
      </c>
      <c r="F1640" s="7">
        <v>45198</v>
      </c>
      <c r="G1640">
        <f t="shared" si="76"/>
        <v>2023</v>
      </c>
      <c r="H1640" s="7" t="str">
        <f t="shared" si="77"/>
        <v>Сентябрь</v>
      </c>
      <c r="I1640" t="s">
        <v>7</v>
      </c>
      <c r="J1640">
        <v>31</v>
      </c>
      <c r="K1640" t="s">
        <v>11</v>
      </c>
      <c r="L1640">
        <v>1</v>
      </c>
      <c r="M1640">
        <v>300</v>
      </c>
      <c r="N1640" s="1">
        <f t="shared" si="78"/>
        <v>300</v>
      </c>
    </row>
    <row r="1641" spans="5:14" x14ac:dyDescent="0.25">
      <c r="E1641">
        <v>53</v>
      </c>
      <c r="F1641" s="7">
        <v>45120</v>
      </c>
      <c r="G1641">
        <f t="shared" si="76"/>
        <v>2023</v>
      </c>
      <c r="H1641" s="7" t="str">
        <f t="shared" si="77"/>
        <v>Июль</v>
      </c>
      <c r="I1641" t="s">
        <v>7</v>
      </c>
      <c r="J1641">
        <v>34</v>
      </c>
      <c r="K1641" t="s">
        <v>11</v>
      </c>
      <c r="L1641">
        <v>2</v>
      </c>
      <c r="M1641">
        <v>50</v>
      </c>
      <c r="N1641" s="1">
        <f t="shared" si="78"/>
        <v>100</v>
      </c>
    </row>
    <row r="1642" spans="5:14" x14ac:dyDescent="0.25">
      <c r="E1642">
        <v>607</v>
      </c>
      <c r="F1642" s="7">
        <v>45262</v>
      </c>
      <c r="G1642">
        <f t="shared" si="76"/>
        <v>2023</v>
      </c>
      <c r="H1642" s="7" t="str">
        <f t="shared" si="77"/>
        <v>Декабрь</v>
      </c>
      <c r="I1642" t="s">
        <v>9</v>
      </c>
      <c r="J1642">
        <v>55</v>
      </c>
      <c r="K1642" t="s">
        <v>11</v>
      </c>
      <c r="L1642">
        <v>3</v>
      </c>
      <c r="M1642">
        <v>500</v>
      </c>
      <c r="N1642" s="1">
        <f t="shared" si="78"/>
        <v>1500</v>
      </c>
    </row>
    <row r="1643" spans="5:14" x14ac:dyDescent="0.25">
      <c r="E1643">
        <v>249</v>
      </c>
      <c r="F1643" s="7">
        <v>45222</v>
      </c>
      <c r="G1643">
        <f t="shared" si="76"/>
        <v>2023</v>
      </c>
      <c r="H1643" s="7" t="str">
        <f t="shared" si="77"/>
        <v>Октябрь</v>
      </c>
      <c r="I1643" t="s">
        <v>7</v>
      </c>
      <c r="J1643">
        <v>48</v>
      </c>
      <c r="K1643" t="s">
        <v>11</v>
      </c>
      <c r="L1643">
        <v>1</v>
      </c>
      <c r="M1643">
        <v>50</v>
      </c>
      <c r="N1643" s="1">
        <f t="shared" si="78"/>
        <v>50</v>
      </c>
    </row>
    <row r="1644" spans="5:14" x14ac:dyDescent="0.25">
      <c r="E1644">
        <v>1197</v>
      </c>
      <c r="F1644" s="7">
        <v>45630</v>
      </c>
      <c r="G1644">
        <f t="shared" si="76"/>
        <v>2024</v>
      </c>
      <c r="H1644" s="7" t="str">
        <f t="shared" si="77"/>
        <v>Декабрь</v>
      </c>
      <c r="I1644" t="s">
        <v>7</v>
      </c>
      <c r="J1644">
        <v>32</v>
      </c>
      <c r="K1644" t="s">
        <v>8</v>
      </c>
      <c r="L1644">
        <v>6</v>
      </c>
      <c r="M1644">
        <v>11</v>
      </c>
      <c r="N1644" s="1">
        <f t="shared" si="78"/>
        <v>66</v>
      </c>
    </row>
    <row r="1645" spans="5:14" x14ac:dyDescent="0.25">
      <c r="E1645">
        <v>1560</v>
      </c>
      <c r="F1645" s="7">
        <v>45513</v>
      </c>
      <c r="G1645">
        <f t="shared" si="76"/>
        <v>2024</v>
      </c>
      <c r="H1645" s="7" t="str">
        <f t="shared" si="77"/>
        <v>Август</v>
      </c>
      <c r="I1645" t="s">
        <v>7</v>
      </c>
      <c r="J1645">
        <v>26</v>
      </c>
      <c r="K1645" t="s">
        <v>10</v>
      </c>
      <c r="L1645">
        <v>6</v>
      </c>
      <c r="M1645">
        <v>246</v>
      </c>
      <c r="N1645" s="1">
        <f t="shared" si="78"/>
        <v>1476</v>
      </c>
    </row>
    <row r="1646" spans="5:14" x14ac:dyDescent="0.25">
      <c r="E1646">
        <v>1061</v>
      </c>
      <c r="F1646" s="7">
        <v>45327</v>
      </c>
      <c r="G1646">
        <f t="shared" si="76"/>
        <v>2024</v>
      </c>
      <c r="H1646" s="7" t="str">
        <f t="shared" si="77"/>
        <v>Февраль</v>
      </c>
      <c r="I1646" t="s">
        <v>7</v>
      </c>
      <c r="J1646">
        <v>29</v>
      </c>
      <c r="K1646" t="s">
        <v>11</v>
      </c>
      <c r="L1646">
        <v>1</v>
      </c>
      <c r="M1646">
        <v>213</v>
      </c>
      <c r="N1646" s="1">
        <f t="shared" si="78"/>
        <v>213</v>
      </c>
    </row>
    <row r="1647" spans="5:14" x14ac:dyDescent="0.25">
      <c r="E1647">
        <v>444</v>
      </c>
      <c r="F1647" s="7">
        <v>44948</v>
      </c>
      <c r="G1647">
        <f t="shared" si="76"/>
        <v>2023</v>
      </c>
      <c r="H1647" s="7" t="str">
        <f t="shared" si="77"/>
        <v>Январь</v>
      </c>
      <c r="I1647" t="s">
        <v>9</v>
      </c>
      <c r="J1647">
        <v>53</v>
      </c>
      <c r="K1647" t="s">
        <v>11</v>
      </c>
      <c r="L1647">
        <v>1</v>
      </c>
      <c r="M1647">
        <v>300</v>
      </c>
      <c r="N1647" s="1">
        <f t="shared" si="78"/>
        <v>300</v>
      </c>
    </row>
    <row r="1648" spans="5:14" x14ac:dyDescent="0.25">
      <c r="E1648">
        <v>1317</v>
      </c>
      <c r="F1648" s="7">
        <v>45323</v>
      </c>
      <c r="G1648">
        <f t="shared" si="76"/>
        <v>2024</v>
      </c>
      <c r="H1648" s="7" t="str">
        <f t="shared" si="77"/>
        <v>Февраль</v>
      </c>
      <c r="I1648" t="s">
        <v>9</v>
      </c>
      <c r="J1648">
        <v>36</v>
      </c>
      <c r="K1648" t="s">
        <v>11</v>
      </c>
      <c r="L1648">
        <v>1</v>
      </c>
      <c r="M1648">
        <v>84</v>
      </c>
      <c r="N1648" s="1">
        <f t="shared" si="78"/>
        <v>84</v>
      </c>
    </row>
    <row r="1649" spans="5:14" x14ac:dyDescent="0.25">
      <c r="E1649">
        <v>1064</v>
      </c>
      <c r="F1649" s="7">
        <v>45409</v>
      </c>
      <c r="G1649">
        <f t="shared" si="76"/>
        <v>2024</v>
      </c>
      <c r="H1649" s="7" t="str">
        <f t="shared" si="77"/>
        <v>Апрель</v>
      </c>
      <c r="I1649" t="s">
        <v>9</v>
      </c>
      <c r="J1649">
        <v>25</v>
      </c>
      <c r="K1649" t="s">
        <v>11</v>
      </c>
      <c r="L1649">
        <v>3</v>
      </c>
      <c r="M1649">
        <v>33</v>
      </c>
      <c r="N1649" s="1">
        <f t="shared" si="78"/>
        <v>99</v>
      </c>
    </row>
    <row r="1650" spans="5:14" x14ac:dyDescent="0.25">
      <c r="E1650">
        <v>829</v>
      </c>
      <c r="F1650" s="7">
        <v>44941</v>
      </c>
      <c r="G1650">
        <f t="shared" si="76"/>
        <v>2023</v>
      </c>
      <c r="H1650" s="7" t="str">
        <f t="shared" si="77"/>
        <v>Январь</v>
      </c>
      <c r="I1650" t="s">
        <v>7</v>
      </c>
      <c r="J1650">
        <v>27</v>
      </c>
      <c r="K1650" t="s">
        <v>11</v>
      </c>
      <c r="L1650">
        <v>4</v>
      </c>
      <c r="M1650">
        <v>25</v>
      </c>
      <c r="N1650" s="1">
        <f t="shared" si="78"/>
        <v>100</v>
      </c>
    </row>
    <row r="1651" spans="5:14" x14ac:dyDescent="0.25">
      <c r="E1651">
        <v>1549</v>
      </c>
      <c r="F1651" s="7">
        <v>45639</v>
      </c>
      <c r="G1651">
        <f t="shared" si="76"/>
        <v>2024</v>
      </c>
      <c r="H1651" s="7" t="str">
        <f t="shared" si="77"/>
        <v>Декабрь</v>
      </c>
      <c r="I1651" t="s">
        <v>9</v>
      </c>
      <c r="J1651">
        <v>41</v>
      </c>
      <c r="K1651" t="s">
        <v>11</v>
      </c>
      <c r="L1651">
        <v>6</v>
      </c>
      <c r="M1651">
        <v>237</v>
      </c>
      <c r="N1651" s="1">
        <f t="shared" si="78"/>
        <v>1422</v>
      </c>
    </row>
    <row r="1652" spans="5:14" x14ac:dyDescent="0.25">
      <c r="E1652">
        <v>1347</v>
      </c>
      <c r="F1652" s="7">
        <v>45582</v>
      </c>
      <c r="G1652">
        <f t="shared" si="76"/>
        <v>2024</v>
      </c>
      <c r="H1652" s="7" t="str">
        <f t="shared" si="77"/>
        <v>Октябрь</v>
      </c>
      <c r="I1652" t="s">
        <v>7</v>
      </c>
      <c r="J1652">
        <v>27</v>
      </c>
      <c r="K1652" t="s">
        <v>8</v>
      </c>
      <c r="L1652">
        <v>3</v>
      </c>
      <c r="M1652">
        <v>174</v>
      </c>
      <c r="N1652" s="1">
        <f t="shared" si="78"/>
        <v>522</v>
      </c>
    </row>
    <row r="1653" spans="5:14" x14ac:dyDescent="0.25">
      <c r="E1653">
        <v>1225</v>
      </c>
      <c r="F1653" s="7">
        <v>45410</v>
      </c>
      <c r="G1653">
        <f t="shared" si="76"/>
        <v>2024</v>
      </c>
      <c r="H1653" s="7" t="str">
        <f t="shared" si="77"/>
        <v>Апрель</v>
      </c>
      <c r="I1653" t="s">
        <v>9</v>
      </c>
      <c r="J1653">
        <v>53</v>
      </c>
      <c r="K1653" t="s">
        <v>11</v>
      </c>
      <c r="L1653">
        <v>2</v>
      </c>
      <c r="M1653">
        <v>207</v>
      </c>
      <c r="N1653" s="1">
        <f t="shared" si="78"/>
        <v>414</v>
      </c>
    </row>
    <row r="1654" spans="5:14" x14ac:dyDescent="0.25">
      <c r="E1654">
        <v>1463</v>
      </c>
      <c r="F1654" s="7">
        <v>45463</v>
      </c>
      <c r="G1654">
        <f t="shared" si="76"/>
        <v>2024</v>
      </c>
      <c r="H1654" s="7" t="str">
        <f t="shared" si="77"/>
        <v>Июнь</v>
      </c>
      <c r="I1654" t="s">
        <v>7</v>
      </c>
      <c r="J1654">
        <v>38</v>
      </c>
      <c r="K1654" t="s">
        <v>11</v>
      </c>
      <c r="L1654">
        <v>6</v>
      </c>
      <c r="M1654">
        <v>257</v>
      </c>
      <c r="N1654" s="1">
        <f t="shared" si="78"/>
        <v>1542</v>
      </c>
    </row>
    <row r="1655" spans="5:14" x14ac:dyDescent="0.25">
      <c r="E1655">
        <v>1984</v>
      </c>
      <c r="F1655" s="7">
        <v>45440</v>
      </c>
      <c r="G1655">
        <f t="shared" si="76"/>
        <v>2024</v>
      </c>
      <c r="H1655" s="7" t="str">
        <f t="shared" si="77"/>
        <v>Май</v>
      </c>
      <c r="I1655" t="s">
        <v>9</v>
      </c>
      <c r="J1655">
        <v>49</v>
      </c>
      <c r="K1655" t="s">
        <v>10</v>
      </c>
      <c r="L1655">
        <v>6</v>
      </c>
      <c r="M1655">
        <v>89</v>
      </c>
      <c r="N1655" s="1">
        <f t="shared" si="78"/>
        <v>534</v>
      </c>
    </row>
    <row r="1656" spans="5:14" x14ac:dyDescent="0.25">
      <c r="E1656">
        <v>799</v>
      </c>
      <c r="F1656" s="7">
        <v>45148</v>
      </c>
      <c r="G1656">
        <f t="shared" si="76"/>
        <v>2023</v>
      </c>
      <c r="H1656" s="7" t="str">
        <f t="shared" si="77"/>
        <v>Август</v>
      </c>
      <c r="I1656" t="s">
        <v>7</v>
      </c>
      <c r="J1656">
        <v>21</v>
      </c>
      <c r="K1656" t="s">
        <v>10</v>
      </c>
      <c r="L1656">
        <v>4</v>
      </c>
      <c r="M1656">
        <v>50</v>
      </c>
      <c r="N1656" s="1">
        <f t="shared" si="78"/>
        <v>200</v>
      </c>
    </row>
    <row r="1657" spans="5:14" x14ac:dyDescent="0.25">
      <c r="E1657">
        <v>1238</v>
      </c>
      <c r="F1657" s="7">
        <v>45556</v>
      </c>
      <c r="G1657">
        <f t="shared" si="76"/>
        <v>2024</v>
      </c>
      <c r="H1657" s="7" t="str">
        <f t="shared" si="77"/>
        <v>Сентябрь</v>
      </c>
      <c r="I1657" t="s">
        <v>9</v>
      </c>
      <c r="J1657">
        <v>46</v>
      </c>
      <c r="K1657" t="s">
        <v>11</v>
      </c>
      <c r="L1657">
        <v>4</v>
      </c>
      <c r="M1657">
        <v>116</v>
      </c>
      <c r="N1657" s="1">
        <f t="shared" si="78"/>
        <v>464</v>
      </c>
    </row>
    <row r="1658" spans="5:14" x14ac:dyDescent="0.25">
      <c r="E1658">
        <v>896</v>
      </c>
      <c r="F1658" s="7">
        <v>45232</v>
      </c>
      <c r="G1658">
        <f t="shared" si="76"/>
        <v>2023</v>
      </c>
      <c r="H1658" s="7" t="str">
        <f t="shared" si="77"/>
        <v>Ноябрь</v>
      </c>
      <c r="I1658" t="s">
        <v>9</v>
      </c>
      <c r="J1658">
        <v>42</v>
      </c>
      <c r="K1658" t="s">
        <v>10</v>
      </c>
      <c r="L1658">
        <v>3</v>
      </c>
      <c r="M1658">
        <v>30</v>
      </c>
      <c r="N1658" s="1">
        <f t="shared" si="78"/>
        <v>90</v>
      </c>
    </row>
    <row r="1659" spans="5:14" x14ac:dyDescent="0.25">
      <c r="E1659">
        <v>1776</v>
      </c>
      <c r="F1659" s="7">
        <v>45344</v>
      </c>
      <c r="G1659">
        <f t="shared" si="76"/>
        <v>2024</v>
      </c>
      <c r="H1659" s="7" t="str">
        <f t="shared" si="77"/>
        <v>Февраль</v>
      </c>
      <c r="I1659" t="s">
        <v>7</v>
      </c>
      <c r="J1659">
        <v>50</v>
      </c>
      <c r="K1659" t="s">
        <v>11</v>
      </c>
      <c r="L1659">
        <v>4</v>
      </c>
      <c r="M1659">
        <v>313</v>
      </c>
      <c r="N1659" s="1">
        <f t="shared" si="78"/>
        <v>1252</v>
      </c>
    </row>
    <row r="1660" spans="5:14" x14ac:dyDescent="0.25">
      <c r="E1660">
        <v>1811</v>
      </c>
      <c r="F1660" s="7">
        <v>45531</v>
      </c>
      <c r="G1660">
        <f t="shared" si="76"/>
        <v>2024</v>
      </c>
      <c r="H1660" s="7" t="str">
        <f t="shared" si="77"/>
        <v>Август</v>
      </c>
      <c r="I1660" t="s">
        <v>9</v>
      </c>
      <c r="J1660">
        <v>43</v>
      </c>
      <c r="K1660" t="s">
        <v>10</v>
      </c>
      <c r="L1660">
        <v>4</v>
      </c>
      <c r="M1660">
        <v>73</v>
      </c>
      <c r="N1660" s="1">
        <f t="shared" si="78"/>
        <v>292</v>
      </c>
    </row>
    <row r="1661" spans="5:14" x14ac:dyDescent="0.25">
      <c r="E1661">
        <v>598</v>
      </c>
      <c r="F1661" s="7">
        <v>45249</v>
      </c>
      <c r="G1661">
        <f t="shared" si="76"/>
        <v>2023</v>
      </c>
      <c r="H1661" s="7" t="str">
        <f t="shared" si="77"/>
        <v>Ноябрь</v>
      </c>
      <c r="I1661" t="s">
        <v>9</v>
      </c>
      <c r="J1661">
        <v>28</v>
      </c>
      <c r="K1661" t="s">
        <v>8</v>
      </c>
      <c r="L1661">
        <v>2</v>
      </c>
      <c r="M1661">
        <v>50</v>
      </c>
      <c r="N1661" s="1">
        <f t="shared" si="78"/>
        <v>100</v>
      </c>
    </row>
    <row r="1662" spans="5:14" x14ac:dyDescent="0.25">
      <c r="E1662">
        <v>574</v>
      </c>
      <c r="F1662" s="7">
        <v>45013</v>
      </c>
      <c r="G1662">
        <f t="shared" si="76"/>
        <v>2023</v>
      </c>
      <c r="H1662" s="7" t="str">
        <f t="shared" si="77"/>
        <v>Март</v>
      </c>
      <c r="I1662" t="s">
        <v>7</v>
      </c>
      <c r="J1662">
        <v>60</v>
      </c>
      <c r="K1662" t="s">
        <v>10</v>
      </c>
      <c r="L1662">
        <v>2</v>
      </c>
      <c r="M1662">
        <v>50</v>
      </c>
      <c r="N1662" s="1">
        <f t="shared" si="78"/>
        <v>100</v>
      </c>
    </row>
    <row r="1663" spans="5:14" x14ac:dyDescent="0.25">
      <c r="E1663">
        <v>1005</v>
      </c>
      <c r="F1663" s="7">
        <v>45364</v>
      </c>
      <c r="G1663">
        <f t="shared" si="76"/>
        <v>2024</v>
      </c>
      <c r="H1663" s="7" t="str">
        <f t="shared" si="77"/>
        <v>Март</v>
      </c>
      <c r="I1663" t="s">
        <v>7</v>
      </c>
      <c r="J1663">
        <v>36</v>
      </c>
      <c r="K1663" t="s">
        <v>10</v>
      </c>
      <c r="L1663">
        <v>6</v>
      </c>
      <c r="M1663">
        <v>448</v>
      </c>
      <c r="N1663" s="1">
        <f t="shared" si="78"/>
        <v>2688</v>
      </c>
    </row>
    <row r="1664" spans="5:14" x14ac:dyDescent="0.25">
      <c r="E1664">
        <v>1687</v>
      </c>
      <c r="F1664" s="7">
        <v>45405</v>
      </c>
      <c r="G1664">
        <f t="shared" si="76"/>
        <v>2024</v>
      </c>
      <c r="H1664" s="7" t="str">
        <f t="shared" si="77"/>
        <v>Апрель</v>
      </c>
      <c r="I1664" t="s">
        <v>9</v>
      </c>
      <c r="J1664">
        <v>46</v>
      </c>
      <c r="K1664" t="s">
        <v>10</v>
      </c>
      <c r="L1664">
        <v>6</v>
      </c>
      <c r="M1664">
        <v>189</v>
      </c>
      <c r="N1664" s="1">
        <f t="shared" si="78"/>
        <v>1134</v>
      </c>
    </row>
    <row r="1665" spans="5:14" x14ac:dyDescent="0.25">
      <c r="E1665">
        <v>1715</v>
      </c>
      <c r="F1665" s="7">
        <v>45386</v>
      </c>
      <c r="G1665">
        <f t="shared" si="76"/>
        <v>2024</v>
      </c>
      <c r="H1665" s="7" t="str">
        <f t="shared" si="77"/>
        <v>Апрель</v>
      </c>
      <c r="I1665" t="s">
        <v>9</v>
      </c>
      <c r="J1665">
        <v>51</v>
      </c>
      <c r="K1665" t="s">
        <v>10</v>
      </c>
      <c r="L1665">
        <v>3</v>
      </c>
      <c r="M1665">
        <v>416</v>
      </c>
      <c r="N1665" s="1">
        <f t="shared" si="78"/>
        <v>1248</v>
      </c>
    </row>
    <row r="1666" spans="5:14" x14ac:dyDescent="0.25">
      <c r="E1666">
        <v>942</v>
      </c>
      <c r="F1666" s="7">
        <v>45082</v>
      </c>
      <c r="G1666">
        <f t="shared" si="76"/>
        <v>2023</v>
      </c>
      <c r="H1666" s="7" t="str">
        <f t="shared" si="77"/>
        <v>Июнь</v>
      </c>
      <c r="I1666" t="s">
        <v>7</v>
      </c>
      <c r="J1666">
        <v>44</v>
      </c>
      <c r="K1666" t="s">
        <v>10</v>
      </c>
      <c r="L1666">
        <v>2</v>
      </c>
      <c r="M1666">
        <v>25</v>
      </c>
      <c r="N1666" s="1">
        <f t="shared" si="78"/>
        <v>50</v>
      </c>
    </row>
    <row r="1667" spans="5:14" x14ac:dyDescent="0.25">
      <c r="E1667">
        <v>541</v>
      </c>
      <c r="F1667" s="7">
        <v>45094</v>
      </c>
      <c r="G1667">
        <f t="shared" si="76"/>
        <v>2023</v>
      </c>
      <c r="H1667" s="7" t="str">
        <f t="shared" si="77"/>
        <v>Июнь</v>
      </c>
      <c r="I1667" t="s">
        <v>9</v>
      </c>
      <c r="J1667">
        <v>20</v>
      </c>
      <c r="K1667" t="s">
        <v>8</v>
      </c>
      <c r="L1667">
        <v>1</v>
      </c>
      <c r="M1667">
        <v>50</v>
      </c>
      <c r="N1667" s="1">
        <f t="shared" si="78"/>
        <v>50</v>
      </c>
    </row>
    <row r="1668" spans="5:14" x14ac:dyDescent="0.25">
      <c r="E1668">
        <v>821</v>
      </c>
      <c r="F1668" s="7">
        <v>45157</v>
      </c>
      <c r="G1668">
        <f t="shared" si="76"/>
        <v>2023</v>
      </c>
      <c r="H1668" s="7" t="str">
        <f t="shared" si="77"/>
        <v>Август</v>
      </c>
      <c r="I1668" t="s">
        <v>9</v>
      </c>
      <c r="J1668">
        <v>56</v>
      </c>
      <c r="K1668" t="s">
        <v>11</v>
      </c>
      <c r="L1668">
        <v>2</v>
      </c>
      <c r="M1668">
        <v>50</v>
      </c>
      <c r="N1668" s="1">
        <f t="shared" si="78"/>
        <v>100</v>
      </c>
    </row>
    <row r="1669" spans="5:14" x14ac:dyDescent="0.25">
      <c r="E1669">
        <v>1380</v>
      </c>
      <c r="F1669" s="7">
        <v>45373</v>
      </c>
      <c r="G1669">
        <f t="shared" si="76"/>
        <v>2024</v>
      </c>
      <c r="H1669" s="7" t="str">
        <f t="shared" si="77"/>
        <v>Март</v>
      </c>
      <c r="I1669" t="s">
        <v>9</v>
      </c>
      <c r="J1669">
        <v>29</v>
      </c>
      <c r="K1669" t="s">
        <v>8</v>
      </c>
      <c r="L1669">
        <v>2</v>
      </c>
      <c r="M1669">
        <v>376</v>
      </c>
      <c r="N1669" s="1">
        <f t="shared" si="78"/>
        <v>752</v>
      </c>
    </row>
    <row r="1670" spans="5:14" x14ac:dyDescent="0.25">
      <c r="E1670">
        <v>892</v>
      </c>
      <c r="F1670" s="7">
        <v>45174</v>
      </c>
      <c r="G1670">
        <f t="shared" si="76"/>
        <v>2023</v>
      </c>
      <c r="H1670" s="7" t="str">
        <f t="shared" si="77"/>
        <v>Сентябрь</v>
      </c>
      <c r="I1670" t="s">
        <v>7</v>
      </c>
      <c r="J1670">
        <v>52</v>
      </c>
      <c r="K1670" t="s">
        <v>11</v>
      </c>
      <c r="L1670">
        <v>1</v>
      </c>
      <c r="M1670">
        <v>30</v>
      </c>
      <c r="N1670" s="1">
        <f t="shared" si="78"/>
        <v>30</v>
      </c>
    </row>
    <row r="1671" spans="5:14" x14ac:dyDescent="0.25">
      <c r="E1671">
        <v>329</v>
      </c>
      <c r="F1671" s="7">
        <v>45187</v>
      </c>
      <c r="G1671">
        <f t="shared" si="76"/>
        <v>2023</v>
      </c>
      <c r="H1671" s="7" t="str">
        <f t="shared" si="77"/>
        <v>Сентябрь</v>
      </c>
      <c r="I1671" t="s">
        <v>9</v>
      </c>
      <c r="J1671">
        <v>25</v>
      </c>
      <c r="K1671" t="s">
        <v>8</v>
      </c>
      <c r="L1671">
        <v>4</v>
      </c>
      <c r="M1671">
        <v>50</v>
      </c>
      <c r="N1671" s="1">
        <f t="shared" si="78"/>
        <v>200</v>
      </c>
    </row>
    <row r="1672" spans="5:14" x14ac:dyDescent="0.25">
      <c r="E1672">
        <v>1397</v>
      </c>
      <c r="F1672" s="7">
        <v>45346</v>
      </c>
      <c r="G1672">
        <f t="shared" si="76"/>
        <v>2024</v>
      </c>
      <c r="H1672" s="7" t="str">
        <f t="shared" si="77"/>
        <v>Февраль</v>
      </c>
      <c r="I1672" t="s">
        <v>7</v>
      </c>
      <c r="J1672">
        <v>60</v>
      </c>
      <c r="K1672" t="s">
        <v>10</v>
      </c>
      <c r="L1672">
        <v>7</v>
      </c>
      <c r="M1672">
        <v>254</v>
      </c>
      <c r="N1672" s="1">
        <f t="shared" si="78"/>
        <v>1778</v>
      </c>
    </row>
    <row r="1673" spans="5:14" x14ac:dyDescent="0.25">
      <c r="E1673">
        <v>1117</v>
      </c>
      <c r="F1673" s="7">
        <v>45364</v>
      </c>
      <c r="G1673">
        <f t="shared" si="76"/>
        <v>2024</v>
      </c>
      <c r="H1673" s="7" t="str">
        <f t="shared" si="77"/>
        <v>Март</v>
      </c>
      <c r="I1673" t="s">
        <v>9</v>
      </c>
      <c r="J1673">
        <v>41</v>
      </c>
      <c r="K1673" t="s">
        <v>10</v>
      </c>
      <c r="L1673">
        <v>7</v>
      </c>
      <c r="M1673">
        <v>109</v>
      </c>
      <c r="N1673" s="1">
        <f t="shared" si="78"/>
        <v>763</v>
      </c>
    </row>
    <row r="1674" spans="5:14" x14ac:dyDescent="0.25">
      <c r="E1674">
        <v>1830</v>
      </c>
      <c r="F1674" s="7">
        <v>45386</v>
      </c>
      <c r="G1674">
        <f t="shared" ref="G1674:G1737" si="79">YEAR(F1674)</f>
        <v>2024</v>
      </c>
      <c r="H1674" s="7" t="str">
        <f t="shared" ref="H1674:H1737" si="80">TEXT(F1674,"ММММ")</f>
        <v>Апрель</v>
      </c>
      <c r="I1674" t="s">
        <v>9</v>
      </c>
      <c r="J1674">
        <v>42</v>
      </c>
      <c r="K1674" t="s">
        <v>8</v>
      </c>
      <c r="L1674">
        <v>5</v>
      </c>
      <c r="M1674">
        <v>354</v>
      </c>
      <c r="N1674" s="1">
        <f t="shared" ref="N1674:N1737" si="81">L1674*M1674</f>
        <v>1770</v>
      </c>
    </row>
    <row r="1675" spans="5:14" x14ac:dyDescent="0.25">
      <c r="E1675">
        <v>360</v>
      </c>
      <c r="F1675" s="7">
        <v>45270</v>
      </c>
      <c r="G1675">
        <f t="shared" si="79"/>
        <v>2023</v>
      </c>
      <c r="H1675" s="7" t="str">
        <f t="shared" si="80"/>
        <v>Декабрь</v>
      </c>
      <c r="I1675" t="s">
        <v>9</v>
      </c>
      <c r="J1675">
        <v>34</v>
      </c>
      <c r="K1675" t="s">
        <v>11</v>
      </c>
      <c r="L1675">
        <v>4</v>
      </c>
      <c r="M1675">
        <v>300</v>
      </c>
      <c r="N1675" s="1">
        <f t="shared" si="81"/>
        <v>1200</v>
      </c>
    </row>
    <row r="1676" spans="5:14" x14ac:dyDescent="0.25">
      <c r="E1676">
        <v>37</v>
      </c>
      <c r="F1676" s="7">
        <v>45069</v>
      </c>
      <c r="G1676">
        <f t="shared" si="79"/>
        <v>2023</v>
      </c>
      <c r="H1676" s="7" t="str">
        <f t="shared" si="80"/>
        <v>Май</v>
      </c>
      <c r="I1676" t="s">
        <v>9</v>
      </c>
      <c r="J1676">
        <v>18</v>
      </c>
      <c r="K1676" t="s">
        <v>8</v>
      </c>
      <c r="L1676">
        <v>3</v>
      </c>
      <c r="M1676">
        <v>25</v>
      </c>
      <c r="N1676" s="1">
        <f t="shared" si="81"/>
        <v>75</v>
      </c>
    </row>
    <row r="1677" spans="5:14" x14ac:dyDescent="0.25">
      <c r="E1677">
        <v>561</v>
      </c>
      <c r="F1677" s="7">
        <v>45034</v>
      </c>
      <c r="G1677">
        <f t="shared" si="79"/>
        <v>2023</v>
      </c>
      <c r="H1677" s="7" t="str">
        <f t="shared" si="80"/>
        <v>Апрель</v>
      </c>
      <c r="I1677" t="s">
        <v>7</v>
      </c>
      <c r="J1677">
        <v>54</v>
      </c>
      <c r="K1677" t="s">
        <v>11</v>
      </c>
      <c r="L1677">
        <v>2</v>
      </c>
      <c r="M1677">
        <v>25</v>
      </c>
      <c r="N1677" s="1">
        <f t="shared" si="81"/>
        <v>50</v>
      </c>
    </row>
    <row r="1678" spans="5:14" x14ac:dyDescent="0.25">
      <c r="E1678">
        <v>1277</v>
      </c>
      <c r="F1678" s="7">
        <v>45386</v>
      </c>
      <c r="G1678">
        <f t="shared" si="79"/>
        <v>2024</v>
      </c>
      <c r="H1678" s="7" t="str">
        <f t="shared" si="80"/>
        <v>Апрель</v>
      </c>
      <c r="I1678" t="s">
        <v>9</v>
      </c>
      <c r="J1678">
        <v>49</v>
      </c>
      <c r="K1678" t="s">
        <v>10</v>
      </c>
      <c r="L1678">
        <v>3</v>
      </c>
      <c r="M1678">
        <v>479</v>
      </c>
      <c r="N1678" s="1">
        <f t="shared" si="81"/>
        <v>1437</v>
      </c>
    </row>
    <row r="1679" spans="5:14" x14ac:dyDescent="0.25">
      <c r="E1679">
        <v>1446</v>
      </c>
      <c r="F1679" s="7">
        <v>45476</v>
      </c>
      <c r="G1679">
        <f t="shared" si="79"/>
        <v>2024</v>
      </c>
      <c r="H1679" s="7" t="str">
        <f t="shared" si="80"/>
        <v>Июль</v>
      </c>
      <c r="I1679" t="s">
        <v>7</v>
      </c>
      <c r="J1679">
        <v>18</v>
      </c>
      <c r="K1679" t="s">
        <v>11</v>
      </c>
      <c r="L1679">
        <v>4</v>
      </c>
      <c r="M1679">
        <v>234</v>
      </c>
      <c r="N1679" s="1">
        <f t="shared" si="81"/>
        <v>936</v>
      </c>
    </row>
    <row r="1680" spans="5:14" x14ac:dyDescent="0.25">
      <c r="E1680">
        <v>1769</v>
      </c>
      <c r="F1680" s="7">
        <v>45496</v>
      </c>
      <c r="G1680">
        <f t="shared" si="79"/>
        <v>2024</v>
      </c>
      <c r="H1680" s="7" t="str">
        <f t="shared" si="80"/>
        <v>Июль</v>
      </c>
      <c r="I1680" t="s">
        <v>7</v>
      </c>
      <c r="J1680">
        <v>32</v>
      </c>
      <c r="K1680" t="s">
        <v>11</v>
      </c>
      <c r="L1680">
        <v>1</v>
      </c>
      <c r="M1680">
        <v>447</v>
      </c>
      <c r="N1680" s="1">
        <f t="shared" si="81"/>
        <v>447</v>
      </c>
    </row>
    <row r="1681" spans="5:14" x14ac:dyDescent="0.25">
      <c r="E1681">
        <v>1716</v>
      </c>
      <c r="F1681" s="7">
        <v>45317</v>
      </c>
      <c r="G1681">
        <f t="shared" si="79"/>
        <v>2024</v>
      </c>
      <c r="H1681" s="7" t="str">
        <f t="shared" si="80"/>
        <v>Январь</v>
      </c>
      <c r="I1681" t="s">
        <v>9</v>
      </c>
      <c r="J1681">
        <v>45</v>
      </c>
      <c r="K1681" t="s">
        <v>8</v>
      </c>
      <c r="L1681">
        <v>2</v>
      </c>
      <c r="M1681">
        <v>437</v>
      </c>
      <c r="N1681" s="1">
        <f t="shared" si="81"/>
        <v>874</v>
      </c>
    </row>
    <row r="1682" spans="5:14" x14ac:dyDescent="0.25">
      <c r="E1682">
        <v>703</v>
      </c>
      <c r="F1682" s="7">
        <v>44992</v>
      </c>
      <c r="G1682">
        <f t="shared" si="79"/>
        <v>2023</v>
      </c>
      <c r="H1682" s="7" t="str">
        <f t="shared" si="80"/>
        <v>Март</v>
      </c>
      <c r="I1682" t="s">
        <v>7</v>
      </c>
      <c r="J1682">
        <v>60</v>
      </c>
      <c r="K1682" t="s">
        <v>11</v>
      </c>
      <c r="L1682">
        <v>2</v>
      </c>
      <c r="M1682">
        <v>25</v>
      </c>
      <c r="N1682" s="1">
        <f t="shared" si="81"/>
        <v>50</v>
      </c>
    </row>
    <row r="1683" spans="5:14" x14ac:dyDescent="0.25">
      <c r="E1683">
        <v>1893</v>
      </c>
      <c r="F1683" s="7">
        <v>45561</v>
      </c>
      <c r="G1683">
        <f t="shared" si="79"/>
        <v>2024</v>
      </c>
      <c r="H1683" s="7" t="str">
        <f t="shared" si="80"/>
        <v>Сентябрь</v>
      </c>
      <c r="I1683" t="s">
        <v>9</v>
      </c>
      <c r="J1683">
        <v>41</v>
      </c>
      <c r="K1683" t="s">
        <v>11</v>
      </c>
      <c r="L1683">
        <v>1</v>
      </c>
      <c r="M1683">
        <v>40</v>
      </c>
      <c r="N1683" s="1">
        <f t="shared" si="81"/>
        <v>40</v>
      </c>
    </row>
    <row r="1684" spans="5:14" x14ac:dyDescent="0.25">
      <c r="E1684">
        <v>1419</v>
      </c>
      <c r="F1684" s="7">
        <v>45463</v>
      </c>
      <c r="G1684">
        <f t="shared" si="79"/>
        <v>2024</v>
      </c>
      <c r="H1684" s="7" t="str">
        <f t="shared" si="80"/>
        <v>Июнь</v>
      </c>
      <c r="I1684" t="s">
        <v>9</v>
      </c>
      <c r="J1684">
        <v>35</v>
      </c>
      <c r="K1684" t="s">
        <v>10</v>
      </c>
      <c r="L1684">
        <v>5</v>
      </c>
      <c r="M1684">
        <v>409</v>
      </c>
      <c r="N1684" s="1">
        <f t="shared" si="81"/>
        <v>2045</v>
      </c>
    </row>
    <row r="1685" spans="5:14" x14ac:dyDescent="0.25">
      <c r="E1685">
        <v>1829</v>
      </c>
      <c r="F1685" s="7">
        <v>45459</v>
      </c>
      <c r="G1685">
        <f t="shared" si="79"/>
        <v>2024</v>
      </c>
      <c r="H1685" s="7" t="str">
        <f t="shared" si="80"/>
        <v>Июнь</v>
      </c>
      <c r="I1685" t="s">
        <v>7</v>
      </c>
      <c r="J1685">
        <v>52</v>
      </c>
      <c r="K1685" t="s">
        <v>8</v>
      </c>
      <c r="L1685">
        <v>6</v>
      </c>
      <c r="M1685">
        <v>335</v>
      </c>
      <c r="N1685" s="1">
        <f t="shared" si="81"/>
        <v>2010</v>
      </c>
    </row>
    <row r="1686" spans="5:14" x14ac:dyDescent="0.25">
      <c r="E1686">
        <v>1889</v>
      </c>
      <c r="F1686" s="7">
        <v>45403</v>
      </c>
      <c r="G1686">
        <f t="shared" si="79"/>
        <v>2024</v>
      </c>
      <c r="H1686" s="7" t="str">
        <f t="shared" si="80"/>
        <v>Апрель</v>
      </c>
      <c r="I1686" t="s">
        <v>7</v>
      </c>
      <c r="J1686">
        <v>39</v>
      </c>
      <c r="K1686" t="s">
        <v>11</v>
      </c>
      <c r="L1686">
        <v>4</v>
      </c>
      <c r="M1686">
        <v>481</v>
      </c>
      <c r="N1686" s="1">
        <f t="shared" si="81"/>
        <v>1924</v>
      </c>
    </row>
    <row r="1687" spans="5:14" x14ac:dyDescent="0.25">
      <c r="E1687">
        <v>1280</v>
      </c>
      <c r="F1687" s="7">
        <v>45420</v>
      </c>
      <c r="G1687">
        <f t="shared" si="79"/>
        <v>2024</v>
      </c>
      <c r="H1687" s="7" t="str">
        <f t="shared" si="80"/>
        <v>Май</v>
      </c>
      <c r="I1687" t="s">
        <v>9</v>
      </c>
      <c r="J1687">
        <v>49</v>
      </c>
      <c r="K1687" t="s">
        <v>11</v>
      </c>
      <c r="L1687">
        <v>7</v>
      </c>
      <c r="M1687">
        <v>174</v>
      </c>
      <c r="N1687" s="1">
        <f t="shared" si="81"/>
        <v>1218</v>
      </c>
    </row>
    <row r="1688" spans="5:14" x14ac:dyDescent="0.25">
      <c r="E1688">
        <v>1520</v>
      </c>
      <c r="F1688" s="7">
        <v>45559</v>
      </c>
      <c r="G1688">
        <f t="shared" si="79"/>
        <v>2024</v>
      </c>
      <c r="H1688" s="7" t="str">
        <f t="shared" si="80"/>
        <v>Сентябрь</v>
      </c>
      <c r="I1688" t="s">
        <v>9</v>
      </c>
      <c r="J1688">
        <v>65</v>
      </c>
      <c r="K1688" t="s">
        <v>11</v>
      </c>
      <c r="L1688">
        <v>4</v>
      </c>
      <c r="M1688">
        <v>443</v>
      </c>
      <c r="N1688" s="1">
        <f t="shared" si="81"/>
        <v>1772</v>
      </c>
    </row>
    <row r="1689" spans="5:14" x14ac:dyDescent="0.25">
      <c r="E1689">
        <v>832</v>
      </c>
      <c r="F1689" s="7">
        <v>45020</v>
      </c>
      <c r="G1689">
        <f t="shared" si="79"/>
        <v>2023</v>
      </c>
      <c r="H1689" s="7" t="str">
        <f t="shared" si="80"/>
        <v>Апрель</v>
      </c>
      <c r="I1689" t="s">
        <v>9</v>
      </c>
      <c r="J1689">
        <v>56</v>
      </c>
      <c r="K1689" t="s">
        <v>8</v>
      </c>
      <c r="L1689">
        <v>2</v>
      </c>
      <c r="M1689">
        <v>30</v>
      </c>
      <c r="N1689" s="1">
        <f t="shared" si="81"/>
        <v>60</v>
      </c>
    </row>
    <row r="1690" spans="5:14" x14ac:dyDescent="0.25">
      <c r="E1690">
        <v>1645</v>
      </c>
      <c r="F1690" s="7">
        <v>45518</v>
      </c>
      <c r="G1690">
        <f t="shared" si="79"/>
        <v>2024</v>
      </c>
      <c r="H1690" s="7" t="str">
        <f t="shared" si="80"/>
        <v>Август</v>
      </c>
      <c r="I1690" t="s">
        <v>7</v>
      </c>
      <c r="J1690">
        <v>46</v>
      </c>
      <c r="K1690" t="s">
        <v>8</v>
      </c>
      <c r="L1690">
        <v>7</v>
      </c>
      <c r="M1690">
        <v>243</v>
      </c>
      <c r="N1690" s="1">
        <f t="shared" si="81"/>
        <v>1701</v>
      </c>
    </row>
    <row r="1691" spans="5:14" x14ac:dyDescent="0.25">
      <c r="E1691">
        <v>1451</v>
      </c>
      <c r="F1691" s="7">
        <v>45344</v>
      </c>
      <c r="G1691">
        <f t="shared" si="79"/>
        <v>2024</v>
      </c>
      <c r="H1691" s="7" t="str">
        <f t="shared" si="80"/>
        <v>Февраль</v>
      </c>
      <c r="I1691" t="s">
        <v>9</v>
      </c>
      <c r="J1691">
        <v>22</v>
      </c>
      <c r="K1691" t="s">
        <v>8</v>
      </c>
      <c r="L1691">
        <v>2</v>
      </c>
      <c r="M1691">
        <v>284</v>
      </c>
      <c r="N1691" s="1">
        <f t="shared" si="81"/>
        <v>568</v>
      </c>
    </row>
    <row r="1692" spans="5:14" x14ac:dyDescent="0.25">
      <c r="E1692">
        <v>652</v>
      </c>
      <c r="F1692" s="7">
        <v>45098</v>
      </c>
      <c r="G1692">
        <f t="shared" si="79"/>
        <v>2023</v>
      </c>
      <c r="H1692" s="7" t="str">
        <f t="shared" si="80"/>
        <v>Июнь</v>
      </c>
      <c r="I1692" t="s">
        <v>7</v>
      </c>
      <c r="J1692">
        <v>42</v>
      </c>
      <c r="K1692" t="s">
        <v>10</v>
      </c>
      <c r="L1692">
        <v>3</v>
      </c>
      <c r="M1692">
        <v>25</v>
      </c>
      <c r="N1692" s="1">
        <f t="shared" si="81"/>
        <v>75</v>
      </c>
    </row>
    <row r="1693" spans="5:14" x14ac:dyDescent="0.25">
      <c r="E1693">
        <v>1315</v>
      </c>
      <c r="F1693" s="7">
        <v>45589</v>
      </c>
      <c r="G1693">
        <f t="shared" si="79"/>
        <v>2024</v>
      </c>
      <c r="H1693" s="7" t="str">
        <f t="shared" si="80"/>
        <v>Октябрь</v>
      </c>
      <c r="I1693" t="s">
        <v>7</v>
      </c>
      <c r="J1693">
        <v>60</v>
      </c>
      <c r="K1693" t="s">
        <v>10</v>
      </c>
      <c r="L1693">
        <v>3</v>
      </c>
      <c r="M1693">
        <v>125</v>
      </c>
      <c r="N1693" s="1">
        <f t="shared" si="81"/>
        <v>375</v>
      </c>
    </row>
    <row r="1694" spans="5:14" x14ac:dyDescent="0.25">
      <c r="E1694">
        <v>803</v>
      </c>
      <c r="F1694" s="7">
        <v>45289</v>
      </c>
      <c r="G1694">
        <f t="shared" si="79"/>
        <v>2023</v>
      </c>
      <c r="H1694" s="7" t="str">
        <f t="shared" si="80"/>
        <v>Декабрь</v>
      </c>
      <c r="I1694" t="s">
        <v>9</v>
      </c>
      <c r="J1694">
        <v>30</v>
      </c>
      <c r="K1694" t="s">
        <v>8</v>
      </c>
      <c r="L1694">
        <v>3</v>
      </c>
      <c r="M1694">
        <v>500</v>
      </c>
      <c r="N1694" s="1">
        <f t="shared" si="81"/>
        <v>1500</v>
      </c>
    </row>
    <row r="1695" spans="5:14" x14ac:dyDescent="0.25">
      <c r="E1695">
        <v>251</v>
      </c>
      <c r="F1695" s="7">
        <v>45051</v>
      </c>
      <c r="G1695">
        <f t="shared" si="79"/>
        <v>2023</v>
      </c>
      <c r="H1695" s="7" t="str">
        <f t="shared" si="80"/>
        <v>Май</v>
      </c>
      <c r="I1695" t="s">
        <v>7</v>
      </c>
      <c r="J1695">
        <v>54</v>
      </c>
      <c r="K1695" t="s">
        <v>11</v>
      </c>
      <c r="L1695">
        <v>1</v>
      </c>
      <c r="M1695">
        <v>300</v>
      </c>
      <c r="N1695" s="1">
        <f t="shared" si="81"/>
        <v>300</v>
      </c>
    </row>
    <row r="1696" spans="5:14" x14ac:dyDescent="0.25">
      <c r="E1696">
        <v>32</v>
      </c>
      <c r="F1696" s="7">
        <v>44930</v>
      </c>
      <c r="G1696">
        <f t="shared" si="79"/>
        <v>2023</v>
      </c>
      <c r="H1696" s="7" t="str">
        <f t="shared" si="80"/>
        <v>Январь</v>
      </c>
      <c r="I1696" t="s">
        <v>7</v>
      </c>
      <c r="J1696">
        <v>30</v>
      </c>
      <c r="K1696" t="s">
        <v>8</v>
      </c>
      <c r="L1696">
        <v>3</v>
      </c>
      <c r="M1696">
        <v>30</v>
      </c>
      <c r="N1696" s="1">
        <f t="shared" si="81"/>
        <v>90</v>
      </c>
    </row>
    <row r="1697" spans="5:14" x14ac:dyDescent="0.25">
      <c r="E1697">
        <v>1828</v>
      </c>
      <c r="F1697" s="7">
        <v>45546</v>
      </c>
      <c r="G1697">
        <f t="shared" si="79"/>
        <v>2024</v>
      </c>
      <c r="H1697" s="7" t="str">
        <f t="shared" si="80"/>
        <v>Сентябрь</v>
      </c>
      <c r="I1697" t="s">
        <v>7</v>
      </c>
      <c r="J1697">
        <v>46</v>
      </c>
      <c r="K1697" t="s">
        <v>8</v>
      </c>
      <c r="L1697">
        <v>2</v>
      </c>
      <c r="M1697">
        <v>421</v>
      </c>
      <c r="N1697" s="1">
        <f t="shared" si="81"/>
        <v>842</v>
      </c>
    </row>
    <row r="1698" spans="5:14" x14ac:dyDescent="0.25">
      <c r="E1698">
        <v>1858</v>
      </c>
      <c r="F1698" s="7">
        <v>45443</v>
      </c>
      <c r="G1698">
        <f t="shared" si="79"/>
        <v>2024</v>
      </c>
      <c r="H1698" s="7" t="str">
        <f t="shared" si="80"/>
        <v>Май</v>
      </c>
      <c r="I1698" t="s">
        <v>7</v>
      </c>
      <c r="J1698">
        <v>59</v>
      </c>
      <c r="K1698" t="s">
        <v>11</v>
      </c>
      <c r="L1698">
        <v>5</v>
      </c>
      <c r="M1698">
        <v>31</v>
      </c>
      <c r="N1698" s="1">
        <f t="shared" si="81"/>
        <v>155</v>
      </c>
    </row>
    <row r="1699" spans="5:14" x14ac:dyDescent="0.25">
      <c r="E1699">
        <v>635</v>
      </c>
      <c r="F1699" s="7">
        <v>45008</v>
      </c>
      <c r="G1699">
        <f t="shared" si="79"/>
        <v>2023</v>
      </c>
      <c r="H1699" s="7" t="str">
        <f t="shared" si="80"/>
        <v>Март</v>
      </c>
      <c r="I1699" t="s">
        <v>9</v>
      </c>
      <c r="J1699">
        <v>21</v>
      </c>
      <c r="K1699" t="s">
        <v>8</v>
      </c>
      <c r="L1699">
        <v>3</v>
      </c>
      <c r="M1699">
        <v>500</v>
      </c>
      <c r="N1699" s="1">
        <f t="shared" si="81"/>
        <v>1500</v>
      </c>
    </row>
    <row r="1700" spans="5:14" x14ac:dyDescent="0.25">
      <c r="E1700">
        <v>226</v>
      </c>
      <c r="F1700" s="7">
        <v>45210</v>
      </c>
      <c r="G1700">
        <f t="shared" si="79"/>
        <v>2023</v>
      </c>
      <c r="H1700" s="7" t="str">
        <f t="shared" si="80"/>
        <v>Октябрь</v>
      </c>
      <c r="I1700" t="s">
        <v>7</v>
      </c>
      <c r="J1700">
        <v>36</v>
      </c>
      <c r="K1700" t="s">
        <v>11</v>
      </c>
      <c r="L1700">
        <v>2</v>
      </c>
      <c r="M1700">
        <v>50</v>
      </c>
      <c r="N1700" s="1">
        <f t="shared" si="81"/>
        <v>100</v>
      </c>
    </row>
    <row r="1701" spans="5:14" x14ac:dyDescent="0.25">
      <c r="E1701">
        <v>696</v>
      </c>
      <c r="F1701" s="7">
        <v>45126</v>
      </c>
      <c r="G1701">
        <f t="shared" si="79"/>
        <v>2023</v>
      </c>
      <c r="H1701" s="7" t="str">
        <f t="shared" si="80"/>
        <v>Июль</v>
      </c>
      <c r="I1701" t="s">
        <v>9</v>
      </c>
      <c r="J1701">
        <v>64</v>
      </c>
      <c r="K1701" t="s">
        <v>11</v>
      </c>
      <c r="L1701">
        <v>1</v>
      </c>
      <c r="M1701">
        <v>300</v>
      </c>
      <c r="N1701" s="1">
        <f t="shared" si="81"/>
        <v>300</v>
      </c>
    </row>
    <row r="1702" spans="5:14" x14ac:dyDescent="0.25">
      <c r="E1702">
        <v>250</v>
      </c>
      <c r="F1702" s="7">
        <v>45169</v>
      </c>
      <c r="G1702">
        <f t="shared" si="79"/>
        <v>2023</v>
      </c>
      <c r="H1702" s="7" t="str">
        <f t="shared" si="80"/>
        <v>Август</v>
      </c>
      <c r="I1702" t="s">
        <v>9</v>
      </c>
      <c r="J1702">
        <v>57</v>
      </c>
      <c r="K1702" t="s">
        <v>8</v>
      </c>
      <c r="L1702">
        <v>4</v>
      </c>
      <c r="M1702">
        <v>50</v>
      </c>
      <c r="N1702" s="1">
        <f t="shared" si="81"/>
        <v>200</v>
      </c>
    </row>
    <row r="1703" spans="5:14" x14ac:dyDescent="0.25">
      <c r="E1703">
        <v>1684</v>
      </c>
      <c r="F1703" s="7">
        <v>45568</v>
      </c>
      <c r="G1703">
        <f t="shared" si="79"/>
        <v>2024</v>
      </c>
      <c r="H1703" s="7" t="str">
        <f t="shared" si="80"/>
        <v>Октябрь</v>
      </c>
      <c r="I1703" t="s">
        <v>7</v>
      </c>
      <c r="J1703">
        <v>55</v>
      </c>
      <c r="K1703" t="s">
        <v>10</v>
      </c>
      <c r="L1703">
        <v>3</v>
      </c>
      <c r="M1703">
        <v>60</v>
      </c>
      <c r="N1703" s="1">
        <f t="shared" si="81"/>
        <v>180</v>
      </c>
    </row>
    <row r="1704" spans="5:14" x14ac:dyDescent="0.25">
      <c r="E1704">
        <v>1215</v>
      </c>
      <c r="F1704" s="7">
        <v>45557</v>
      </c>
      <c r="G1704">
        <f t="shared" si="79"/>
        <v>2024</v>
      </c>
      <c r="H1704" s="7" t="str">
        <f t="shared" si="80"/>
        <v>Сентябрь</v>
      </c>
      <c r="I1704" t="s">
        <v>7</v>
      </c>
      <c r="J1704">
        <v>31</v>
      </c>
      <c r="K1704" t="s">
        <v>8</v>
      </c>
      <c r="L1704">
        <v>5</v>
      </c>
      <c r="M1704">
        <v>239</v>
      </c>
      <c r="N1704" s="1">
        <f t="shared" si="81"/>
        <v>1195</v>
      </c>
    </row>
    <row r="1705" spans="5:14" x14ac:dyDescent="0.25">
      <c r="E1705">
        <v>443</v>
      </c>
      <c r="F1705" s="7">
        <v>44992</v>
      </c>
      <c r="G1705">
        <f t="shared" si="79"/>
        <v>2023</v>
      </c>
      <c r="H1705" s="7" t="str">
        <f t="shared" si="80"/>
        <v>Март</v>
      </c>
      <c r="I1705" t="s">
        <v>9</v>
      </c>
      <c r="J1705">
        <v>61</v>
      </c>
      <c r="K1705" t="s">
        <v>10</v>
      </c>
      <c r="L1705">
        <v>3</v>
      </c>
      <c r="M1705">
        <v>30</v>
      </c>
      <c r="N1705" s="1">
        <f t="shared" si="81"/>
        <v>90</v>
      </c>
    </row>
    <row r="1706" spans="5:14" x14ac:dyDescent="0.25">
      <c r="E1706">
        <v>736</v>
      </c>
      <c r="F1706" s="7">
        <v>45041</v>
      </c>
      <c r="G1706">
        <f t="shared" si="79"/>
        <v>2023</v>
      </c>
      <c r="H1706" s="7" t="str">
        <f t="shared" si="80"/>
        <v>Апрель</v>
      </c>
      <c r="I1706" t="s">
        <v>7</v>
      </c>
      <c r="J1706">
        <v>41</v>
      </c>
      <c r="K1706" t="s">
        <v>10</v>
      </c>
      <c r="L1706">
        <v>2</v>
      </c>
      <c r="M1706">
        <v>50</v>
      </c>
      <c r="N1706" s="1">
        <f t="shared" si="81"/>
        <v>100</v>
      </c>
    </row>
    <row r="1707" spans="5:14" x14ac:dyDescent="0.25">
      <c r="E1707">
        <v>1312</v>
      </c>
      <c r="F1707" s="7">
        <v>45444</v>
      </c>
      <c r="G1707">
        <f t="shared" si="79"/>
        <v>2024</v>
      </c>
      <c r="H1707" s="7" t="str">
        <f t="shared" si="80"/>
        <v>Июнь</v>
      </c>
      <c r="I1707" t="s">
        <v>7</v>
      </c>
      <c r="J1707">
        <v>65</v>
      </c>
      <c r="K1707" t="s">
        <v>10</v>
      </c>
      <c r="L1707">
        <v>2</v>
      </c>
      <c r="M1707">
        <v>427</v>
      </c>
      <c r="N1707" s="1">
        <f t="shared" si="81"/>
        <v>854</v>
      </c>
    </row>
    <row r="1708" spans="5:14" x14ac:dyDescent="0.25">
      <c r="E1708">
        <v>1773</v>
      </c>
      <c r="F1708" s="7">
        <v>45646</v>
      </c>
      <c r="G1708">
        <f t="shared" si="79"/>
        <v>2024</v>
      </c>
      <c r="H1708" s="7" t="str">
        <f t="shared" si="80"/>
        <v>Декабрь</v>
      </c>
      <c r="I1708" t="s">
        <v>7</v>
      </c>
      <c r="J1708">
        <v>42</v>
      </c>
      <c r="K1708" t="s">
        <v>11</v>
      </c>
      <c r="L1708">
        <v>5</v>
      </c>
      <c r="M1708">
        <v>487</v>
      </c>
      <c r="N1708" s="1">
        <f t="shared" si="81"/>
        <v>2435</v>
      </c>
    </row>
    <row r="1709" spans="5:14" x14ac:dyDescent="0.25">
      <c r="E1709">
        <v>739</v>
      </c>
      <c r="F1709" s="7">
        <v>45260</v>
      </c>
      <c r="G1709">
        <f t="shared" si="79"/>
        <v>2023</v>
      </c>
      <c r="H1709" s="7" t="str">
        <f t="shared" si="80"/>
        <v>Ноябрь</v>
      </c>
      <c r="I1709" t="s">
        <v>7</v>
      </c>
      <c r="J1709">
        <v>48</v>
      </c>
      <c r="K1709" t="s">
        <v>10</v>
      </c>
      <c r="L1709">
        <v>1</v>
      </c>
      <c r="M1709">
        <v>300</v>
      </c>
      <c r="N1709" s="1">
        <f t="shared" si="81"/>
        <v>300</v>
      </c>
    </row>
    <row r="1710" spans="5:14" x14ac:dyDescent="0.25">
      <c r="E1710">
        <v>1622</v>
      </c>
      <c r="F1710" s="7">
        <v>45634</v>
      </c>
      <c r="G1710">
        <f t="shared" si="79"/>
        <v>2024</v>
      </c>
      <c r="H1710" s="7" t="str">
        <f t="shared" si="80"/>
        <v>Декабрь</v>
      </c>
      <c r="I1710" t="s">
        <v>7</v>
      </c>
      <c r="J1710">
        <v>42</v>
      </c>
      <c r="K1710" t="s">
        <v>10</v>
      </c>
      <c r="L1710">
        <v>3</v>
      </c>
      <c r="M1710">
        <v>85</v>
      </c>
      <c r="N1710" s="1">
        <f t="shared" si="81"/>
        <v>255</v>
      </c>
    </row>
    <row r="1711" spans="5:14" x14ac:dyDescent="0.25">
      <c r="E1711">
        <v>798</v>
      </c>
      <c r="F1711" s="7">
        <v>44981</v>
      </c>
      <c r="G1711">
        <f t="shared" si="79"/>
        <v>2023</v>
      </c>
      <c r="H1711" s="7" t="str">
        <f t="shared" si="80"/>
        <v>Февраль</v>
      </c>
      <c r="I1711" t="s">
        <v>7</v>
      </c>
      <c r="J1711">
        <v>32</v>
      </c>
      <c r="K1711" t="s">
        <v>10</v>
      </c>
      <c r="L1711">
        <v>4</v>
      </c>
      <c r="M1711">
        <v>300</v>
      </c>
      <c r="N1711" s="1">
        <f t="shared" si="81"/>
        <v>1200</v>
      </c>
    </row>
    <row r="1712" spans="5:14" x14ac:dyDescent="0.25">
      <c r="E1712">
        <v>1512</v>
      </c>
      <c r="F1712" s="7">
        <v>45490</v>
      </c>
      <c r="G1712">
        <f t="shared" si="79"/>
        <v>2024</v>
      </c>
      <c r="H1712" s="7" t="str">
        <f t="shared" si="80"/>
        <v>Июль</v>
      </c>
      <c r="I1712" t="s">
        <v>9</v>
      </c>
      <c r="J1712">
        <v>33</v>
      </c>
      <c r="K1712" t="s">
        <v>10</v>
      </c>
      <c r="L1712">
        <v>3</v>
      </c>
      <c r="M1712">
        <v>51</v>
      </c>
      <c r="N1712" s="1">
        <f t="shared" si="81"/>
        <v>153</v>
      </c>
    </row>
    <row r="1713" spans="5:14" x14ac:dyDescent="0.25">
      <c r="E1713">
        <v>176</v>
      </c>
      <c r="F1713" s="7">
        <v>45118</v>
      </c>
      <c r="G1713">
        <f t="shared" si="79"/>
        <v>2023</v>
      </c>
      <c r="H1713" s="7" t="str">
        <f t="shared" si="80"/>
        <v>Июль</v>
      </c>
      <c r="I1713" t="s">
        <v>9</v>
      </c>
      <c r="J1713">
        <v>43</v>
      </c>
      <c r="K1713" t="s">
        <v>8</v>
      </c>
      <c r="L1713">
        <v>2</v>
      </c>
      <c r="M1713">
        <v>50</v>
      </c>
      <c r="N1713" s="1">
        <f t="shared" si="81"/>
        <v>100</v>
      </c>
    </row>
    <row r="1714" spans="5:14" x14ac:dyDescent="0.25">
      <c r="E1714">
        <v>149</v>
      </c>
      <c r="F1714" s="7">
        <v>45210</v>
      </c>
      <c r="G1714">
        <f t="shared" si="79"/>
        <v>2023</v>
      </c>
      <c r="H1714" s="7" t="str">
        <f t="shared" si="80"/>
        <v>Октябрь</v>
      </c>
      <c r="I1714" t="s">
        <v>7</v>
      </c>
      <c r="J1714">
        <v>22</v>
      </c>
      <c r="K1714" t="s">
        <v>10</v>
      </c>
      <c r="L1714">
        <v>3</v>
      </c>
      <c r="M1714">
        <v>25</v>
      </c>
      <c r="N1714" s="1">
        <f t="shared" si="81"/>
        <v>75</v>
      </c>
    </row>
    <row r="1715" spans="5:14" x14ac:dyDescent="0.25">
      <c r="E1715">
        <v>624</v>
      </c>
      <c r="F1715" s="7">
        <v>45268</v>
      </c>
      <c r="G1715">
        <f t="shared" si="79"/>
        <v>2023</v>
      </c>
      <c r="H1715" s="7" t="str">
        <f t="shared" si="80"/>
        <v>Декабрь</v>
      </c>
      <c r="I1715" t="s">
        <v>7</v>
      </c>
      <c r="J1715">
        <v>31</v>
      </c>
      <c r="K1715" t="s">
        <v>10</v>
      </c>
      <c r="L1715">
        <v>1</v>
      </c>
      <c r="M1715">
        <v>300</v>
      </c>
      <c r="N1715" s="1">
        <f t="shared" si="81"/>
        <v>300</v>
      </c>
    </row>
    <row r="1716" spans="5:14" x14ac:dyDescent="0.25">
      <c r="E1716">
        <v>447</v>
      </c>
      <c r="F1716" s="7">
        <v>44947</v>
      </c>
      <c r="G1716">
        <f t="shared" si="79"/>
        <v>2023</v>
      </c>
      <c r="H1716" s="7" t="str">
        <f t="shared" si="80"/>
        <v>Январь</v>
      </c>
      <c r="I1716" t="s">
        <v>9</v>
      </c>
      <c r="J1716">
        <v>54</v>
      </c>
      <c r="K1716" t="s">
        <v>8</v>
      </c>
      <c r="L1716">
        <v>2</v>
      </c>
      <c r="M1716">
        <v>30</v>
      </c>
      <c r="N1716" s="1">
        <f t="shared" si="81"/>
        <v>60</v>
      </c>
    </row>
    <row r="1717" spans="5:14" x14ac:dyDescent="0.25">
      <c r="E1717">
        <v>1152</v>
      </c>
      <c r="F1717" s="7">
        <v>45567</v>
      </c>
      <c r="G1717">
        <f t="shared" si="79"/>
        <v>2024</v>
      </c>
      <c r="H1717" s="7" t="str">
        <f t="shared" si="80"/>
        <v>Октябрь</v>
      </c>
      <c r="I1717" t="s">
        <v>7</v>
      </c>
      <c r="J1717">
        <v>23</v>
      </c>
      <c r="K1717" t="s">
        <v>11</v>
      </c>
      <c r="L1717">
        <v>3</v>
      </c>
      <c r="M1717">
        <v>364</v>
      </c>
      <c r="N1717" s="1">
        <f t="shared" si="81"/>
        <v>1092</v>
      </c>
    </row>
    <row r="1718" spans="5:14" x14ac:dyDescent="0.25">
      <c r="E1718">
        <v>1644</v>
      </c>
      <c r="F1718" s="7">
        <v>45433</v>
      </c>
      <c r="G1718">
        <f t="shared" si="79"/>
        <v>2024</v>
      </c>
      <c r="H1718" s="7" t="str">
        <f t="shared" si="80"/>
        <v>Май</v>
      </c>
      <c r="I1718" t="s">
        <v>7</v>
      </c>
      <c r="J1718">
        <v>24</v>
      </c>
      <c r="K1718" t="s">
        <v>10</v>
      </c>
      <c r="L1718">
        <v>5</v>
      </c>
      <c r="M1718">
        <v>419</v>
      </c>
      <c r="N1718" s="1">
        <f t="shared" si="81"/>
        <v>2095</v>
      </c>
    </row>
    <row r="1719" spans="5:14" x14ac:dyDescent="0.25">
      <c r="E1719">
        <v>1894</v>
      </c>
      <c r="F1719" s="7">
        <v>45598</v>
      </c>
      <c r="G1719">
        <f t="shared" si="79"/>
        <v>2024</v>
      </c>
      <c r="H1719" s="7" t="str">
        <f t="shared" si="80"/>
        <v>Ноябрь</v>
      </c>
      <c r="I1719" t="s">
        <v>9</v>
      </c>
      <c r="J1719">
        <v>59</v>
      </c>
      <c r="K1719" t="s">
        <v>10</v>
      </c>
      <c r="L1719">
        <v>3</v>
      </c>
      <c r="M1719">
        <v>390</v>
      </c>
      <c r="N1719" s="1">
        <f t="shared" si="81"/>
        <v>1170</v>
      </c>
    </row>
    <row r="1720" spans="5:14" x14ac:dyDescent="0.25">
      <c r="E1720">
        <v>1578</v>
      </c>
      <c r="F1720" s="7">
        <v>45617</v>
      </c>
      <c r="G1720">
        <f t="shared" si="79"/>
        <v>2024</v>
      </c>
      <c r="H1720" s="7" t="str">
        <f t="shared" si="80"/>
        <v>Ноябрь</v>
      </c>
      <c r="I1720" t="s">
        <v>9</v>
      </c>
      <c r="J1720">
        <v>46</v>
      </c>
      <c r="K1720" t="s">
        <v>8</v>
      </c>
      <c r="L1720">
        <v>2</v>
      </c>
      <c r="M1720">
        <v>192</v>
      </c>
      <c r="N1720" s="1">
        <f t="shared" si="81"/>
        <v>384</v>
      </c>
    </row>
    <row r="1721" spans="5:14" x14ac:dyDescent="0.25">
      <c r="E1721">
        <v>1120</v>
      </c>
      <c r="F1721" s="7">
        <v>45568</v>
      </c>
      <c r="G1721">
        <f t="shared" si="79"/>
        <v>2024</v>
      </c>
      <c r="H1721" s="7" t="str">
        <f t="shared" si="80"/>
        <v>Октябрь</v>
      </c>
      <c r="I1721" t="s">
        <v>7</v>
      </c>
      <c r="J1721">
        <v>29</v>
      </c>
      <c r="K1721" t="s">
        <v>11</v>
      </c>
      <c r="L1721">
        <v>7</v>
      </c>
      <c r="M1721">
        <v>92</v>
      </c>
      <c r="N1721" s="1">
        <f t="shared" si="81"/>
        <v>644</v>
      </c>
    </row>
    <row r="1722" spans="5:14" x14ac:dyDescent="0.25">
      <c r="E1722">
        <v>917</v>
      </c>
      <c r="F1722" s="7">
        <v>45178</v>
      </c>
      <c r="G1722">
        <f t="shared" si="79"/>
        <v>2023</v>
      </c>
      <c r="H1722" s="7" t="str">
        <f t="shared" si="80"/>
        <v>Сентябрь</v>
      </c>
      <c r="I1722" t="s">
        <v>9</v>
      </c>
      <c r="J1722">
        <v>22</v>
      </c>
      <c r="K1722" t="s">
        <v>8</v>
      </c>
      <c r="L1722">
        <v>2</v>
      </c>
      <c r="M1722">
        <v>25</v>
      </c>
      <c r="N1722" s="1">
        <f t="shared" si="81"/>
        <v>50</v>
      </c>
    </row>
    <row r="1723" spans="5:14" x14ac:dyDescent="0.25">
      <c r="E1723">
        <v>1930</v>
      </c>
      <c r="F1723" s="7">
        <v>45498</v>
      </c>
      <c r="G1723">
        <f t="shared" si="79"/>
        <v>2024</v>
      </c>
      <c r="H1723" s="7" t="str">
        <f t="shared" si="80"/>
        <v>Июль</v>
      </c>
      <c r="I1723" t="s">
        <v>7</v>
      </c>
      <c r="J1723">
        <v>29</v>
      </c>
      <c r="K1723" t="s">
        <v>8</v>
      </c>
      <c r="L1723">
        <v>6</v>
      </c>
      <c r="M1723">
        <v>313</v>
      </c>
      <c r="N1723" s="1">
        <f t="shared" si="81"/>
        <v>1878</v>
      </c>
    </row>
    <row r="1724" spans="5:14" x14ac:dyDescent="0.25">
      <c r="E1724">
        <v>1937</v>
      </c>
      <c r="F1724" s="7">
        <v>45370</v>
      </c>
      <c r="G1724">
        <f t="shared" si="79"/>
        <v>2024</v>
      </c>
      <c r="H1724" s="7" t="str">
        <f t="shared" si="80"/>
        <v>Март</v>
      </c>
      <c r="I1724" t="s">
        <v>9</v>
      </c>
      <c r="J1724">
        <v>61</v>
      </c>
      <c r="K1724" t="s">
        <v>10</v>
      </c>
      <c r="L1724">
        <v>5</v>
      </c>
      <c r="M1724">
        <v>146</v>
      </c>
      <c r="N1724" s="1">
        <f t="shared" si="81"/>
        <v>730</v>
      </c>
    </row>
    <row r="1725" spans="5:14" x14ac:dyDescent="0.25">
      <c r="E1725">
        <v>50</v>
      </c>
      <c r="F1725" s="7">
        <v>45162</v>
      </c>
      <c r="G1725">
        <f t="shared" si="79"/>
        <v>2023</v>
      </c>
      <c r="H1725" s="7" t="str">
        <f t="shared" si="80"/>
        <v>Август</v>
      </c>
      <c r="I1725" t="s">
        <v>9</v>
      </c>
      <c r="J1725">
        <v>27</v>
      </c>
      <c r="K1725" t="s">
        <v>8</v>
      </c>
      <c r="L1725">
        <v>3</v>
      </c>
      <c r="M1725">
        <v>25</v>
      </c>
      <c r="N1725" s="1">
        <f t="shared" si="81"/>
        <v>75</v>
      </c>
    </row>
    <row r="1726" spans="5:14" x14ac:dyDescent="0.25">
      <c r="E1726">
        <v>1927</v>
      </c>
      <c r="F1726" s="7">
        <v>45537</v>
      </c>
      <c r="G1726">
        <f t="shared" si="79"/>
        <v>2024</v>
      </c>
      <c r="H1726" s="7" t="str">
        <f t="shared" si="80"/>
        <v>Сентябрь</v>
      </c>
      <c r="I1726" t="s">
        <v>7</v>
      </c>
      <c r="J1726">
        <v>36</v>
      </c>
      <c r="K1726" t="s">
        <v>8</v>
      </c>
      <c r="L1726">
        <v>2</v>
      </c>
      <c r="M1726">
        <v>392</v>
      </c>
      <c r="N1726" s="1">
        <f t="shared" si="81"/>
        <v>784</v>
      </c>
    </row>
    <row r="1727" spans="5:14" x14ac:dyDescent="0.25">
      <c r="E1727">
        <v>157</v>
      </c>
      <c r="F1727" s="7">
        <v>45101</v>
      </c>
      <c r="G1727">
        <f t="shared" si="79"/>
        <v>2023</v>
      </c>
      <c r="H1727" s="7" t="str">
        <f t="shared" si="80"/>
        <v>Июнь</v>
      </c>
      <c r="I1727" t="s">
        <v>7</v>
      </c>
      <c r="J1727">
        <v>62</v>
      </c>
      <c r="K1727" t="s">
        <v>11</v>
      </c>
      <c r="L1727">
        <v>4</v>
      </c>
      <c r="M1727">
        <v>500</v>
      </c>
      <c r="N1727" s="1">
        <f t="shared" si="81"/>
        <v>2000</v>
      </c>
    </row>
    <row r="1728" spans="5:14" x14ac:dyDescent="0.25">
      <c r="E1728">
        <v>527</v>
      </c>
      <c r="F1728" s="7">
        <v>45113</v>
      </c>
      <c r="G1728">
        <f t="shared" si="79"/>
        <v>2023</v>
      </c>
      <c r="H1728" s="7" t="str">
        <f t="shared" si="80"/>
        <v>Июль</v>
      </c>
      <c r="I1728" t="s">
        <v>9</v>
      </c>
      <c r="J1728">
        <v>36</v>
      </c>
      <c r="K1728" t="s">
        <v>10</v>
      </c>
      <c r="L1728">
        <v>2</v>
      </c>
      <c r="M1728">
        <v>30</v>
      </c>
      <c r="N1728" s="1">
        <f t="shared" si="81"/>
        <v>60</v>
      </c>
    </row>
    <row r="1729" spans="5:14" x14ac:dyDescent="0.25">
      <c r="E1729">
        <v>51</v>
      </c>
      <c r="F1729" s="7">
        <v>45201</v>
      </c>
      <c r="G1729">
        <f t="shared" si="79"/>
        <v>2023</v>
      </c>
      <c r="H1729" s="7" t="str">
        <f t="shared" si="80"/>
        <v>Октябрь</v>
      </c>
      <c r="I1729" t="s">
        <v>7</v>
      </c>
      <c r="J1729">
        <v>27</v>
      </c>
      <c r="K1729" t="s">
        <v>8</v>
      </c>
      <c r="L1729">
        <v>3</v>
      </c>
      <c r="M1729">
        <v>25</v>
      </c>
      <c r="N1729" s="1">
        <f t="shared" si="81"/>
        <v>75</v>
      </c>
    </row>
    <row r="1730" spans="5:14" x14ac:dyDescent="0.25">
      <c r="E1730">
        <v>658</v>
      </c>
      <c r="F1730" s="7">
        <v>45045</v>
      </c>
      <c r="G1730">
        <f t="shared" si="79"/>
        <v>2023</v>
      </c>
      <c r="H1730" s="7" t="str">
        <f t="shared" si="80"/>
        <v>Апрель</v>
      </c>
      <c r="I1730" t="s">
        <v>9</v>
      </c>
      <c r="J1730">
        <v>38</v>
      </c>
      <c r="K1730" t="s">
        <v>8</v>
      </c>
      <c r="L1730">
        <v>2</v>
      </c>
      <c r="M1730">
        <v>500</v>
      </c>
      <c r="N1730" s="1">
        <f t="shared" si="81"/>
        <v>1000</v>
      </c>
    </row>
    <row r="1731" spans="5:14" x14ac:dyDescent="0.25">
      <c r="E1731">
        <v>1966</v>
      </c>
      <c r="F1731" s="7">
        <v>45428</v>
      </c>
      <c r="G1731">
        <f t="shared" si="79"/>
        <v>2024</v>
      </c>
      <c r="H1731" s="7" t="str">
        <f t="shared" si="80"/>
        <v>Май</v>
      </c>
      <c r="I1731" t="s">
        <v>7</v>
      </c>
      <c r="J1731">
        <v>60</v>
      </c>
      <c r="K1731" t="s">
        <v>11</v>
      </c>
      <c r="L1731">
        <v>1</v>
      </c>
      <c r="M1731">
        <v>105</v>
      </c>
      <c r="N1731" s="1">
        <f t="shared" si="81"/>
        <v>105</v>
      </c>
    </row>
    <row r="1732" spans="5:14" x14ac:dyDescent="0.25">
      <c r="E1732">
        <v>1344</v>
      </c>
      <c r="F1732" s="7">
        <v>45507</v>
      </c>
      <c r="G1732">
        <f t="shared" si="79"/>
        <v>2024</v>
      </c>
      <c r="H1732" s="7" t="str">
        <f t="shared" si="80"/>
        <v>Август</v>
      </c>
      <c r="I1732" t="s">
        <v>7</v>
      </c>
      <c r="J1732">
        <v>51</v>
      </c>
      <c r="K1732" t="s">
        <v>11</v>
      </c>
      <c r="L1732">
        <v>2</v>
      </c>
      <c r="M1732">
        <v>30</v>
      </c>
      <c r="N1732" s="1">
        <f t="shared" si="81"/>
        <v>60</v>
      </c>
    </row>
    <row r="1733" spans="5:14" x14ac:dyDescent="0.25">
      <c r="E1733">
        <v>735</v>
      </c>
      <c r="F1733" s="7">
        <v>45106</v>
      </c>
      <c r="G1733">
        <f t="shared" si="79"/>
        <v>2023</v>
      </c>
      <c r="H1733" s="7" t="str">
        <f t="shared" si="80"/>
        <v>Июнь</v>
      </c>
      <c r="I1733" t="s">
        <v>9</v>
      </c>
      <c r="J1733">
        <v>33</v>
      </c>
      <c r="K1733" t="s">
        <v>10</v>
      </c>
      <c r="L1733">
        <v>1</v>
      </c>
      <c r="M1733">
        <v>50</v>
      </c>
      <c r="N1733" s="1">
        <f t="shared" si="81"/>
        <v>50</v>
      </c>
    </row>
    <row r="1734" spans="5:14" x14ac:dyDescent="0.25">
      <c r="E1734">
        <v>324</v>
      </c>
      <c r="F1734" s="7">
        <v>45171</v>
      </c>
      <c r="G1734">
        <f t="shared" si="79"/>
        <v>2023</v>
      </c>
      <c r="H1734" s="7" t="str">
        <f t="shared" si="80"/>
        <v>Сентябрь</v>
      </c>
      <c r="I1734" t="s">
        <v>9</v>
      </c>
      <c r="J1734">
        <v>52</v>
      </c>
      <c r="K1734" t="s">
        <v>11</v>
      </c>
      <c r="L1734">
        <v>2</v>
      </c>
      <c r="M1734">
        <v>25</v>
      </c>
      <c r="N1734" s="1">
        <f t="shared" si="81"/>
        <v>50</v>
      </c>
    </row>
    <row r="1735" spans="5:14" x14ac:dyDescent="0.25">
      <c r="E1735">
        <v>1755</v>
      </c>
      <c r="F1735" s="7">
        <v>45481</v>
      </c>
      <c r="G1735">
        <f t="shared" si="79"/>
        <v>2024</v>
      </c>
      <c r="H1735" s="7" t="str">
        <f t="shared" si="80"/>
        <v>Июль</v>
      </c>
      <c r="I1735" t="s">
        <v>7</v>
      </c>
      <c r="J1735">
        <v>42</v>
      </c>
      <c r="K1735" t="s">
        <v>11</v>
      </c>
      <c r="L1735">
        <v>4</v>
      </c>
      <c r="M1735">
        <v>212</v>
      </c>
      <c r="N1735" s="1">
        <f t="shared" si="81"/>
        <v>848</v>
      </c>
    </row>
    <row r="1736" spans="5:14" x14ac:dyDescent="0.25">
      <c r="E1736">
        <v>1026</v>
      </c>
      <c r="F1736" s="7">
        <v>45405</v>
      </c>
      <c r="G1736">
        <f t="shared" si="79"/>
        <v>2024</v>
      </c>
      <c r="H1736" s="7" t="str">
        <f t="shared" si="80"/>
        <v>Апрель</v>
      </c>
      <c r="I1736" t="s">
        <v>9</v>
      </c>
      <c r="J1736">
        <v>37</v>
      </c>
      <c r="K1736" t="s">
        <v>8</v>
      </c>
      <c r="L1736">
        <v>4</v>
      </c>
      <c r="M1736">
        <v>232</v>
      </c>
      <c r="N1736" s="1">
        <f t="shared" si="81"/>
        <v>928</v>
      </c>
    </row>
    <row r="1737" spans="5:14" x14ac:dyDescent="0.25">
      <c r="E1737">
        <v>1523</v>
      </c>
      <c r="F1737" s="7">
        <v>45636</v>
      </c>
      <c r="G1737">
        <f t="shared" si="79"/>
        <v>2024</v>
      </c>
      <c r="H1737" s="7" t="str">
        <f t="shared" si="80"/>
        <v>Декабрь</v>
      </c>
      <c r="I1737" t="s">
        <v>7</v>
      </c>
      <c r="J1737">
        <v>20</v>
      </c>
      <c r="K1737" t="s">
        <v>10</v>
      </c>
      <c r="L1737">
        <v>7</v>
      </c>
      <c r="M1737">
        <v>34</v>
      </c>
      <c r="N1737" s="1">
        <f t="shared" si="81"/>
        <v>238</v>
      </c>
    </row>
    <row r="1738" spans="5:14" x14ac:dyDescent="0.25">
      <c r="E1738">
        <v>1949</v>
      </c>
      <c r="F1738" s="7">
        <v>45408</v>
      </c>
      <c r="G1738">
        <f t="shared" ref="G1738:G1801" si="82">YEAR(F1738)</f>
        <v>2024</v>
      </c>
      <c r="H1738" s="7" t="str">
        <f t="shared" ref="H1738:H1801" si="83">TEXT(F1738,"ММММ")</f>
        <v>Апрель</v>
      </c>
      <c r="I1738" t="s">
        <v>7</v>
      </c>
      <c r="J1738">
        <v>26</v>
      </c>
      <c r="K1738" t="s">
        <v>8</v>
      </c>
      <c r="L1738">
        <v>6</v>
      </c>
      <c r="M1738">
        <v>280</v>
      </c>
      <c r="N1738" s="1">
        <f t="shared" ref="N1738:N1801" si="84">L1738*M1738</f>
        <v>1680</v>
      </c>
    </row>
    <row r="1739" spans="5:14" x14ac:dyDescent="0.25">
      <c r="E1739">
        <v>1586</v>
      </c>
      <c r="F1739" s="7">
        <v>45394</v>
      </c>
      <c r="G1739">
        <f t="shared" si="82"/>
        <v>2024</v>
      </c>
      <c r="H1739" s="7" t="str">
        <f t="shared" si="83"/>
        <v>Апрель</v>
      </c>
      <c r="I1739" t="s">
        <v>9</v>
      </c>
      <c r="J1739">
        <v>24</v>
      </c>
      <c r="K1739" t="s">
        <v>8</v>
      </c>
      <c r="L1739">
        <v>7</v>
      </c>
      <c r="M1739">
        <v>496</v>
      </c>
      <c r="N1739" s="1">
        <f t="shared" si="84"/>
        <v>3472</v>
      </c>
    </row>
    <row r="1740" spans="5:14" x14ac:dyDescent="0.25">
      <c r="E1740">
        <v>837</v>
      </c>
      <c r="F1740" s="7">
        <v>45101</v>
      </c>
      <c r="G1740">
        <f t="shared" si="82"/>
        <v>2023</v>
      </c>
      <c r="H1740" s="7" t="str">
        <f t="shared" si="83"/>
        <v>Июнь</v>
      </c>
      <c r="I1740" t="s">
        <v>9</v>
      </c>
      <c r="J1740">
        <v>20</v>
      </c>
      <c r="K1740" t="s">
        <v>11</v>
      </c>
      <c r="L1740">
        <v>4</v>
      </c>
      <c r="M1740">
        <v>300</v>
      </c>
      <c r="N1740" s="1">
        <f t="shared" si="84"/>
        <v>1200</v>
      </c>
    </row>
    <row r="1741" spans="5:14" x14ac:dyDescent="0.25">
      <c r="E1741">
        <v>1729</v>
      </c>
      <c r="F1741" s="7">
        <v>45533</v>
      </c>
      <c r="G1741">
        <f t="shared" si="82"/>
        <v>2024</v>
      </c>
      <c r="H1741" s="7" t="str">
        <f t="shared" si="83"/>
        <v>Август</v>
      </c>
      <c r="I1741" t="s">
        <v>7</v>
      </c>
      <c r="J1741">
        <v>64</v>
      </c>
      <c r="K1741" t="s">
        <v>8</v>
      </c>
      <c r="L1741">
        <v>3</v>
      </c>
      <c r="M1741">
        <v>391</v>
      </c>
      <c r="N1741" s="1">
        <f t="shared" si="84"/>
        <v>1173</v>
      </c>
    </row>
    <row r="1742" spans="5:14" x14ac:dyDescent="0.25">
      <c r="E1742">
        <v>505</v>
      </c>
      <c r="F1742" s="7">
        <v>44982</v>
      </c>
      <c r="G1742">
        <f t="shared" si="82"/>
        <v>2023</v>
      </c>
      <c r="H1742" s="7" t="str">
        <f t="shared" si="83"/>
        <v>Февраль</v>
      </c>
      <c r="I1742" t="s">
        <v>7</v>
      </c>
      <c r="J1742">
        <v>34</v>
      </c>
      <c r="K1742" t="s">
        <v>8</v>
      </c>
      <c r="L1742">
        <v>3</v>
      </c>
      <c r="M1742">
        <v>500</v>
      </c>
      <c r="N1742" s="1">
        <f t="shared" si="84"/>
        <v>1500</v>
      </c>
    </row>
    <row r="1743" spans="5:14" x14ac:dyDescent="0.25">
      <c r="E1743">
        <v>1748</v>
      </c>
      <c r="F1743" s="7">
        <v>45635</v>
      </c>
      <c r="G1743">
        <f t="shared" si="82"/>
        <v>2024</v>
      </c>
      <c r="H1743" s="7" t="str">
        <f t="shared" si="83"/>
        <v>Декабрь</v>
      </c>
      <c r="I1743" t="s">
        <v>7</v>
      </c>
      <c r="J1743">
        <v>25</v>
      </c>
      <c r="K1743" t="s">
        <v>10</v>
      </c>
      <c r="L1743">
        <v>2</v>
      </c>
      <c r="M1743">
        <v>161</v>
      </c>
      <c r="N1743" s="1">
        <f t="shared" si="84"/>
        <v>322</v>
      </c>
    </row>
    <row r="1744" spans="5:14" x14ac:dyDescent="0.25">
      <c r="E1744">
        <v>386</v>
      </c>
      <c r="F1744" s="7">
        <v>45081</v>
      </c>
      <c r="G1744">
        <f t="shared" si="82"/>
        <v>2023</v>
      </c>
      <c r="H1744" s="7" t="str">
        <f t="shared" si="83"/>
        <v>Июнь</v>
      </c>
      <c r="I1744" t="s">
        <v>7</v>
      </c>
      <c r="J1744">
        <v>44</v>
      </c>
      <c r="K1744" t="s">
        <v>8</v>
      </c>
      <c r="L1744">
        <v>1</v>
      </c>
      <c r="M1744">
        <v>30</v>
      </c>
      <c r="N1744" s="1">
        <f t="shared" si="84"/>
        <v>30</v>
      </c>
    </row>
    <row r="1745" spans="5:14" x14ac:dyDescent="0.25">
      <c r="E1745">
        <v>819</v>
      </c>
      <c r="F1745" s="7">
        <v>44971</v>
      </c>
      <c r="G1745">
        <f t="shared" si="82"/>
        <v>2023</v>
      </c>
      <c r="H1745" s="7" t="str">
        <f t="shared" si="83"/>
        <v>Февраль</v>
      </c>
      <c r="I1745" t="s">
        <v>7</v>
      </c>
      <c r="J1745">
        <v>49</v>
      </c>
      <c r="K1745" t="s">
        <v>11</v>
      </c>
      <c r="L1745">
        <v>1</v>
      </c>
      <c r="M1745">
        <v>300</v>
      </c>
      <c r="N1745" s="1">
        <f t="shared" si="84"/>
        <v>300</v>
      </c>
    </row>
    <row r="1746" spans="5:14" x14ac:dyDescent="0.25">
      <c r="E1746">
        <v>437</v>
      </c>
      <c r="F1746" s="7">
        <v>44945</v>
      </c>
      <c r="G1746">
        <f t="shared" si="82"/>
        <v>2023</v>
      </c>
      <c r="H1746" s="7" t="str">
        <f t="shared" si="83"/>
        <v>Январь</v>
      </c>
      <c r="I1746" t="s">
        <v>9</v>
      </c>
      <c r="J1746">
        <v>42</v>
      </c>
      <c r="K1746" t="s">
        <v>10</v>
      </c>
      <c r="L1746">
        <v>1</v>
      </c>
      <c r="M1746">
        <v>30</v>
      </c>
      <c r="N1746" s="1">
        <f t="shared" si="84"/>
        <v>30</v>
      </c>
    </row>
    <row r="1747" spans="5:14" x14ac:dyDescent="0.25">
      <c r="E1747">
        <v>570</v>
      </c>
      <c r="F1747" s="7">
        <v>45272</v>
      </c>
      <c r="G1747">
        <f t="shared" si="82"/>
        <v>2023</v>
      </c>
      <c r="H1747" s="7" t="str">
        <f t="shared" si="83"/>
        <v>Декабрь</v>
      </c>
      <c r="I1747" t="s">
        <v>9</v>
      </c>
      <c r="J1747">
        <v>41</v>
      </c>
      <c r="K1747" t="s">
        <v>11</v>
      </c>
      <c r="L1747">
        <v>1</v>
      </c>
      <c r="M1747">
        <v>50</v>
      </c>
      <c r="N1747" s="1">
        <f t="shared" si="84"/>
        <v>50</v>
      </c>
    </row>
    <row r="1748" spans="5:14" x14ac:dyDescent="0.25">
      <c r="E1748">
        <v>318</v>
      </c>
      <c r="F1748" s="7">
        <v>45204</v>
      </c>
      <c r="G1748">
        <f t="shared" si="82"/>
        <v>2023</v>
      </c>
      <c r="H1748" s="7" t="str">
        <f t="shared" si="83"/>
        <v>Октябрь</v>
      </c>
      <c r="I1748" t="s">
        <v>7</v>
      </c>
      <c r="J1748">
        <v>31</v>
      </c>
      <c r="K1748" t="s">
        <v>10</v>
      </c>
      <c r="L1748">
        <v>1</v>
      </c>
      <c r="M1748">
        <v>500</v>
      </c>
      <c r="N1748" s="1">
        <f t="shared" si="84"/>
        <v>500</v>
      </c>
    </row>
    <row r="1749" spans="5:14" x14ac:dyDescent="0.25">
      <c r="E1749">
        <v>1539</v>
      </c>
      <c r="F1749" s="7">
        <v>45460</v>
      </c>
      <c r="G1749">
        <f t="shared" si="82"/>
        <v>2024</v>
      </c>
      <c r="H1749" s="7" t="str">
        <f t="shared" si="83"/>
        <v>Июнь</v>
      </c>
      <c r="I1749" t="s">
        <v>9</v>
      </c>
      <c r="J1749">
        <v>43</v>
      </c>
      <c r="K1749" t="s">
        <v>8</v>
      </c>
      <c r="L1749">
        <v>1</v>
      </c>
      <c r="M1749">
        <v>183</v>
      </c>
      <c r="N1749" s="1">
        <f t="shared" si="84"/>
        <v>183</v>
      </c>
    </row>
    <row r="1750" spans="5:14" x14ac:dyDescent="0.25">
      <c r="E1750">
        <v>1672</v>
      </c>
      <c r="F1750" s="7">
        <v>45492</v>
      </c>
      <c r="G1750">
        <f t="shared" si="82"/>
        <v>2024</v>
      </c>
      <c r="H1750" s="7" t="str">
        <f t="shared" si="83"/>
        <v>Июль</v>
      </c>
      <c r="I1750" t="s">
        <v>7</v>
      </c>
      <c r="J1750">
        <v>43</v>
      </c>
      <c r="K1750" t="s">
        <v>11</v>
      </c>
      <c r="L1750">
        <v>5</v>
      </c>
      <c r="M1750">
        <v>219</v>
      </c>
      <c r="N1750" s="1">
        <f t="shared" si="84"/>
        <v>1095</v>
      </c>
    </row>
    <row r="1751" spans="5:14" x14ac:dyDescent="0.25">
      <c r="E1751">
        <v>537</v>
      </c>
      <c r="F1751" s="7">
        <v>45186</v>
      </c>
      <c r="G1751">
        <f t="shared" si="82"/>
        <v>2023</v>
      </c>
      <c r="H1751" s="7" t="str">
        <f t="shared" si="83"/>
        <v>Сентябрь</v>
      </c>
      <c r="I1751" t="s">
        <v>7</v>
      </c>
      <c r="J1751">
        <v>18</v>
      </c>
      <c r="K1751" t="s">
        <v>10</v>
      </c>
      <c r="L1751">
        <v>3</v>
      </c>
      <c r="M1751">
        <v>50</v>
      </c>
      <c r="N1751" s="1">
        <f t="shared" si="84"/>
        <v>150</v>
      </c>
    </row>
    <row r="1752" spans="5:14" x14ac:dyDescent="0.25">
      <c r="E1752">
        <v>162</v>
      </c>
      <c r="F1752" s="7">
        <v>45159</v>
      </c>
      <c r="G1752">
        <f t="shared" si="82"/>
        <v>2023</v>
      </c>
      <c r="H1752" s="7" t="str">
        <f t="shared" si="83"/>
        <v>Август</v>
      </c>
      <c r="I1752" t="s">
        <v>7</v>
      </c>
      <c r="J1752">
        <v>39</v>
      </c>
      <c r="K1752" t="s">
        <v>10</v>
      </c>
      <c r="L1752">
        <v>2</v>
      </c>
      <c r="M1752">
        <v>30</v>
      </c>
      <c r="N1752" s="1">
        <f t="shared" si="84"/>
        <v>60</v>
      </c>
    </row>
    <row r="1753" spans="5:14" x14ac:dyDescent="0.25">
      <c r="E1753">
        <v>103</v>
      </c>
      <c r="F1753" s="7">
        <v>44943</v>
      </c>
      <c r="G1753">
        <f t="shared" si="82"/>
        <v>2023</v>
      </c>
      <c r="H1753" s="7" t="str">
        <f t="shared" si="83"/>
        <v>Январь</v>
      </c>
      <c r="I1753" t="s">
        <v>9</v>
      </c>
      <c r="J1753">
        <v>59</v>
      </c>
      <c r="K1753" t="s">
        <v>10</v>
      </c>
      <c r="L1753">
        <v>1</v>
      </c>
      <c r="M1753">
        <v>25</v>
      </c>
      <c r="N1753" s="1">
        <f t="shared" si="84"/>
        <v>25</v>
      </c>
    </row>
    <row r="1754" spans="5:14" x14ac:dyDescent="0.25">
      <c r="E1754">
        <v>188</v>
      </c>
      <c r="F1754" s="7">
        <v>45049</v>
      </c>
      <c r="G1754">
        <f t="shared" si="82"/>
        <v>2023</v>
      </c>
      <c r="H1754" s="7" t="str">
        <f t="shared" si="83"/>
        <v>Май</v>
      </c>
      <c r="I1754" t="s">
        <v>7</v>
      </c>
      <c r="J1754">
        <v>40</v>
      </c>
      <c r="K1754" t="s">
        <v>10</v>
      </c>
      <c r="L1754">
        <v>3</v>
      </c>
      <c r="M1754">
        <v>25</v>
      </c>
      <c r="N1754" s="1">
        <f t="shared" si="84"/>
        <v>75</v>
      </c>
    </row>
    <row r="1755" spans="5:14" x14ac:dyDescent="0.25">
      <c r="E1755">
        <v>1831</v>
      </c>
      <c r="F1755" s="7">
        <v>45542</v>
      </c>
      <c r="G1755">
        <f t="shared" si="82"/>
        <v>2024</v>
      </c>
      <c r="H1755" s="7" t="str">
        <f t="shared" si="83"/>
        <v>Сентябрь</v>
      </c>
      <c r="I1755" t="s">
        <v>7</v>
      </c>
      <c r="J1755">
        <v>54</v>
      </c>
      <c r="K1755" t="s">
        <v>10</v>
      </c>
      <c r="L1755">
        <v>7</v>
      </c>
      <c r="M1755">
        <v>308</v>
      </c>
      <c r="N1755" s="1">
        <f t="shared" si="84"/>
        <v>2156</v>
      </c>
    </row>
    <row r="1756" spans="5:14" x14ac:dyDescent="0.25">
      <c r="E1756">
        <v>831</v>
      </c>
      <c r="F1756" s="7">
        <v>45093</v>
      </c>
      <c r="G1756">
        <f t="shared" si="82"/>
        <v>2023</v>
      </c>
      <c r="H1756" s="7" t="str">
        <f t="shared" si="83"/>
        <v>Июнь</v>
      </c>
      <c r="I1756" t="s">
        <v>7</v>
      </c>
      <c r="J1756">
        <v>42</v>
      </c>
      <c r="K1756" t="s">
        <v>8</v>
      </c>
      <c r="L1756">
        <v>4</v>
      </c>
      <c r="M1756">
        <v>50</v>
      </c>
      <c r="N1756" s="1">
        <f t="shared" si="84"/>
        <v>200</v>
      </c>
    </row>
    <row r="1757" spans="5:14" x14ac:dyDescent="0.25">
      <c r="E1757">
        <v>234</v>
      </c>
      <c r="F1757" s="7">
        <v>44957</v>
      </c>
      <c r="G1757">
        <f t="shared" si="82"/>
        <v>2023</v>
      </c>
      <c r="H1757" s="7" t="str">
        <f t="shared" si="83"/>
        <v>Январь</v>
      </c>
      <c r="I1757" t="s">
        <v>9</v>
      </c>
      <c r="J1757">
        <v>23</v>
      </c>
      <c r="K1757" t="s">
        <v>11</v>
      </c>
      <c r="L1757">
        <v>2</v>
      </c>
      <c r="M1757">
        <v>500</v>
      </c>
      <c r="N1757" s="1">
        <f t="shared" si="84"/>
        <v>1000</v>
      </c>
    </row>
    <row r="1758" spans="5:14" x14ac:dyDescent="0.25">
      <c r="E1758">
        <v>1909</v>
      </c>
      <c r="F1758" s="7">
        <v>45319</v>
      </c>
      <c r="G1758">
        <f t="shared" si="82"/>
        <v>2024</v>
      </c>
      <c r="H1758" s="7" t="str">
        <f t="shared" si="83"/>
        <v>Январь</v>
      </c>
      <c r="I1758" t="s">
        <v>7</v>
      </c>
      <c r="J1758">
        <v>34</v>
      </c>
      <c r="K1758" t="s">
        <v>11</v>
      </c>
      <c r="L1758">
        <v>2</v>
      </c>
      <c r="M1758">
        <v>209</v>
      </c>
      <c r="N1758" s="1">
        <f t="shared" si="84"/>
        <v>418</v>
      </c>
    </row>
    <row r="1759" spans="5:14" x14ac:dyDescent="0.25">
      <c r="E1759">
        <v>1623</v>
      </c>
      <c r="F1759" s="7">
        <v>45564</v>
      </c>
      <c r="G1759">
        <f t="shared" si="82"/>
        <v>2024</v>
      </c>
      <c r="H1759" s="7" t="str">
        <f t="shared" si="83"/>
        <v>Сентябрь</v>
      </c>
      <c r="I1759" t="s">
        <v>9</v>
      </c>
      <c r="J1759">
        <v>47</v>
      </c>
      <c r="K1759" t="s">
        <v>10</v>
      </c>
      <c r="L1759">
        <v>6</v>
      </c>
      <c r="M1759">
        <v>499</v>
      </c>
      <c r="N1759" s="1">
        <f t="shared" si="84"/>
        <v>2994</v>
      </c>
    </row>
    <row r="1760" spans="5:14" x14ac:dyDescent="0.25">
      <c r="E1760">
        <v>1809</v>
      </c>
      <c r="F1760" s="7">
        <v>45568</v>
      </c>
      <c r="G1760">
        <f t="shared" si="82"/>
        <v>2024</v>
      </c>
      <c r="H1760" s="7" t="str">
        <f t="shared" si="83"/>
        <v>Октябрь</v>
      </c>
      <c r="I1760" t="s">
        <v>7</v>
      </c>
      <c r="J1760">
        <v>30</v>
      </c>
      <c r="K1760" t="s">
        <v>11</v>
      </c>
      <c r="L1760">
        <v>2</v>
      </c>
      <c r="M1760">
        <v>413</v>
      </c>
      <c r="N1760" s="1">
        <f t="shared" si="84"/>
        <v>826</v>
      </c>
    </row>
    <row r="1761" spans="5:14" x14ac:dyDescent="0.25">
      <c r="E1761">
        <v>748</v>
      </c>
      <c r="F1761" s="7">
        <v>44991</v>
      </c>
      <c r="G1761">
        <f t="shared" si="82"/>
        <v>2023</v>
      </c>
      <c r="H1761" s="7" t="str">
        <f t="shared" si="83"/>
        <v>Март</v>
      </c>
      <c r="I1761" t="s">
        <v>9</v>
      </c>
      <c r="J1761">
        <v>35</v>
      </c>
      <c r="K1761" t="s">
        <v>10</v>
      </c>
      <c r="L1761">
        <v>3</v>
      </c>
      <c r="M1761">
        <v>25</v>
      </c>
      <c r="N1761" s="1">
        <f t="shared" si="84"/>
        <v>75</v>
      </c>
    </row>
    <row r="1762" spans="5:14" x14ac:dyDescent="0.25">
      <c r="E1762">
        <v>1421</v>
      </c>
      <c r="F1762" s="7">
        <v>45619</v>
      </c>
      <c r="G1762">
        <f t="shared" si="82"/>
        <v>2024</v>
      </c>
      <c r="H1762" s="7" t="str">
        <f t="shared" si="83"/>
        <v>Ноябрь</v>
      </c>
      <c r="I1762" t="s">
        <v>7</v>
      </c>
      <c r="J1762">
        <v>49</v>
      </c>
      <c r="K1762" t="s">
        <v>8</v>
      </c>
      <c r="L1762">
        <v>7</v>
      </c>
      <c r="M1762">
        <v>401</v>
      </c>
      <c r="N1762" s="1">
        <f t="shared" si="84"/>
        <v>2807</v>
      </c>
    </row>
    <row r="1763" spans="5:14" x14ac:dyDescent="0.25">
      <c r="E1763">
        <v>1234</v>
      </c>
      <c r="F1763" s="7">
        <v>45326</v>
      </c>
      <c r="G1763">
        <f t="shared" si="82"/>
        <v>2024</v>
      </c>
      <c r="H1763" s="7" t="str">
        <f t="shared" si="83"/>
        <v>Февраль</v>
      </c>
      <c r="I1763" t="s">
        <v>9</v>
      </c>
      <c r="J1763">
        <v>24</v>
      </c>
      <c r="K1763" t="s">
        <v>8</v>
      </c>
      <c r="L1763">
        <v>3</v>
      </c>
      <c r="M1763">
        <v>353</v>
      </c>
      <c r="N1763" s="1">
        <f t="shared" si="84"/>
        <v>1059</v>
      </c>
    </row>
    <row r="1764" spans="5:14" x14ac:dyDescent="0.25">
      <c r="E1764">
        <v>1621</v>
      </c>
      <c r="F1764" s="7">
        <v>45530</v>
      </c>
      <c r="G1764">
        <f t="shared" si="82"/>
        <v>2024</v>
      </c>
      <c r="H1764" s="7" t="str">
        <f t="shared" si="83"/>
        <v>Август</v>
      </c>
      <c r="I1764" t="s">
        <v>9</v>
      </c>
      <c r="J1764">
        <v>35</v>
      </c>
      <c r="K1764" t="s">
        <v>8</v>
      </c>
      <c r="L1764">
        <v>7</v>
      </c>
      <c r="M1764">
        <v>204</v>
      </c>
      <c r="N1764" s="1">
        <f t="shared" si="84"/>
        <v>1428</v>
      </c>
    </row>
    <row r="1765" spans="5:14" x14ac:dyDescent="0.25">
      <c r="E1765">
        <v>847</v>
      </c>
      <c r="F1765" s="7">
        <v>45050</v>
      </c>
      <c r="G1765">
        <f t="shared" si="82"/>
        <v>2023</v>
      </c>
      <c r="H1765" s="7" t="str">
        <f t="shared" si="83"/>
        <v>Май</v>
      </c>
      <c r="I1765" t="s">
        <v>7</v>
      </c>
      <c r="J1765">
        <v>32</v>
      </c>
      <c r="K1765" t="s">
        <v>10</v>
      </c>
      <c r="L1765">
        <v>2</v>
      </c>
      <c r="M1765">
        <v>25</v>
      </c>
      <c r="N1765" s="1">
        <f t="shared" si="84"/>
        <v>50</v>
      </c>
    </row>
    <row r="1766" spans="5:14" x14ac:dyDescent="0.25">
      <c r="E1766">
        <v>1337</v>
      </c>
      <c r="F1766" s="7">
        <v>45584</v>
      </c>
      <c r="G1766">
        <f t="shared" si="82"/>
        <v>2024</v>
      </c>
      <c r="H1766" s="7" t="str">
        <f t="shared" si="83"/>
        <v>Октябрь</v>
      </c>
      <c r="I1766" t="s">
        <v>9</v>
      </c>
      <c r="J1766">
        <v>37</v>
      </c>
      <c r="K1766" t="s">
        <v>10</v>
      </c>
      <c r="L1766">
        <v>4</v>
      </c>
      <c r="M1766">
        <v>33</v>
      </c>
      <c r="N1766" s="1">
        <f t="shared" si="84"/>
        <v>132</v>
      </c>
    </row>
    <row r="1767" spans="5:14" x14ac:dyDescent="0.25">
      <c r="E1767">
        <v>166</v>
      </c>
      <c r="F1767" s="7">
        <v>45018</v>
      </c>
      <c r="G1767">
        <f t="shared" si="82"/>
        <v>2023</v>
      </c>
      <c r="H1767" s="7" t="str">
        <f t="shared" si="83"/>
        <v>Апрель</v>
      </c>
      <c r="I1767" t="s">
        <v>7</v>
      </c>
      <c r="J1767">
        <v>34</v>
      </c>
      <c r="K1767" t="s">
        <v>10</v>
      </c>
      <c r="L1767">
        <v>4</v>
      </c>
      <c r="M1767">
        <v>500</v>
      </c>
      <c r="N1767" s="1">
        <f t="shared" si="84"/>
        <v>2000</v>
      </c>
    </row>
    <row r="1768" spans="5:14" x14ac:dyDescent="0.25">
      <c r="E1768">
        <v>1052</v>
      </c>
      <c r="F1768" s="7">
        <v>45332</v>
      </c>
      <c r="G1768">
        <f t="shared" si="82"/>
        <v>2024</v>
      </c>
      <c r="H1768" s="7" t="str">
        <f t="shared" si="83"/>
        <v>Февраль</v>
      </c>
      <c r="I1768" t="s">
        <v>9</v>
      </c>
      <c r="J1768">
        <v>59</v>
      </c>
      <c r="K1768" t="s">
        <v>11</v>
      </c>
      <c r="L1768">
        <v>6</v>
      </c>
      <c r="M1768">
        <v>346</v>
      </c>
      <c r="N1768" s="1">
        <f t="shared" si="84"/>
        <v>2076</v>
      </c>
    </row>
    <row r="1769" spans="5:14" x14ac:dyDescent="0.25">
      <c r="E1769">
        <v>555</v>
      </c>
      <c r="F1769" s="7">
        <v>45081</v>
      </c>
      <c r="G1769">
        <f t="shared" si="82"/>
        <v>2023</v>
      </c>
      <c r="H1769" s="7" t="str">
        <f t="shared" si="83"/>
        <v>Июнь</v>
      </c>
      <c r="I1769" t="s">
        <v>9</v>
      </c>
      <c r="J1769">
        <v>18</v>
      </c>
      <c r="K1769" t="s">
        <v>11</v>
      </c>
      <c r="L1769">
        <v>1</v>
      </c>
      <c r="M1769">
        <v>50</v>
      </c>
      <c r="N1769" s="1">
        <f t="shared" si="84"/>
        <v>50</v>
      </c>
    </row>
    <row r="1770" spans="5:14" x14ac:dyDescent="0.25">
      <c r="E1770">
        <v>882</v>
      </c>
      <c r="F1770" s="7">
        <v>45045</v>
      </c>
      <c r="G1770">
        <f t="shared" si="82"/>
        <v>2023</v>
      </c>
      <c r="H1770" s="7" t="str">
        <f t="shared" si="83"/>
        <v>Апрель</v>
      </c>
      <c r="I1770" t="s">
        <v>9</v>
      </c>
      <c r="J1770">
        <v>26</v>
      </c>
      <c r="K1770" t="s">
        <v>10</v>
      </c>
      <c r="L1770">
        <v>2</v>
      </c>
      <c r="M1770">
        <v>30</v>
      </c>
      <c r="N1770" s="1">
        <f t="shared" si="84"/>
        <v>60</v>
      </c>
    </row>
    <row r="1771" spans="5:14" x14ac:dyDescent="0.25">
      <c r="E1771">
        <v>1789</v>
      </c>
      <c r="F1771" s="7">
        <v>45327</v>
      </c>
      <c r="G1771">
        <f t="shared" si="82"/>
        <v>2024</v>
      </c>
      <c r="H1771" s="7" t="str">
        <f t="shared" si="83"/>
        <v>Февраль</v>
      </c>
      <c r="I1771" t="s">
        <v>7</v>
      </c>
      <c r="J1771">
        <v>55</v>
      </c>
      <c r="K1771" t="s">
        <v>8</v>
      </c>
      <c r="L1771">
        <v>6</v>
      </c>
      <c r="M1771">
        <v>499</v>
      </c>
      <c r="N1771" s="1">
        <f t="shared" si="84"/>
        <v>2994</v>
      </c>
    </row>
    <row r="1772" spans="5:14" x14ac:dyDescent="0.25">
      <c r="E1772">
        <v>1164</v>
      </c>
      <c r="F1772" s="7">
        <v>45384</v>
      </c>
      <c r="G1772">
        <f t="shared" si="82"/>
        <v>2024</v>
      </c>
      <c r="H1772" s="7" t="str">
        <f t="shared" si="83"/>
        <v>Апрель</v>
      </c>
      <c r="I1772" t="s">
        <v>7</v>
      </c>
      <c r="J1772">
        <v>30</v>
      </c>
      <c r="K1772" t="s">
        <v>10</v>
      </c>
      <c r="L1772">
        <v>5</v>
      </c>
      <c r="M1772">
        <v>242</v>
      </c>
      <c r="N1772" s="1">
        <f t="shared" si="84"/>
        <v>1210</v>
      </c>
    </row>
    <row r="1773" spans="5:14" x14ac:dyDescent="0.25">
      <c r="E1773">
        <v>1209</v>
      </c>
      <c r="F1773" s="7">
        <v>45452</v>
      </c>
      <c r="G1773">
        <f t="shared" si="82"/>
        <v>2024</v>
      </c>
      <c r="H1773" s="7" t="str">
        <f t="shared" si="83"/>
        <v>Июнь</v>
      </c>
      <c r="I1773" t="s">
        <v>7</v>
      </c>
      <c r="J1773">
        <v>53</v>
      </c>
      <c r="K1773" t="s">
        <v>10</v>
      </c>
      <c r="L1773">
        <v>7</v>
      </c>
      <c r="M1773">
        <v>166</v>
      </c>
      <c r="N1773" s="1">
        <f t="shared" si="84"/>
        <v>1162</v>
      </c>
    </row>
    <row r="1774" spans="5:14" x14ac:dyDescent="0.25">
      <c r="E1774">
        <v>549</v>
      </c>
      <c r="F1774" s="7">
        <v>45267</v>
      </c>
      <c r="G1774">
        <f t="shared" si="82"/>
        <v>2023</v>
      </c>
      <c r="H1774" s="7" t="str">
        <f t="shared" si="83"/>
        <v>Декабрь</v>
      </c>
      <c r="I1774" t="s">
        <v>7</v>
      </c>
      <c r="J1774">
        <v>40</v>
      </c>
      <c r="K1774" t="s">
        <v>10</v>
      </c>
      <c r="L1774">
        <v>3</v>
      </c>
      <c r="M1774">
        <v>300</v>
      </c>
      <c r="N1774" s="1">
        <f t="shared" si="84"/>
        <v>900</v>
      </c>
    </row>
    <row r="1775" spans="5:14" x14ac:dyDescent="0.25">
      <c r="E1775">
        <v>8</v>
      </c>
      <c r="F1775" s="7">
        <v>44979</v>
      </c>
      <c r="G1775">
        <f t="shared" si="82"/>
        <v>2023</v>
      </c>
      <c r="H1775" s="7" t="str">
        <f t="shared" si="83"/>
        <v>Февраль</v>
      </c>
      <c r="I1775" t="s">
        <v>7</v>
      </c>
      <c r="J1775">
        <v>30</v>
      </c>
      <c r="K1775" t="s">
        <v>11</v>
      </c>
      <c r="L1775">
        <v>4</v>
      </c>
      <c r="M1775">
        <v>25</v>
      </c>
      <c r="N1775" s="1">
        <f t="shared" si="84"/>
        <v>100</v>
      </c>
    </row>
    <row r="1776" spans="5:14" x14ac:dyDescent="0.25">
      <c r="E1776">
        <v>403</v>
      </c>
      <c r="F1776" s="7">
        <v>45071</v>
      </c>
      <c r="G1776">
        <f t="shared" si="82"/>
        <v>2023</v>
      </c>
      <c r="H1776" s="7" t="str">
        <f t="shared" si="83"/>
        <v>Май</v>
      </c>
      <c r="I1776" t="s">
        <v>7</v>
      </c>
      <c r="J1776">
        <v>46</v>
      </c>
      <c r="K1776" t="s">
        <v>11</v>
      </c>
      <c r="L1776">
        <v>2</v>
      </c>
      <c r="M1776">
        <v>500</v>
      </c>
      <c r="N1776" s="1">
        <f t="shared" si="84"/>
        <v>1000</v>
      </c>
    </row>
    <row r="1777" spans="5:14" x14ac:dyDescent="0.25">
      <c r="E1777">
        <v>509</v>
      </c>
      <c r="F1777" s="7">
        <v>45087</v>
      </c>
      <c r="G1777">
        <f t="shared" si="82"/>
        <v>2023</v>
      </c>
      <c r="H1777" s="7" t="str">
        <f t="shared" si="83"/>
        <v>Июнь</v>
      </c>
      <c r="I1777" t="s">
        <v>9</v>
      </c>
      <c r="J1777">
        <v>39</v>
      </c>
      <c r="K1777" t="s">
        <v>8</v>
      </c>
      <c r="L1777">
        <v>4</v>
      </c>
      <c r="M1777">
        <v>50</v>
      </c>
      <c r="N1777" s="1">
        <f t="shared" si="84"/>
        <v>200</v>
      </c>
    </row>
    <row r="1778" spans="5:14" x14ac:dyDescent="0.25">
      <c r="E1778">
        <v>1780</v>
      </c>
      <c r="F1778" s="7">
        <v>45600</v>
      </c>
      <c r="G1778">
        <f t="shared" si="82"/>
        <v>2024</v>
      </c>
      <c r="H1778" s="7" t="str">
        <f t="shared" si="83"/>
        <v>Ноябрь</v>
      </c>
      <c r="I1778" t="s">
        <v>9</v>
      </c>
      <c r="J1778">
        <v>34</v>
      </c>
      <c r="K1778" t="s">
        <v>11</v>
      </c>
      <c r="L1778">
        <v>3</v>
      </c>
      <c r="M1778">
        <v>206</v>
      </c>
      <c r="N1778" s="1">
        <f t="shared" si="84"/>
        <v>618</v>
      </c>
    </row>
    <row r="1779" spans="5:14" x14ac:dyDescent="0.25">
      <c r="E1779">
        <v>1791</v>
      </c>
      <c r="F1779" s="7">
        <v>45624</v>
      </c>
      <c r="G1779">
        <f t="shared" si="82"/>
        <v>2024</v>
      </c>
      <c r="H1779" s="7" t="str">
        <f t="shared" si="83"/>
        <v>Ноябрь</v>
      </c>
      <c r="I1779" t="s">
        <v>7</v>
      </c>
      <c r="J1779">
        <v>44</v>
      </c>
      <c r="K1779" t="s">
        <v>11</v>
      </c>
      <c r="L1779">
        <v>6</v>
      </c>
      <c r="M1779">
        <v>108</v>
      </c>
      <c r="N1779" s="1">
        <f t="shared" si="84"/>
        <v>648</v>
      </c>
    </row>
    <row r="1780" spans="5:14" x14ac:dyDescent="0.25">
      <c r="E1780">
        <v>1501</v>
      </c>
      <c r="F1780" s="7">
        <v>45428</v>
      </c>
      <c r="G1780">
        <f t="shared" si="82"/>
        <v>2024</v>
      </c>
      <c r="H1780" s="7" t="str">
        <f t="shared" si="83"/>
        <v>Май</v>
      </c>
      <c r="I1780" t="s">
        <v>9</v>
      </c>
      <c r="J1780">
        <v>47</v>
      </c>
      <c r="K1780" t="s">
        <v>8</v>
      </c>
      <c r="L1780">
        <v>6</v>
      </c>
      <c r="M1780">
        <v>63</v>
      </c>
      <c r="N1780" s="1">
        <f t="shared" si="84"/>
        <v>378</v>
      </c>
    </row>
    <row r="1781" spans="5:14" x14ac:dyDescent="0.25">
      <c r="E1781">
        <v>1236</v>
      </c>
      <c r="F1781" s="7">
        <v>45462</v>
      </c>
      <c r="G1781">
        <f t="shared" si="82"/>
        <v>2024</v>
      </c>
      <c r="H1781" s="7" t="str">
        <f t="shared" si="83"/>
        <v>Июнь</v>
      </c>
      <c r="I1781" t="s">
        <v>7</v>
      </c>
      <c r="J1781">
        <v>27</v>
      </c>
      <c r="K1781" t="s">
        <v>11</v>
      </c>
      <c r="L1781">
        <v>6</v>
      </c>
      <c r="M1781">
        <v>194</v>
      </c>
      <c r="N1781" s="1">
        <f t="shared" si="84"/>
        <v>1164</v>
      </c>
    </row>
    <row r="1782" spans="5:14" x14ac:dyDescent="0.25">
      <c r="E1782">
        <v>1235</v>
      </c>
      <c r="F1782" s="7">
        <v>45308</v>
      </c>
      <c r="G1782">
        <f t="shared" si="82"/>
        <v>2024</v>
      </c>
      <c r="H1782" s="7" t="str">
        <f t="shared" si="83"/>
        <v>Январь</v>
      </c>
      <c r="I1782" t="s">
        <v>9</v>
      </c>
      <c r="J1782">
        <v>65</v>
      </c>
      <c r="K1782" t="s">
        <v>8</v>
      </c>
      <c r="L1782">
        <v>1</v>
      </c>
      <c r="M1782">
        <v>497</v>
      </c>
      <c r="N1782" s="1">
        <f t="shared" si="84"/>
        <v>497</v>
      </c>
    </row>
    <row r="1783" spans="5:14" x14ac:dyDescent="0.25">
      <c r="E1783">
        <v>1350</v>
      </c>
      <c r="F1783" s="7">
        <v>45426</v>
      </c>
      <c r="G1783">
        <f t="shared" si="82"/>
        <v>2024</v>
      </c>
      <c r="H1783" s="7" t="str">
        <f t="shared" si="83"/>
        <v>Май</v>
      </c>
      <c r="I1783" t="s">
        <v>7</v>
      </c>
      <c r="J1783">
        <v>57</v>
      </c>
      <c r="K1783" t="s">
        <v>11</v>
      </c>
      <c r="L1783">
        <v>3</v>
      </c>
      <c r="M1783">
        <v>117</v>
      </c>
      <c r="N1783" s="1">
        <f t="shared" si="84"/>
        <v>351</v>
      </c>
    </row>
    <row r="1784" spans="5:14" x14ac:dyDescent="0.25">
      <c r="E1784">
        <v>802</v>
      </c>
      <c r="F1784" s="7">
        <v>45162</v>
      </c>
      <c r="G1784">
        <f t="shared" si="82"/>
        <v>2023</v>
      </c>
      <c r="H1784" s="7" t="str">
        <f t="shared" si="83"/>
        <v>Август</v>
      </c>
      <c r="I1784" t="s">
        <v>7</v>
      </c>
      <c r="J1784">
        <v>42</v>
      </c>
      <c r="K1784" t="s">
        <v>11</v>
      </c>
      <c r="L1784">
        <v>1</v>
      </c>
      <c r="M1784">
        <v>30</v>
      </c>
      <c r="N1784" s="1">
        <f t="shared" si="84"/>
        <v>30</v>
      </c>
    </row>
    <row r="1785" spans="5:14" x14ac:dyDescent="0.25">
      <c r="E1785">
        <v>1613</v>
      </c>
      <c r="F1785" s="7">
        <v>45558</v>
      </c>
      <c r="G1785">
        <f t="shared" si="82"/>
        <v>2024</v>
      </c>
      <c r="H1785" s="7" t="str">
        <f t="shared" si="83"/>
        <v>Сентябрь</v>
      </c>
      <c r="I1785" t="s">
        <v>7</v>
      </c>
      <c r="J1785">
        <v>52</v>
      </c>
      <c r="K1785" t="s">
        <v>10</v>
      </c>
      <c r="L1785">
        <v>1</v>
      </c>
      <c r="M1785">
        <v>401</v>
      </c>
      <c r="N1785" s="1">
        <f t="shared" si="84"/>
        <v>401</v>
      </c>
    </row>
    <row r="1786" spans="5:14" x14ac:dyDescent="0.25">
      <c r="E1786">
        <v>797</v>
      </c>
      <c r="F1786" s="7">
        <v>45177</v>
      </c>
      <c r="G1786">
        <f t="shared" si="82"/>
        <v>2023</v>
      </c>
      <c r="H1786" s="7" t="str">
        <f t="shared" si="83"/>
        <v>Сентябрь</v>
      </c>
      <c r="I1786" t="s">
        <v>7</v>
      </c>
      <c r="J1786">
        <v>56</v>
      </c>
      <c r="K1786" t="s">
        <v>11</v>
      </c>
      <c r="L1786">
        <v>2</v>
      </c>
      <c r="M1786">
        <v>50</v>
      </c>
      <c r="N1786" s="1">
        <f t="shared" si="84"/>
        <v>100</v>
      </c>
    </row>
    <row r="1787" spans="5:14" x14ac:dyDescent="0.25">
      <c r="E1787">
        <v>980</v>
      </c>
      <c r="F1787" s="7">
        <v>45279</v>
      </c>
      <c r="G1787">
        <f t="shared" si="82"/>
        <v>2023</v>
      </c>
      <c r="H1787" s="7" t="str">
        <f t="shared" si="83"/>
        <v>Декабрь</v>
      </c>
      <c r="I1787" t="s">
        <v>9</v>
      </c>
      <c r="J1787">
        <v>46</v>
      </c>
      <c r="K1787" t="s">
        <v>8</v>
      </c>
      <c r="L1787">
        <v>3</v>
      </c>
      <c r="M1787">
        <v>30</v>
      </c>
      <c r="N1787" s="1">
        <f t="shared" si="84"/>
        <v>90</v>
      </c>
    </row>
    <row r="1788" spans="5:14" x14ac:dyDescent="0.25">
      <c r="E1788">
        <v>1384</v>
      </c>
      <c r="F1788" s="7">
        <v>45447</v>
      </c>
      <c r="G1788">
        <f t="shared" si="82"/>
        <v>2024</v>
      </c>
      <c r="H1788" s="7" t="str">
        <f t="shared" si="83"/>
        <v>Июнь</v>
      </c>
      <c r="I1788" t="s">
        <v>7</v>
      </c>
      <c r="J1788">
        <v>35</v>
      </c>
      <c r="K1788" t="s">
        <v>8</v>
      </c>
      <c r="L1788">
        <v>2</v>
      </c>
      <c r="M1788">
        <v>66</v>
      </c>
      <c r="N1788" s="1">
        <f t="shared" si="84"/>
        <v>132</v>
      </c>
    </row>
    <row r="1789" spans="5:14" x14ac:dyDescent="0.25">
      <c r="E1789">
        <v>1849</v>
      </c>
      <c r="F1789" s="7">
        <v>45416</v>
      </c>
      <c r="G1789">
        <f t="shared" si="82"/>
        <v>2024</v>
      </c>
      <c r="H1789" s="7" t="str">
        <f t="shared" si="83"/>
        <v>Май</v>
      </c>
      <c r="I1789" t="s">
        <v>7</v>
      </c>
      <c r="J1789">
        <v>46</v>
      </c>
      <c r="K1789" t="s">
        <v>8</v>
      </c>
      <c r="L1789">
        <v>6</v>
      </c>
      <c r="M1789">
        <v>345</v>
      </c>
      <c r="N1789" s="1">
        <f t="shared" si="84"/>
        <v>2070</v>
      </c>
    </row>
    <row r="1790" spans="5:14" x14ac:dyDescent="0.25">
      <c r="E1790">
        <v>1801</v>
      </c>
      <c r="F1790" s="7">
        <v>45655</v>
      </c>
      <c r="G1790">
        <f t="shared" si="82"/>
        <v>2024</v>
      </c>
      <c r="H1790" s="7" t="str">
        <f t="shared" si="83"/>
        <v>Декабрь</v>
      </c>
      <c r="I1790" t="s">
        <v>9</v>
      </c>
      <c r="J1790">
        <v>30</v>
      </c>
      <c r="K1790" t="s">
        <v>8</v>
      </c>
      <c r="L1790">
        <v>6</v>
      </c>
      <c r="M1790">
        <v>472</v>
      </c>
      <c r="N1790" s="1">
        <f t="shared" si="84"/>
        <v>2832</v>
      </c>
    </row>
    <row r="1791" spans="5:14" x14ac:dyDescent="0.25">
      <c r="E1791">
        <v>292</v>
      </c>
      <c r="F1791" s="7">
        <v>45048</v>
      </c>
      <c r="G1791">
        <f t="shared" si="82"/>
        <v>2023</v>
      </c>
      <c r="H1791" s="7" t="str">
        <f t="shared" si="83"/>
        <v>Май</v>
      </c>
      <c r="I1791" t="s">
        <v>7</v>
      </c>
      <c r="J1791">
        <v>50</v>
      </c>
      <c r="K1791" t="s">
        <v>11</v>
      </c>
      <c r="L1791">
        <v>3</v>
      </c>
      <c r="M1791">
        <v>30</v>
      </c>
      <c r="N1791" s="1">
        <f t="shared" si="84"/>
        <v>90</v>
      </c>
    </row>
    <row r="1792" spans="5:14" x14ac:dyDescent="0.25">
      <c r="E1792">
        <v>707</v>
      </c>
      <c r="F1792" s="7">
        <v>45128</v>
      </c>
      <c r="G1792">
        <f t="shared" si="82"/>
        <v>2023</v>
      </c>
      <c r="H1792" s="7" t="str">
        <f t="shared" si="83"/>
        <v>Июль</v>
      </c>
      <c r="I1792" t="s">
        <v>9</v>
      </c>
      <c r="J1792">
        <v>19</v>
      </c>
      <c r="K1792" t="s">
        <v>11</v>
      </c>
      <c r="L1792">
        <v>2</v>
      </c>
      <c r="M1792">
        <v>500</v>
      </c>
      <c r="N1792" s="1">
        <f t="shared" si="84"/>
        <v>1000</v>
      </c>
    </row>
    <row r="1793" spans="5:14" x14ac:dyDescent="0.25">
      <c r="E1793">
        <v>779</v>
      </c>
      <c r="F1793" s="7">
        <v>45283</v>
      </c>
      <c r="G1793">
        <f t="shared" si="82"/>
        <v>2023</v>
      </c>
      <c r="H1793" s="7" t="str">
        <f t="shared" si="83"/>
        <v>Декабрь</v>
      </c>
      <c r="I1793" t="s">
        <v>7</v>
      </c>
      <c r="J1793">
        <v>35</v>
      </c>
      <c r="K1793" t="s">
        <v>8</v>
      </c>
      <c r="L1793">
        <v>1</v>
      </c>
      <c r="M1793">
        <v>500</v>
      </c>
      <c r="N1793" s="1">
        <f t="shared" si="84"/>
        <v>500</v>
      </c>
    </row>
    <row r="1794" spans="5:14" x14ac:dyDescent="0.25">
      <c r="E1794">
        <v>1790</v>
      </c>
      <c r="F1794" s="7">
        <v>45552</v>
      </c>
      <c r="G1794">
        <f t="shared" si="82"/>
        <v>2024</v>
      </c>
      <c r="H1794" s="7" t="str">
        <f t="shared" si="83"/>
        <v>Сентябрь</v>
      </c>
      <c r="I1794" t="s">
        <v>9</v>
      </c>
      <c r="J1794">
        <v>46</v>
      </c>
      <c r="K1794" t="s">
        <v>8</v>
      </c>
      <c r="L1794">
        <v>2</v>
      </c>
      <c r="M1794">
        <v>99</v>
      </c>
      <c r="N1794" s="1">
        <f t="shared" si="84"/>
        <v>198</v>
      </c>
    </row>
    <row r="1795" spans="5:14" x14ac:dyDescent="0.25">
      <c r="E1795">
        <v>1195</v>
      </c>
      <c r="F1795" s="7">
        <v>45357</v>
      </c>
      <c r="G1795">
        <f t="shared" si="82"/>
        <v>2024</v>
      </c>
      <c r="H1795" s="7" t="str">
        <f t="shared" si="83"/>
        <v>Март</v>
      </c>
      <c r="I1795" t="s">
        <v>9</v>
      </c>
      <c r="J1795">
        <v>39</v>
      </c>
      <c r="K1795" t="s">
        <v>10</v>
      </c>
      <c r="L1795">
        <v>1</v>
      </c>
      <c r="M1795">
        <v>224</v>
      </c>
      <c r="N1795" s="1">
        <f t="shared" si="84"/>
        <v>224</v>
      </c>
    </row>
    <row r="1796" spans="5:14" x14ac:dyDescent="0.25">
      <c r="E1796">
        <v>1762</v>
      </c>
      <c r="F1796" s="7">
        <v>45347</v>
      </c>
      <c r="G1796">
        <f t="shared" si="82"/>
        <v>2024</v>
      </c>
      <c r="H1796" s="7" t="str">
        <f t="shared" si="83"/>
        <v>Февраль</v>
      </c>
      <c r="I1796" t="s">
        <v>7</v>
      </c>
      <c r="J1796">
        <v>25</v>
      </c>
      <c r="K1796" t="s">
        <v>11</v>
      </c>
      <c r="L1796">
        <v>5</v>
      </c>
      <c r="M1796">
        <v>374</v>
      </c>
      <c r="N1796" s="1">
        <f t="shared" si="84"/>
        <v>1870</v>
      </c>
    </row>
    <row r="1797" spans="5:14" x14ac:dyDescent="0.25">
      <c r="E1797">
        <v>361</v>
      </c>
      <c r="F1797" s="7">
        <v>45257</v>
      </c>
      <c r="G1797">
        <f t="shared" si="82"/>
        <v>2023</v>
      </c>
      <c r="H1797" s="7" t="str">
        <f t="shared" si="83"/>
        <v>Ноябрь</v>
      </c>
      <c r="I1797" t="s">
        <v>7</v>
      </c>
      <c r="J1797">
        <v>50</v>
      </c>
      <c r="K1797" t="s">
        <v>10</v>
      </c>
      <c r="L1797">
        <v>1</v>
      </c>
      <c r="M1797">
        <v>25</v>
      </c>
      <c r="N1797" s="1">
        <f t="shared" si="84"/>
        <v>25</v>
      </c>
    </row>
    <row r="1798" spans="5:14" x14ac:dyDescent="0.25">
      <c r="E1798">
        <v>717</v>
      </c>
      <c r="F1798" s="7">
        <v>45020</v>
      </c>
      <c r="G1798">
        <f t="shared" si="82"/>
        <v>2023</v>
      </c>
      <c r="H1798" s="7" t="str">
        <f t="shared" si="83"/>
        <v>Апрель</v>
      </c>
      <c r="I1798" t="s">
        <v>9</v>
      </c>
      <c r="J1798">
        <v>42</v>
      </c>
      <c r="K1798" t="s">
        <v>10</v>
      </c>
      <c r="L1798">
        <v>2</v>
      </c>
      <c r="M1798">
        <v>30</v>
      </c>
      <c r="N1798" s="1">
        <f t="shared" si="84"/>
        <v>60</v>
      </c>
    </row>
    <row r="1799" spans="5:14" x14ac:dyDescent="0.25">
      <c r="E1799">
        <v>1924</v>
      </c>
      <c r="F1799" s="7">
        <v>45387</v>
      </c>
      <c r="G1799">
        <f t="shared" si="82"/>
        <v>2024</v>
      </c>
      <c r="H1799" s="7" t="str">
        <f t="shared" si="83"/>
        <v>Апрель</v>
      </c>
      <c r="I1799" t="s">
        <v>9</v>
      </c>
      <c r="J1799">
        <v>41</v>
      </c>
      <c r="K1799" t="s">
        <v>10</v>
      </c>
      <c r="L1799">
        <v>1</v>
      </c>
      <c r="M1799">
        <v>293</v>
      </c>
      <c r="N1799" s="1">
        <f t="shared" si="84"/>
        <v>293</v>
      </c>
    </row>
    <row r="1800" spans="5:14" x14ac:dyDescent="0.25">
      <c r="E1800">
        <v>1105</v>
      </c>
      <c r="F1800" s="7">
        <v>45325</v>
      </c>
      <c r="G1800">
        <f t="shared" si="82"/>
        <v>2024</v>
      </c>
      <c r="H1800" s="7" t="str">
        <f t="shared" si="83"/>
        <v>Февраль</v>
      </c>
      <c r="I1800" t="s">
        <v>9</v>
      </c>
      <c r="J1800">
        <v>58</v>
      </c>
      <c r="K1800" t="s">
        <v>10</v>
      </c>
      <c r="L1800">
        <v>7</v>
      </c>
      <c r="M1800">
        <v>494</v>
      </c>
      <c r="N1800" s="1">
        <f t="shared" si="84"/>
        <v>3458</v>
      </c>
    </row>
    <row r="1801" spans="5:14" x14ac:dyDescent="0.25">
      <c r="E1801">
        <v>128</v>
      </c>
      <c r="F1801" s="7">
        <v>45112</v>
      </c>
      <c r="G1801">
        <f t="shared" si="82"/>
        <v>2023</v>
      </c>
      <c r="H1801" s="7" t="str">
        <f t="shared" si="83"/>
        <v>Июль</v>
      </c>
      <c r="I1801" t="s">
        <v>7</v>
      </c>
      <c r="J1801">
        <v>25</v>
      </c>
      <c r="K1801" t="s">
        <v>8</v>
      </c>
      <c r="L1801">
        <v>1</v>
      </c>
      <c r="M1801">
        <v>500</v>
      </c>
      <c r="N1801" s="1">
        <f t="shared" si="84"/>
        <v>500</v>
      </c>
    </row>
    <row r="1802" spans="5:14" x14ac:dyDescent="0.25">
      <c r="E1802">
        <v>869</v>
      </c>
      <c r="F1802" s="7">
        <v>45169</v>
      </c>
      <c r="G1802">
        <f t="shared" ref="G1802:G1865" si="85">YEAR(F1802)</f>
        <v>2023</v>
      </c>
      <c r="H1802" s="7" t="str">
        <f t="shared" ref="H1802:H1865" si="86">TEXT(F1802,"ММММ")</f>
        <v>Август</v>
      </c>
      <c r="I1802" t="s">
        <v>7</v>
      </c>
      <c r="J1802">
        <v>62</v>
      </c>
      <c r="K1802" t="s">
        <v>8</v>
      </c>
      <c r="L1802">
        <v>2</v>
      </c>
      <c r="M1802">
        <v>30</v>
      </c>
      <c r="N1802" s="1">
        <f t="shared" ref="N1802:N1865" si="87">L1802*M1802</f>
        <v>60</v>
      </c>
    </row>
    <row r="1803" spans="5:14" x14ac:dyDescent="0.25">
      <c r="E1803">
        <v>1798</v>
      </c>
      <c r="F1803" s="7">
        <v>45478</v>
      </c>
      <c r="G1803">
        <f t="shared" si="85"/>
        <v>2024</v>
      </c>
      <c r="H1803" s="7" t="str">
        <f t="shared" si="86"/>
        <v>Июль</v>
      </c>
      <c r="I1803" t="s">
        <v>9</v>
      </c>
      <c r="J1803">
        <v>63</v>
      </c>
      <c r="K1803" t="s">
        <v>8</v>
      </c>
      <c r="L1803">
        <v>7</v>
      </c>
      <c r="M1803">
        <v>203</v>
      </c>
      <c r="N1803" s="1">
        <f t="shared" si="87"/>
        <v>1421</v>
      </c>
    </row>
    <row r="1804" spans="5:14" x14ac:dyDescent="0.25">
      <c r="E1804">
        <v>1815</v>
      </c>
      <c r="F1804" s="7">
        <v>45458</v>
      </c>
      <c r="G1804">
        <f t="shared" si="85"/>
        <v>2024</v>
      </c>
      <c r="H1804" s="7" t="str">
        <f t="shared" si="86"/>
        <v>Июнь</v>
      </c>
      <c r="I1804" t="s">
        <v>9</v>
      </c>
      <c r="J1804">
        <v>64</v>
      </c>
      <c r="K1804" t="s">
        <v>8</v>
      </c>
      <c r="L1804">
        <v>2</v>
      </c>
      <c r="M1804">
        <v>233</v>
      </c>
      <c r="N1804" s="1">
        <f t="shared" si="87"/>
        <v>466</v>
      </c>
    </row>
    <row r="1805" spans="5:14" x14ac:dyDescent="0.25">
      <c r="E1805">
        <v>1443</v>
      </c>
      <c r="F1805" s="7">
        <v>45450</v>
      </c>
      <c r="G1805">
        <f t="shared" si="85"/>
        <v>2024</v>
      </c>
      <c r="H1805" s="7" t="str">
        <f t="shared" si="86"/>
        <v>Июнь</v>
      </c>
      <c r="I1805" t="s">
        <v>7</v>
      </c>
      <c r="J1805">
        <v>20</v>
      </c>
      <c r="K1805" t="s">
        <v>11</v>
      </c>
      <c r="L1805">
        <v>6</v>
      </c>
      <c r="M1805">
        <v>284</v>
      </c>
      <c r="N1805" s="1">
        <f t="shared" si="87"/>
        <v>1704</v>
      </c>
    </row>
    <row r="1806" spans="5:14" x14ac:dyDescent="0.25">
      <c r="E1806">
        <v>1385</v>
      </c>
      <c r="F1806" s="7">
        <v>45606</v>
      </c>
      <c r="G1806">
        <f t="shared" si="85"/>
        <v>2024</v>
      </c>
      <c r="H1806" s="7" t="str">
        <f t="shared" si="86"/>
        <v>Ноябрь</v>
      </c>
      <c r="I1806" t="s">
        <v>7</v>
      </c>
      <c r="J1806">
        <v>56</v>
      </c>
      <c r="K1806" t="s">
        <v>11</v>
      </c>
      <c r="L1806">
        <v>5</v>
      </c>
      <c r="M1806">
        <v>11</v>
      </c>
      <c r="N1806" s="1">
        <f t="shared" si="87"/>
        <v>55</v>
      </c>
    </row>
    <row r="1807" spans="5:14" x14ac:dyDescent="0.25">
      <c r="E1807">
        <v>445</v>
      </c>
      <c r="F1807" s="7">
        <v>45084</v>
      </c>
      <c r="G1807">
        <f t="shared" si="85"/>
        <v>2023</v>
      </c>
      <c r="H1807" s="7" t="str">
        <f t="shared" si="86"/>
        <v>Июнь</v>
      </c>
      <c r="I1807" t="s">
        <v>7</v>
      </c>
      <c r="J1807">
        <v>21</v>
      </c>
      <c r="K1807" t="s">
        <v>11</v>
      </c>
      <c r="L1807">
        <v>1</v>
      </c>
      <c r="M1807">
        <v>50</v>
      </c>
      <c r="N1807" s="1">
        <f t="shared" si="87"/>
        <v>50</v>
      </c>
    </row>
    <row r="1808" spans="5:14" x14ac:dyDescent="0.25">
      <c r="E1808">
        <v>951</v>
      </c>
      <c r="F1808" s="7">
        <v>45042</v>
      </c>
      <c r="G1808">
        <f t="shared" si="85"/>
        <v>2023</v>
      </c>
      <c r="H1808" s="7" t="str">
        <f t="shared" si="86"/>
        <v>Апрель</v>
      </c>
      <c r="I1808" t="s">
        <v>7</v>
      </c>
      <c r="J1808">
        <v>45</v>
      </c>
      <c r="K1808" t="s">
        <v>8</v>
      </c>
      <c r="L1808">
        <v>3</v>
      </c>
      <c r="M1808">
        <v>30</v>
      </c>
      <c r="N1808" s="1">
        <f t="shared" si="87"/>
        <v>90</v>
      </c>
    </row>
    <row r="1809" spans="5:14" x14ac:dyDescent="0.25">
      <c r="E1809">
        <v>1414</v>
      </c>
      <c r="F1809" s="7">
        <v>45617</v>
      </c>
      <c r="G1809">
        <f t="shared" si="85"/>
        <v>2024</v>
      </c>
      <c r="H1809" s="7" t="str">
        <f t="shared" si="86"/>
        <v>Ноябрь</v>
      </c>
      <c r="I1809" t="s">
        <v>7</v>
      </c>
      <c r="J1809">
        <v>61</v>
      </c>
      <c r="K1809" t="s">
        <v>11</v>
      </c>
      <c r="L1809">
        <v>5</v>
      </c>
      <c r="M1809">
        <v>263</v>
      </c>
      <c r="N1809" s="1">
        <f t="shared" si="87"/>
        <v>1315</v>
      </c>
    </row>
    <row r="1810" spans="5:14" x14ac:dyDescent="0.25">
      <c r="E1810">
        <v>1415</v>
      </c>
      <c r="F1810" s="7">
        <v>45509</v>
      </c>
      <c r="G1810">
        <f t="shared" si="85"/>
        <v>2024</v>
      </c>
      <c r="H1810" s="7" t="str">
        <f t="shared" si="86"/>
        <v>Август</v>
      </c>
      <c r="I1810" t="s">
        <v>9</v>
      </c>
      <c r="J1810">
        <v>45</v>
      </c>
      <c r="K1810" t="s">
        <v>11</v>
      </c>
      <c r="L1810">
        <v>4</v>
      </c>
      <c r="M1810">
        <v>204</v>
      </c>
      <c r="N1810" s="1">
        <f t="shared" si="87"/>
        <v>816</v>
      </c>
    </row>
    <row r="1811" spans="5:14" x14ac:dyDescent="0.25">
      <c r="E1811">
        <v>503</v>
      </c>
      <c r="F1811" s="7">
        <v>45062</v>
      </c>
      <c r="G1811">
        <f t="shared" si="85"/>
        <v>2023</v>
      </c>
      <c r="H1811" s="7" t="str">
        <f t="shared" si="86"/>
        <v>Май</v>
      </c>
      <c r="I1811" t="s">
        <v>9</v>
      </c>
      <c r="J1811">
        <v>38</v>
      </c>
      <c r="K1811" t="s">
        <v>8</v>
      </c>
      <c r="L1811">
        <v>3</v>
      </c>
      <c r="M1811">
        <v>50</v>
      </c>
      <c r="N1811" s="1">
        <f t="shared" si="87"/>
        <v>150</v>
      </c>
    </row>
    <row r="1812" spans="5:14" x14ac:dyDescent="0.25">
      <c r="E1812">
        <v>518</v>
      </c>
      <c r="F1812" s="7">
        <v>44949</v>
      </c>
      <c r="G1812">
        <f t="shared" si="85"/>
        <v>2023</v>
      </c>
      <c r="H1812" s="7" t="str">
        <f t="shared" si="86"/>
        <v>Январь</v>
      </c>
      <c r="I1812" t="s">
        <v>9</v>
      </c>
      <c r="J1812">
        <v>36</v>
      </c>
      <c r="K1812" t="s">
        <v>11</v>
      </c>
      <c r="L1812">
        <v>4</v>
      </c>
      <c r="M1812">
        <v>30</v>
      </c>
      <c r="N1812" s="1">
        <f t="shared" si="87"/>
        <v>120</v>
      </c>
    </row>
    <row r="1813" spans="5:14" x14ac:dyDescent="0.25">
      <c r="E1813">
        <v>1784</v>
      </c>
      <c r="F1813" s="7">
        <v>45470</v>
      </c>
      <c r="G1813">
        <f t="shared" si="85"/>
        <v>2024</v>
      </c>
      <c r="H1813" s="7" t="str">
        <f t="shared" si="86"/>
        <v>Июнь</v>
      </c>
      <c r="I1813" t="s">
        <v>9</v>
      </c>
      <c r="J1813">
        <v>30</v>
      </c>
      <c r="K1813" t="s">
        <v>8</v>
      </c>
      <c r="L1813">
        <v>2</v>
      </c>
      <c r="M1813">
        <v>244</v>
      </c>
      <c r="N1813" s="1">
        <f t="shared" si="87"/>
        <v>488</v>
      </c>
    </row>
    <row r="1814" spans="5:14" x14ac:dyDescent="0.25">
      <c r="E1814">
        <v>766</v>
      </c>
      <c r="F1814" s="7">
        <v>44940</v>
      </c>
      <c r="G1814">
        <f t="shared" si="85"/>
        <v>2023</v>
      </c>
      <c r="H1814" s="7" t="str">
        <f t="shared" si="86"/>
        <v>Январь</v>
      </c>
      <c r="I1814" t="s">
        <v>9</v>
      </c>
      <c r="J1814">
        <v>24</v>
      </c>
      <c r="K1814" t="s">
        <v>8</v>
      </c>
      <c r="L1814">
        <v>3</v>
      </c>
      <c r="M1814">
        <v>25</v>
      </c>
      <c r="N1814" s="1">
        <f t="shared" si="87"/>
        <v>75</v>
      </c>
    </row>
    <row r="1815" spans="5:14" x14ac:dyDescent="0.25">
      <c r="E1815">
        <v>859</v>
      </c>
      <c r="F1815" s="7">
        <v>44974</v>
      </c>
      <c r="G1815">
        <f t="shared" si="85"/>
        <v>2023</v>
      </c>
      <c r="H1815" s="7" t="str">
        <f t="shared" si="86"/>
        <v>Февраль</v>
      </c>
      <c r="I1815" t="s">
        <v>9</v>
      </c>
      <c r="J1815">
        <v>41</v>
      </c>
      <c r="K1815" t="s">
        <v>10</v>
      </c>
      <c r="L1815">
        <v>3</v>
      </c>
      <c r="M1815">
        <v>30</v>
      </c>
      <c r="N1815" s="1">
        <f t="shared" si="87"/>
        <v>90</v>
      </c>
    </row>
    <row r="1816" spans="5:14" x14ac:dyDescent="0.25">
      <c r="E1816">
        <v>269</v>
      </c>
      <c r="F1816" s="7">
        <v>45133</v>
      </c>
      <c r="G1816">
        <f t="shared" si="85"/>
        <v>2023</v>
      </c>
      <c r="H1816" s="7" t="str">
        <f t="shared" si="86"/>
        <v>Июль</v>
      </c>
      <c r="I1816" t="s">
        <v>7</v>
      </c>
      <c r="J1816">
        <v>43</v>
      </c>
      <c r="K1816" t="s">
        <v>11</v>
      </c>
      <c r="L1816">
        <v>1</v>
      </c>
      <c r="M1816">
        <v>300</v>
      </c>
      <c r="N1816" s="1">
        <f t="shared" si="87"/>
        <v>300</v>
      </c>
    </row>
    <row r="1817" spans="5:14" x14ac:dyDescent="0.25">
      <c r="E1817">
        <v>59</v>
      </c>
      <c r="F1817" s="7">
        <v>45112</v>
      </c>
      <c r="G1817">
        <f t="shared" si="85"/>
        <v>2023</v>
      </c>
      <c r="H1817" s="7" t="str">
        <f t="shared" si="86"/>
        <v>Июль</v>
      </c>
      <c r="I1817" t="s">
        <v>7</v>
      </c>
      <c r="J1817">
        <v>62</v>
      </c>
      <c r="K1817" t="s">
        <v>10</v>
      </c>
      <c r="L1817">
        <v>1</v>
      </c>
      <c r="M1817">
        <v>50</v>
      </c>
      <c r="N1817" s="1">
        <f t="shared" si="87"/>
        <v>50</v>
      </c>
    </row>
    <row r="1818" spans="5:14" x14ac:dyDescent="0.25">
      <c r="E1818">
        <v>1843</v>
      </c>
      <c r="F1818" s="7">
        <v>45390</v>
      </c>
      <c r="G1818">
        <f t="shared" si="85"/>
        <v>2024</v>
      </c>
      <c r="H1818" s="7" t="str">
        <f t="shared" si="86"/>
        <v>Апрель</v>
      </c>
      <c r="I1818" t="s">
        <v>9</v>
      </c>
      <c r="J1818">
        <v>56</v>
      </c>
      <c r="K1818" t="s">
        <v>11</v>
      </c>
      <c r="L1818">
        <v>6</v>
      </c>
      <c r="M1818">
        <v>54</v>
      </c>
      <c r="N1818" s="1">
        <f t="shared" si="87"/>
        <v>324</v>
      </c>
    </row>
    <row r="1819" spans="5:14" x14ac:dyDescent="0.25">
      <c r="E1819">
        <v>1628</v>
      </c>
      <c r="F1819" s="7">
        <v>45606</v>
      </c>
      <c r="G1819">
        <f t="shared" si="85"/>
        <v>2024</v>
      </c>
      <c r="H1819" s="7" t="str">
        <f t="shared" si="86"/>
        <v>Ноябрь</v>
      </c>
      <c r="I1819" t="s">
        <v>7</v>
      </c>
      <c r="J1819">
        <v>33</v>
      </c>
      <c r="K1819" t="s">
        <v>11</v>
      </c>
      <c r="L1819">
        <v>3</v>
      </c>
      <c r="M1819">
        <v>285</v>
      </c>
      <c r="N1819" s="1">
        <f t="shared" si="87"/>
        <v>855</v>
      </c>
    </row>
    <row r="1820" spans="5:14" x14ac:dyDescent="0.25">
      <c r="E1820">
        <v>177</v>
      </c>
      <c r="F1820" s="7">
        <v>45009</v>
      </c>
      <c r="G1820">
        <f t="shared" si="85"/>
        <v>2023</v>
      </c>
      <c r="H1820" s="7" t="str">
        <f t="shared" si="86"/>
        <v>Март</v>
      </c>
      <c r="I1820" t="s">
        <v>7</v>
      </c>
      <c r="J1820">
        <v>45</v>
      </c>
      <c r="K1820" t="s">
        <v>8</v>
      </c>
      <c r="L1820">
        <v>2</v>
      </c>
      <c r="M1820">
        <v>50</v>
      </c>
      <c r="N1820" s="1">
        <f t="shared" si="87"/>
        <v>100</v>
      </c>
    </row>
    <row r="1821" spans="5:14" x14ac:dyDescent="0.25">
      <c r="E1821">
        <v>623</v>
      </c>
      <c r="F1821" s="7">
        <v>45164</v>
      </c>
      <c r="G1821">
        <f t="shared" si="85"/>
        <v>2023</v>
      </c>
      <c r="H1821" s="7" t="str">
        <f t="shared" si="86"/>
        <v>Август</v>
      </c>
      <c r="I1821" t="s">
        <v>9</v>
      </c>
      <c r="J1821">
        <v>34</v>
      </c>
      <c r="K1821" t="s">
        <v>8</v>
      </c>
      <c r="L1821">
        <v>3</v>
      </c>
      <c r="M1821">
        <v>300</v>
      </c>
      <c r="N1821" s="1">
        <f t="shared" si="87"/>
        <v>900</v>
      </c>
    </row>
    <row r="1822" spans="5:14" x14ac:dyDescent="0.25">
      <c r="E1822">
        <v>353</v>
      </c>
      <c r="F1822" s="7">
        <v>45031</v>
      </c>
      <c r="G1822">
        <f t="shared" si="85"/>
        <v>2023</v>
      </c>
      <c r="H1822" s="7" t="str">
        <f t="shared" si="86"/>
        <v>Апрель</v>
      </c>
      <c r="I1822" t="s">
        <v>9</v>
      </c>
      <c r="J1822">
        <v>49</v>
      </c>
      <c r="K1822" t="s">
        <v>8</v>
      </c>
      <c r="L1822">
        <v>4</v>
      </c>
      <c r="M1822">
        <v>50</v>
      </c>
      <c r="N1822" s="1">
        <f t="shared" si="87"/>
        <v>200</v>
      </c>
    </row>
    <row r="1823" spans="5:14" x14ac:dyDescent="0.25">
      <c r="E1823">
        <v>58</v>
      </c>
      <c r="F1823" s="7">
        <v>45243</v>
      </c>
      <c r="G1823">
        <f t="shared" si="85"/>
        <v>2023</v>
      </c>
      <c r="H1823" s="7" t="str">
        <f t="shared" si="86"/>
        <v>Ноябрь</v>
      </c>
      <c r="I1823" t="s">
        <v>7</v>
      </c>
      <c r="J1823">
        <v>18</v>
      </c>
      <c r="K1823" t="s">
        <v>10</v>
      </c>
      <c r="L1823">
        <v>4</v>
      </c>
      <c r="M1823">
        <v>300</v>
      </c>
      <c r="N1823" s="1">
        <f t="shared" si="87"/>
        <v>1200</v>
      </c>
    </row>
    <row r="1824" spans="5:14" x14ac:dyDescent="0.25">
      <c r="E1824">
        <v>298</v>
      </c>
      <c r="F1824" s="7">
        <v>45132</v>
      </c>
      <c r="G1824">
        <f t="shared" si="85"/>
        <v>2023</v>
      </c>
      <c r="H1824" s="7" t="str">
        <f t="shared" si="86"/>
        <v>Июль</v>
      </c>
      <c r="I1824" t="s">
        <v>7</v>
      </c>
      <c r="J1824">
        <v>61</v>
      </c>
      <c r="K1824" t="s">
        <v>11</v>
      </c>
      <c r="L1824">
        <v>2</v>
      </c>
      <c r="M1824">
        <v>500</v>
      </c>
      <c r="N1824" s="1">
        <f t="shared" si="87"/>
        <v>1000</v>
      </c>
    </row>
    <row r="1825" spans="5:14" x14ac:dyDescent="0.25">
      <c r="E1825">
        <v>586</v>
      </c>
      <c r="F1825" s="7">
        <v>45085</v>
      </c>
      <c r="G1825">
        <f t="shared" si="85"/>
        <v>2023</v>
      </c>
      <c r="H1825" s="7" t="str">
        <f t="shared" si="86"/>
        <v>Июнь</v>
      </c>
      <c r="I1825" t="s">
        <v>9</v>
      </c>
      <c r="J1825">
        <v>40</v>
      </c>
      <c r="K1825" t="s">
        <v>8</v>
      </c>
      <c r="L1825">
        <v>4</v>
      </c>
      <c r="M1825">
        <v>300</v>
      </c>
      <c r="N1825" s="1">
        <f t="shared" si="87"/>
        <v>1200</v>
      </c>
    </row>
    <row r="1826" spans="5:14" x14ac:dyDescent="0.25">
      <c r="E1826">
        <v>961</v>
      </c>
      <c r="F1826" s="7">
        <v>45244</v>
      </c>
      <c r="G1826">
        <f t="shared" si="85"/>
        <v>2023</v>
      </c>
      <c r="H1826" s="7" t="str">
        <f t="shared" si="86"/>
        <v>Ноябрь</v>
      </c>
      <c r="I1826" t="s">
        <v>9</v>
      </c>
      <c r="J1826">
        <v>55</v>
      </c>
      <c r="K1826" t="s">
        <v>8</v>
      </c>
      <c r="L1826">
        <v>1</v>
      </c>
      <c r="M1826">
        <v>50</v>
      </c>
      <c r="N1826" s="1">
        <f t="shared" si="87"/>
        <v>50</v>
      </c>
    </row>
    <row r="1827" spans="5:14" x14ac:dyDescent="0.25">
      <c r="E1827">
        <v>323</v>
      </c>
      <c r="F1827" s="7">
        <v>45226</v>
      </c>
      <c r="G1827">
        <f t="shared" si="85"/>
        <v>2023</v>
      </c>
      <c r="H1827" s="7" t="str">
        <f t="shared" si="86"/>
        <v>Октябрь</v>
      </c>
      <c r="I1827" t="s">
        <v>9</v>
      </c>
      <c r="J1827">
        <v>52</v>
      </c>
      <c r="K1827" t="s">
        <v>11</v>
      </c>
      <c r="L1827">
        <v>3</v>
      </c>
      <c r="M1827">
        <v>50</v>
      </c>
      <c r="N1827" s="1">
        <f t="shared" si="87"/>
        <v>150</v>
      </c>
    </row>
    <row r="1828" spans="5:14" x14ac:dyDescent="0.25">
      <c r="E1828">
        <v>150</v>
      </c>
      <c r="F1828" s="7">
        <v>44932</v>
      </c>
      <c r="G1828">
        <f t="shared" si="85"/>
        <v>2023</v>
      </c>
      <c r="H1828" s="7" t="str">
        <f t="shared" si="86"/>
        <v>Январь</v>
      </c>
      <c r="I1828" t="s">
        <v>9</v>
      </c>
      <c r="J1828">
        <v>58</v>
      </c>
      <c r="K1828" t="s">
        <v>11</v>
      </c>
      <c r="L1828">
        <v>4</v>
      </c>
      <c r="M1828">
        <v>30</v>
      </c>
      <c r="N1828" s="1">
        <f t="shared" si="87"/>
        <v>120</v>
      </c>
    </row>
    <row r="1829" spans="5:14" x14ac:dyDescent="0.25">
      <c r="E1829">
        <v>62</v>
      </c>
      <c r="F1829" s="7">
        <v>45287</v>
      </c>
      <c r="G1829">
        <f t="shared" si="85"/>
        <v>2023</v>
      </c>
      <c r="H1829" s="7" t="str">
        <f t="shared" si="86"/>
        <v>Декабрь</v>
      </c>
      <c r="I1829" t="s">
        <v>7</v>
      </c>
      <c r="J1829">
        <v>18</v>
      </c>
      <c r="K1829" t="s">
        <v>8</v>
      </c>
      <c r="L1829">
        <v>2</v>
      </c>
      <c r="M1829">
        <v>50</v>
      </c>
      <c r="N1829" s="1">
        <f t="shared" si="87"/>
        <v>100</v>
      </c>
    </row>
    <row r="1830" spans="5:14" x14ac:dyDescent="0.25">
      <c r="E1830">
        <v>1468</v>
      </c>
      <c r="F1830" s="7">
        <v>45374</v>
      </c>
      <c r="G1830">
        <f t="shared" si="85"/>
        <v>2024</v>
      </c>
      <c r="H1830" s="7" t="str">
        <f t="shared" si="86"/>
        <v>Март</v>
      </c>
      <c r="I1830" t="s">
        <v>7</v>
      </c>
      <c r="J1830">
        <v>58</v>
      </c>
      <c r="K1830" t="s">
        <v>10</v>
      </c>
      <c r="L1830">
        <v>4</v>
      </c>
      <c r="M1830">
        <v>493</v>
      </c>
      <c r="N1830" s="1">
        <f t="shared" si="87"/>
        <v>1972</v>
      </c>
    </row>
    <row r="1831" spans="5:14" x14ac:dyDescent="0.25">
      <c r="E1831">
        <v>1794</v>
      </c>
      <c r="F1831" s="7">
        <v>45508</v>
      </c>
      <c r="G1831">
        <f t="shared" si="85"/>
        <v>2024</v>
      </c>
      <c r="H1831" s="7" t="str">
        <f t="shared" si="86"/>
        <v>Август</v>
      </c>
      <c r="I1831" t="s">
        <v>7</v>
      </c>
      <c r="J1831">
        <v>29</v>
      </c>
      <c r="K1831" t="s">
        <v>10</v>
      </c>
      <c r="L1831">
        <v>5</v>
      </c>
      <c r="M1831">
        <v>487</v>
      </c>
      <c r="N1831" s="1">
        <f t="shared" si="87"/>
        <v>2435</v>
      </c>
    </row>
    <row r="1832" spans="5:14" x14ac:dyDescent="0.25">
      <c r="E1832">
        <v>1473</v>
      </c>
      <c r="F1832" s="7">
        <v>45533</v>
      </c>
      <c r="G1832">
        <f t="shared" si="85"/>
        <v>2024</v>
      </c>
      <c r="H1832" s="7" t="str">
        <f t="shared" si="86"/>
        <v>Август</v>
      </c>
      <c r="I1832" t="s">
        <v>9</v>
      </c>
      <c r="J1832">
        <v>26</v>
      </c>
      <c r="K1832" t="s">
        <v>10</v>
      </c>
      <c r="L1832">
        <v>5</v>
      </c>
      <c r="M1832">
        <v>407</v>
      </c>
      <c r="N1832" s="1">
        <f t="shared" si="87"/>
        <v>2035</v>
      </c>
    </row>
    <row r="1833" spans="5:14" x14ac:dyDescent="0.25">
      <c r="E1833">
        <v>236</v>
      </c>
      <c r="F1833" s="7">
        <v>44961</v>
      </c>
      <c r="G1833">
        <f t="shared" si="85"/>
        <v>2023</v>
      </c>
      <c r="H1833" s="7" t="str">
        <f t="shared" si="86"/>
        <v>Февраль</v>
      </c>
      <c r="I1833" t="s">
        <v>9</v>
      </c>
      <c r="J1833">
        <v>50</v>
      </c>
      <c r="K1833" t="s">
        <v>8</v>
      </c>
      <c r="L1833">
        <v>2</v>
      </c>
      <c r="M1833">
        <v>500</v>
      </c>
      <c r="N1833" s="1">
        <f t="shared" si="87"/>
        <v>1000</v>
      </c>
    </row>
    <row r="1834" spans="5:14" x14ac:dyDescent="0.25">
      <c r="E1834">
        <v>1802</v>
      </c>
      <c r="F1834" s="7">
        <v>45371</v>
      </c>
      <c r="G1834">
        <f t="shared" si="85"/>
        <v>2024</v>
      </c>
      <c r="H1834" s="7" t="str">
        <f t="shared" si="86"/>
        <v>Март</v>
      </c>
      <c r="I1834" t="s">
        <v>9</v>
      </c>
      <c r="J1834">
        <v>57</v>
      </c>
      <c r="K1834" t="s">
        <v>8</v>
      </c>
      <c r="L1834">
        <v>6</v>
      </c>
      <c r="M1834">
        <v>270</v>
      </c>
      <c r="N1834" s="1">
        <f t="shared" si="87"/>
        <v>1620</v>
      </c>
    </row>
    <row r="1835" spans="5:14" x14ac:dyDescent="0.25">
      <c r="E1835">
        <v>408</v>
      </c>
      <c r="F1835" s="7">
        <v>45278</v>
      </c>
      <c r="G1835">
        <f t="shared" si="85"/>
        <v>2023</v>
      </c>
      <c r="H1835" s="7" t="str">
        <f t="shared" si="86"/>
        <v>Декабрь</v>
      </c>
      <c r="I1835" t="s">
        <v>9</v>
      </c>
      <c r="J1835">
        <v>21</v>
      </c>
      <c r="K1835" t="s">
        <v>11</v>
      </c>
      <c r="L1835">
        <v>3</v>
      </c>
      <c r="M1835">
        <v>300</v>
      </c>
      <c r="N1835" s="1">
        <f t="shared" si="87"/>
        <v>900</v>
      </c>
    </row>
    <row r="1836" spans="5:14" x14ac:dyDescent="0.25">
      <c r="E1836">
        <v>1495</v>
      </c>
      <c r="F1836" s="7">
        <v>45462</v>
      </c>
      <c r="G1836">
        <f t="shared" si="85"/>
        <v>2024</v>
      </c>
      <c r="H1836" s="7" t="str">
        <f t="shared" si="86"/>
        <v>Июнь</v>
      </c>
      <c r="I1836" t="s">
        <v>9</v>
      </c>
      <c r="J1836">
        <v>20</v>
      </c>
      <c r="K1836" t="s">
        <v>10</v>
      </c>
      <c r="L1836">
        <v>5</v>
      </c>
      <c r="M1836">
        <v>280</v>
      </c>
      <c r="N1836" s="1">
        <f t="shared" si="87"/>
        <v>1400</v>
      </c>
    </row>
    <row r="1837" spans="5:14" x14ac:dyDescent="0.25">
      <c r="E1837">
        <v>1862</v>
      </c>
      <c r="F1837" s="7">
        <v>45417</v>
      </c>
      <c r="G1837">
        <f t="shared" si="85"/>
        <v>2024</v>
      </c>
      <c r="H1837" s="7" t="str">
        <f t="shared" si="86"/>
        <v>Май</v>
      </c>
      <c r="I1837" t="s">
        <v>7</v>
      </c>
      <c r="J1837">
        <v>18</v>
      </c>
      <c r="K1837" t="s">
        <v>11</v>
      </c>
      <c r="L1837">
        <v>5</v>
      </c>
      <c r="M1837">
        <v>55</v>
      </c>
      <c r="N1837" s="1">
        <f t="shared" si="87"/>
        <v>275</v>
      </c>
    </row>
    <row r="1838" spans="5:14" x14ac:dyDescent="0.25">
      <c r="E1838">
        <v>1486</v>
      </c>
      <c r="F1838" s="7">
        <v>45435</v>
      </c>
      <c r="G1838">
        <f t="shared" si="85"/>
        <v>2024</v>
      </c>
      <c r="H1838" s="7" t="str">
        <f t="shared" si="86"/>
        <v>Май</v>
      </c>
      <c r="I1838" t="s">
        <v>7</v>
      </c>
      <c r="J1838">
        <v>60</v>
      </c>
      <c r="K1838" t="s">
        <v>11</v>
      </c>
      <c r="L1838">
        <v>4</v>
      </c>
      <c r="M1838">
        <v>136</v>
      </c>
      <c r="N1838" s="1">
        <f t="shared" si="87"/>
        <v>544</v>
      </c>
    </row>
    <row r="1839" spans="5:14" x14ac:dyDescent="0.25">
      <c r="E1839">
        <v>1222</v>
      </c>
      <c r="F1839" s="7">
        <v>45302</v>
      </c>
      <c r="G1839">
        <f t="shared" si="85"/>
        <v>2024</v>
      </c>
      <c r="H1839" s="7" t="str">
        <f t="shared" si="86"/>
        <v>Январь</v>
      </c>
      <c r="I1839" t="s">
        <v>9</v>
      </c>
      <c r="J1839">
        <v>35</v>
      </c>
      <c r="K1839" t="s">
        <v>8</v>
      </c>
      <c r="L1839">
        <v>4</v>
      </c>
      <c r="M1839">
        <v>399</v>
      </c>
      <c r="N1839" s="1">
        <f t="shared" si="87"/>
        <v>1596</v>
      </c>
    </row>
    <row r="1840" spans="5:14" x14ac:dyDescent="0.25">
      <c r="E1840">
        <v>1092</v>
      </c>
      <c r="F1840" s="7">
        <v>45431</v>
      </c>
      <c r="G1840">
        <f t="shared" si="85"/>
        <v>2024</v>
      </c>
      <c r="H1840" s="7" t="str">
        <f t="shared" si="86"/>
        <v>Май</v>
      </c>
      <c r="I1840" t="s">
        <v>9</v>
      </c>
      <c r="J1840">
        <v>41</v>
      </c>
      <c r="K1840" t="s">
        <v>8</v>
      </c>
      <c r="L1840">
        <v>3</v>
      </c>
      <c r="M1840">
        <v>223</v>
      </c>
      <c r="N1840" s="1">
        <f t="shared" si="87"/>
        <v>669</v>
      </c>
    </row>
    <row r="1841" spans="5:14" x14ac:dyDescent="0.25">
      <c r="E1841">
        <v>662</v>
      </c>
      <c r="F1841" s="7">
        <v>45288</v>
      </c>
      <c r="G1841">
        <f t="shared" si="85"/>
        <v>2023</v>
      </c>
      <c r="H1841" s="7" t="str">
        <f t="shared" si="86"/>
        <v>Декабрь</v>
      </c>
      <c r="I1841" t="s">
        <v>9</v>
      </c>
      <c r="J1841">
        <v>44</v>
      </c>
      <c r="K1841" t="s">
        <v>10</v>
      </c>
      <c r="L1841">
        <v>4</v>
      </c>
      <c r="M1841">
        <v>500</v>
      </c>
      <c r="N1841" s="1">
        <f t="shared" si="87"/>
        <v>2000</v>
      </c>
    </row>
    <row r="1842" spans="5:14" x14ac:dyDescent="0.25">
      <c r="E1842">
        <v>1566</v>
      </c>
      <c r="F1842" s="7">
        <v>45519</v>
      </c>
      <c r="G1842">
        <f t="shared" si="85"/>
        <v>2024</v>
      </c>
      <c r="H1842" s="7" t="str">
        <f t="shared" si="86"/>
        <v>Август</v>
      </c>
      <c r="I1842" t="s">
        <v>7</v>
      </c>
      <c r="J1842">
        <v>51</v>
      </c>
      <c r="K1842" t="s">
        <v>11</v>
      </c>
      <c r="L1842">
        <v>3</v>
      </c>
      <c r="M1842">
        <v>240</v>
      </c>
      <c r="N1842" s="1">
        <f t="shared" si="87"/>
        <v>720</v>
      </c>
    </row>
    <row r="1843" spans="5:14" x14ac:dyDescent="0.25">
      <c r="E1843">
        <v>513</v>
      </c>
      <c r="F1843" s="7">
        <v>44986</v>
      </c>
      <c r="G1843">
        <f t="shared" si="85"/>
        <v>2023</v>
      </c>
      <c r="H1843" s="7" t="str">
        <f t="shared" si="86"/>
        <v>Март</v>
      </c>
      <c r="I1843" t="s">
        <v>9</v>
      </c>
      <c r="J1843">
        <v>18</v>
      </c>
      <c r="K1843" t="s">
        <v>11</v>
      </c>
      <c r="L1843">
        <v>1</v>
      </c>
      <c r="M1843">
        <v>300</v>
      </c>
      <c r="N1843" s="1">
        <f t="shared" si="87"/>
        <v>300</v>
      </c>
    </row>
    <row r="1844" spans="5:14" x14ac:dyDescent="0.25">
      <c r="E1844">
        <v>100</v>
      </c>
      <c r="F1844" s="7">
        <v>45093</v>
      </c>
      <c r="G1844">
        <f t="shared" si="85"/>
        <v>2023</v>
      </c>
      <c r="H1844" s="7" t="str">
        <f t="shared" si="86"/>
        <v>Июнь</v>
      </c>
      <c r="I1844" t="s">
        <v>7</v>
      </c>
      <c r="J1844">
        <v>41</v>
      </c>
      <c r="K1844" t="s">
        <v>11</v>
      </c>
      <c r="L1844">
        <v>1</v>
      </c>
      <c r="M1844">
        <v>30</v>
      </c>
      <c r="N1844" s="1">
        <f t="shared" si="87"/>
        <v>30</v>
      </c>
    </row>
    <row r="1845" spans="5:14" x14ac:dyDescent="0.25">
      <c r="E1845">
        <v>31</v>
      </c>
      <c r="F1845" s="7">
        <v>45069</v>
      </c>
      <c r="G1845">
        <f t="shared" si="85"/>
        <v>2023</v>
      </c>
      <c r="H1845" s="7" t="str">
        <f t="shared" si="86"/>
        <v>Май</v>
      </c>
      <c r="I1845" t="s">
        <v>7</v>
      </c>
      <c r="J1845">
        <v>44</v>
      </c>
      <c r="K1845" t="s">
        <v>11</v>
      </c>
      <c r="L1845">
        <v>4</v>
      </c>
      <c r="M1845">
        <v>300</v>
      </c>
      <c r="N1845" s="1">
        <f t="shared" si="87"/>
        <v>1200</v>
      </c>
    </row>
    <row r="1846" spans="5:14" x14ac:dyDescent="0.25">
      <c r="E1846">
        <v>1964</v>
      </c>
      <c r="F1846" s="7">
        <v>45613</v>
      </c>
      <c r="G1846">
        <f t="shared" si="85"/>
        <v>2024</v>
      </c>
      <c r="H1846" s="7" t="str">
        <f t="shared" si="86"/>
        <v>Ноябрь</v>
      </c>
      <c r="I1846" t="s">
        <v>9</v>
      </c>
      <c r="J1846">
        <v>33</v>
      </c>
      <c r="K1846" t="s">
        <v>10</v>
      </c>
      <c r="L1846">
        <v>6</v>
      </c>
      <c r="M1846">
        <v>107</v>
      </c>
      <c r="N1846" s="1">
        <f t="shared" si="87"/>
        <v>642</v>
      </c>
    </row>
    <row r="1847" spans="5:14" x14ac:dyDescent="0.25">
      <c r="E1847">
        <v>1295</v>
      </c>
      <c r="F1847" s="7">
        <v>45402</v>
      </c>
      <c r="G1847">
        <f t="shared" si="85"/>
        <v>2024</v>
      </c>
      <c r="H1847" s="7" t="str">
        <f t="shared" si="86"/>
        <v>Апрель</v>
      </c>
      <c r="I1847" t="s">
        <v>7</v>
      </c>
      <c r="J1847">
        <v>29</v>
      </c>
      <c r="K1847" t="s">
        <v>8</v>
      </c>
      <c r="L1847">
        <v>1</v>
      </c>
      <c r="M1847">
        <v>329</v>
      </c>
      <c r="N1847" s="1">
        <f t="shared" si="87"/>
        <v>329</v>
      </c>
    </row>
    <row r="1848" spans="5:14" x14ac:dyDescent="0.25">
      <c r="E1848">
        <v>1559</v>
      </c>
      <c r="F1848" s="7">
        <v>45400</v>
      </c>
      <c r="G1848">
        <f t="shared" si="85"/>
        <v>2024</v>
      </c>
      <c r="H1848" s="7" t="str">
        <f t="shared" si="86"/>
        <v>Апрель</v>
      </c>
      <c r="I1848" t="s">
        <v>7</v>
      </c>
      <c r="J1848">
        <v>25</v>
      </c>
      <c r="K1848" t="s">
        <v>11</v>
      </c>
      <c r="L1848">
        <v>7</v>
      </c>
      <c r="M1848">
        <v>370</v>
      </c>
      <c r="N1848" s="1">
        <f t="shared" si="87"/>
        <v>2590</v>
      </c>
    </row>
    <row r="1849" spans="5:14" x14ac:dyDescent="0.25">
      <c r="E1849">
        <v>1462</v>
      </c>
      <c r="F1849" s="7">
        <v>45384</v>
      </c>
      <c r="G1849">
        <f t="shared" si="85"/>
        <v>2024</v>
      </c>
      <c r="H1849" s="7" t="str">
        <f t="shared" si="86"/>
        <v>Апрель</v>
      </c>
      <c r="I1849" t="s">
        <v>9</v>
      </c>
      <c r="J1849">
        <v>30</v>
      </c>
      <c r="K1849" t="s">
        <v>11</v>
      </c>
      <c r="L1849">
        <v>4</v>
      </c>
      <c r="M1849">
        <v>416</v>
      </c>
      <c r="N1849" s="1">
        <f t="shared" si="87"/>
        <v>1664</v>
      </c>
    </row>
    <row r="1850" spans="5:14" x14ac:dyDescent="0.25">
      <c r="E1850">
        <v>889</v>
      </c>
      <c r="F1850" s="7">
        <v>45021</v>
      </c>
      <c r="G1850">
        <f t="shared" si="85"/>
        <v>2023</v>
      </c>
      <c r="H1850" s="7" t="str">
        <f t="shared" si="86"/>
        <v>Апрель</v>
      </c>
      <c r="I1850" t="s">
        <v>7</v>
      </c>
      <c r="J1850">
        <v>41</v>
      </c>
      <c r="K1850" t="s">
        <v>11</v>
      </c>
      <c r="L1850">
        <v>3</v>
      </c>
      <c r="M1850">
        <v>300</v>
      </c>
      <c r="N1850" s="1">
        <f t="shared" si="87"/>
        <v>900</v>
      </c>
    </row>
    <row r="1851" spans="5:14" x14ac:dyDescent="0.25">
      <c r="E1851">
        <v>1313</v>
      </c>
      <c r="F1851" s="7">
        <v>45404</v>
      </c>
      <c r="G1851">
        <f t="shared" si="85"/>
        <v>2024</v>
      </c>
      <c r="H1851" s="7" t="str">
        <f t="shared" si="86"/>
        <v>Апрель</v>
      </c>
      <c r="I1851" t="s">
        <v>9</v>
      </c>
      <c r="J1851">
        <v>64</v>
      </c>
      <c r="K1851" t="s">
        <v>10</v>
      </c>
      <c r="L1851">
        <v>4</v>
      </c>
      <c r="M1851">
        <v>224</v>
      </c>
      <c r="N1851" s="1">
        <f t="shared" si="87"/>
        <v>896</v>
      </c>
    </row>
    <row r="1852" spans="5:14" x14ac:dyDescent="0.25">
      <c r="E1852">
        <v>1805</v>
      </c>
      <c r="F1852" s="7">
        <v>45560</v>
      </c>
      <c r="G1852">
        <f t="shared" si="85"/>
        <v>2024</v>
      </c>
      <c r="H1852" s="7" t="str">
        <f t="shared" si="86"/>
        <v>Сентябрь</v>
      </c>
      <c r="I1852" t="s">
        <v>9</v>
      </c>
      <c r="J1852">
        <v>33</v>
      </c>
      <c r="K1852" t="s">
        <v>8</v>
      </c>
      <c r="L1852">
        <v>4</v>
      </c>
      <c r="M1852">
        <v>39</v>
      </c>
      <c r="N1852" s="1">
        <f t="shared" si="87"/>
        <v>156</v>
      </c>
    </row>
    <row r="1853" spans="5:14" x14ac:dyDescent="0.25">
      <c r="E1853">
        <v>1931</v>
      </c>
      <c r="F1853" s="7">
        <v>45544</v>
      </c>
      <c r="G1853">
        <f t="shared" si="85"/>
        <v>2024</v>
      </c>
      <c r="H1853" s="7" t="str">
        <f t="shared" si="86"/>
        <v>Сентябрь</v>
      </c>
      <c r="I1853" t="s">
        <v>9</v>
      </c>
      <c r="J1853">
        <v>50</v>
      </c>
      <c r="K1853" t="s">
        <v>8</v>
      </c>
      <c r="L1853">
        <v>6</v>
      </c>
      <c r="M1853">
        <v>157</v>
      </c>
      <c r="N1853" s="1">
        <f t="shared" si="87"/>
        <v>942</v>
      </c>
    </row>
    <row r="1854" spans="5:14" x14ac:dyDescent="0.25">
      <c r="E1854">
        <v>1797</v>
      </c>
      <c r="F1854" s="7">
        <v>45514</v>
      </c>
      <c r="G1854">
        <f t="shared" si="85"/>
        <v>2024</v>
      </c>
      <c r="H1854" s="7" t="str">
        <f t="shared" si="86"/>
        <v>Август</v>
      </c>
      <c r="I1854" t="s">
        <v>7</v>
      </c>
      <c r="J1854">
        <v>19</v>
      </c>
      <c r="K1854" t="s">
        <v>10</v>
      </c>
      <c r="L1854">
        <v>1</v>
      </c>
      <c r="M1854">
        <v>97</v>
      </c>
      <c r="N1854" s="1">
        <f t="shared" si="87"/>
        <v>97</v>
      </c>
    </row>
    <row r="1855" spans="5:14" x14ac:dyDescent="0.25">
      <c r="E1855">
        <v>1682</v>
      </c>
      <c r="F1855" s="7">
        <v>45492</v>
      </c>
      <c r="G1855">
        <f t="shared" si="85"/>
        <v>2024</v>
      </c>
      <c r="H1855" s="7" t="str">
        <f t="shared" si="86"/>
        <v>Июль</v>
      </c>
      <c r="I1855" t="s">
        <v>9</v>
      </c>
      <c r="J1855">
        <v>20</v>
      </c>
      <c r="K1855" t="s">
        <v>11</v>
      </c>
      <c r="L1855">
        <v>2</v>
      </c>
      <c r="M1855">
        <v>194</v>
      </c>
      <c r="N1855" s="1">
        <f t="shared" si="87"/>
        <v>388</v>
      </c>
    </row>
    <row r="1856" spans="5:14" x14ac:dyDescent="0.25">
      <c r="E1856">
        <v>663</v>
      </c>
      <c r="F1856" s="7">
        <v>45036</v>
      </c>
      <c r="G1856">
        <f t="shared" si="85"/>
        <v>2023</v>
      </c>
      <c r="H1856" s="7" t="str">
        <f t="shared" si="86"/>
        <v>Апрель</v>
      </c>
      <c r="I1856" t="s">
        <v>7</v>
      </c>
      <c r="J1856">
        <v>57</v>
      </c>
      <c r="K1856" t="s">
        <v>10</v>
      </c>
      <c r="L1856">
        <v>1</v>
      </c>
      <c r="M1856">
        <v>50</v>
      </c>
      <c r="N1856" s="1">
        <f t="shared" si="87"/>
        <v>50</v>
      </c>
    </row>
    <row r="1857" spans="5:14" x14ac:dyDescent="0.25">
      <c r="E1857">
        <v>422</v>
      </c>
      <c r="F1857" s="7">
        <v>44993</v>
      </c>
      <c r="G1857">
        <f t="shared" si="85"/>
        <v>2023</v>
      </c>
      <c r="H1857" s="7" t="str">
        <f t="shared" si="86"/>
        <v>Март</v>
      </c>
      <c r="I1857" t="s">
        <v>9</v>
      </c>
      <c r="J1857">
        <v>27</v>
      </c>
      <c r="K1857" t="s">
        <v>10</v>
      </c>
      <c r="L1857">
        <v>1</v>
      </c>
      <c r="M1857">
        <v>25</v>
      </c>
      <c r="N1857" s="1">
        <f t="shared" si="87"/>
        <v>25</v>
      </c>
    </row>
    <row r="1858" spans="5:14" x14ac:dyDescent="0.25">
      <c r="E1858">
        <v>1491</v>
      </c>
      <c r="F1858" s="7">
        <v>45553</v>
      </c>
      <c r="G1858">
        <f t="shared" si="85"/>
        <v>2024</v>
      </c>
      <c r="H1858" s="7" t="str">
        <f t="shared" si="86"/>
        <v>Сентябрь</v>
      </c>
      <c r="I1858" t="s">
        <v>9</v>
      </c>
      <c r="J1858">
        <v>27</v>
      </c>
      <c r="K1858" t="s">
        <v>8</v>
      </c>
      <c r="L1858">
        <v>2</v>
      </c>
      <c r="M1858">
        <v>63</v>
      </c>
      <c r="N1858" s="1">
        <f t="shared" si="87"/>
        <v>126</v>
      </c>
    </row>
    <row r="1859" spans="5:14" x14ac:dyDescent="0.25">
      <c r="E1859">
        <v>1237</v>
      </c>
      <c r="F1859" s="7">
        <v>45328</v>
      </c>
      <c r="G1859">
        <f t="shared" si="85"/>
        <v>2024</v>
      </c>
      <c r="H1859" s="7" t="str">
        <f t="shared" si="86"/>
        <v>Февраль</v>
      </c>
      <c r="I1859" t="s">
        <v>9</v>
      </c>
      <c r="J1859">
        <v>33</v>
      </c>
      <c r="K1859" t="s">
        <v>8</v>
      </c>
      <c r="L1859">
        <v>1</v>
      </c>
      <c r="M1859">
        <v>384</v>
      </c>
      <c r="N1859" s="1">
        <f t="shared" si="87"/>
        <v>384</v>
      </c>
    </row>
    <row r="1860" spans="5:14" x14ac:dyDescent="0.25">
      <c r="E1860">
        <v>1680</v>
      </c>
      <c r="F1860" s="7">
        <v>45473</v>
      </c>
      <c r="G1860">
        <f t="shared" si="85"/>
        <v>2024</v>
      </c>
      <c r="H1860" s="7" t="str">
        <f t="shared" si="86"/>
        <v>Июнь</v>
      </c>
      <c r="I1860" t="s">
        <v>9</v>
      </c>
      <c r="J1860">
        <v>47</v>
      </c>
      <c r="K1860" t="s">
        <v>10</v>
      </c>
      <c r="L1860">
        <v>1</v>
      </c>
      <c r="M1860">
        <v>308</v>
      </c>
      <c r="N1860" s="1">
        <f t="shared" si="87"/>
        <v>308</v>
      </c>
    </row>
    <row r="1861" spans="5:14" x14ac:dyDescent="0.25">
      <c r="E1861">
        <v>494</v>
      </c>
      <c r="F1861" s="7">
        <v>45131</v>
      </c>
      <c r="G1861">
        <f t="shared" si="85"/>
        <v>2023</v>
      </c>
      <c r="H1861" s="7" t="str">
        <f t="shared" si="86"/>
        <v>Июль</v>
      </c>
      <c r="I1861" t="s">
        <v>7</v>
      </c>
      <c r="J1861">
        <v>24</v>
      </c>
      <c r="K1861" t="s">
        <v>8</v>
      </c>
      <c r="L1861">
        <v>2</v>
      </c>
      <c r="M1861">
        <v>30</v>
      </c>
      <c r="N1861" s="1">
        <f t="shared" si="87"/>
        <v>60</v>
      </c>
    </row>
    <row r="1862" spans="5:14" x14ac:dyDescent="0.25">
      <c r="E1862">
        <v>1547</v>
      </c>
      <c r="F1862" s="7">
        <v>45633</v>
      </c>
      <c r="G1862">
        <f t="shared" si="85"/>
        <v>2024</v>
      </c>
      <c r="H1862" s="7" t="str">
        <f t="shared" si="86"/>
        <v>Декабрь</v>
      </c>
      <c r="I1862" t="s">
        <v>7</v>
      </c>
      <c r="J1862">
        <v>59</v>
      </c>
      <c r="K1862" t="s">
        <v>10</v>
      </c>
      <c r="L1862">
        <v>2</v>
      </c>
      <c r="M1862">
        <v>269</v>
      </c>
      <c r="N1862" s="1">
        <f t="shared" si="87"/>
        <v>538</v>
      </c>
    </row>
    <row r="1863" spans="5:14" x14ac:dyDescent="0.25">
      <c r="E1863">
        <v>1981</v>
      </c>
      <c r="F1863" s="7">
        <v>45442</v>
      </c>
      <c r="G1863">
        <f t="shared" si="85"/>
        <v>2024</v>
      </c>
      <c r="H1863" s="7" t="str">
        <f t="shared" si="86"/>
        <v>Май</v>
      </c>
      <c r="I1863" t="s">
        <v>9</v>
      </c>
      <c r="J1863">
        <v>43</v>
      </c>
      <c r="K1863" t="s">
        <v>11</v>
      </c>
      <c r="L1863">
        <v>3</v>
      </c>
      <c r="M1863">
        <v>13</v>
      </c>
      <c r="N1863" s="1">
        <f t="shared" si="87"/>
        <v>39</v>
      </c>
    </row>
    <row r="1864" spans="5:14" x14ac:dyDescent="0.25">
      <c r="E1864">
        <v>525</v>
      </c>
      <c r="F1864" s="7">
        <v>45270</v>
      </c>
      <c r="G1864">
        <f t="shared" si="85"/>
        <v>2023</v>
      </c>
      <c r="H1864" s="7" t="str">
        <f t="shared" si="86"/>
        <v>Декабрь</v>
      </c>
      <c r="I1864" t="s">
        <v>7</v>
      </c>
      <c r="J1864">
        <v>33</v>
      </c>
      <c r="K1864" t="s">
        <v>10</v>
      </c>
      <c r="L1864">
        <v>2</v>
      </c>
      <c r="M1864">
        <v>50</v>
      </c>
      <c r="N1864" s="1">
        <f t="shared" si="87"/>
        <v>100</v>
      </c>
    </row>
    <row r="1865" spans="5:14" x14ac:dyDescent="0.25">
      <c r="E1865">
        <v>822</v>
      </c>
      <c r="F1865" s="7">
        <v>45051</v>
      </c>
      <c r="G1865">
        <f t="shared" si="85"/>
        <v>2023</v>
      </c>
      <c r="H1865" s="7" t="str">
        <f t="shared" si="86"/>
        <v>Май</v>
      </c>
      <c r="I1865" t="s">
        <v>7</v>
      </c>
      <c r="J1865">
        <v>63</v>
      </c>
      <c r="K1865" t="s">
        <v>10</v>
      </c>
      <c r="L1865">
        <v>4</v>
      </c>
      <c r="M1865">
        <v>30</v>
      </c>
      <c r="N1865" s="1">
        <f t="shared" si="87"/>
        <v>120</v>
      </c>
    </row>
    <row r="1866" spans="5:14" x14ac:dyDescent="0.25">
      <c r="E1866">
        <v>1990</v>
      </c>
      <c r="F1866" s="7">
        <v>45644</v>
      </c>
      <c r="G1866">
        <f t="shared" ref="G1866:G1929" si="88">YEAR(F1866)</f>
        <v>2024</v>
      </c>
      <c r="H1866" s="7" t="str">
        <f t="shared" ref="H1866:H1929" si="89">TEXT(F1866,"ММММ")</f>
        <v>Декабрь</v>
      </c>
      <c r="I1866" t="s">
        <v>9</v>
      </c>
      <c r="J1866">
        <v>41</v>
      </c>
      <c r="K1866" t="s">
        <v>8</v>
      </c>
      <c r="L1866">
        <v>7</v>
      </c>
      <c r="M1866">
        <v>338</v>
      </c>
      <c r="N1866" s="1">
        <f t="shared" ref="N1866:N1929" si="90">L1866*M1866</f>
        <v>2366</v>
      </c>
    </row>
    <row r="1867" spans="5:14" x14ac:dyDescent="0.25">
      <c r="E1867">
        <v>1504</v>
      </c>
      <c r="F1867" s="7">
        <v>45598</v>
      </c>
      <c r="G1867">
        <f t="shared" si="88"/>
        <v>2024</v>
      </c>
      <c r="H1867" s="7" t="str">
        <f t="shared" si="89"/>
        <v>Ноябрь</v>
      </c>
      <c r="I1867" t="s">
        <v>9</v>
      </c>
      <c r="J1867">
        <v>61</v>
      </c>
      <c r="K1867" t="s">
        <v>11</v>
      </c>
      <c r="L1867">
        <v>6</v>
      </c>
      <c r="M1867">
        <v>159</v>
      </c>
      <c r="N1867" s="1">
        <f t="shared" si="90"/>
        <v>954</v>
      </c>
    </row>
    <row r="1868" spans="5:14" x14ac:dyDescent="0.25">
      <c r="E1868">
        <v>1130</v>
      </c>
      <c r="F1868" s="7">
        <v>45545</v>
      </c>
      <c r="G1868">
        <f t="shared" si="88"/>
        <v>2024</v>
      </c>
      <c r="H1868" s="7" t="str">
        <f t="shared" si="89"/>
        <v>Сентябрь</v>
      </c>
      <c r="I1868" t="s">
        <v>7</v>
      </c>
      <c r="J1868">
        <v>49</v>
      </c>
      <c r="K1868" t="s">
        <v>11</v>
      </c>
      <c r="L1868">
        <v>1</v>
      </c>
      <c r="M1868">
        <v>66</v>
      </c>
      <c r="N1868" s="1">
        <f t="shared" si="90"/>
        <v>66</v>
      </c>
    </row>
    <row r="1869" spans="5:14" x14ac:dyDescent="0.25">
      <c r="E1869">
        <v>1327</v>
      </c>
      <c r="F1869" s="7">
        <v>45553</v>
      </c>
      <c r="G1869">
        <f t="shared" si="88"/>
        <v>2024</v>
      </c>
      <c r="H1869" s="7" t="str">
        <f t="shared" si="89"/>
        <v>Сентябрь</v>
      </c>
      <c r="I1869" t="s">
        <v>9</v>
      </c>
      <c r="J1869">
        <v>30</v>
      </c>
      <c r="K1869" t="s">
        <v>8</v>
      </c>
      <c r="L1869">
        <v>6</v>
      </c>
      <c r="M1869">
        <v>476</v>
      </c>
      <c r="N1869" s="1">
        <f t="shared" si="90"/>
        <v>2856</v>
      </c>
    </row>
    <row r="1870" spans="5:14" x14ac:dyDescent="0.25">
      <c r="E1870">
        <v>38</v>
      </c>
      <c r="F1870" s="7">
        <v>45006</v>
      </c>
      <c r="G1870">
        <f t="shared" si="88"/>
        <v>2023</v>
      </c>
      <c r="H1870" s="7" t="str">
        <f t="shared" si="89"/>
        <v>Март</v>
      </c>
      <c r="I1870" t="s">
        <v>7</v>
      </c>
      <c r="J1870">
        <v>38</v>
      </c>
      <c r="K1870" t="s">
        <v>8</v>
      </c>
      <c r="L1870">
        <v>4</v>
      </c>
      <c r="M1870">
        <v>50</v>
      </c>
      <c r="N1870" s="1">
        <f t="shared" si="90"/>
        <v>200</v>
      </c>
    </row>
    <row r="1871" spans="5:14" x14ac:dyDescent="0.25">
      <c r="E1871">
        <v>1763</v>
      </c>
      <c r="F1871" s="7">
        <v>45589</v>
      </c>
      <c r="G1871">
        <f t="shared" si="88"/>
        <v>2024</v>
      </c>
      <c r="H1871" s="7" t="str">
        <f t="shared" si="89"/>
        <v>Октябрь</v>
      </c>
      <c r="I1871" t="s">
        <v>7</v>
      </c>
      <c r="J1871">
        <v>34</v>
      </c>
      <c r="K1871" t="s">
        <v>8</v>
      </c>
      <c r="L1871">
        <v>2</v>
      </c>
      <c r="M1871">
        <v>335</v>
      </c>
      <c r="N1871" s="1">
        <f t="shared" si="90"/>
        <v>670</v>
      </c>
    </row>
    <row r="1872" spans="5:14" x14ac:dyDescent="0.25">
      <c r="E1872">
        <v>1175</v>
      </c>
      <c r="F1872" s="7">
        <v>45375</v>
      </c>
      <c r="G1872">
        <f t="shared" si="88"/>
        <v>2024</v>
      </c>
      <c r="H1872" s="7" t="str">
        <f t="shared" si="89"/>
        <v>Март</v>
      </c>
      <c r="I1872" t="s">
        <v>7</v>
      </c>
      <c r="J1872">
        <v>42</v>
      </c>
      <c r="K1872" t="s">
        <v>8</v>
      </c>
      <c r="L1872">
        <v>3</v>
      </c>
      <c r="M1872">
        <v>279</v>
      </c>
      <c r="N1872" s="1">
        <f t="shared" si="90"/>
        <v>837</v>
      </c>
    </row>
    <row r="1873" spans="5:14" x14ac:dyDescent="0.25">
      <c r="E1873">
        <v>792</v>
      </c>
      <c r="F1873" s="7">
        <v>45186</v>
      </c>
      <c r="G1873">
        <f t="shared" si="88"/>
        <v>2023</v>
      </c>
      <c r="H1873" s="7" t="str">
        <f t="shared" si="89"/>
        <v>Сентябрь</v>
      </c>
      <c r="I1873" t="s">
        <v>9</v>
      </c>
      <c r="J1873">
        <v>60</v>
      </c>
      <c r="K1873" t="s">
        <v>8</v>
      </c>
      <c r="L1873">
        <v>1</v>
      </c>
      <c r="M1873">
        <v>300</v>
      </c>
      <c r="N1873" s="1">
        <f t="shared" si="90"/>
        <v>300</v>
      </c>
    </row>
    <row r="1874" spans="5:14" x14ac:dyDescent="0.25">
      <c r="E1874">
        <v>794</v>
      </c>
      <c r="F1874" s="7">
        <v>45101</v>
      </c>
      <c r="G1874">
        <f t="shared" si="88"/>
        <v>2023</v>
      </c>
      <c r="H1874" s="7" t="str">
        <f t="shared" si="89"/>
        <v>Июнь</v>
      </c>
      <c r="I1874" t="s">
        <v>7</v>
      </c>
      <c r="J1874">
        <v>43</v>
      </c>
      <c r="K1874" t="s">
        <v>8</v>
      </c>
      <c r="L1874">
        <v>4</v>
      </c>
      <c r="M1874">
        <v>30</v>
      </c>
      <c r="N1874" s="1">
        <f t="shared" si="90"/>
        <v>120</v>
      </c>
    </row>
    <row r="1875" spans="5:14" x14ac:dyDescent="0.25">
      <c r="E1875">
        <v>1903</v>
      </c>
      <c r="F1875" s="7">
        <v>45299</v>
      </c>
      <c r="G1875">
        <f t="shared" si="88"/>
        <v>2024</v>
      </c>
      <c r="H1875" s="7" t="str">
        <f t="shared" si="89"/>
        <v>Январь</v>
      </c>
      <c r="I1875" t="s">
        <v>9</v>
      </c>
      <c r="J1875">
        <v>19</v>
      </c>
      <c r="K1875" t="s">
        <v>11</v>
      </c>
      <c r="L1875">
        <v>3</v>
      </c>
      <c r="M1875">
        <v>126</v>
      </c>
      <c r="N1875" s="1">
        <f t="shared" si="90"/>
        <v>378</v>
      </c>
    </row>
    <row r="1876" spans="5:14" x14ac:dyDescent="0.25">
      <c r="E1876">
        <v>1498</v>
      </c>
      <c r="F1876" s="7">
        <v>45426</v>
      </c>
      <c r="G1876">
        <f t="shared" si="88"/>
        <v>2024</v>
      </c>
      <c r="H1876" s="7" t="str">
        <f t="shared" si="89"/>
        <v>Май</v>
      </c>
      <c r="I1876" t="s">
        <v>7</v>
      </c>
      <c r="J1876">
        <v>21</v>
      </c>
      <c r="K1876" t="s">
        <v>11</v>
      </c>
      <c r="L1876">
        <v>4</v>
      </c>
      <c r="M1876">
        <v>413</v>
      </c>
      <c r="N1876" s="1">
        <f t="shared" si="90"/>
        <v>1652</v>
      </c>
    </row>
    <row r="1877" spans="5:14" x14ac:dyDescent="0.25">
      <c r="E1877">
        <v>1161</v>
      </c>
      <c r="F1877" s="7">
        <v>45293</v>
      </c>
      <c r="G1877">
        <f t="shared" si="88"/>
        <v>2024</v>
      </c>
      <c r="H1877" s="7" t="str">
        <f t="shared" si="89"/>
        <v>Январь</v>
      </c>
      <c r="I1877" t="s">
        <v>9</v>
      </c>
      <c r="J1877">
        <v>20</v>
      </c>
      <c r="K1877" t="s">
        <v>10</v>
      </c>
      <c r="L1877">
        <v>7</v>
      </c>
      <c r="M1877">
        <v>491</v>
      </c>
      <c r="N1877" s="1">
        <f t="shared" si="90"/>
        <v>3437</v>
      </c>
    </row>
    <row r="1878" spans="5:14" x14ac:dyDescent="0.25">
      <c r="E1878">
        <v>161</v>
      </c>
      <c r="F1878" s="7">
        <v>45007</v>
      </c>
      <c r="G1878">
        <f t="shared" si="88"/>
        <v>2023</v>
      </c>
      <c r="H1878" s="7" t="str">
        <f t="shared" si="89"/>
        <v>Март</v>
      </c>
      <c r="I1878" t="s">
        <v>7</v>
      </c>
      <c r="J1878">
        <v>64</v>
      </c>
      <c r="K1878" t="s">
        <v>8</v>
      </c>
      <c r="L1878">
        <v>2</v>
      </c>
      <c r="M1878">
        <v>500</v>
      </c>
      <c r="N1878" s="1">
        <f t="shared" si="90"/>
        <v>1000</v>
      </c>
    </row>
    <row r="1879" spans="5:14" x14ac:dyDescent="0.25">
      <c r="E1879">
        <v>305</v>
      </c>
      <c r="F1879" s="7">
        <v>45159</v>
      </c>
      <c r="G1879">
        <f t="shared" si="88"/>
        <v>2023</v>
      </c>
      <c r="H1879" s="7" t="str">
        <f t="shared" si="89"/>
        <v>Август</v>
      </c>
      <c r="I1879" t="s">
        <v>7</v>
      </c>
      <c r="J1879">
        <v>54</v>
      </c>
      <c r="K1879" t="s">
        <v>11</v>
      </c>
      <c r="L1879">
        <v>1</v>
      </c>
      <c r="M1879">
        <v>50</v>
      </c>
      <c r="N1879" s="1">
        <f t="shared" si="90"/>
        <v>50</v>
      </c>
    </row>
    <row r="1880" spans="5:14" x14ac:dyDescent="0.25">
      <c r="E1880">
        <v>540</v>
      </c>
      <c r="F1880" s="7">
        <v>45136</v>
      </c>
      <c r="G1880">
        <f t="shared" si="88"/>
        <v>2023</v>
      </c>
      <c r="H1880" s="7" t="str">
        <f t="shared" si="89"/>
        <v>Июль</v>
      </c>
      <c r="I1880" t="s">
        <v>7</v>
      </c>
      <c r="J1880">
        <v>56</v>
      </c>
      <c r="K1880" t="s">
        <v>8</v>
      </c>
      <c r="L1880">
        <v>1</v>
      </c>
      <c r="M1880">
        <v>500</v>
      </c>
      <c r="N1880" s="1">
        <f t="shared" si="90"/>
        <v>500</v>
      </c>
    </row>
    <row r="1881" spans="5:14" x14ac:dyDescent="0.25">
      <c r="E1881">
        <v>343</v>
      </c>
      <c r="F1881" s="7">
        <v>44947</v>
      </c>
      <c r="G1881">
        <f t="shared" si="88"/>
        <v>2023</v>
      </c>
      <c r="H1881" s="7" t="str">
        <f t="shared" si="89"/>
        <v>Январь</v>
      </c>
      <c r="I1881" t="s">
        <v>9</v>
      </c>
      <c r="J1881">
        <v>42</v>
      </c>
      <c r="K1881" t="s">
        <v>8</v>
      </c>
      <c r="L1881">
        <v>1</v>
      </c>
      <c r="M1881">
        <v>30</v>
      </c>
      <c r="N1881" s="1">
        <f t="shared" si="90"/>
        <v>30</v>
      </c>
    </row>
    <row r="1882" spans="5:14" x14ac:dyDescent="0.25">
      <c r="E1882">
        <v>1196</v>
      </c>
      <c r="F1882" s="7">
        <v>45358</v>
      </c>
      <c r="G1882">
        <f t="shared" si="88"/>
        <v>2024</v>
      </c>
      <c r="H1882" s="7" t="str">
        <f t="shared" si="89"/>
        <v>Март</v>
      </c>
      <c r="I1882" t="s">
        <v>9</v>
      </c>
      <c r="J1882">
        <v>43</v>
      </c>
      <c r="K1882" t="s">
        <v>8</v>
      </c>
      <c r="L1882">
        <v>4</v>
      </c>
      <c r="M1882">
        <v>316</v>
      </c>
      <c r="N1882" s="1">
        <f t="shared" si="90"/>
        <v>1264</v>
      </c>
    </row>
    <row r="1883" spans="5:14" x14ac:dyDescent="0.25">
      <c r="E1883">
        <v>1015</v>
      </c>
      <c r="F1883" s="7">
        <v>45404</v>
      </c>
      <c r="G1883">
        <f t="shared" si="88"/>
        <v>2024</v>
      </c>
      <c r="H1883" s="7" t="str">
        <f t="shared" si="89"/>
        <v>Апрель</v>
      </c>
      <c r="I1883" t="s">
        <v>9</v>
      </c>
      <c r="J1883">
        <v>59</v>
      </c>
      <c r="K1883" t="s">
        <v>10</v>
      </c>
      <c r="L1883">
        <v>3</v>
      </c>
      <c r="M1883">
        <v>471</v>
      </c>
      <c r="N1883" s="1">
        <f t="shared" si="90"/>
        <v>1413</v>
      </c>
    </row>
    <row r="1884" spans="5:14" x14ac:dyDescent="0.25">
      <c r="E1884">
        <v>993</v>
      </c>
      <c r="F1884" s="7">
        <v>45046</v>
      </c>
      <c r="G1884">
        <f t="shared" si="88"/>
        <v>2023</v>
      </c>
      <c r="H1884" s="7" t="str">
        <f t="shared" si="89"/>
        <v>Апрель</v>
      </c>
      <c r="I1884" t="s">
        <v>9</v>
      </c>
      <c r="J1884">
        <v>41</v>
      </c>
      <c r="K1884" t="s">
        <v>10</v>
      </c>
      <c r="L1884">
        <v>1</v>
      </c>
      <c r="M1884">
        <v>30</v>
      </c>
      <c r="N1884" s="1">
        <f t="shared" si="90"/>
        <v>30</v>
      </c>
    </row>
    <row r="1885" spans="5:14" x14ac:dyDescent="0.25">
      <c r="E1885">
        <v>1518</v>
      </c>
      <c r="F1885" s="7">
        <v>45516</v>
      </c>
      <c r="G1885">
        <f t="shared" si="88"/>
        <v>2024</v>
      </c>
      <c r="H1885" s="7" t="str">
        <f t="shared" si="89"/>
        <v>Август</v>
      </c>
      <c r="I1885" t="s">
        <v>9</v>
      </c>
      <c r="J1885">
        <v>44</v>
      </c>
      <c r="K1885" t="s">
        <v>10</v>
      </c>
      <c r="L1885">
        <v>4</v>
      </c>
      <c r="M1885">
        <v>278</v>
      </c>
      <c r="N1885" s="1">
        <f t="shared" si="90"/>
        <v>1112</v>
      </c>
    </row>
    <row r="1886" spans="5:14" x14ac:dyDescent="0.25">
      <c r="E1886">
        <v>1356</v>
      </c>
      <c r="F1886" s="7">
        <v>45495</v>
      </c>
      <c r="G1886">
        <f t="shared" si="88"/>
        <v>2024</v>
      </c>
      <c r="H1886" s="7" t="str">
        <f t="shared" si="89"/>
        <v>Июль</v>
      </c>
      <c r="I1886" t="s">
        <v>7</v>
      </c>
      <c r="J1886">
        <v>22</v>
      </c>
      <c r="K1886" t="s">
        <v>10</v>
      </c>
      <c r="L1886">
        <v>1</v>
      </c>
      <c r="M1886">
        <v>264</v>
      </c>
      <c r="N1886" s="1">
        <f t="shared" si="90"/>
        <v>264</v>
      </c>
    </row>
    <row r="1887" spans="5:14" x14ac:dyDescent="0.25">
      <c r="E1887">
        <v>1268</v>
      </c>
      <c r="F1887" s="7">
        <v>45466</v>
      </c>
      <c r="G1887">
        <f t="shared" si="88"/>
        <v>2024</v>
      </c>
      <c r="H1887" s="7" t="str">
        <f t="shared" si="89"/>
        <v>Июнь</v>
      </c>
      <c r="I1887" t="s">
        <v>9</v>
      </c>
      <c r="J1887">
        <v>65</v>
      </c>
      <c r="K1887" t="s">
        <v>8</v>
      </c>
      <c r="L1887">
        <v>4</v>
      </c>
      <c r="M1887">
        <v>397</v>
      </c>
      <c r="N1887" s="1">
        <f t="shared" si="90"/>
        <v>1588</v>
      </c>
    </row>
    <row r="1888" spans="5:14" x14ac:dyDescent="0.25">
      <c r="E1888">
        <v>1353</v>
      </c>
      <c r="F1888" s="7">
        <v>45453</v>
      </c>
      <c r="G1888">
        <f t="shared" si="88"/>
        <v>2024</v>
      </c>
      <c r="H1888" s="7" t="str">
        <f t="shared" si="89"/>
        <v>Июнь</v>
      </c>
      <c r="I1888" t="s">
        <v>7</v>
      </c>
      <c r="J1888">
        <v>31</v>
      </c>
      <c r="K1888" t="s">
        <v>11</v>
      </c>
      <c r="L1888">
        <v>4</v>
      </c>
      <c r="M1888">
        <v>335</v>
      </c>
      <c r="N1888" s="1">
        <f t="shared" si="90"/>
        <v>1340</v>
      </c>
    </row>
    <row r="1889" spans="5:14" x14ac:dyDescent="0.25">
      <c r="E1889">
        <v>628</v>
      </c>
      <c r="F1889" s="7">
        <v>45089</v>
      </c>
      <c r="G1889">
        <f t="shared" si="88"/>
        <v>2023</v>
      </c>
      <c r="H1889" s="7" t="str">
        <f t="shared" si="89"/>
        <v>Июнь</v>
      </c>
      <c r="I1889" t="s">
        <v>7</v>
      </c>
      <c r="J1889">
        <v>62</v>
      </c>
      <c r="K1889" t="s">
        <v>11</v>
      </c>
      <c r="L1889">
        <v>2</v>
      </c>
      <c r="M1889">
        <v>25</v>
      </c>
      <c r="N1889" s="1">
        <f t="shared" si="90"/>
        <v>50</v>
      </c>
    </row>
    <row r="1890" spans="5:14" x14ac:dyDescent="0.25">
      <c r="E1890">
        <v>364</v>
      </c>
      <c r="F1890" s="7">
        <v>45088</v>
      </c>
      <c r="G1890">
        <f t="shared" si="88"/>
        <v>2023</v>
      </c>
      <c r="H1890" s="7" t="str">
        <f t="shared" si="89"/>
        <v>Июнь</v>
      </c>
      <c r="I1890" t="s">
        <v>7</v>
      </c>
      <c r="J1890">
        <v>31</v>
      </c>
      <c r="K1890" t="s">
        <v>10</v>
      </c>
      <c r="L1890">
        <v>1</v>
      </c>
      <c r="M1890">
        <v>300</v>
      </c>
      <c r="N1890" s="1">
        <f t="shared" si="90"/>
        <v>300</v>
      </c>
    </row>
    <row r="1891" spans="5:14" x14ac:dyDescent="0.25">
      <c r="E1891">
        <v>134</v>
      </c>
      <c r="F1891" s="7">
        <v>44951</v>
      </c>
      <c r="G1891">
        <f t="shared" si="88"/>
        <v>2023</v>
      </c>
      <c r="H1891" s="7" t="str">
        <f t="shared" si="89"/>
        <v>Январь</v>
      </c>
      <c r="I1891" t="s">
        <v>7</v>
      </c>
      <c r="J1891">
        <v>49</v>
      </c>
      <c r="K1891" t="s">
        <v>11</v>
      </c>
      <c r="L1891">
        <v>1</v>
      </c>
      <c r="M1891">
        <v>50</v>
      </c>
      <c r="N1891" s="1">
        <f t="shared" si="90"/>
        <v>50</v>
      </c>
    </row>
    <row r="1892" spans="5:14" x14ac:dyDescent="0.25">
      <c r="E1892">
        <v>743</v>
      </c>
      <c r="F1892" s="7">
        <v>45029</v>
      </c>
      <c r="G1892">
        <f t="shared" si="88"/>
        <v>2023</v>
      </c>
      <c r="H1892" s="7" t="str">
        <f t="shared" si="89"/>
        <v>Апрель</v>
      </c>
      <c r="I1892" t="s">
        <v>7</v>
      </c>
      <c r="J1892">
        <v>54</v>
      </c>
      <c r="K1892" t="s">
        <v>8</v>
      </c>
      <c r="L1892">
        <v>2</v>
      </c>
      <c r="M1892">
        <v>50</v>
      </c>
      <c r="N1892" s="1">
        <f t="shared" si="90"/>
        <v>100</v>
      </c>
    </row>
    <row r="1893" spans="5:14" x14ac:dyDescent="0.25">
      <c r="E1893">
        <v>335</v>
      </c>
      <c r="F1893" s="7">
        <v>45272</v>
      </c>
      <c r="G1893">
        <f t="shared" si="88"/>
        <v>2023</v>
      </c>
      <c r="H1893" s="7" t="str">
        <f t="shared" si="89"/>
        <v>Декабрь</v>
      </c>
      <c r="I1893" t="s">
        <v>9</v>
      </c>
      <c r="J1893">
        <v>52</v>
      </c>
      <c r="K1893" t="s">
        <v>8</v>
      </c>
      <c r="L1893">
        <v>3</v>
      </c>
      <c r="M1893">
        <v>50</v>
      </c>
      <c r="N1893" s="1">
        <f t="shared" si="90"/>
        <v>150</v>
      </c>
    </row>
    <row r="1894" spans="5:14" x14ac:dyDescent="0.25">
      <c r="E1894">
        <v>352</v>
      </c>
      <c r="F1894" s="7">
        <v>45060</v>
      </c>
      <c r="G1894">
        <f t="shared" si="88"/>
        <v>2023</v>
      </c>
      <c r="H1894" s="7" t="str">
        <f t="shared" si="89"/>
        <v>Май</v>
      </c>
      <c r="I1894" t="s">
        <v>7</v>
      </c>
      <c r="J1894">
        <v>31</v>
      </c>
      <c r="K1894" t="s">
        <v>11</v>
      </c>
      <c r="L1894">
        <v>1</v>
      </c>
      <c r="M1894">
        <v>500</v>
      </c>
      <c r="N1894" s="1">
        <f t="shared" si="90"/>
        <v>500</v>
      </c>
    </row>
    <row r="1895" spans="5:14" x14ac:dyDescent="0.25">
      <c r="E1895">
        <v>627</v>
      </c>
      <c r="F1895" s="7">
        <v>45231</v>
      </c>
      <c r="G1895">
        <f t="shared" si="88"/>
        <v>2023</v>
      </c>
      <c r="H1895" s="7" t="str">
        <f t="shared" si="89"/>
        <v>Ноябрь</v>
      </c>
      <c r="I1895" t="s">
        <v>9</v>
      </c>
      <c r="J1895">
        <v>19</v>
      </c>
      <c r="K1895" t="s">
        <v>8</v>
      </c>
      <c r="L1895">
        <v>4</v>
      </c>
      <c r="M1895">
        <v>50</v>
      </c>
      <c r="N1895" s="1">
        <f t="shared" si="90"/>
        <v>200</v>
      </c>
    </row>
    <row r="1896" spans="5:14" x14ac:dyDescent="0.25">
      <c r="E1896">
        <v>1083</v>
      </c>
      <c r="F1896" s="7">
        <v>45328</v>
      </c>
      <c r="G1896">
        <f t="shared" si="88"/>
        <v>2024</v>
      </c>
      <c r="H1896" s="7" t="str">
        <f t="shared" si="89"/>
        <v>Февраль</v>
      </c>
      <c r="I1896" t="s">
        <v>7</v>
      </c>
      <c r="J1896">
        <v>41</v>
      </c>
      <c r="K1896" t="s">
        <v>10</v>
      </c>
      <c r="L1896">
        <v>7</v>
      </c>
      <c r="M1896">
        <v>219</v>
      </c>
      <c r="N1896" s="1">
        <f t="shared" si="90"/>
        <v>1533</v>
      </c>
    </row>
    <row r="1897" spans="5:14" x14ac:dyDescent="0.25">
      <c r="E1897">
        <v>321</v>
      </c>
      <c r="F1897" s="7">
        <v>44956</v>
      </c>
      <c r="G1897">
        <f t="shared" si="88"/>
        <v>2023</v>
      </c>
      <c r="H1897" s="7" t="str">
        <f t="shared" si="89"/>
        <v>Январь</v>
      </c>
      <c r="I1897" t="s">
        <v>7</v>
      </c>
      <c r="J1897">
        <v>51</v>
      </c>
      <c r="K1897" t="s">
        <v>11</v>
      </c>
      <c r="L1897">
        <v>1</v>
      </c>
      <c r="M1897">
        <v>500</v>
      </c>
      <c r="N1897" s="1">
        <f t="shared" si="90"/>
        <v>500</v>
      </c>
    </row>
    <row r="1898" spans="5:14" x14ac:dyDescent="0.25">
      <c r="E1898">
        <v>3</v>
      </c>
      <c r="F1898" s="7">
        <v>44939</v>
      </c>
      <c r="G1898">
        <f t="shared" si="88"/>
        <v>2023</v>
      </c>
      <c r="H1898" s="7" t="str">
        <f t="shared" si="89"/>
        <v>Январь</v>
      </c>
      <c r="I1898" t="s">
        <v>7</v>
      </c>
      <c r="J1898">
        <v>50</v>
      </c>
      <c r="K1898" t="s">
        <v>11</v>
      </c>
      <c r="L1898">
        <v>1</v>
      </c>
      <c r="M1898">
        <v>30</v>
      </c>
      <c r="N1898" s="1">
        <f t="shared" si="90"/>
        <v>30</v>
      </c>
    </row>
    <row r="1899" spans="5:14" x14ac:dyDescent="0.25">
      <c r="E1899">
        <v>47</v>
      </c>
      <c r="F1899" s="7">
        <v>45236</v>
      </c>
      <c r="G1899">
        <f t="shared" si="88"/>
        <v>2023</v>
      </c>
      <c r="H1899" s="7" t="str">
        <f t="shared" si="89"/>
        <v>Ноябрь</v>
      </c>
      <c r="I1899" t="s">
        <v>9</v>
      </c>
      <c r="J1899">
        <v>40</v>
      </c>
      <c r="K1899" t="s">
        <v>8</v>
      </c>
      <c r="L1899">
        <v>3</v>
      </c>
      <c r="M1899">
        <v>500</v>
      </c>
      <c r="N1899" s="1">
        <f t="shared" si="90"/>
        <v>1500</v>
      </c>
    </row>
    <row r="1900" spans="5:14" x14ac:dyDescent="0.25">
      <c r="E1900">
        <v>898</v>
      </c>
      <c r="F1900" s="7">
        <v>44978</v>
      </c>
      <c r="G1900">
        <f t="shared" si="88"/>
        <v>2023</v>
      </c>
      <c r="H1900" s="7" t="str">
        <f t="shared" si="89"/>
        <v>Февраль</v>
      </c>
      <c r="I1900" t="s">
        <v>7</v>
      </c>
      <c r="J1900">
        <v>21</v>
      </c>
      <c r="K1900" t="s">
        <v>10</v>
      </c>
      <c r="L1900">
        <v>2</v>
      </c>
      <c r="M1900">
        <v>30</v>
      </c>
      <c r="N1900" s="1">
        <f t="shared" si="90"/>
        <v>60</v>
      </c>
    </row>
    <row r="1901" spans="5:14" x14ac:dyDescent="0.25">
      <c r="E1901">
        <v>1960</v>
      </c>
      <c r="F1901" s="7">
        <v>45322</v>
      </c>
      <c r="G1901">
        <f t="shared" si="88"/>
        <v>2024</v>
      </c>
      <c r="H1901" s="7" t="str">
        <f t="shared" si="89"/>
        <v>Январь</v>
      </c>
      <c r="I1901" t="s">
        <v>7</v>
      </c>
      <c r="J1901">
        <v>62</v>
      </c>
      <c r="K1901" t="s">
        <v>10</v>
      </c>
      <c r="L1901">
        <v>1</v>
      </c>
      <c r="M1901">
        <v>309</v>
      </c>
      <c r="N1901" s="1">
        <f t="shared" si="90"/>
        <v>309</v>
      </c>
    </row>
    <row r="1902" spans="5:14" x14ac:dyDescent="0.25">
      <c r="E1902">
        <v>791</v>
      </c>
      <c r="F1902" s="7">
        <v>44962</v>
      </c>
      <c r="G1902">
        <f t="shared" si="88"/>
        <v>2023</v>
      </c>
      <c r="H1902" s="7" t="str">
        <f t="shared" si="89"/>
        <v>Февраль</v>
      </c>
      <c r="I1902" t="s">
        <v>7</v>
      </c>
      <c r="J1902">
        <v>54</v>
      </c>
      <c r="K1902" t="s">
        <v>8</v>
      </c>
      <c r="L1902">
        <v>1</v>
      </c>
      <c r="M1902">
        <v>30</v>
      </c>
      <c r="N1902" s="1">
        <f t="shared" si="90"/>
        <v>30</v>
      </c>
    </row>
    <row r="1903" spans="5:14" x14ac:dyDescent="0.25">
      <c r="E1903">
        <v>1735</v>
      </c>
      <c r="F1903" s="7">
        <v>45625</v>
      </c>
      <c r="G1903">
        <f t="shared" si="88"/>
        <v>2024</v>
      </c>
      <c r="H1903" s="7" t="str">
        <f t="shared" si="89"/>
        <v>Ноябрь</v>
      </c>
      <c r="I1903" t="s">
        <v>7</v>
      </c>
      <c r="J1903">
        <v>18</v>
      </c>
      <c r="K1903" t="s">
        <v>8</v>
      </c>
      <c r="L1903">
        <v>3</v>
      </c>
      <c r="M1903">
        <v>476</v>
      </c>
      <c r="N1903" s="1">
        <f t="shared" si="90"/>
        <v>1428</v>
      </c>
    </row>
    <row r="1904" spans="5:14" x14ac:dyDescent="0.25">
      <c r="E1904">
        <v>1887</v>
      </c>
      <c r="F1904" s="7">
        <v>45387</v>
      </c>
      <c r="G1904">
        <f t="shared" si="88"/>
        <v>2024</v>
      </c>
      <c r="H1904" s="7" t="str">
        <f t="shared" si="89"/>
        <v>Апрель</v>
      </c>
      <c r="I1904" t="s">
        <v>7</v>
      </c>
      <c r="J1904">
        <v>64</v>
      </c>
      <c r="K1904" t="s">
        <v>11</v>
      </c>
      <c r="L1904">
        <v>7</v>
      </c>
      <c r="M1904">
        <v>252</v>
      </c>
      <c r="N1904" s="1">
        <f t="shared" si="90"/>
        <v>1764</v>
      </c>
    </row>
    <row r="1905" spans="5:14" x14ac:dyDescent="0.25">
      <c r="E1905">
        <v>921</v>
      </c>
      <c r="F1905" s="7">
        <v>45072</v>
      </c>
      <c r="G1905">
        <f t="shared" si="88"/>
        <v>2023</v>
      </c>
      <c r="H1905" s="7" t="str">
        <f t="shared" si="89"/>
        <v>Май</v>
      </c>
      <c r="I1905" t="s">
        <v>7</v>
      </c>
      <c r="J1905">
        <v>32</v>
      </c>
      <c r="K1905" t="s">
        <v>8</v>
      </c>
      <c r="L1905">
        <v>3</v>
      </c>
      <c r="M1905">
        <v>300</v>
      </c>
      <c r="N1905" s="1">
        <f t="shared" si="90"/>
        <v>900</v>
      </c>
    </row>
    <row r="1906" spans="5:14" x14ac:dyDescent="0.25">
      <c r="E1906">
        <v>1882</v>
      </c>
      <c r="F1906" s="7">
        <v>45391</v>
      </c>
      <c r="G1906">
        <f t="shared" si="88"/>
        <v>2024</v>
      </c>
      <c r="H1906" s="7" t="str">
        <f t="shared" si="89"/>
        <v>Апрель</v>
      </c>
      <c r="I1906" t="s">
        <v>7</v>
      </c>
      <c r="J1906">
        <v>25</v>
      </c>
      <c r="K1906" t="s">
        <v>11</v>
      </c>
      <c r="L1906">
        <v>1</v>
      </c>
      <c r="M1906">
        <v>308</v>
      </c>
      <c r="N1906" s="1">
        <f t="shared" si="90"/>
        <v>308</v>
      </c>
    </row>
    <row r="1907" spans="5:14" x14ac:dyDescent="0.25">
      <c r="E1907">
        <v>18</v>
      </c>
      <c r="F1907" s="7">
        <v>45046</v>
      </c>
      <c r="G1907">
        <f t="shared" si="88"/>
        <v>2023</v>
      </c>
      <c r="H1907" s="7" t="str">
        <f t="shared" si="89"/>
        <v>Апрель</v>
      </c>
      <c r="I1907" t="s">
        <v>9</v>
      </c>
      <c r="J1907">
        <v>47</v>
      </c>
      <c r="K1907" t="s">
        <v>11</v>
      </c>
      <c r="L1907">
        <v>2</v>
      </c>
      <c r="M1907">
        <v>25</v>
      </c>
      <c r="N1907" s="1">
        <f t="shared" si="90"/>
        <v>50</v>
      </c>
    </row>
    <row r="1908" spans="5:14" x14ac:dyDescent="0.25">
      <c r="E1908">
        <v>1855</v>
      </c>
      <c r="F1908" s="7">
        <v>45522</v>
      </c>
      <c r="G1908">
        <f t="shared" si="88"/>
        <v>2024</v>
      </c>
      <c r="H1908" s="7" t="str">
        <f t="shared" si="89"/>
        <v>Август</v>
      </c>
      <c r="I1908" t="s">
        <v>9</v>
      </c>
      <c r="J1908">
        <v>29</v>
      </c>
      <c r="K1908" t="s">
        <v>11</v>
      </c>
      <c r="L1908">
        <v>4</v>
      </c>
      <c r="M1908">
        <v>119</v>
      </c>
      <c r="N1908" s="1">
        <f t="shared" si="90"/>
        <v>476</v>
      </c>
    </row>
    <row r="1909" spans="5:14" x14ac:dyDescent="0.25">
      <c r="E1909">
        <v>1432</v>
      </c>
      <c r="F1909" s="7">
        <v>45646</v>
      </c>
      <c r="G1909">
        <f t="shared" si="88"/>
        <v>2024</v>
      </c>
      <c r="H1909" s="7" t="str">
        <f t="shared" si="89"/>
        <v>Декабрь</v>
      </c>
      <c r="I1909" t="s">
        <v>9</v>
      </c>
      <c r="J1909">
        <v>46</v>
      </c>
      <c r="K1909" t="s">
        <v>8</v>
      </c>
      <c r="L1909">
        <v>6</v>
      </c>
      <c r="M1909">
        <v>500</v>
      </c>
      <c r="N1909" s="1">
        <f t="shared" si="90"/>
        <v>3000</v>
      </c>
    </row>
    <row r="1910" spans="5:14" x14ac:dyDescent="0.25">
      <c r="E1910">
        <v>1727</v>
      </c>
      <c r="F1910" s="7">
        <v>45422</v>
      </c>
      <c r="G1910">
        <f t="shared" si="88"/>
        <v>2024</v>
      </c>
      <c r="H1910" s="7" t="str">
        <f t="shared" si="89"/>
        <v>Май</v>
      </c>
      <c r="I1910" t="s">
        <v>7</v>
      </c>
      <c r="J1910">
        <v>32</v>
      </c>
      <c r="K1910" t="s">
        <v>10</v>
      </c>
      <c r="L1910">
        <v>2</v>
      </c>
      <c r="M1910">
        <v>76</v>
      </c>
      <c r="N1910" s="1">
        <f t="shared" si="90"/>
        <v>152</v>
      </c>
    </row>
    <row r="1911" spans="5:14" x14ac:dyDescent="0.25">
      <c r="E1911">
        <v>1399</v>
      </c>
      <c r="F1911" s="7">
        <v>45372</v>
      </c>
      <c r="G1911">
        <f t="shared" si="88"/>
        <v>2024</v>
      </c>
      <c r="H1911" s="7" t="str">
        <f t="shared" si="89"/>
        <v>Март</v>
      </c>
      <c r="I1911" t="s">
        <v>9</v>
      </c>
      <c r="J1911">
        <v>42</v>
      </c>
      <c r="K1911" t="s">
        <v>10</v>
      </c>
      <c r="L1911">
        <v>1</v>
      </c>
      <c r="M1911">
        <v>206</v>
      </c>
      <c r="N1911" s="1">
        <f t="shared" si="90"/>
        <v>206</v>
      </c>
    </row>
    <row r="1912" spans="5:14" x14ac:dyDescent="0.25">
      <c r="E1912">
        <v>1822</v>
      </c>
      <c r="F1912" s="7">
        <v>45584</v>
      </c>
      <c r="G1912">
        <f t="shared" si="88"/>
        <v>2024</v>
      </c>
      <c r="H1912" s="7" t="str">
        <f t="shared" si="89"/>
        <v>Октябрь</v>
      </c>
      <c r="I1912" t="s">
        <v>9</v>
      </c>
      <c r="J1912">
        <v>24</v>
      </c>
      <c r="K1912" t="s">
        <v>10</v>
      </c>
      <c r="L1912">
        <v>4</v>
      </c>
      <c r="M1912">
        <v>176</v>
      </c>
      <c r="N1912" s="1">
        <f t="shared" si="90"/>
        <v>704</v>
      </c>
    </row>
    <row r="1913" spans="5:14" x14ac:dyDescent="0.25">
      <c r="E1913">
        <v>1915</v>
      </c>
      <c r="F1913" s="7">
        <v>45544</v>
      </c>
      <c r="G1913">
        <f t="shared" si="88"/>
        <v>2024</v>
      </c>
      <c r="H1913" s="7" t="str">
        <f t="shared" si="89"/>
        <v>Сентябрь</v>
      </c>
      <c r="I1913" t="s">
        <v>9</v>
      </c>
      <c r="J1913">
        <v>46</v>
      </c>
      <c r="K1913" t="s">
        <v>8</v>
      </c>
      <c r="L1913">
        <v>6</v>
      </c>
      <c r="M1913">
        <v>36</v>
      </c>
      <c r="N1913" s="1">
        <f t="shared" si="90"/>
        <v>216</v>
      </c>
    </row>
    <row r="1914" spans="5:14" x14ac:dyDescent="0.25">
      <c r="E1914">
        <v>1076</v>
      </c>
      <c r="F1914" s="7">
        <v>45474</v>
      </c>
      <c r="G1914">
        <f t="shared" si="88"/>
        <v>2024</v>
      </c>
      <c r="H1914" s="7" t="str">
        <f t="shared" si="89"/>
        <v>Июль</v>
      </c>
      <c r="I1914" t="s">
        <v>9</v>
      </c>
      <c r="J1914">
        <v>32</v>
      </c>
      <c r="K1914" t="s">
        <v>10</v>
      </c>
      <c r="L1914">
        <v>6</v>
      </c>
      <c r="M1914">
        <v>479</v>
      </c>
      <c r="N1914" s="1">
        <f t="shared" si="90"/>
        <v>2874</v>
      </c>
    </row>
    <row r="1915" spans="5:14" x14ac:dyDescent="0.25">
      <c r="E1915">
        <v>337</v>
      </c>
      <c r="F1915" s="7">
        <v>45133</v>
      </c>
      <c r="G1915">
        <f t="shared" si="88"/>
        <v>2023</v>
      </c>
      <c r="H1915" s="7" t="str">
        <f t="shared" si="89"/>
        <v>Июль</v>
      </c>
      <c r="I1915" t="s">
        <v>7</v>
      </c>
      <c r="J1915">
        <v>54</v>
      </c>
      <c r="K1915" t="s">
        <v>8</v>
      </c>
      <c r="L1915">
        <v>2</v>
      </c>
      <c r="M1915">
        <v>50</v>
      </c>
      <c r="N1915" s="1">
        <f t="shared" si="90"/>
        <v>100</v>
      </c>
    </row>
    <row r="1916" spans="5:14" x14ac:dyDescent="0.25">
      <c r="E1916">
        <v>959</v>
      </c>
      <c r="F1916" s="7">
        <v>45083</v>
      </c>
      <c r="G1916">
        <f t="shared" si="88"/>
        <v>2023</v>
      </c>
      <c r="H1916" s="7" t="str">
        <f t="shared" si="89"/>
        <v>Июнь</v>
      </c>
      <c r="I1916" t="s">
        <v>7</v>
      </c>
      <c r="J1916">
        <v>53</v>
      </c>
      <c r="K1916" t="s">
        <v>8</v>
      </c>
      <c r="L1916">
        <v>4</v>
      </c>
      <c r="M1916">
        <v>50</v>
      </c>
      <c r="N1916" s="1">
        <f t="shared" si="90"/>
        <v>200</v>
      </c>
    </row>
    <row r="1917" spans="5:14" x14ac:dyDescent="0.25">
      <c r="E1917">
        <v>999</v>
      </c>
      <c r="F1917" s="7">
        <v>45620</v>
      </c>
      <c r="G1917">
        <f t="shared" si="88"/>
        <v>2024</v>
      </c>
      <c r="H1917" s="7" t="str">
        <f t="shared" si="89"/>
        <v>Ноябрь</v>
      </c>
      <c r="I1917" t="s">
        <v>7</v>
      </c>
      <c r="J1917">
        <v>60</v>
      </c>
      <c r="K1917" t="s">
        <v>8</v>
      </c>
      <c r="L1917">
        <v>3</v>
      </c>
      <c r="M1917">
        <v>492</v>
      </c>
      <c r="N1917" s="1">
        <f t="shared" si="90"/>
        <v>1476</v>
      </c>
    </row>
    <row r="1918" spans="5:14" x14ac:dyDescent="0.25">
      <c r="E1918">
        <v>1877</v>
      </c>
      <c r="F1918" s="7">
        <v>45431</v>
      </c>
      <c r="G1918">
        <f t="shared" si="88"/>
        <v>2024</v>
      </c>
      <c r="H1918" s="7" t="str">
        <f t="shared" si="89"/>
        <v>Май</v>
      </c>
      <c r="I1918" t="s">
        <v>7</v>
      </c>
      <c r="J1918">
        <v>22</v>
      </c>
      <c r="K1918" t="s">
        <v>11</v>
      </c>
      <c r="L1918">
        <v>1</v>
      </c>
      <c r="M1918">
        <v>446</v>
      </c>
      <c r="N1918" s="1">
        <f t="shared" si="90"/>
        <v>446</v>
      </c>
    </row>
    <row r="1919" spans="5:14" x14ac:dyDescent="0.25">
      <c r="E1919">
        <v>1464</v>
      </c>
      <c r="F1919" s="7">
        <v>45503</v>
      </c>
      <c r="G1919">
        <f t="shared" si="88"/>
        <v>2024</v>
      </c>
      <c r="H1919" s="7" t="str">
        <f t="shared" si="89"/>
        <v>Июль</v>
      </c>
      <c r="I1919" t="s">
        <v>9</v>
      </c>
      <c r="J1919">
        <v>34</v>
      </c>
      <c r="K1919" t="s">
        <v>11</v>
      </c>
      <c r="L1919">
        <v>2</v>
      </c>
      <c r="M1919">
        <v>206</v>
      </c>
      <c r="N1919" s="1">
        <f t="shared" si="90"/>
        <v>412</v>
      </c>
    </row>
    <row r="1920" spans="5:14" x14ac:dyDescent="0.25">
      <c r="E1920">
        <v>480</v>
      </c>
      <c r="F1920" s="7">
        <v>45083</v>
      </c>
      <c r="G1920">
        <f t="shared" si="88"/>
        <v>2023</v>
      </c>
      <c r="H1920" s="7" t="str">
        <f t="shared" si="89"/>
        <v>Июнь</v>
      </c>
      <c r="I1920" t="s">
        <v>9</v>
      </c>
      <c r="J1920">
        <v>43</v>
      </c>
      <c r="K1920" t="s">
        <v>11</v>
      </c>
      <c r="L1920">
        <v>4</v>
      </c>
      <c r="M1920">
        <v>300</v>
      </c>
      <c r="N1920" s="1">
        <f t="shared" si="90"/>
        <v>1200</v>
      </c>
    </row>
    <row r="1921" spans="5:14" x14ac:dyDescent="0.25">
      <c r="E1921">
        <v>937</v>
      </c>
      <c r="F1921" s="7">
        <v>45278</v>
      </c>
      <c r="G1921">
        <f t="shared" si="88"/>
        <v>2023</v>
      </c>
      <c r="H1921" s="7" t="str">
        <f t="shared" si="89"/>
        <v>Декабрь</v>
      </c>
      <c r="I1921" t="s">
        <v>9</v>
      </c>
      <c r="J1921">
        <v>46</v>
      </c>
      <c r="K1921" t="s">
        <v>11</v>
      </c>
      <c r="L1921">
        <v>1</v>
      </c>
      <c r="M1921">
        <v>300</v>
      </c>
      <c r="N1921" s="1">
        <f t="shared" si="90"/>
        <v>300</v>
      </c>
    </row>
    <row r="1922" spans="5:14" x14ac:dyDescent="0.25">
      <c r="E1922">
        <v>801</v>
      </c>
      <c r="F1922" s="7">
        <v>45252</v>
      </c>
      <c r="G1922">
        <f t="shared" si="88"/>
        <v>2023</v>
      </c>
      <c r="H1922" s="7" t="str">
        <f t="shared" si="89"/>
        <v>Ноябрь</v>
      </c>
      <c r="I1922" t="s">
        <v>7</v>
      </c>
      <c r="J1922">
        <v>39</v>
      </c>
      <c r="K1922" t="s">
        <v>10</v>
      </c>
      <c r="L1922">
        <v>4</v>
      </c>
      <c r="M1922">
        <v>25</v>
      </c>
      <c r="N1922" s="1">
        <f t="shared" si="90"/>
        <v>100</v>
      </c>
    </row>
    <row r="1923" spans="5:14" x14ac:dyDescent="0.25">
      <c r="E1923">
        <v>280</v>
      </c>
      <c r="F1923" s="7">
        <v>45069</v>
      </c>
      <c r="G1923">
        <f t="shared" si="88"/>
        <v>2023</v>
      </c>
      <c r="H1923" s="7" t="str">
        <f t="shared" si="89"/>
        <v>Май</v>
      </c>
      <c r="I1923" t="s">
        <v>9</v>
      </c>
      <c r="J1923">
        <v>29</v>
      </c>
      <c r="K1923" t="s">
        <v>8</v>
      </c>
      <c r="L1923">
        <v>4</v>
      </c>
      <c r="M1923">
        <v>500</v>
      </c>
      <c r="N1923" s="1">
        <f t="shared" si="90"/>
        <v>2000</v>
      </c>
    </row>
    <row r="1924" spans="5:14" x14ac:dyDescent="0.25">
      <c r="E1924">
        <v>773</v>
      </c>
      <c r="F1924" s="7">
        <v>44965</v>
      </c>
      <c r="G1924">
        <f t="shared" si="88"/>
        <v>2023</v>
      </c>
      <c r="H1924" s="7" t="str">
        <f t="shared" si="89"/>
        <v>Февраль</v>
      </c>
      <c r="I1924" t="s">
        <v>9</v>
      </c>
      <c r="J1924">
        <v>46</v>
      </c>
      <c r="K1924" t="s">
        <v>11</v>
      </c>
      <c r="L1924">
        <v>4</v>
      </c>
      <c r="M1924">
        <v>25</v>
      </c>
      <c r="N1924" s="1">
        <f t="shared" si="90"/>
        <v>100</v>
      </c>
    </row>
    <row r="1925" spans="5:14" x14ac:dyDescent="0.25">
      <c r="E1925">
        <v>1150</v>
      </c>
      <c r="F1925" s="7">
        <v>45350</v>
      </c>
      <c r="G1925">
        <f t="shared" si="88"/>
        <v>2024</v>
      </c>
      <c r="H1925" s="7" t="str">
        <f t="shared" si="89"/>
        <v>Февраль</v>
      </c>
      <c r="I1925" t="s">
        <v>7</v>
      </c>
      <c r="J1925">
        <v>18</v>
      </c>
      <c r="K1925" t="s">
        <v>11</v>
      </c>
      <c r="L1925">
        <v>3</v>
      </c>
      <c r="M1925">
        <v>160</v>
      </c>
      <c r="N1925" s="1">
        <f t="shared" si="90"/>
        <v>480</v>
      </c>
    </row>
    <row r="1926" spans="5:14" x14ac:dyDescent="0.25">
      <c r="E1926">
        <v>1001</v>
      </c>
      <c r="F1926" s="7">
        <v>45304</v>
      </c>
      <c r="G1926">
        <f t="shared" si="88"/>
        <v>2024</v>
      </c>
      <c r="H1926" s="7" t="str">
        <f t="shared" si="89"/>
        <v>Январь</v>
      </c>
      <c r="I1926" t="s">
        <v>7</v>
      </c>
      <c r="J1926">
        <v>19</v>
      </c>
      <c r="K1926" t="s">
        <v>11</v>
      </c>
      <c r="L1926">
        <v>6</v>
      </c>
      <c r="M1926">
        <v>45</v>
      </c>
      <c r="N1926" s="1">
        <f t="shared" si="90"/>
        <v>270</v>
      </c>
    </row>
    <row r="1927" spans="5:14" x14ac:dyDescent="0.25">
      <c r="E1927">
        <v>1303</v>
      </c>
      <c r="F1927" s="7">
        <v>45525</v>
      </c>
      <c r="G1927">
        <f t="shared" si="88"/>
        <v>2024</v>
      </c>
      <c r="H1927" s="7" t="str">
        <f t="shared" si="89"/>
        <v>Август</v>
      </c>
      <c r="I1927" t="s">
        <v>7</v>
      </c>
      <c r="J1927">
        <v>30</v>
      </c>
      <c r="K1927" t="s">
        <v>11</v>
      </c>
      <c r="L1927">
        <v>2</v>
      </c>
      <c r="M1927">
        <v>471</v>
      </c>
      <c r="N1927" s="1">
        <f t="shared" si="90"/>
        <v>942</v>
      </c>
    </row>
    <row r="1928" spans="5:14" x14ac:dyDescent="0.25">
      <c r="E1928">
        <v>310</v>
      </c>
      <c r="F1928" s="7">
        <v>45265</v>
      </c>
      <c r="G1928">
        <f t="shared" si="88"/>
        <v>2023</v>
      </c>
      <c r="H1928" s="7" t="str">
        <f t="shared" si="89"/>
        <v>Декабрь</v>
      </c>
      <c r="I1928" t="s">
        <v>9</v>
      </c>
      <c r="J1928">
        <v>32</v>
      </c>
      <c r="K1928" t="s">
        <v>8</v>
      </c>
      <c r="L1928">
        <v>4</v>
      </c>
      <c r="M1928">
        <v>25</v>
      </c>
      <c r="N1928" s="1">
        <f t="shared" si="90"/>
        <v>100</v>
      </c>
    </row>
    <row r="1929" spans="5:14" x14ac:dyDescent="0.25">
      <c r="E1929">
        <v>344</v>
      </c>
      <c r="F1929" s="7">
        <v>45244</v>
      </c>
      <c r="G1929">
        <f t="shared" si="88"/>
        <v>2023</v>
      </c>
      <c r="H1929" s="7" t="str">
        <f t="shared" si="89"/>
        <v>Ноябрь</v>
      </c>
      <c r="I1929" t="s">
        <v>7</v>
      </c>
      <c r="J1929">
        <v>62</v>
      </c>
      <c r="K1929" t="s">
        <v>11</v>
      </c>
      <c r="L1929">
        <v>1</v>
      </c>
      <c r="M1929">
        <v>30</v>
      </c>
      <c r="N1929" s="1">
        <f t="shared" si="90"/>
        <v>30</v>
      </c>
    </row>
    <row r="1930" spans="5:14" x14ac:dyDescent="0.25">
      <c r="E1930">
        <v>473</v>
      </c>
      <c r="F1930" s="7">
        <v>45122</v>
      </c>
      <c r="G1930">
        <f t="shared" ref="G1930:G1993" si="91">YEAR(F1930)</f>
        <v>2023</v>
      </c>
      <c r="H1930" s="7" t="str">
        <f t="shared" ref="H1930:H1993" si="92">TEXT(F1930,"ММММ")</f>
        <v>Июль</v>
      </c>
      <c r="I1930" t="s">
        <v>9</v>
      </c>
      <c r="J1930">
        <v>26</v>
      </c>
      <c r="K1930" t="s">
        <v>10</v>
      </c>
      <c r="L1930">
        <v>3</v>
      </c>
      <c r="M1930">
        <v>500</v>
      </c>
      <c r="N1930" s="1">
        <f t="shared" ref="N1930:N1993" si="93">L1930*M1930</f>
        <v>1500</v>
      </c>
    </row>
    <row r="1931" spans="5:14" x14ac:dyDescent="0.25">
      <c r="E1931">
        <v>199</v>
      </c>
      <c r="F1931" s="7">
        <v>45264</v>
      </c>
      <c r="G1931">
        <f t="shared" si="91"/>
        <v>2023</v>
      </c>
      <c r="H1931" s="7" t="str">
        <f t="shared" si="92"/>
        <v>Декабрь</v>
      </c>
      <c r="I1931" t="s">
        <v>7</v>
      </c>
      <c r="J1931">
        <v>45</v>
      </c>
      <c r="K1931" t="s">
        <v>8</v>
      </c>
      <c r="L1931">
        <v>3</v>
      </c>
      <c r="M1931">
        <v>500</v>
      </c>
      <c r="N1931" s="1">
        <f t="shared" si="93"/>
        <v>1500</v>
      </c>
    </row>
    <row r="1932" spans="5:14" x14ac:dyDescent="0.25">
      <c r="E1932">
        <v>1760</v>
      </c>
      <c r="F1932" s="7">
        <v>45376</v>
      </c>
      <c r="G1932">
        <f t="shared" si="91"/>
        <v>2024</v>
      </c>
      <c r="H1932" s="7" t="str">
        <f t="shared" si="92"/>
        <v>Март</v>
      </c>
      <c r="I1932" t="s">
        <v>9</v>
      </c>
      <c r="J1932">
        <v>56</v>
      </c>
      <c r="K1932" t="s">
        <v>10</v>
      </c>
      <c r="L1932">
        <v>3</v>
      </c>
      <c r="M1932">
        <v>171</v>
      </c>
      <c r="N1932" s="1">
        <f t="shared" si="93"/>
        <v>513</v>
      </c>
    </row>
    <row r="1933" spans="5:14" x14ac:dyDescent="0.25">
      <c r="E1933">
        <v>1457</v>
      </c>
      <c r="F1933" s="7">
        <v>45414</v>
      </c>
      <c r="G1933">
        <f t="shared" si="91"/>
        <v>2024</v>
      </c>
      <c r="H1933" s="7" t="str">
        <f t="shared" si="92"/>
        <v>Май</v>
      </c>
      <c r="I1933" t="s">
        <v>7</v>
      </c>
      <c r="J1933">
        <v>27</v>
      </c>
      <c r="K1933" t="s">
        <v>8</v>
      </c>
      <c r="L1933">
        <v>4</v>
      </c>
      <c r="M1933">
        <v>216</v>
      </c>
      <c r="N1933" s="1">
        <f t="shared" si="93"/>
        <v>864</v>
      </c>
    </row>
    <row r="1934" spans="5:14" x14ac:dyDescent="0.25">
      <c r="E1934">
        <v>1929</v>
      </c>
      <c r="F1934" s="7">
        <v>45325</v>
      </c>
      <c r="G1934">
        <f t="shared" si="91"/>
        <v>2024</v>
      </c>
      <c r="H1934" s="7" t="str">
        <f t="shared" si="92"/>
        <v>Февраль</v>
      </c>
      <c r="I1934" t="s">
        <v>7</v>
      </c>
      <c r="J1934">
        <v>30</v>
      </c>
      <c r="K1934" t="s">
        <v>8</v>
      </c>
      <c r="L1934">
        <v>7</v>
      </c>
      <c r="M1934">
        <v>224</v>
      </c>
      <c r="N1934" s="1">
        <f t="shared" si="93"/>
        <v>1568</v>
      </c>
    </row>
    <row r="1935" spans="5:14" x14ac:dyDescent="0.25">
      <c r="E1935">
        <v>278</v>
      </c>
      <c r="F1935" s="7">
        <v>45143</v>
      </c>
      <c r="G1935">
        <f t="shared" si="91"/>
        <v>2023</v>
      </c>
      <c r="H1935" s="7" t="str">
        <f t="shared" si="92"/>
        <v>Август</v>
      </c>
      <c r="I1935" t="s">
        <v>7</v>
      </c>
      <c r="J1935">
        <v>50</v>
      </c>
      <c r="K1935" t="s">
        <v>10</v>
      </c>
      <c r="L1935">
        <v>1</v>
      </c>
      <c r="M1935">
        <v>500</v>
      </c>
      <c r="N1935" s="1">
        <f t="shared" si="93"/>
        <v>500</v>
      </c>
    </row>
    <row r="1936" spans="5:14" x14ac:dyDescent="0.25">
      <c r="E1936">
        <v>383</v>
      </c>
      <c r="F1936" s="7">
        <v>45151</v>
      </c>
      <c r="G1936">
        <f t="shared" si="91"/>
        <v>2023</v>
      </c>
      <c r="H1936" s="7" t="str">
        <f t="shared" si="92"/>
        <v>Август</v>
      </c>
      <c r="I1936" t="s">
        <v>7</v>
      </c>
      <c r="J1936">
        <v>55</v>
      </c>
      <c r="K1936" t="s">
        <v>10</v>
      </c>
      <c r="L1936">
        <v>1</v>
      </c>
      <c r="M1936">
        <v>500</v>
      </c>
      <c r="N1936" s="1">
        <f t="shared" si="93"/>
        <v>500</v>
      </c>
    </row>
    <row r="1937" spans="5:14" x14ac:dyDescent="0.25">
      <c r="E1937">
        <v>204</v>
      </c>
      <c r="F1937" s="7">
        <v>45197</v>
      </c>
      <c r="G1937">
        <f t="shared" si="91"/>
        <v>2023</v>
      </c>
      <c r="H1937" s="7" t="str">
        <f t="shared" si="92"/>
        <v>Сентябрь</v>
      </c>
      <c r="I1937" t="s">
        <v>7</v>
      </c>
      <c r="J1937">
        <v>39</v>
      </c>
      <c r="K1937" t="s">
        <v>8</v>
      </c>
      <c r="L1937">
        <v>1</v>
      </c>
      <c r="M1937">
        <v>25</v>
      </c>
      <c r="N1937" s="1">
        <f t="shared" si="93"/>
        <v>25</v>
      </c>
    </row>
    <row r="1938" spans="5:14" x14ac:dyDescent="0.25">
      <c r="E1938">
        <v>1056</v>
      </c>
      <c r="F1938" s="7">
        <v>45609</v>
      </c>
      <c r="G1938">
        <f t="shared" si="91"/>
        <v>2024</v>
      </c>
      <c r="H1938" s="7" t="str">
        <f t="shared" si="92"/>
        <v>Ноябрь</v>
      </c>
      <c r="I1938" t="s">
        <v>7</v>
      </c>
      <c r="J1938">
        <v>33</v>
      </c>
      <c r="K1938" t="s">
        <v>10</v>
      </c>
      <c r="L1938">
        <v>1</v>
      </c>
      <c r="M1938">
        <v>465</v>
      </c>
      <c r="N1938" s="1">
        <f t="shared" si="93"/>
        <v>465</v>
      </c>
    </row>
    <row r="1939" spans="5:14" x14ac:dyDescent="0.25">
      <c r="E1939">
        <v>1952</v>
      </c>
      <c r="F1939" s="7">
        <v>45523</v>
      </c>
      <c r="G1939">
        <f t="shared" si="91"/>
        <v>2024</v>
      </c>
      <c r="H1939" s="7" t="str">
        <f t="shared" si="92"/>
        <v>Август</v>
      </c>
      <c r="I1939" t="s">
        <v>7</v>
      </c>
      <c r="J1939">
        <v>48</v>
      </c>
      <c r="K1939" t="s">
        <v>10</v>
      </c>
      <c r="L1939">
        <v>6</v>
      </c>
      <c r="M1939">
        <v>442</v>
      </c>
      <c r="N1939" s="1">
        <f t="shared" si="93"/>
        <v>2652</v>
      </c>
    </row>
    <row r="1940" spans="5:14" x14ac:dyDescent="0.25">
      <c r="E1940">
        <v>306</v>
      </c>
      <c r="F1940" s="7">
        <v>45073</v>
      </c>
      <c r="G1940">
        <f t="shared" si="91"/>
        <v>2023</v>
      </c>
      <c r="H1940" s="7" t="str">
        <f t="shared" si="92"/>
        <v>Май</v>
      </c>
      <c r="I1940" t="s">
        <v>9</v>
      </c>
      <c r="J1940">
        <v>26</v>
      </c>
      <c r="K1940" t="s">
        <v>11</v>
      </c>
      <c r="L1940">
        <v>2</v>
      </c>
      <c r="M1940">
        <v>25</v>
      </c>
      <c r="N1940" s="1">
        <f t="shared" si="93"/>
        <v>50</v>
      </c>
    </row>
    <row r="1941" spans="5:14" x14ac:dyDescent="0.25">
      <c r="E1941">
        <v>1279</v>
      </c>
      <c r="F1941" s="7">
        <v>45529</v>
      </c>
      <c r="G1941">
        <f t="shared" si="91"/>
        <v>2024</v>
      </c>
      <c r="H1941" s="7" t="str">
        <f t="shared" si="92"/>
        <v>Август</v>
      </c>
      <c r="I1941" t="s">
        <v>9</v>
      </c>
      <c r="J1941">
        <v>25</v>
      </c>
      <c r="K1941" t="s">
        <v>11</v>
      </c>
      <c r="L1941">
        <v>3</v>
      </c>
      <c r="M1941">
        <v>392</v>
      </c>
      <c r="N1941" s="1">
        <f t="shared" si="93"/>
        <v>1176</v>
      </c>
    </row>
    <row r="1942" spans="5:14" x14ac:dyDescent="0.25">
      <c r="E1942">
        <v>673</v>
      </c>
      <c r="F1942" s="7">
        <v>45142</v>
      </c>
      <c r="G1942">
        <f t="shared" si="91"/>
        <v>2023</v>
      </c>
      <c r="H1942" s="7" t="str">
        <f t="shared" si="92"/>
        <v>Август</v>
      </c>
      <c r="I1942" t="s">
        <v>9</v>
      </c>
      <c r="J1942">
        <v>45</v>
      </c>
      <c r="K1942" t="s">
        <v>10</v>
      </c>
      <c r="L1942">
        <v>2</v>
      </c>
      <c r="M1942">
        <v>30</v>
      </c>
      <c r="N1942" s="1">
        <f t="shared" si="93"/>
        <v>60</v>
      </c>
    </row>
    <row r="1943" spans="5:14" x14ac:dyDescent="0.25">
      <c r="E1943">
        <v>1701</v>
      </c>
      <c r="F1943" s="7">
        <v>45358</v>
      </c>
      <c r="G1943">
        <f t="shared" si="91"/>
        <v>2024</v>
      </c>
      <c r="H1943" s="7" t="str">
        <f t="shared" si="92"/>
        <v>Март</v>
      </c>
      <c r="I1943" t="s">
        <v>7</v>
      </c>
      <c r="J1943">
        <v>28</v>
      </c>
      <c r="K1943" t="s">
        <v>11</v>
      </c>
      <c r="L1943">
        <v>6</v>
      </c>
      <c r="M1943">
        <v>462</v>
      </c>
      <c r="N1943" s="1">
        <f t="shared" si="93"/>
        <v>2772</v>
      </c>
    </row>
    <row r="1944" spans="5:14" x14ac:dyDescent="0.25">
      <c r="E1944">
        <v>1783</v>
      </c>
      <c r="F1944" s="7">
        <v>45313</v>
      </c>
      <c r="G1944">
        <f t="shared" si="91"/>
        <v>2024</v>
      </c>
      <c r="H1944" s="7" t="str">
        <f t="shared" si="92"/>
        <v>Январь</v>
      </c>
      <c r="I1944" t="s">
        <v>7</v>
      </c>
      <c r="J1944">
        <v>31</v>
      </c>
      <c r="K1944" t="s">
        <v>11</v>
      </c>
      <c r="L1944">
        <v>5</v>
      </c>
      <c r="M1944">
        <v>325</v>
      </c>
      <c r="N1944" s="1">
        <f t="shared" si="93"/>
        <v>1625</v>
      </c>
    </row>
    <row r="1945" spans="5:14" x14ac:dyDescent="0.25">
      <c r="E1945">
        <v>1408</v>
      </c>
      <c r="F1945" s="7">
        <v>45428</v>
      </c>
      <c r="G1945">
        <f t="shared" si="91"/>
        <v>2024</v>
      </c>
      <c r="H1945" s="7" t="str">
        <f t="shared" si="92"/>
        <v>Май</v>
      </c>
      <c r="I1945" t="s">
        <v>7</v>
      </c>
      <c r="J1945">
        <v>34</v>
      </c>
      <c r="K1945" t="s">
        <v>11</v>
      </c>
      <c r="L1945">
        <v>7</v>
      </c>
      <c r="M1945">
        <v>457</v>
      </c>
      <c r="N1945" s="1">
        <f t="shared" si="93"/>
        <v>3199</v>
      </c>
    </row>
    <row r="1946" spans="5:14" x14ac:dyDescent="0.25">
      <c r="E1946">
        <v>543</v>
      </c>
      <c r="F1946" s="7">
        <v>45283</v>
      </c>
      <c r="G1946">
        <f t="shared" si="91"/>
        <v>2023</v>
      </c>
      <c r="H1946" s="7" t="str">
        <f t="shared" si="92"/>
        <v>Декабрь</v>
      </c>
      <c r="I1946" t="s">
        <v>9</v>
      </c>
      <c r="J1946">
        <v>27</v>
      </c>
      <c r="K1946" t="s">
        <v>11</v>
      </c>
      <c r="L1946">
        <v>1</v>
      </c>
      <c r="M1946">
        <v>25</v>
      </c>
      <c r="N1946" s="1">
        <f t="shared" si="93"/>
        <v>25</v>
      </c>
    </row>
    <row r="1947" spans="5:14" x14ac:dyDescent="0.25">
      <c r="E1947">
        <v>1603</v>
      </c>
      <c r="F1947" s="7">
        <v>45417</v>
      </c>
      <c r="G1947">
        <f t="shared" si="91"/>
        <v>2024</v>
      </c>
      <c r="H1947" s="7" t="str">
        <f t="shared" si="92"/>
        <v>Май</v>
      </c>
      <c r="I1947" t="s">
        <v>7</v>
      </c>
      <c r="J1947">
        <v>27</v>
      </c>
      <c r="K1947" t="s">
        <v>11</v>
      </c>
      <c r="L1947">
        <v>6</v>
      </c>
      <c r="M1947">
        <v>45</v>
      </c>
      <c r="N1947" s="1">
        <f t="shared" si="93"/>
        <v>270</v>
      </c>
    </row>
    <row r="1948" spans="5:14" x14ac:dyDescent="0.25">
      <c r="E1948">
        <v>684</v>
      </c>
      <c r="F1948" s="7">
        <v>45126</v>
      </c>
      <c r="G1948">
        <f t="shared" si="91"/>
        <v>2023</v>
      </c>
      <c r="H1948" s="7" t="str">
        <f t="shared" si="92"/>
        <v>Июль</v>
      </c>
      <c r="I1948" t="s">
        <v>9</v>
      </c>
      <c r="J1948">
        <v>28</v>
      </c>
      <c r="K1948" t="s">
        <v>11</v>
      </c>
      <c r="L1948">
        <v>4</v>
      </c>
      <c r="M1948">
        <v>50</v>
      </c>
      <c r="N1948" s="1">
        <f t="shared" si="93"/>
        <v>200</v>
      </c>
    </row>
    <row r="1949" spans="5:14" x14ac:dyDescent="0.25">
      <c r="E1949">
        <v>1278</v>
      </c>
      <c r="F1949" s="7">
        <v>45435</v>
      </c>
      <c r="G1949">
        <f t="shared" si="91"/>
        <v>2024</v>
      </c>
      <c r="H1949" s="7" t="str">
        <f t="shared" si="92"/>
        <v>Май</v>
      </c>
      <c r="I1949" t="s">
        <v>9</v>
      </c>
      <c r="J1949">
        <v>53</v>
      </c>
      <c r="K1949" t="s">
        <v>8</v>
      </c>
      <c r="L1949">
        <v>7</v>
      </c>
      <c r="M1949">
        <v>301</v>
      </c>
      <c r="N1949" s="1">
        <f t="shared" si="93"/>
        <v>2107</v>
      </c>
    </row>
    <row r="1950" spans="5:14" x14ac:dyDescent="0.25">
      <c r="E1950">
        <v>689</v>
      </c>
      <c r="F1950" s="7">
        <v>45039</v>
      </c>
      <c r="G1950">
        <f t="shared" si="91"/>
        <v>2023</v>
      </c>
      <c r="H1950" s="7" t="str">
        <f t="shared" si="92"/>
        <v>Апрель</v>
      </c>
      <c r="I1950" t="s">
        <v>9</v>
      </c>
      <c r="J1950">
        <v>51</v>
      </c>
      <c r="K1950" t="s">
        <v>10</v>
      </c>
      <c r="L1950">
        <v>3</v>
      </c>
      <c r="M1950">
        <v>30</v>
      </c>
      <c r="N1950" s="1">
        <f t="shared" si="93"/>
        <v>90</v>
      </c>
    </row>
    <row r="1951" spans="5:14" x14ac:dyDescent="0.25">
      <c r="E1951">
        <v>1388</v>
      </c>
      <c r="F1951" s="7">
        <v>45296</v>
      </c>
      <c r="G1951">
        <f t="shared" si="91"/>
        <v>2024</v>
      </c>
      <c r="H1951" s="7" t="str">
        <f t="shared" si="92"/>
        <v>Январь</v>
      </c>
      <c r="I1951" t="s">
        <v>7</v>
      </c>
      <c r="J1951">
        <v>25</v>
      </c>
      <c r="K1951" t="s">
        <v>8</v>
      </c>
      <c r="L1951">
        <v>5</v>
      </c>
      <c r="M1951">
        <v>306</v>
      </c>
      <c r="N1951" s="1">
        <f t="shared" si="93"/>
        <v>1530</v>
      </c>
    </row>
    <row r="1952" spans="5:14" x14ac:dyDescent="0.25">
      <c r="E1952">
        <v>1819</v>
      </c>
      <c r="F1952" s="7">
        <v>45523</v>
      </c>
      <c r="G1952">
        <f t="shared" si="91"/>
        <v>2024</v>
      </c>
      <c r="H1952" s="7" t="str">
        <f t="shared" si="92"/>
        <v>Август</v>
      </c>
      <c r="I1952" t="s">
        <v>9</v>
      </c>
      <c r="J1952">
        <v>32</v>
      </c>
      <c r="K1952" t="s">
        <v>11</v>
      </c>
      <c r="L1952">
        <v>3</v>
      </c>
      <c r="M1952">
        <v>241</v>
      </c>
      <c r="N1952" s="1">
        <f t="shared" si="93"/>
        <v>723</v>
      </c>
    </row>
    <row r="1953" spans="5:14" x14ac:dyDescent="0.25">
      <c r="E1953">
        <v>879</v>
      </c>
      <c r="F1953" s="7">
        <v>45065</v>
      </c>
      <c r="G1953">
        <f t="shared" si="91"/>
        <v>2023</v>
      </c>
      <c r="H1953" s="7" t="str">
        <f t="shared" si="92"/>
        <v>Май</v>
      </c>
      <c r="I1953" t="s">
        <v>7</v>
      </c>
      <c r="J1953">
        <v>22</v>
      </c>
      <c r="K1953" t="s">
        <v>11</v>
      </c>
      <c r="L1953">
        <v>1</v>
      </c>
      <c r="M1953">
        <v>300</v>
      </c>
      <c r="N1953" s="1">
        <f t="shared" si="93"/>
        <v>300</v>
      </c>
    </row>
    <row r="1954" spans="5:14" x14ac:dyDescent="0.25">
      <c r="E1954">
        <v>587</v>
      </c>
      <c r="F1954" s="7">
        <v>45042</v>
      </c>
      <c r="G1954">
        <f t="shared" si="91"/>
        <v>2023</v>
      </c>
      <c r="H1954" s="7" t="str">
        <f t="shared" si="92"/>
        <v>Апрель</v>
      </c>
      <c r="I1954" t="s">
        <v>7</v>
      </c>
      <c r="J1954">
        <v>38</v>
      </c>
      <c r="K1954" t="s">
        <v>11</v>
      </c>
      <c r="L1954">
        <v>2</v>
      </c>
      <c r="M1954">
        <v>30</v>
      </c>
      <c r="N1954" s="1">
        <f t="shared" si="93"/>
        <v>60</v>
      </c>
    </row>
    <row r="1955" spans="5:14" x14ac:dyDescent="0.25">
      <c r="E1955">
        <v>1532</v>
      </c>
      <c r="F1955" s="7">
        <v>45632</v>
      </c>
      <c r="G1955">
        <f t="shared" si="91"/>
        <v>2024</v>
      </c>
      <c r="H1955" s="7" t="str">
        <f t="shared" si="92"/>
        <v>Декабрь</v>
      </c>
      <c r="I1955" t="s">
        <v>7</v>
      </c>
      <c r="J1955">
        <v>42</v>
      </c>
      <c r="K1955" t="s">
        <v>8</v>
      </c>
      <c r="L1955">
        <v>2</v>
      </c>
      <c r="M1955">
        <v>408</v>
      </c>
      <c r="N1955" s="1">
        <f t="shared" si="93"/>
        <v>816</v>
      </c>
    </row>
    <row r="1956" spans="5:14" x14ac:dyDescent="0.25">
      <c r="E1956">
        <v>338</v>
      </c>
      <c r="F1956" s="7">
        <v>44988</v>
      </c>
      <c r="G1956">
        <f t="shared" si="91"/>
        <v>2023</v>
      </c>
      <c r="H1956" s="7" t="str">
        <f t="shared" si="92"/>
        <v>Март</v>
      </c>
      <c r="I1956" t="s">
        <v>9</v>
      </c>
      <c r="J1956">
        <v>22</v>
      </c>
      <c r="K1956" t="s">
        <v>11</v>
      </c>
      <c r="L1956">
        <v>2</v>
      </c>
      <c r="M1956">
        <v>25</v>
      </c>
      <c r="N1956" s="1">
        <f t="shared" si="93"/>
        <v>50</v>
      </c>
    </row>
    <row r="1957" spans="5:14" x14ac:dyDescent="0.25">
      <c r="E1957">
        <v>1562</v>
      </c>
      <c r="F1957" s="7">
        <v>45603</v>
      </c>
      <c r="G1957">
        <f t="shared" si="91"/>
        <v>2024</v>
      </c>
      <c r="H1957" s="7" t="str">
        <f t="shared" si="92"/>
        <v>Ноябрь</v>
      </c>
      <c r="I1957" t="s">
        <v>9</v>
      </c>
      <c r="J1957">
        <v>62</v>
      </c>
      <c r="K1957" t="s">
        <v>8</v>
      </c>
      <c r="L1957">
        <v>7</v>
      </c>
      <c r="M1957">
        <v>194</v>
      </c>
      <c r="N1957" s="1">
        <f t="shared" si="93"/>
        <v>1358</v>
      </c>
    </row>
    <row r="1958" spans="5:14" x14ac:dyDescent="0.25">
      <c r="E1958">
        <v>1757</v>
      </c>
      <c r="F1958" s="7">
        <v>45603</v>
      </c>
      <c r="G1958">
        <f t="shared" si="91"/>
        <v>2024</v>
      </c>
      <c r="H1958" s="7" t="str">
        <f t="shared" si="92"/>
        <v>Ноябрь</v>
      </c>
      <c r="I1958" t="s">
        <v>9</v>
      </c>
      <c r="J1958">
        <v>27</v>
      </c>
      <c r="K1958" t="s">
        <v>10</v>
      </c>
      <c r="L1958">
        <v>3</v>
      </c>
      <c r="M1958">
        <v>240</v>
      </c>
      <c r="N1958" s="1">
        <f t="shared" si="93"/>
        <v>720</v>
      </c>
    </row>
    <row r="1959" spans="5:14" x14ac:dyDescent="0.25">
      <c r="E1959">
        <v>1014</v>
      </c>
      <c r="F1959" s="7">
        <v>45339</v>
      </c>
      <c r="G1959">
        <f t="shared" si="91"/>
        <v>2024</v>
      </c>
      <c r="H1959" s="7" t="str">
        <f t="shared" si="92"/>
        <v>Февраль</v>
      </c>
      <c r="I1959" t="s">
        <v>7</v>
      </c>
      <c r="J1959">
        <v>57</v>
      </c>
      <c r="K1959" t="s">
        <v>10</v>
      </c>
      <c r="L1959">
        <v>7</v>
      </c>
      <c r="M1959">
        <v>85</v>
      </c>
      <c r="N1959" s="1">
        <f t="shared" si="93"/>
        <v>595</v>
      </c>
    </row>
    <row r="1960" spans="5:14" x14ac:dyDescent="0.25">
      <c r="E1960">
        <v>1660</v>
      </c>
      <c r="F1960" s="7">
        <v>45654</v>
      </c>
      <c r="G1960">
        <f t="shared" si="91"/>
        <v>2024</v>
      </c>
      <c r="H1960" s="7" t="str">
        <f t="shared" si="92"/>
        <v>Декабрь</v>
      </c>
      <c r="I1960" t="s">
        <v>9</v>
      </c>
      <c r="J1960">
        <v>46</v>
      </c>
      <c r="K1960" t="s">
        <v>10</v>
      </c>
      <c r="L1960">
        <v>2</v>
      </c>
      <c r="M1960">
        <v>264</v>
      </c>
      <c r="N1960" s="1">
        <f t="shared" si="93"/>
        <v>528</v>
      </c>
    </row>
    <row r="1961" spans="5:14" x14ac:dyDescent="0.25">
      <c r="E1961">
        <v>551</v>
      </c>
      <c r="F1961" s="7">
        <v>45273</v>
      </c>
      <c r="G1961">
        <f t="shared" si="91"/>
        <v>2023</v>
      </c>
      <c r="H1961" s="7" t="str">
        <f t="shared" si="92"/>
        <v>Декабрь</v>
      </c>
      <c r="I1961" t="s">
        <v>9</v>
      </c>
      <c r="J1961">
        <v>49</v>
      </c>
      <c r="K1961" t="s">
        <v>11</v>
      </c>
      <c r="L1961">
        <v>3</v>
      </c>
      <c r="M1961">
        <v>25</v>
      </c>
      <c r="N1961" s="1">
        <f t="shared" si="93"/>
        <v>75</v>
      </c>
    </row>
    <row r="1962" spans="5:14" x14ac:dyDescent="0.25">
      <c r="E1962">
        <v>1103</v>
      </c>
      <c r="F1962" s="7">
        <v>45498</v>
      </c>
      <c r="G1962">
        <f t="shared" si="91"/>
        <v>2024</v>
      </c>
      <c r="H1962" s="7" t="str">
        <f t="shared" si="92"/>
        <v>Июль</v>
      </c>
      <c r="I1962" t="s">
        <v>9</v>
      </c>
      <c r="J1962">
        <v>21</v>
      </c>
      <c r="K1962" t="s">
        <v>11</v>
      </c>
      <c r="L1962">
        <v>1</v>
      </c>
      <c r="M1962">
        <v>347</v>
      </c>
      <c r="N1962" s="1">
        <f t="shared" si="93"/>
        <v>347</v>
      </c>
    </row>
    <row r="1963" spans="5:14" x14ac:dyDescent="0.25">
      <c r="E1963">
        <v>413</v>
      </c>
      <c r="F1963" s="7">
        <v>45055</v>
      </c>
      <c r="G1963">
        <f t="shared" si="91"/>
        <v>2023</v>
      </c>
      <c r="H1963" s="7" t="str">
        <f t="shared" si="92"/>
        <v>Май</v>
      </c>
      <c r="I1963" t="s">
        <v>7</v>
      </c>
      <c r="J1963">
        <v>48</v>
      </c>
      <c r="K1963" t="s">
        <v>8</v>
      </c>
      <c r="L1963">
        <v>4</v>
      </c>
      <c r="M1963">
        <v>25</v>
      </c>
      <c r="N1963" s="1">
        <f t="shared" si="93"/>
        <v>100</v>
      </c>
    </row>
    <row r="1964" spans="5:14" x14ac:dyDescent="0.25">
      <c r="E1964">
        <v>893</v>
      </c>
      <c r="F1964" s="7">
        <v>45068</v>
      </c>
      <c r="G1964">
        <f t="shared" si="91"/>
        <v>2023</v>
      </c>
      <c r="H1964" s="7" t="str">
        <f t="shared" si="92"/>
        <v>Май</v>
      </c>
      <c r="I1964" t="s">
        <v>9</v>
      </c>
      <c r="J1964">
        <v>55</v>
      </c>
      <c r="K1964" t="s">
        <v>10</v>
      </c>
      <c r="L1964">
        <v>4</v>
      </c>
      <c r="M1964">
        <v>30</v>
      </c>
      <c r="N1964" s="1">
        <f t="shared" si="93"/>
        <v>120</v>
      </c>
    </row>
    <row r="1965" spans="5:14" x14ac:dyDescent="0.25">
      <c r="E1965">
        <v>972</v>
      </c>
      <c r="F1965" s="7">
        <v>45049</v>
      </c>
      <c r="G1965">
        <f t="shared" si="91"/>
        <v>2023</v>
      </c>
      <c r="H1965" s="7" t="str">
        <f t="shared" si="92"/>
        <v>Май</v>
      </c>
      <c r="I1965" t="s">
        <v>7</v>
      </c>
      <c r="J1965">
        <v>47</v>
      </c>
      <c r="K1965" t="s">
        <v>8</v>
      </c>
      <c r="L1965">
        <v>1</v>
      </c>
      <c r="M1965">
        <v>30</v>
      </c>
      <c r="N1965" s="1">
        <f t="shared" si="93"/>
        <v>30</v>
      </c>
    </row>
    <row r="1966" spans="5:14" x14ac:dyDescent="0.25">
      <c r="E1966">
        <v>1631</v>
      </c>
      <c r="F1966" s="7">
        <v>45573</v>
      </c>
      <c r="G1966">
        <f t="shared" si="91"/>
        <v>2024</v>
      </c>
      <c r="H1966" s="7" t="str">
        <f t="shared" si="92"/>
        <v>Октябрь</v>
      </c>
      <c r="I1966" t="s">
        <v>7</v>
      </c>
      <c r="J1966">
        <v>22</v>
      </c>
      <c r="K1966" t="s">
        <v>11</v>
      </c>
      <c r="L1966">
        <v>2</v>
      </c>
      <c r="M1966">
        <v>244</v>
      </c>
      <c r="N1966" s="1">
        <f t="shared" si="93"/>
        <v>488</v>
      </c>
    </row>
    <row r="1967" spans="5:14" x14ac:dyDescent="0.25">
      <c r="E1967">
        <v>274</v>
      </c>
      <c r="F1967" s="7">
        <v>45024</v>
      </c>
      <c r="G1967">
        <f t="shared" si="91"/>
        <v>2023</v>
      </c>
      <c r="H1967" s="7" t="str">
        <f t="shared" si="92"/>
        <v>Апрель</v>
      </c>
      <c r="I1967" t="s">
        <v>7</v>
      </c>
      <c r="J1967">
        <v>43</v>
      </c>
      <c r="K1967" t="s">
        <v>10</v>
      </c>
      <c r="L1967">
        <v>2</v>
      </c>
      <c r="M1967">
        <v>500</v>
      </c>
      <c r="N1967" s="1">
        <f t="shared" si="93"/>
        <v>1000</v>
      </c>
    </row>
    <row r="1968" spans="5:14" x14ac:dyDescent="0.25">
      <c r="E1968">
        <v>575</v>
      </c>
      <c r="F1968" s="7">
        <v>45264</v>
      </c>
      <c r="G1968">
        <f t="shared" si="91"/>
        <v>2023</v>
      </c>
      <c r="H1968" s="7" t="str">
        <f t="shared" si="92"/>
        <v>Декабрь</v>
      </c>
      <c r="I1968" t="s">
        <v>9</v>
      </c>
      <c r="J1968">
        <v>33</v>
      </c>
      <c r="K1968" t="s">
        <v>8</v>
      </c>
      <c r="L1968">
        <v>3</v>
      </c>
      <c r="M1968">
        <v>50</v>
      </c>
      <c r="N1968" s="1">
        <f t="shared" si="93"/>
        <v>150</v>
      </c>
    </row>
    <row r="1969" spans="5:14" x14ac:dyDescent="0.25">
      <c r="E1969">
        <v>631</v>
      </c>
      <c r="F1969" s="7">
        <v>45185</v>
      </c>
      <c r="G1969">
        <f t="shared" si="91"/>
        <v>2023</v>
      </c>
      <c r="H1969" s="7" t="str">
        <f t="shared" si="92"/>
        <v>Сентябрь</v>
      </c>
      <c r="I1969" t="s">
        <v>9</v>
      </c>
      <c r="J1969">
        <v>26</v>
      </c>
      <c r="K1969" t="s">
        <v>11</v>
      </c>
      <c r="L1969">
        <v>4</v>
      </c>
      <c r="M1969">
        <v>25</v>
      </c>
      <c r="N1969" s="1">
        <f t="shared" si="93"/>
        <v>100</v>
      </c>
    </row>
    <row r="1970" spans="5:14" x14ac:dyDescent="0.25">
      <c r="E1970">
        <v>302</v>
      </c>
      <c r="F1970" s="7">
        <v>44928</v>
      </c>
      <c r="G1970">
        <f t="shared" si="91"/>
        <v>2023</v>
      </c>
      <c r="H1970" s="7" t="str">
        <f t="shared" si="92"/>
        <v>Январь</v>
      </c>
      <c r="I1970" t="s">
        <v>7</v>
      </c>
      <c r="J1970">
        <v>19</v>
      </c>
      <c r="K1970" t="s">
        <v>11</v>
      </c>
      <c r="L1970">
        <v>3</v>
      </c>
      <c r="M1970">
        <v>30</v>
      </c>
      <c r="N1970" s="1">
        <f t="shared" si="93"/>
        <v>90</v>
      </c>
    </row>
    <row r="1971" spans="5:14" x14ac:dyDescent="0.25">
      <c r="E1971">
        <v>163</v>
      </c>
      <c r="F1971" s="7">
        <v>44928</v>
      </c>
      <c r="G1971">
        <f t="shared" si="91"/>
        <v>2023</v>
      </c>
      <c r="H1971" s="7" t="str">
        <f t="shared" si="92"/>
        <v>Январь</v>
      </c>
      <c r="I1971" t="s">
        <v>9</v>
      </c>
      <c r="J1971">
        <v>64</v>
      </c>
      <c r="K1971" t="s">
        <v>10</v>
      </c>
      <c r="L1971">
        <v>3</v>
      </c>
      <c r="M1971">
        <v>50</v>
      </c>
      <c r="N1971" s="1">
        <f t="shared" si="93"/>
        <v>150</v>
      </c>
    </row>
    <row r="1972" spans="5:14" x14ac:dyDescent="0.25">
      <c r="E1972">
        <v>1028</v>
      </c>
      <c r="F1972" s="7">
        <v>45594</v>
      </c>
      <c r="G1972">
        <f t="shared" si="91"/>
        <v>2024</v>
      </c>
      <c r="H1972" s="7" t="str">
        <f t="shared" si="92"/>
        <v>Октябрь</v>
      </c>
      <c r="I1972" t="s">
        <v>9</v>
      </c>
      <c r="J1972">
        <v>27</v>
      </c>
      <c r="K1972" t="s">
        <v>8</v>
      </c>
      <c r="L1972">
        <v>2</v>
      </c>
      <c r="M1972">
        <v>364</v>
      </c>
      <c r="N1972" s="1">
        <f t="shared" si="93"/>
        <v>728</v>
      </c>
    </row>
    <row r="1973" spans="5:14" x14ac:dyDescent="0.25">
      <c r="E1973">
        <v>569</v>
      </c>
      <c r="F1973" s="7">
        <v>45153</v>
      </c>
      <c r="G1973">
        <f t="shared" si="91"/>
        <v>2023</v>
      </c>
      <c r="H1973" s="7" t="str">
        <f t="shared" si="92"/>
        <v>Август</v>
      </c>
      <c r="I1973" t="s">
        <v>7</v>
      </c>
      <c r="J1973">
        <v>49</v>
      </c>
      <c r="K1973" t="s">
        <v>10</v>
      </c>
      <c r="L1973">
        <v>1</v>
      </c>
      <c r="M1973">
        <v>500</v>
      </c>
      <c r="N1973" s="1">
        <f t="shared" si="93"/>
        <v>500</v>
      </c>
    </row>
    <row r="1974" spans="5:14" x14ac:dyDescent="0.25">
      <c r="E1974">
        <v>922</v>
      </c>
      <c r="F1974" s="7">
        <v>45167</v>
      </c>
      <c r="G1974">
        <f t="shared" si="91"/>
        <v>2023</v>
      </c>
      <c r="H1974" s="7" t="str">
        <f t="shared" si="92"/>
        <v>Август</v>
      </c>
      <c r="I1974" t="s">
        <v>7</v>
      </c>
      <c r="J1974">
        <v>55</v>
      </c>
      <c r="K1974" t="s">
        <v>8</v>
      </c>
      <c r="L1974">
        <v>2</v>
      </c>
      <c r="M1974">
        <v>50</v>
      </c>
      <c r="N1974" s="1">
        <f t="shared" si="93"/>
        <v>100</v>
      </c>
    </row>
    <row r="1975" spans="5:14" x14ac:dyDescent="0.25">
      <c r="E1975">
        <v>1458</v>
      </c>
      <c r="F1975" s="7">
        <v>45376</v>
      </c>
      <c r="G1975">
        <f t="shared" si="91"/>
        <v>2024</v>
      </c>
      <c r="H1975" s="7" t="str">
        <f t="shared" si="92"/>
        <v>Март</v>
      </c>
      <c r="I1975" t="s">
        <v>9</v>
      </c>
      <c r="J1975">
        <v>58</v>
      </c>
      <c r="K1975" t="s">
        <v>8</v>
      </c>
      <c r="L1975">
        <v>4</v>
      </c>
      <c r="M1975">
        <v>351</v>
      </c>
      <c r="N1975" s="1">
        <f t="shared" si="93"/>
        <v>1404</v>
      </c>
    </row>
    <row r="1976" spans="5:14" x14ac:dyDescent="0.25">
      <c r="E1976">
        <v>159</v>
      </c>
      <c r="F1976" s="7">
        <v>45077</v>
      </c>
      <c r="G1976">
        <f t="shared" si="91"/>
        <v>2023</v>
      </c>
      <c r="H1976" s="7" t="str">
        <f t="shared" si="92"/>
        <v>Май</v>
      </c>
      <c r="I1976" t="s">
        <v>7</v>
      </c>
      <c r="J1976">
        <v>26</v>
      </c>
      <c r="K1976" t="s">
        <v>10</v>
      </c>
      <c r="L1976">
        <v>4</v>
      </c>
      <c r="M1976">
        <v>50</v>
      </c>
      <c r="N1976" s="1">
        <f t="shared" si="93"/>
        <v>200</v>
      </c>
    </row>
    <row r="1977" spans="5:14" x14ac:dyDescent="0.25">
      <c r="E1977">
        <v>431</v>
      </c>
      <c r="F1977" s="7">
        <v>44931</v>
      </c>
      <c r="G1977">
        <f t="shared" si="91"/>
        <v>2023</v>
      </c>
      <c r="H1977" s="7" t="str">
        <f t="shared" si="92"/>
        <v>Январь</v>
      </c>
      <c r="I1977" t="s">
        <v>9</v>
      </c>
      <c r="J1977">
        <v>60</v>
      </c>
      <c r="K1977" t="s">
        <v>11</v>
      </c>
      <c r="L1977">
        <v>2</v>
      </c>
      <c r="M1977">
        <v>500</v>
      </c>
      <c r="N1977" s="1">
        <f t="shared" si="93"/>
        <v>1000</v>
      </c>
    </row>
    <row r="1978" spans="5:14" x14ac:dyDescent="0.25">
      <c r="E1978">
        <v>133</v>
      </c>
      <c r="F1978" s="7">
        <v>44973</v>
      </c>
      <c r="G1978">
        <f t="shared" si="91"/>
        <v>2023</v>
      </c>
      <c r="H1978" s="7" t="str">
        <f t="shared" si="92"/>
        <v>Февраль</v>
      </c>
      <c r="I1978" t="s">
        <v>7</v>
      </c>
      <c r="J1978">
        <v>20</v>
      </c>
      <c r="K1978" t="s">
        <v>11</v>
      </c>
      <c r="L1978">
        <v>3</v>
      </c>
      <c r="M1978">
        <v>300</v>
      </c>
      <c r="N1978" s="1">
        <f t="shared" si="93"/>
        <v>900</v>
      </c>
    </row>
    <row r="1979" spans="5:14" x14ac:dyDescent="0.25">
      <c r="E1979">
        <v>1351</v>
      </c>
      <c r="F1979" s="7">
        <v>45397</v>
      </c>
      <c r="G1979">
        <f t="shared" si="91"/>
        <v>2024</v>
      </c>
      <c r="H1979" s="7" t="str">
        <f t="shared" si="92"/>
        <v>Апрель</v>
      </c>
      <c r="I1979" t="s">
        <v>9</v>
      </c>
      <c r="J1979">
        <v>38</v>
      </c>
      <c r="K1979" t="s">
        <v>8</v>
      </c>
      <c r="L1979">
        <v>5</v>
      </c>
      <c r="M1979">
        <v>301</v>
      </c>
      <c r="N1979" s="1">
        <f t="shared" si="93"/>
        <v>1505</v>
      </c>
    </row>
    <row r="1980" spans="5:14" x14ac:dyDescent="0.25">
      <c r="E1980">
        <v>1078</v>
      </c>
      <c r="F1980" s="7">
        <v>45636</v>
      </c>
      <c r="G1980">
        <f t="shared" si="91"/>
        <v>2024</v>
      </c>
      <c r="H1980" s="7" t="str">
        <f t="shared" si="92"/>
        <v>Декабрь</v>
      </c>
      <c r="I1980" t="s">
        <v>9</v>
      </c>
      <c r="J1980">
        <v>53</v>
      </c>
      <c r="K1980" t="s">
        <v>10</v>
      </c>
      <c r="L1980">
        <v>5</v>
      </c>
      <c r="M1980">
        <v>56</v>
      </c>
      <c r="N1980" s="1">
        <f t="shared" si="93"/>
        <v>280</v>
      </c>
    </row>
    <row r="1981" spans="5:14" x14ac:dyDescent="0.25">
      <c r="E1981">
        <v>909</v>
      </c>
      <c r="F1981" s="7">
        <v>45067</v>
      </c>
      <c r="G1981">
        <f t="shared" si="91"/>
        <v>2023</v>
      </c>
      <c r="H1981" s="7" t="str">
        <f t="shared" si="92"/>
        <v>Май</v>
      </c>
      <c r="I1981" t="s">
        <v>7</v>
      </c>
      <c r="J1981">
        <v>42</v>
      </c>
      <c r="K1981" t="s">
        <v>11</v>
      </c>
      <c r="L1981">
        <v>3</v>
      </c>
      <c r="M1981">
        <v>300</v>
      </c>
      <c r="N1981" s="1">
        <f t="shared" si="93"/>
        <v>900</v>
      </c>
    </row>
    <row r="1982" spans="5:14" x14ac:dyDescent="0.25">
      <c r="E1982">
        <v>1071</v>
      </c>
      <c r="F1982" s="7">
        <v>45525</v>
      </c>
      <c r="G1982">
        <f t="shared" si="91"/>
        <v>2024</v>
      </c>
      <c r="H1982" s="7" t="str">
        <f t="shared" si="92"/>
        <v>Август</v>
      </c>
      <c r="I1982" t="s">
        <v>7</v>
      </c>
      <c r="J1982">
        <v>54</v>
      </c>
      <c r="K1982" t="s">
        <v>11</v>
      </c>
      <c r="L1982">
        <v>2</v>
      </c>
      <c r="M1982">
        <v>294</v>
      </c>
      <c r="N1982" s="1">
        <f t="shared" si="93"/>
        <v>588</v>
      </c>
    </row>
    <row r="1983" spans="5:14" x14ac:dyDescent="0.25">
      <c r="E1983">
        <v>436</v>
      </c>
      <c r="F1983" s="7">
        <v>45206</v>
      </c>
      <c r="G1983">
        <f t="shared" si="91"/>
        <v>2023</v>
      </c>
      <c r="H1983" s="7" t="str">
        <f t="shared" si="92"/>
        <v>Октябрь</v>
      </c>
      <c r="I1983" t="s">
        <v>9</v>
      </c>
      <c r="J1983">
        <v>35</v>
      </c>
      <c r="K1983" t="s">
        <v>11</v>
      </c>
      <c r="L1983">
        <v>4</v>
      </c>
      <c r="M1983">
        <v>300</v>
      </c>
      <c r="N1983" s="1">
        <f t="shared" si="93"/>
        <v>1200</v>
      </c>
    </row>
    <row r="1984" spans="5:14" x14ac:dyDescent="0.25">
      <c r="E1984">
        <v>712</v>
      </c>
      <c r="F1984" s="7">
        <v>44969</v>
      </c>
      <c r="G1984">
        <f t="shared" si="91"/>
        <v>2023</v>
      </c>
      <c r="H1984" s="7" t="str">
        <f t="shared" si="92"/>
        <v>Февраль</v>
      </c>
      <c r="I1984" t="s">
        <v>9</v>
      </c>
      <c r="J1984">
        <v>18</v>
      </c>
      <c r="K1984" t="s">
        <v>10</v>
      </c>
      <c r="L1984">
        <v>1</v>
      </c>
      <c r="M1984">
        <v>500</v>
      </c>
      <c r="N1984" s="1">
        <f t="shared" si="93"/>
        <v>500</v>
      </c>
    </row>
    <row r="1985" spans="5:14" x14ac:dyDescent="0.25">
      <c r="E1985">
        <v>724</v>
      </c>
      <c r="F1985" s="7">
        <v>45094</v>
      </c>
      <c r="G1985">
        <f t="shared" si="91"/>
        <v>2023</v>
      </c>
      <c r="H1985" s="7" t="str">
        <f t="shared" si="92"/>
        <v>Июнь</v>
      </c>
      <c r="I1985" t="s">
        <v>7</v>
      </c>
      <c r="J1985">
        <v>47</v>
      </c>
      <c r="K1985" t="s">
        <v>10</v>
      </c>
      <c r="L1985">
        <v>4</v>
      </c>
      <c r="M1985">
        <v>300</v>
      </c>
      <c r="N1985" s="1">
        <f t="shared" si="93"/>
        <v>1200</v>
      </c>
    </row>
    <row r="1986" spans="5:14" x14ac:dyDescent="0.25">
      <c r="E1986">
        <v>167</v>
      </c>
      <c r="F1986" s="7">
        <v>45186</v>
      </c>
      <c r="G1986">
        <f t="shared" si="91"/>
        <v>2023</v>
      </c>
      <c r="H1986" s="7" t="str">
        <f t="shared" si="92"/>
        <v>Сентябрь</v>
      </c>
      <c r="I1986" t="s">
        <v>9</v>
      </c>
      <c r="J1986">
        <v>43</v>
      </c>
      <c r="K1986" t="s">
        <v>10</v>
      </c>
      <c r="L1986">
        <v>3</v>
      </c>
      <c r="M1986">
        <v>50</v>
      </c>
      <c r="N1986" s="1">
        <f t="shared" si="93"/>
        <v>150</v>
      </c>
    </row>
    <row r="1987" spans="5:14" x14ac:dyDescent="0.25">
      <c r="E1987">
        <v>247</v>
      </c>
      <c r="F1987" s="7">
        <v>44994</v>
      </c>
      <c r="G1987">
        <f t="shared" si="91"/>
        <v>2023</v>
      </c>
      <c r="H1987" s="7" t="str">
        <f t="shared" si="92"/>
        <v>Март</v>
      </c>
      <c r="I1987" t="s">
        <v>7</v>
      </c>
      <c r="J1987">
        <v>26</v>
      </c>
      <c r="K1987" t="s">
        <v>10</v>
      </c>
      <c r="L1987">
        <v>3</v>
      </c>
      <c r="M1987">
        <v>300</v>
      </c>
      <c r="N1987" s="1">
        <f t="shared" si="93"/>
        <v>900</v>
      </c>
    </row>
    <row r="1988" spans="5:14" x14ac:dyDescent="0.25">
      <c r="E1988">
        <v>478</v>
      </c>
      <c r="F1988" s="7">
        <v>45162</v>
      </c>
      <c r="G1988">
        <f t="shared" si="91"/>
        <v>2023</v>
      </c>
      <c r="H1988" s="7" t="str">
        <f t="shared" si="92"/>
        <v>Август</v>
      </c>
      <c r="I1988" t="s">
        <v>7</v>
      </c>
      <c r="J1988">
        <v>52</v>
      </c>
      <c r="K1988" t="s">
        <v>11</v>
      </c>
      <c r="L1988">
        <v>4</v>
      </c>
      <c r="M1988">
        <v>300</v>
      </c>
      <c r="N1988" s="1">
        <f t="shared" si="93"/>
        <v>1200</v>
      </c>
    </row>
    <row r="1989" spans="5:14" x14ac:dyDescent="0.25">
      <c r="E1989">
        <v>1010</v>
      </c>
      <c r="F1989" s="7">
        <v>45595</v>
      </c>
      <c r="G1989">
        <f t="shared" si="91"/>
        <v>2024</v>
      </c>
      <c r="H1989" s="7" t="str">
        <f t="shared" si="92"/>
        <v>Октябрь</v>
      </c>
      <c r="I1989" t="s">
        <v>7</v>
      </c>
      <c r="J1989">
        <v>36</v>
      </c>
      <c r="K1989" t="s">
        <v>8</v>
      </c>
      <c r="L1989">
        <v>4</v>
      </c>
      <c r="M1989">
        <v>392</v>
      </c>
      <c r="N1989" s="1">
        <f t="shared" si="93"/>
        <v>1568</v>
      </c>
    </row>
    <row r="1990" spans="5:14" x14ac:dyDescent="0.25">
      <c r="E1990">
        <v>1417</v>
      </c>
      <c r="F1990" s="7">
        <v>45314</v>
      </c>
      <c r="G1990">
        <f t="shared" si="91"/>
        <v>2024</v>
      </c>
      <c r="H1990" s="7" t="str">
        <f t="shared" si="92"/>
        <v>Январь</v>
      </c>
      <c r="I1990" t="s">
        <v>9</v>
      </c>
      <c r="J1990">
        <v>46</v>
      </c>
      <c r="K1990" t="s">
        <v>10</v>
      </c>
      <c r="L1990">
        <v>1</v>
      </c>
      <c r="M1990">
        <v>114</v>
      </c>
      <c r="N1990" s="1">
        <f t="shared" si="93"/>
        <v>114</v>
      </c>
    </row>
    <row r="1991" spans="5:14" x14ac:dyDescent="0.25">
      <c r="E1991">
        <v>1430</v>
      </c>
      <c r="F1991" s="7">
        <v>45349</v>
      </c>
      <c r="G1991">
        <f t="shared" si="91"/>
        <v>2024</v>
      </c>
      <c r="H1991" s="7" t="str">
        <f t="shared" si="92"/>
        <v>Февраль</v>
      </c>
      <c r="I1991" t="s">
        <v>7</v>
      </c>
      <c r="J1991">
        <v>51</v>
      </c>
      <c r="K1991" t="s">
        <v>8</v>
      </c>
      <c r="L1991">
        <v>5</v>
      </c>
      <c r="M1991">
        <v>485</v>
      </c>
      <c r="N1991" s="1">
        <f t="shared" si="93"/>
        <v>2425</v>
      </c>
    </row>
    <row r="1992" spans="5:14" x14ac:dyDescent="0.25">
      <c r="E1992">
        <v>71</v>
      </c>
      <c r="F1992" s="7">
        <v>45121</v>
      </c>
      <c r="G1992">
        <f t="shared" si="91"/>
        <v>2023</v>
      </c>
      <c r="H1992" s="7" t="str">
        <f t="shared" si="92"/>
        <v>Июль</v>
      </c>
      <c r="I1992" t="s">
        <v>9</v>
      </c>
      <c r="J1992">
        <v>51</v>
      </c>
      <c r="K1992" t="s">
        <v>8</v>
      </c>
      <c r="L1992">
        <v>4</v>
      </c>
      <c r="M1992">
        <v>25</v>
      </c>
      <c r="N1992" s="1">
        <f t="shared" si="93"/>
        <v>100</v>
      </c>
    </row>
    <row r="1993" spans="5:14" x14ac:dyDescent="0.25">
      <c r="E1993">
        <v>456</v>
      </c>
      <c r="F1993" s="7">
        <v>45135</v>
      </c>
      <c r="G1993">
        <f t="shared" si="91"/>
        <v>2023</v>
      </c>
      <c r="H1993" s="7" t="str">
        <f t="shared" si="92"/>
        <v>Июль</v>
      </c>
      <c r="I1993" t="s">
        <v>9</v>
      </c>
      <c r="J1993">
        <v>58</v>
      </c>
      <c r="K1993" t="s">
        <v>8</v>
      </c>
      <c r="L1993">
        <v>3</v>
      </c>
      <c r="M1993">
        <v>300</v>
      </c>
      <c r="N1993" s="1">
        <f t="shared" si="93"/>
        <v>900</v>
      </c>
    </row>
    <row r="1994" spans="5:14" x14ac:dyDescent="0.25">
      <c r="E1994">
        <v>92</v>
      </c>
      <c r="F1994" s="7">
        <v>45163</v>
      </c>
      <c r="G1994">
        <f t="shared" ref="G1994:G2004" si="94">YEAR(F1994)</f>
        <v>2023</v>
      </c>
      <c r="H1994" s="7" t="str">
        <f t="shared" ref="H1994:H2004" si="95">TEXT(F1994,"ММММ")</f>
        <v>Август</v>
      </c>
      <c r="I1994" t="s">
        <v>9</v>
      </c>
      <c r="J1994">
        <v>51</v>
      </c>
      <c r="K1994" t="s">
        <v>11</v>
      </c>
      <c r="L1994">
        <v>4</v>
      </c>
      <c r="M1994">
        <v>30</v>
      </c>
      <c r="N1994" s="1">
        <f t="shared" ref="N1994:N2004" si="96">L1994*M1994</f>
        <v>120</v>
      </c>
    </row>
    <row r="1995" spans="5:14" x14ac:dyDescent="0.25">
      <c r="E1995">
        <v>1342</v>
      </c>
      <c r="F1995" s="7">
        <v>45610</v>
      </c>
      <c r="G1995">
        <f t="shared" si="94"/>
        <v>2024</v>
      </c>
      <c r="H1995" s="7" t="str">
        <f t="shared" si="95"/>
        <v>Ноябрь</v>
      </c>
      <c r="I1995" t="s">
        <v>7</v>
      </c>
      <c r="J1995">
        <v>24</v>
      </c>
      <c r="K1995" t="s">
        <v>11</v>
      </c>
      <c r="L1995">
        <v>1</v>
      </c>
      <c r="M1995">
        <v>77</v>
      </c>
      <c r="N1995" s="1">
        <f t="shared" si="96"/>
        <v>77</v>
      </c>
    </row>
    <row r="1996" spans="5:14" x14ac:dyDescent="0.25">
      <c r="E1996">
        <v>506</v>
      </c>
      <c r="F1996" s="7">
        <v>45232</v>
      </c>
      <c r="G1996">
        <f t="shared" si="94"/>
        <v>2023</v>
      </c>
      <c r="H1996" s="7" t="str">
        <f t="shared" si="95"/>
        <v>Ноябрь</v>
      </c>
      <c r="I1996" t="s">
        <v>9</v>
      </c>
      <c r="J1996">
        <v>37</v>
      </c>
      <c r="K1996" t="s">
        <v>11</v>
      </c>
      <c r="L1996">
        <v>3</v>
      </c>
      <c r="M1996">
        <v>500</v>
      </c>
      <c r="N1996" s="1">
        <f t="shared" si="96"/>
        <v>1500</v>
      </c>
    </row>
    <row r="1997" spans="5:14" x14ac:dyDescent="0.25">
      <c r="E1997">
        <v>783</v>
      </c>
      <c r="F1997" s="7">
        <v>44988</v>
      </c>
      <c r="G1997">
        <f t="shared" si="94"/>
        <v>2023</v>
      </c>
      <c r="H1997" s="7" t="str">
        <f t="shared" si="95"/>
        <v>Март</v>
      </c>
      <c r="I1997" t="s">
        <v>9</v>
      </c>
      <c r="J1997">
        <v>31</v>
      </c>
      <c r="K1997" t="s">
        <v>8</v>
      </c>
      <c r="L1997">
        <v>4</v>
      </c>
      <c r="M1997">
        <v>50</v>
      </c>
      <c r="N1997" s="1">
        <f t="shared" si="96"/>
        <v>200</v>
      </c>
    </row>
    <row r="1998" spans="5:14" x14ac:dyDescent="0.25">
      <c r="E1998">
        <v>1525</v>
      </c>
      <c r="F1998" s="7">
        <v>45479</v>
      </c>
      <c r="G1998">
        <f t="shared" si="94"/>
        <v>2024</v>
      </c>
      <c r="H1998" s="7" t="str">
        <f t="shared" si="95"/>
        <v>Июль</v>
      </c>
      <c r="I1998" t="s">
        <v>9</v>
      </c>
      <c r="J1998">
        <v>49</v>
      </c>
      <c r="K1998" t="s">
        <v>10</v>
      </c>
      <c r="L1998">
        <v>7</v>
      </c>
      <c r="M1998">
        <v>482</v>
      </c>
      <c r="N1998" s="1">
        <f t="shared" si="96"/>
        <v>3374</v>
      </c>
    </row>
    <row r="1999" spans="5:14" x14ac:dyDescent="0.25">
      <c r="E1999">
        <v>836</v>
      </c>
      <c r="F1999" s="7">
        <v>45059</v>
      </c>
      <c r="G1999">
        <f t="shared" si="94"/>
        <v>2023</v>
      </c>
      <c r="H1999" s="7" t="str">
        <f t="shared" si="95"/>
        <v>Май</v>
      </c>
      <c r="I1999" t="s">
        <v>7</v>
      </c>
      <c r="J1999">
        <v>47</v>
      </c>
      <c r="K1999" t="s">
        <v>11</v>
      </c>
      <c r="L1999">
        <v>2</v>
      </c>
      <c r="M1999">
        <v>300</v>
      </c>
      <c r="N1999" s="1">
        <f t="shared" si="96"/>
        <v>600</v>
      </c>
    </row>
    <row r="2000" spans="5:14" x14ac:dyDescent="0.25">
      <c r="E2000">
        <v>1258</v>
      </c>
      <c r="F2000" s="7">
        <v>45509</v>
      </c>
      <c r="G2000">
        <f t="shared" si="94"/>
        <v>2024</v>
      </c>
      <c r="H2000" s="7" t="str">
        <f t="shared" si="95"/>
        <v>Август</v>
      </c>
      <c r="I2000" t="s">
        <v>7</v>
      </c>
      <c r="J2000">
        <v>22</v>
      </c>
      <c r="K2000" t="s">
        <v>10</v>
      </c>
      <c r="L2000">
        <v>2</v>
      </c>
      <c r="M2000">
        <v>51</v>
      </c>
      <c r="N2000" s="1">
        <f t="shared" si="96"/>
        <v>102</v>
      </c>
    </row>
    <row r="2001" spans="5:14" x14ac:dyDescent="0.25">
      <c r="E2001">
        <v>928</v>
      </c>
      <c r="F2001" s="7">
        <v>45056</v>
      </c>
      <c r="G2001">
        <f t="shared" si="94"/>
        <v>2023</v>
      </c>
      <c r="H2001" s="7" t="str">
        <f t="shared" si="95"/>
        <v>Май</v>
      </c>
      <c r="I2001" t="s">
        <v>7</v>
      </c>
      <c r="J2001">
        <v>54</v>
      </c>
      <c r="K2001" t="s">
        <v>10</v>
      </c>
      <c r="L2001">
        <v>4</v>
      </c>
      <c r="M2001">
        <v>50</v>
      </c>
      <c r="N2001" s="1">
        <f t="shared" si="96"/>
        <v>200</v>
      </c>
    </row>
    <row r="2002" spans="5:14" x14ac:dyDescent="0.25">
      <c r="E2002">
        <v>289</v>
      </c>
      <c r="F2002" s="7">
        <v>45203</v>
      </c>
      <c r="G2002">
        <f t="shared" si="94"/>
        <v>2023</v>
      </c>
      <c r="H2002" s="7" t="str">
        <f t="shared" si="95"/>
        <v>Октябрь</v>
      </c>
      <c r="I2002" t="s">
        <v>9</v>
      </c>
      <c r="J2002">
        <v>30</v>
      </c>
      <c r="K2002" t="s">
        <v>8</v>
      </c>
      <c r="L2002">
        <v>2</v>
      </c>
      <c r="M2002">
        <v>300</v>
      </c>
      <c r="N2002" s="1">
        <f t="shared" si="96"/>
        <v>600</v>
      </c>
    </row>
    <row r="2003" spans="5:14" x14ac:dyDescent="0.25">
      <c r="E2003">
        <v>1948</v>
      </c>
      <c r="F2003" s="7">
        <v>45609</v>
      </c>
      <c r="G2003">
        <f t="shared" si="94"/>
        <v>2024</v>
      </c>
      <c r="H2003" s="7" t="str">
        <f t="shared" si="95"/>
        <v>Ноябрь</v>
      </c>
      <c r="I2003" t="s">
        <v>9</v>
      </c>
      <c r="J2003">
        <v>65</v>
      </c>
      <c r="K2003" t="s">
        <v>10</v>
      </c>
      <c r="L2003">
        <v>5</v>
      </c>
      <c r="M2003">
        <v>294</v>
      </c>
      <c r="N2003" s="1">
        <f t="shared" si="96"/>
        <v>1470</v>
      </c>
    </row>
    <row r="2004" spans="5:14" x14ac:dyDescent="0.25">
      <c r="E2004" s="9">
        <v>1598</v>
      </c>
      <c r="F2004" s="10">
        <v>45392</v>
      </c>
      <c r="G2004" s="9">
        <f t="shared" si="94"/>
        <v>2024</v>
      </c>
      <c r="H2004" s="10" t="str">
        <f t="shared" si="95"/>
        <v>Апрель</v>
      </c>
      <c r="I2004" s="9" t="s">
        <v>7</v>
      </c>
      <c r="J2004" s="9">
        <v>59</v>
      </c>
      <c r="K2004" s="9" t="s">
        <v>10</v>
      </c>
      <c r="L2004" s="9">
        <v>2</v>
      </c>
      <c r="M2004" s="9">
        <v>392</v>
      </c>
      <c r="N2004" s="1">
        <f t="shared" si="96"/>
        <v>784</v>
      </c>
    </row>
  </sheetData>
  <autoFilter ref="E8:N2004" xr:uid="{A42894D3-F57A-47CC-A76D-542EDB28249E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3:T32"/>
  <sheetViews>
    <sheetView showGridLines="0" workbookViewId="0">
      <selection activeCell="H24" sqref="H24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  <col min="19" max="19" width="36.75" bestFit="1" customWidth="1"/>
    <col min="20" max="20" width="138.625" bestFit="1" customWidth="1"/>
  </cols>
  <sheetData>
    <row r="3" spans="4:20" ht="15.75" thickBot="1" x14ac:dyDescent="0.3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2"/>
      <c r="T3" s="12"/>
    </row>
    <row r="4" spans="4:20" ht="15.75" thickBot="1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3" t="s">
        <v>17</v>
      </c>
      <c r="T4" s="14" t="s">
        <v>18</v>
      </c>
    </row>
    <row r="5" spans="4:20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5" t="s">
        <v>19</v>
      </c>
      <c r="T5" s="16" t="s">
        <v>20</v>
      </c>
    </row>
    <row r="6" spans="4:20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5" t="s">
        <v>21</v>
      </c>
      <c r="T6" s="16" t="s">
        <v>22</v>
      </c>
    </row>
    <row r="7" spans="4:20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5" t="s">
        <v>23</v>
      </c>
      <c r="T7" s="16" t="s">
        <v>24</v>
      </c>
    </row>
    <row r="8" spans="4:20" x14ac:dyDescent="0.25">
      <c r="D8" s="4" t="s">
        <v>25</v>
      </c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5" t="s">
        <v>26</v>
      </c>
      <c r="T8" s="16" t="s">
        <v>27</v>
      </c>
    </row>
    <row r="9" spans="4:20" x14ac:dyDescent="0.2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5" t="s">
        <v>28</v>
      </c>
      <c r="T9" s="16" t="s">
        <v>29</v>
      </c>
    </row>
    <row r="10" spans="4:20" x14ac:dyDescent="0.25">
      <c r="D10" s="4" t="s">
        <v>30</v>
      </c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5" t="s">
        <v>31</v>
      </c>
      <c r="T10" s="16" t="s">
        <v>32</v>
      </c>
    </row>
    <row r="11" spans="4:20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5" t="s">
        <v>33</v>
      </c>
      <c r="T11" s="16" t="s">
        <v>34</v>
      </c>
    </row>
    <row r="12" spans="4:20" x14ac:dyDescent="0.25">
      <c r="D12" s="4" t="s">
        <v>35</v>
      </c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5" t="s">
        <v>36</v>
      </c>
      <c r="T12" s="16" t="s">
        <v>37</v>
      </c>
    </row>
    <row r="13" spans="4:20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5" t="s">
        <v>38</v>
      </c>
      <c r="T13" s="16" t="s">
        <v>39</v>
      </c>
    </row>
    <row r="14" spans="4:20" x14ac:dyDescent="0.25">
      <c r="D14" s="4" t="s">
        <v>40</v>
      </c>
      <c r="E14" s="4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5" t="s">
        <v>41</v>
      </c>
      <c r="T14" s="16" t="s">
        <v>42</v>
      </c>
    </row>
    <row r="15" spans="4:20" ht="15.75" thickBot="1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7" t="s">
        <v>43</v>
      </c>
      <c r="T15" s="18" t="s">
        <v>44</v>
      </c>
    </row>
    <row r="16" spans="4:20" ht="15.75" thickBot="1" x14ac:dyDescent="0.3">
      <c r="D16" s="4" t="s">
        <v>45</v>
      </c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2"/>
      <c r="T16" s="12"/>
    </row>
    <row r="17" spans="4:20" ht="15.75" thickBot="1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3" t="s">
        <v>17</v>
      </c>
      <c r="T17" s="14" t="s">
        <v>46</v>
      </c>
    </row>
    <row r="18" spans="4:20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5" t="s">
        <v>47</v>
      </c>
      <c r="T18" s="16" t="s">
        <v>48</v>
      </c>
    </row>
    <row r="19" spans="4:20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5" t="s">
        <v>49</v>
      </c>
      <c r="T19" s="16" t="s">
        <v>50</v>
      </c>
    </row>
    <row r="20" spans="4:20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5" t="s">
        <v>51</v>
      </c>
      <c r="T20" s="16" t="s">
        <v>52</v>
      </c>
    </row>
    <row r="21" spans="4:20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5" t="s">
        <v>53</v>
      </c>
      <c r="T21" s="16" t="s">
        <v>54</v>
      </c>
    </row>
    <row r="22" spans="4:20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5" t="s">
        <v>55</v>
      </c>
      <c r="T22" s="16" t="s">
        <v>56</v>
      </c>
    </row>
    <row r="23" spans="4:20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5" t="s">
        <v>57</v>
      </c>
      <c r="T23" s="16" t="s">
        <v>58</v>
      </c>
    </row>
    <row r="24" spans="4:20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5" t="s">
        <v>59</v>
      </c>
      <c r="T24" s="16" t="s">
        <v>60</v>
      </c>
    </row>
    <row r="25" spans="4:20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5" t="s">
        <v>61</v>
      </c>
      <c r="T25" s="16" t="s">
        <v>62</v>
      </c>
    </row>
    <row r="26" spans="4:20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5" t="s">
        <v>63</v>
      </c>
      <c r="T26" s="16" t="s">
        <v>64</v>
      </c>
    </row>
    <row r="27" spans="4:20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5" t="s">
        <v>65</v>
      </c>
      <c r="T27" s="16" t="s">
        <v>66</v>
      </c>
    </row>
    <row r="28" spans="4:20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5" t="s">
        <v>67</v>
      </c>
      <c r="T28" s="16" t="s">
        <v>68</v>
      </c>
    </row>
    <row r="29" spans="4:20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5" t="s">
        <v>69</v>
      </c>
      <c r="T29" s="16" t="s">
        <v>70</v>
      </c>
    </row>
    <row r="30" spans="4:20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5" t="s">
        <v>71</v>
      </c>
      <c r="T30" s="16" t="s">
        <v>72</v>
      </c>
    </row>
    <row r="31" spans="4:20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5" t="s">
        <v>73</v>
      </c>
      <c r="T31" s="16" t="s">
        <v>74</v>
      </c>
    </row>
    <row r="32" spans="4:20" ht="15.75" thickBot="1" x14ac:dyDescent="0.3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7" t="s">
        <v>75</v>
      </c>
      <c r="T32" s="18" t="s">
        <v>76</v>
      </c>
    </row>
  </sheetData>
  <hyperlinks>
    <hyperlink ref="D8" r:id="rId1" xr:uid="{FF990953-DE37-4C8A-8A36-0AB44E9DBE31}"/>
    <hyperlink ref="D10" r:id="rId2" xr:uid="{6E286E4E-9FE1-4BCB-B11E-100D6B447F1F}"/>
    <hyperlink ref="D12" r:id="rId3" xr:uid="{825159BC-8788-4870-81F7-E86DB0EB8A50}"/>
    <hyperlink ref="D14" r:id="rId4" xr:uid="{C84769D0-C251-4057-84B6-48C5AB1BB9CC}"/>
    <hyperlink ref="D16" r:id="rId5" xr:uid="{6EE1895A-A4D9-44EF-909C-BF23D7DB5802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Тема урока</vt:lpstr>
      <vt:lpstr>Выполнить</vt:lpstr>
      <vt:lpstr>Продажи_отчет</vt:lpstr>
      <vt:lpstr>Продажи</vt:lpstr>
      <vt:lpstr>Справка</vt:lpstr>
      <vt:lpstr>пр_тип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2026-05-25T03:11:07Z</dcterms:modified>
</cp:coreProperties>
</file>