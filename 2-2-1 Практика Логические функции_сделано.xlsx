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РАБОТА\"/>
    </mc:Choice>
  </mc:AlternateContent>
  <xr:revisionPtr revIDLastSave="0" documentId="13_ncr:1_{AA0D0176-AD4E-4BD6-9A90-0DA3096AD21D}" xr6:coauthVersionLast="37" xr6:coauthVersionMax="47" xr10:uidLastSave="{00000000-0000-0000-0000-000000000000}"/>
  <bookViews>
    <workbookView xWindow="0" yWindow="0" windowWidth="22980" windowHeight="9945" activeTab="1" xr2:uid="{BE275577-B430-4DCB-AA1E-9DF443D9D709}"/>
  </bookViews>
  <sheets>
    <sheet name="Тема урока" sheetId="1" r:id="rId1"/>
    <sheet name="Выполнить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4" l="1"/>
  <c r="N19" i="4"/>
  <c r="N17" i="4"/>
  <c r="L18" i="4"/>
  <c r="L19" i="4"/>
  <c r="L20" i="4"/>
  <c r="L21" i="4"/>
  <c r="L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17" i="4"/>
  <c r="H18" i="4" l="1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17" i="4"/>
  <c r="BJ25" i="4" l="1"/>
  <c r="BE17" i="4"/>
  <c r="BJ26" i="4"/>
  <c r="BJ27" i="4"/>
  <c r="BJ19" i="4"/>
  <c r="BJ20" i="4"/>
  <c r="BJ21" i="4"/>
  <c r="BJ22" i="4"/>
  <c r="BJ18" i="4"/>
  <c r="BC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17" i="4"/>
  <c r="BC31" i="4"/>
  <c r="BC30" i="4"/>
  <c r="BC29" i="4"/>
  <c r="BC28" i="4"/>
  <c r="BC27" i="4"/>
  <c r="BC26" i="4"/>
  <c r="BC25" i="4"/>
  <c r="BC24" i="4"/>
  <c r="BC23" i="4"/>
  <c r="BC22" i="4"/>
  <c r="BC21" i="4"/>
  <c r="BC20" i="4"/>
  <c r="BC19" i="4"/>
  <c r="BC18" i="4"/>
</calcChain>
</file>

<file path=xl/sharedStrings.xml><?xml version="1.0" encoding="utf-8"?>
<sst xmlns="http://schemas.openxmlformats.org/spreadsheetml/2006/main" count="66" uniqueCount="31">
  <si>
    <t>score</t>
  </si>
  <si>
    <t>id_emp</t>
  </si>
  <si>
    <t>department</t>
  </si>
  <si>
    <t>fail/pass</t>
  </si>
  <si>
    <t>IT</t>
  </si>
  <si>
    <t>FD</t>
  </si>
  <si>
    <t>RD</t>
  </si>
  <si>
    <t>OD</t>
  </si>
  <si>
    <t>SD</t>
  </si>
  <si>
    <t>Bad</t>
  </si>
  <si>
    <t>Excellent</t>
  </si>
  <si>
    <t>Good</t>
  </si>
  <si>
    <t>category</t>
  </si>
  <si>
    <t>1. Заполнить столбец fail/pass, если:</t>
  </si>
  <si>
    <t>score меньше 60, то FAIL</t>
  </si>
  <si>
    <t>score больше 60, то PASS</t>
  </si>
  <si>
    <t>2. Заполнить столбец category, если:</t>
  </si>
  <si>
    <t>score больше 85, то Excellent</t>
  </si>
  <si>
    <t>score больше 60, то Good</t>
  </si>
  <si>
    <t>score меньше 60, то Bad</t>
  </si>
  <si>
    <t>3. Заполнить столбец department, если:</t>
  </si>
  <si>
    <t>id_emp оканчивается на 111 то IT</t>
  </si>
  <si>
    <t>id_emp оканчивается на 222 то FD</t>
  </si>
  <si>
    <t>id_emp оканчивается на 333 то RD</t>
  </si>
  <si>
    <t>id_emp оканчивается на 444 то OD</t>
  </si>
  <si>
    <t>id_emp оканчивается на 555 то SD</t>
  </si>
  <si>
    <t>4. Посчитать общую сумму баллов по department</t>
  </si>
  <si>
    <t>5. Посчитать среднее значение баллов по category</t>
  </si>
  <si>
    <t>*3. Заполнить столбец department, если:</t>
  </si>
  <si>
    <t>4.</t>
  </si>
  <si>
    <t>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</si>
</sst>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b/>
      <sz val="11"/>
      <color theme="1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Alignment="1">
      <alignment horizontal="left" indent="3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" fontId="2" fillId="0" borderId="0" xfId="0" applyNumberFormat="1" applyFont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&#1042;&#1099;&#1087;&#1086;&#1083;&#1085;&#1080;&#1090;&#1100;!BO1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2;&#1099;&#1087;&#1086;&#1083;&#1085;&#1080;&#1090;&#1100;!B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5BE2D0FC-602F-0A26-883F-21D43B33CB88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7" name="Google Shape;63;p14">
          <a:extLst>
            <a:ext uri="{FF2B5EF4-FFF2-40B4-BE49-F238E27FC236}">
              <a16:creationId xmlns:a16="http://schemas.microsoft.com/office/drawing/2014/main" id="{366B56AD-675E-0DB5-436F-FA38D022C4A1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5" name="Рисунок 4" descr="Мужской профиль контур">
          <a:extLst>
            <a:ext uri="{FF2B5EF4-FFF2-40B4-BE49-F238E27FC236}">
              <a16:creationId xmlns:a16="http://schemas.microsoft.com/office/drawing/2014/main" id="{2BEF9A60-454B-2D0C-89A5-105DD39D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9" name="Рисунок 8" descr="Конверт контур">
          <a:extLst>
            <a:ext uri="{FF2B5EF4-FFF2-40B4-BE49-F238E27FC236}">
              <a16:creationId xmlns:a16="http://schemas.microsoft.com/office/drawing/2014/main" id="{04C1FC32-4A77-BD01-8CCB-BABF9F015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909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ADF2C05-8FC2-F677-20F5-A0072284A6C7}"/>
            </a:ext>
          </a:extLst>
        </xdr:cNvPr>
        <xdr:cNvSpPr txBox="1"/>
      </xdr:nvSpPr>
      <xdr:spPr>
        <a:xfrm>
          <a:off x="41275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12" name="Рисунок 11" descr="Значок 1 со сплошной заливкой">
          <a:extLst>
            <a:ext uri="{FF2B5EF4-FFF2-40B4-BE49-F238E27FC236}">
              <a16:creationId xmlns:a16="http://schemas.microsoft.com/office/drawing/2014/main" id="{EDF55D29-9580-8B8A-C6AE-6ABF1A28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8227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9F8172-B9CC-427F-F49B-60921070EEA7}"/>
            </a:ext>
          </a:extLst>
        </xdr:cNvPr>
        <xdr:cNvSpPr txBox="1"/>
      </xdr:nvSpPr>
      <xdr:spPr>
        <a:xfrm>
          <a:off x="33845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Задание по логическим функциям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26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F3DAD7-CFAA-DCEE-0B71-751DC95A97C6}"/>
            </a:ext>
          </a:extLst>
        </xdr:cNvPr>
        <xdr:cNvSpPr txBox="1"/>
      </xdr:nvSpPr>
      <xdr:spPr>
        <a:xfrm>
          <a:off x="1987550" y="1974850"/>
          <a:ext cx="4908550" cy="29083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    Привет! </a:t>
          </a:r>
        </a:p>
        <a:p>
          <a:r>
            <a:rPr lang="ru-RU" sz="1100" baseline="0"/>
            <a:t>    </a:t>
          </a:r>
        </a:p>
        <a:p>
          <a:r>
            <a:rPr lang="ru-RU" sz="1100"/>
            <a:t>    Наши департаменты недавно сдавали</a:t>
          </a:r>
          <a:r>
            <a:rPr lang="ru-RU" sz="1100" baseline="0"/>
            <a:t> аттестацию, необходимо сопоставить информацию с полученными баллами.</a:t>
          </a:r>
        </a:p>
        <a:p>
          <a:endParaRPr lang="ru-RU" sz="1100" baseline="0"/>
        </a:p>
        <a:p>
          <a:r>
            <a:rPr lang="ru-RU" sz="1100" baseline="0"/>
            <a:t>    Подробности и сам отчет прикрепил к сообщению.</a:t>
          </a:r>
          <a:endParaRPr lang="ru-RU" sz="11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6" name="Рисунок 15" descr="Скрепка со сплошной заливкой">
          <a:extLst>
            <a:ext uri="{FF2B5EF4-FFF2-40B4-BE49-F238E27FC236}">
              <a16:creationId xmlns:a16="http://schemas.microsoft.com/office/drawing/2014/main" id="{D511AD92-337A-2586-25C6-9DA14009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29</xdr:row>
      <xdr:rowOff>44450</xdr:rowOff>
    </xdr:from>
    <xdr:to>
      <xdr:col>9</xdr:col>
      <xdr:colOff>6350</xdr:colOff>
      <xdr:row>30</xdr:row>
      <xdr:rowOff>88900</xdr:rowOff>
    </xdr:to>
    <xdr:sp macro="" textlink="">
      <xdr:nvSpPr>
        <xdr:cNvPr id="21" name="TextBox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8C3A6C-1142-431D-8E1A-B4BC9E838043}"/>
            </a:ext>
          </a:extLst>
        </xdr:cNvPr>
        <xdr:cNvSpPr txBox="1"/>
      </xdr:nvSpPr>
      <xdr:spPr>
        <a:xfrm>
          <a:off x="5060950" y="53848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146050</xdr:colOff>
      <xdr:row>29</xdr:row>
      <xdr:rowOff>44450</xdr:rowOff>
    </xdr:from>
    <xdr:to>
      <xdr:col>10</xdr:col>
      <xdr:colOff>336550</xdr:colOff>
      <xdr:row>30</xdr:row>
      <xdr:rowOff>88900</xdr:rowOff>
    </xdr:to>
    <xdr:sp macro="" textlink="">
      <xdr:nvSpPr>
        <xdr:cNvPr id="22" name="TextBox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23B60D0-BD43-49A0-8C79-EAFC41C2E927}"/>
            </a:ext>
          </a:extLst>
        </xdr:cNvPr>
        <xdr:cNvSpPr txBox="1"/>
      </xdr:nvSpPr>
      <xdr:spPr>
        <a:xfrm>
          <a:off x="6051550" y="53848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0</xdr:col>
      <xdr:colOff>107950</xdr:colOff>
      <xdr:row>2</xdr:row>
      <xdr:rowOff>38100</xdr:rowOff>
    </xdr:from>
    <xdr:to>
      <xdr:col>1</xdr:col>
      <xdr:colOff>260350</xdr:colOff>
      <xdr:row>26</xdr:row>
      <xdr:rowOff>152400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B2B66EE9-C89B-41CB-827A-C344E7E43F07}"/>
            </a:ext>
          </a:extLst>
        </xdr:cNvPr>
        <xdr:cNvSpPr txBox="1"/>
      </xdr:nvSpPr>
      <xdr:spPr>
        <a:xfrm rot="-5400000">
          <a:off x="-1873250" y="23876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20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2000">
              <a:latin typeface="Fira Sans"/>
              <a:ea typeface="Fira Sans"/>
              <a:cs typeface="Fira Sans"/>
              <a:sym typeface="Fira Sans"/>
            </a:rPr>
            <a:t>/ Логические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4A79FFF-F60D-408F-8390-2C53E100281E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Задание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406400</xdr:colOff>
      <xdr:row>8</xdr:row>
      <xdr:rowOff>25400</xdr:rowOff>
    </xdr:from>
    <xdr:to>
      <xdr:col>49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D446B8C7-9950-4904-AFE7-9D71479D1B0C}"/>
            </a:ext>
          </a:extLst>
        </xdr:cNvPr>
        <xdr:cNvSpPr txBox="1"/>
      </xdr:nvSpPr>
      <xdr:spPr>
        <a:xfrm rot="-5400000">
          <a:off x="3382962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CFB7591F-0EFC-48B0-9C97-C3BAAF93B06D}"/>
            </a:ext>
          </a:extLst>
        </xdr:cNvPr>
        <xdr:cNvSpPr txBox="1"/>
      </xdr:nvSpPr>
      <xdr:spPr>
        <a:xfrm rot="-5400000">
          <a:off x="3382962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052E8-C5BA-4398-8EDE-F0A338E0353F}"/>
            </a:ext>
          </a:extLst>
        </xdr:cNvPr>
        <xdr:cNvSpPr txBox="1"/>
      </xdr:nvSpPr>
      <xdr:spPr>
        <a:xfrm>
          <a:off x="222250" y="56134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F77D-45FC-464E-8E9B-5691F646CDC2}">
  <dimension ref="A1:T99"/>
  <sheetViews>
    <sheetView showGridLines="0" topLeftCell="A7" zoomScaleNormal="100" workbookViewId="0">
      <selection activeCell="O9" sqref="O9"/>
    </sheetView>
  </sheetViews>
  <sheetFormatPr defaultColWidth="0" defaultRowHeight="15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>
      <c r="A32" s="2">
        <v>1</v>
      </c>
    </row>
    <row r="33" x14ac:dyDescent="0.25"/>
    <row r="34" x14ac:dyDescent="0.25"/>
    <row r="66" spans="1:1" hidden="1" x14ac:dyDescent="0.25">
      <c r="A66" s="2">
        <v>1</v>
      </c>
    </row>
    <row r="99" spans="1:1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9880-6F5E-4807-B937-230C1ABE3A4C}">
  <dimension ref="A1:BM33"/>
  <sheetViews>
    <sheetView tabSelected="1" topLeftCell="A10" workbookViewId="0">
      <selection activeCell="N19" sqref="N19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16.25" style="1" customWidth="1"/>
    <col min="7" max="7" width="6.375" style="1" customWidth="1"/>
    <col min="8" max="8" width="7.75" style="1" bestFit="1" customWidth="1"/>
    <col min="9" max="9" width="9.875" style="1" customWidth="1"/>
    <col min="10" max="10" width="10.625" style="1" bestFit="1" customWidth="1"/>
    <col min="11" max="13" width="8.625" style="1"/>
    <col min="14" max="14" width="9.625" style="1" customWidth="1"/>
    <col min="15" max="15" width="4.125" style="1" bestFit="1" customWidth="1"/>
    <col min="16" max="47" width="8.625" style="1"/>
    <col min="48" max="50" width="5.5" style="2" customWidth="1"/>
    <col min="51" max="52" width="8.625" style="1"/>
    <col min="53" max="53" width="13.875" style="1" bestFit="1" customWidth="1"/>
    <col min="54" max="56" width="8.625" style="1"/>
    <col min="57" max="57" width="10.625" style="1" bestFit="1" customWidth="1"/>
    <col min="58" max="16384" width="8.625" style="1"/>
  </cols>
  <sheetData>
    <row r="1" spans="5:65" x14ac:dyDescent="0.25">
      <c r="E1" s="1" t="s">
        <v>13</v>
      </c>
      <c r="K1" s="1" t="s">
        <v>26</v>
      </c>
      <c r="AZ1" s="1" t="s">
        <v>13</v>
      </c>
      <c r="BG1" s="1" t="s">
        <v>26</v>
      </c>
    </row>
    <row r="2" spans="5:65" x14ac:dyDescent="0.25">
      <c r="E2" s="11" t="s">
        <v>14</v>
      </c>
      <c r="K2" s="1" t="s">
        <v>27</v>
      </c>
      <c r="AZ2" s="11" t="s">
        <v>14</v>
      </c>
      <c r="BG2" s="1" t="s">
        <v>27</v>
      </c>
    </row>
    <row r="3" spans="5:65" x14ac:dyDescent="0.25">
      <c r="E3" s="11" t="s">
        <v>15</v>
      </c>
      <c r="AZ3" s="11" t="s">
        <v>15</v>
      </c>
    </row>
    <row r="4" spans="5:65" x14ac:dyDescent="0.25">
      <c r="E4" s="1" t="s">
        <v>16</v>
      </c>
      <c r="AZ4" s="1" t="s">
        <v>16</v>
      </c>
    </row>
    <row r="5" spans="5:65" x14ac:dyDescent="0.25">
      <c r="E5" s="11" t="s">
        <v>17</v>
      </c>
      <c r="AZ5" s="11" t="s">
        <v>17</v>
      </c>
    </row>
    <row r="6" spans="5:65" x14ac:dyDescent="0.25">
      <c r="E6" s="11" t="s">
        <v>18</v>
      </c>
      <c r="AZ6" s="11" t="s">
        <v>18</v>
      </c>
    </row>
    <row r="7" spans="5:65" x14ac:dyDescent="0.25">
      <c r="E7" s="11" t="s">
        <v>19</v>
      </c>
      <c r="AZ7" s="11" t="s">
        <v>19</v>
      </c>
    </row>
    <row r="8" spans="5:65" x14ac:dyDescent="0.25">
      <c r="E8" s="1" t="s">
        <v>28</v>
      </c>
      <c r="AZ8" s="1" t="s">
        <v>20</v>
      </c>
    </row>
    <row r="9" spans="5:65" x14ac:dyDescent="0.25">
      <c r="E9" s="11" t="s">
        <v>21</v>
      </c>
      <c r="AZ9" s="11" t="s">
        <v>21</v>
      </c>
    </row>
    <row r="10" spans="5:65" x14ac:dyDescent="0.25">
      <c r="E10" s="11" t="s">
        <v>22</v>
      </c>
      <c r="AZ10" s="11" t="s">
        <v>22</v>
      </c>
    </row>
    <row r="11" spans="5:65" x14ac:dyDescent="0.25">
      <c r="E11" s="11" t="s">
        <v>23</v>
      </c>
      <c r="AZ11" s="11" t="s">
        <v>23</v>
      </c>
    </row>
    <row r="12" spans="5:65" x14ac:dyDescent="0.25">
      <c r="E12" s="11" t="s">
        <v>24</v>
      </c>
      <c r="AZ12" s="11" t="s">
        <v>24</v>
      </c>
    </row>
    <row r="13" spans="5:65" x14ac:dyDescent="0.25">
      <c r="E13" s="11" t="s">
        <v>25</v>
      </c>
      <c r="AZ13" s="11" t="s">
        <v>25</v>
      </c>
    </row>
    <row r="14" spans="5:65" x14ac:dyDescent="0.25">
      <c r="AZ14" s="15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</row>
    <row r="15" spans="5:65" x14ac:dyDescent="0.25"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  <c r="AZ15" s="18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>
        <v>111</v>
      </c>
      <c r="BM15" s="23" t="s">
        <v>4</v>
      </c>
    </row>
    <row r="16" spans="5:65" x14ac:dyDescent="0.25">
      <c r="E16" s="6"/>
      <c r="F16" s="12" t="s">
        <v>1</v>
      </c>
      <c r="G16" s="12" t="s">
        <v>0</v>
      </c>
      <c r="H16" s="12" t="s">
        <v>3</v>
      </c>
      <c r="I16" s="12" t="s">
        <v>12</v>
      </c>
      <c r="J16" s="12" t="s">
        <v>2</v>
      </c>
      <c r="K16" s="13"/>
      <c r="L16" s="13"/>
      <c r="M16" s="13"/>
      <c r="N16" s="13"/>
      <c r="O16" s="13"/>
      <c r="P16" s="13"/>
      <c r="Q16" s="13"/>
      <c r="R16" s="7"/>
      <c r="AZ16" s="18"/>
      <c r="BA16" s="20" t="s">
        <v>1</v>
      </c>
      <c r="BB16" s="20" t="s">
        <v>0</v>
      </c>
      <c r="BC16" s="20" t="s">
        <v>3</v>
      </c>
      <c r="BD16" s="20" t="s">
        <v>12</v>
      </c>
      <c r="BE16" s="20" t="s">
        <v>2</v>
      </c>
      <c r="BF16" s="19"/>
      <c r="BG16" s="19"/>
      <c r="BH16" s="19"/>
      <c r="BI16" s="22"/>
      <c r="BJ16" s="22"/>
      <c r="BK16" s="22"/>
      <c r="BL16" s="22">
        <v>222</v>
      </c>
      <c r="BM16" s="23" t="s">
        <v>5</v>
      </c>
    </row>
    <row r="17" spans="5:65" x14ac:dyDescent="0.25">
      <c r="E17" s="6"/>
      <c r="F17" s="14">
        <v>2175850428111</v>
      </c>
      <c r="G17" s="13">
        <v>82</v>
      </c>
      <c r="H17" s="13" t="str">
        <f>IF($G17&lt;60,"FAIL","PASS")</f>
        <v>PASS</v>
      </c>
      <c r="I17" s="13" t="str">
        <f>_xlfn.IFS($G17&gt;85,"Excellent",$G17&gt;60,"Good",$G17&lt;=60,"Bad")</f>
        <v>Good</v>
      </c>
      <c r="J17" s="13" t="str">
        <f>_xlfn.IFS(RIGHT($F17,3)="111","IT",RIGHT($F17,3)="222","FD",RIGHT($F17,3)="333","RD",RIGHT($F17,3)="444","OD",RIGHT($F17,3)="555","SD")</f>
        <v>IT</v>
      </c>
      <c r="K17" s="13" t="s">
        <v>4</v>
      </c>
      <c r="L17" s="13">
        <f>SUMIF($J$17:$J$31,$K17,$G$17:$G$31)</f>
        <v>261</v>
      </c>
      <c r="M17" s="13" t="s">
        <v>11</v>
      </c>
      <c r="N17" s="13">
        <f>AVERAGEIF($I$17:$I$31,$M17,$G$17:$G$31)</f>
        <v>75</v>
      </c>
      <c r="O17" s="13"/>
      <c r="P17" s="13"/>
      <c r="Q17" s="13"/>
      <c r="R17" s="7"/>
      <c r="AZ17" s="18"/>
      <c r="BA17" s="21">
        <v>2175850428111</v>
      </c>
      <c r="BB17" s="22">
        <v>82</v>
      </c>
      <c r="BC17" s="22" t="str">
        <f>IF(BB17&lt;60,"Fail","Pass")</f>
        <v>Pass</v>
      </c>
      <c r="BD17" s="22" t="str">
        <f t="shared" ref="BD17:BD31" si="0">IF(BB17&lt;60,$BM$23,IF(BB17&lt;85,$BM$22,$BM$21))</f>
        <v>Good</v>
      </c>
      <c r="BE17" s="22" t="str">
        <f t="shared" ref="BE17:BE31" si="1">IF(RIGHT(BA17,3)*1=$BL$15,$BM$15,
IF(RIGHT(BA17,3)*1=$BL$16,$BM$16,
IF(RIGHT(BA17,3)*1=$BL$17,$BM$17,
IF(RIGHT(BA17,3)*1=$BL$18,$BM$18,$BM$19))))</f>
        <v>IT</v>
      </c>
      <c r="BF17" s="19"/>
      <c r="BG17" s="19"/>
      <c r="BH17" s="22"/>
      <c r="BI17" s="19"/>
      <c r="BJ17" s="22"/>
      <c r="BK17" s="22"/>
      <c r="BL17" s="22">
        <v>333</v>
      </c>
      <c r="BM17" s="23" t="s">
        <v>6</v>
      </c>
    </row>
    <row r="18" spans="5:65" x14ac:dyDescent="0.25">
      <c r="E18" s="6"/>
      <c r="F18" s="14">
        <v>5964077852111</v>
      </c>
      <c r="G18" s="13">
        <v>52</v>
      </c>
      <c r="H18" s="13" t="str">
        <f t="shared" ref="H18:H31" si="2">IF($G18&lt;60,"FAIL","PASS")</f>
        <v>FAIL</v>
      </c>
      <c r="I18" s="13" t="str">
        <f t="shared" ref="I18:I31" si="3">_xlfn.IFS($G18&gt;85,"Excellent",$G18&gt;60,"Good",$G18&lt;=60,"Bad")</f>
        <v>Bad</v>
      </c>
      <c r="J18" s="13" t="str">
        <f t="shared" ref="J18:J31" si="4">_xlfn.IFS(RIGHT($F18,3)="111","IT",RIGHT($F18,3)="222","FD",RIGHT($F18,3)="333","RD",RIGHT($F18,3)="444","OD",RIGHT($F18,3)="555","SD")</f>
        <v>IT</v>
      </c>
      <c r="K18" s="13" t="s">
        <v>6</v>
      </c>
      <c r="L18" s="13">
        <f t="shared" ref="L18:L21" si="5">SUMIF($J$17:$J$31,$K18,$G$17:$G$31)</f>
        <v>319</v>
      </c>
      <c r="M18" s="13" t="s">
        <v>9</v>
      </c>
      <c r="N18" s="13">
        <f t="shared" ref="N18:N19" si="6">AVERAGEIF($I$17:$I$31,$M18,$G$17:$G$31)</f>
        <v>50</v>
      </c>
      <c r="O18" s="13"/>
      <c r="P18" s="13"/>
      <c r="Q18" s="13"/>
      <c r="R18" s="7"/>
      <c r="AZ18" s="18"/>
      <c r="BA18" s="21">
        <v>5964077852111</v>
      </c>
      <c r="BB18" s="22">
        <v>52</v>
      </c>
      <c r="BC18" s="22" t="str">
        <f t="shared" ref="BC18:BC31" si="7">IF(BB18&lt;60,"Fail","Pass")</f>
        <v>Fail</v>
      </c>
      <c r="BD18" s="22" t="str">
        <f t="shared" si="0"/>
        <v>Bad</v>
      </c>
      <c r="BE18" s="22" t="str">
        <f t="shared" si="1"/>
        <v>IT</v>
      </c>
      <c r="BF18" s="19"/>
      <c r="BG18" s="19"/>
      <c r="BH18" s="22" t="s">
        <v>29</v>
      </c>
      <c r="BI18" s="22" t="s">
        <v>4</v>
      </c>
      <c r="BJ18" s="22">
        <f>SUMIFS($BB$17:$BB$31,$BE$17:$BE$31,BI18)</f>
        <v>261</v>
      </c>
      <c r="BK18" s="22"/>
      <c r="BL18" s="22">
        <v>444</v>
      </c>
      <c r="BM18" s="23" t="s">
        <v>7</v>
      </c>
    </row>
    <row r="19" spans="5:65" x14ac:dyDescent="0.25">
      <c r="E19" s="6"/>
      <c r="F19" s="14">
        <v>7618891392333</v>
      </c>
      <c r="G19" s="13">
        <v>72</v>
      </c>
      <c r="H19" s="13" t="str">
        <f t="shared" si="2"/>
        <v>PASS</v>
      </c>
      <c r="I19" s="13" t="str">
        <f t="shared" si="3"/>
        <v>Good</v>
      </c>
      <c r="J19" s="13" t="str">
        <f t="shared" si="4"/>
        <v>RD</v>
      </c>
      <c r="K19" s="13" t="s">
        <v>7</v>
      </c>
      <c r="L19" s="13">
        <f t="shared" si="5"/>
        <v>266</v>
      </c>
      <c r="M19" t="s">
        <v>10</v>
      </c>
      <c r="N19" s="13">
        <f t="shared" si="6"/>
        <v>90</v>
      </c>
      <c r="O19" s="13"/>
      <c r="P19" s="13"/>
      <c r="Q19" s="13"/>
      <c r="R19" s="7"/>
      <c r="AZ19" s="18"/>
      <c r="BA19" s="21">
        <v>7618891392333</v>
      </c>
      <c r="BB19" s="22">
        <v>72</v>
      </c>
      <c r="BC19" s="22" t="str">
        <f t="shared" si="7"/>
        <v>Pass</v>
      </c>
      <c r="BD19" s="22" t="str">
        <f t="shared" si="0"/>
        <v>Good</v>
      </c>
      <c r="BE19" s="22" t="str">
        <f t="shared" si="1"/>
        <v>RD</v>
      </c>
      <c r="BF19" s="19"/>
      <c r="BG19" s="19"/>
      <c r="BH19" s="22"/>
      <c r="BI19" s="22" t="s">
        <v>5</v>
      </c>
      <c r="BJ19" s="22">
        <f t="shared" ref="BJ19:BJ22" si="8">SUMIFS($BB$17:$BB$31,$BE$17:$BE$31,BI19)</f>
        <v>139</v>
      </c>
      <c r="BK19" s="22"/>
      <c r="BL19" s="22">
        <v>555</v>
      </c>
      <c r="BM19" s="23" t="s">
        <v>8</v>
      </c>
    </row>
    <row r="20" spans="5:65" x14ac:dyDescent="0.25">
      <c r="E20" s="6"/>
      <c r="F20" s="14">
        <v>5465149449444</v>
      </c>
      <c r="G20" s="13">
        <v>90</v>
      </c>
      <c r="H20" s="13" t="str">
        <f t="shared" si="2"/>
        <v>PASS</v>
      </c>
      <c r="I20" s="13" t="str">
        <f t="shared" si="3"/>
        <v>Excellent</v>
      </c>
      <c r="J20" s="13" t="str">
        <f t="shared" si="4"/>
        <v>OD</v>
      </c>
      <c r="K20" s="13" t="s">
        <v>5</v>
      </c>
      <c r="L20" s="13">
        <f t="shared" si="5"/>
        <v>139</v>
      </c>
      <c r="M20"/>
      <c r="N20" s="13"/>
      <c r="O20" s="13"/>
      <c r="P20" s="13"/>
      <c r="Q20" s="13"/>
      <c r="R20" s="7"/>
      <c r="AZ20" s="18"/>
      <c r="BA20" s="21">
        <v>5465149449444</v>
      </c>
      <c r="BB20" s="22">
        <v>90</v>
      </c>
      <c r="BC20" s="22" t="str">
        <f t="shared" si="7"/>
        <v>Pass</v>
      </c>
      <c r="BD20" s="22" t="str">
        <f t="shared" si="0"/>
        <v>Excellent</v>
      </c>
      <c r="BE20" s="22" t="str">
        <f t="shared" si="1"/>
        <v>OD</v>
      </c>
      <c r="BF20" s="19"/>
      <c r="BG20" s="19"/>
      <c r="BH20" s="22"/>
      <c r="BI20" s="22" t="s">
        <v>6</v>
      </c>
      <c r="BJ20" s="22">
        <f t="shared" si="8"/>
        <v>319</v>
      </c>
      <c r="BK20" s="22"/>
      <c r="BL20" s="22"/>
      <c r="BM20" s="23"/>
    </row>
    <row r="21" spans="5:65" x14ac:dyDescent="0.25">
      <c r="E21" s="6"/>
      <c r="F21" s="14">
        <v>6417795374333</v>
      </c>
      <c r="G21" s="13">
        <v>81</v>
      </c>
      <c r="H21" s="13" t="str">
        <f t="shared" si="2"/>
        <v>PASS</v>
      </c>
      <c r="I21" s="13" t="str">
        <f t="shared" si="3"/>
        <v>Good</v>
      </c>
      <c r="J21" s="13" t="str">
        <f t="shared" si="4"/>
        <v>RD</v>
      </c>
      <c r="K21" s="13" t="s">
        <v>8</v>
      </c>
      <c r="L21" s="13">
        <f t="shared" si="5"/>
        <v>60</v>
      </c>
      <c r="M21"/>
      <c r="N21" s="13"/>
      <c r="O21" s="13"/>
      <c r="P21" s="13"/>
      <c r="Q21" s="13"/>
      <c r="R21" s="7"/>
      <c r="AZ21" s="18"/>
      <c r="BA21" s="21">
        <v>6417795374333</v>
      </c>
      <c r="BB21" s="22">
        <v>81</v>
      </c>
      <c r="BC21" s="22" t="str">
        <f t="shared" si="7"/>
        <v>Pass</v>
      </c>
      <c r="BD21" s="22" t="str">
        <f t="shared" si="0"/>
        <v>Good</v>
      </c>
      <c r="BE21" s="22" t="str">
        <f t="shared" si="1"/>
        <v>RD</v>
      </c>
      <c r="BF21" s="19"/>
      <c r="BG21" s="19"/>
      <c r="BH21" s="22"/>
      <c r="BI21" s="22" t="s">
        <v>7</v>
      </c>
      <c r="BJ21" s="22">
        <f t="shared" si="8"/>
        <v>266</v>
      </c>
      <c r="BK21" s="22"/>
      <c r="BL21" s="22"/>
      <c r="BM21" s="23" t="s">
        <v>10</v>
      </c>
    </row>
    <row r="22" spans="5:65" x14ac:dyDescent="0.25">
      <c r="E22" s="6"/>
      <c r="F22" s="14">
        <v>1998064625444</v>
      </c>
      <c r="G22" s="13">
        <v>83</v>
      </c>
      <c r="H22" s="13" t="str">
        <f t="shared" si="2"/>
        <v>PASS</v>
      </c>
      <c r="I22" s="13" t="str">
        <f t="shared" si="3"/>
        <v>Good</v>
      </c>
      <c r="J22" s="13" t="str">
        <f t="shared" si="4"/>
        <v>OD</v>
      </c>
      <c r="K22"/>
      <c r="L22" s="13"/>
      <c r="M22"/>
      <c r="N22" s="13"/>
      <c r="O22" s="13"/>
      <c r="P22" s="13"/>
      <c r="Q22" s="13"/>
      <c r="R22" s="7"/>
      <c r="AZ22" s="18"/>
      <c r="BA22" s="21">
        <v>1998064625444</v>
      </c>
      <c r="BB22" s="22">
        <v>83</v>
      </c>
      <c r="BC22" s="22" t="str">
        <f t="shared" si="7"/>
        <v>Pass</v>
      </c>
      <c r="BD22" s="22" t="str">
        <f t="shared" si="0"/>
        <v>Good</v>
      </c>
      <c r="BE22" s="22" t="str">
        <f t="shared" si="1"/>
        <v>OD</v>
      </c>
      <c r="BF22" s="19"/>
      <c r="BG22" s="19"/>
      <c r="BH22" s="22"/>
      <c r="BI22" s="22" t="s">
        <v>8</v>
      </c>
      <c r="BJ22" s="22">
        <f t="shared" si="8"/>
        <v>60</v>
      </c>
      <c r="BK22" s="22"/>
      <c r="BL22" s="22"/>
      <c r="BM22" s="23" t="s">
        <v>11</v>
      </c>
    </row>
    <row r="23" spans="5:65" x14ac:dyDescent="0.25">
      <c r="E23" s="6"/>
      <c r="F23" s="14">
        <v>2389936279111</v>
      </c>
      <c r="G23" s="13">
        <v>64</v>
      </c>
      <c r="H23" s="13" t="str">
        <f t="shared" si="2"/>
        <v>PASS</v>
      </c>
      <c r="I23" s="13" t="str">
        <f t="shared" si="3"/>
        <v>Good</v>
      </c>
      <c r="J23" s="13" t="str">
        <f t="shared" si="4"/>
        <v>IT</v>
      </c>
      <c r="K23"/>
      <c r="L23" s="13"/>
      <c r="M23"/>
      <c r="N23" s="13"/>
      <c r="O23" s="13"/>
      <c r="P23" s="13"/>
      <c r="Q23" s="13"/>
      <c r="R23" s="7"/>
      <c r="AZ23" s="18"/>
      <c r="BA23" s="21">
        <v>2389936279111</v>
      </c>
      <c r="BB23" s="22">
        <v>64</v>
      </c>
      <c r="BC23" s="22" t="str">
        <f t="shared" si="7"/>
        <v>Pass</v>
      </c>
      <c r="BD23" s="22" t="str">
        <f t="shared" si="0"/>
        <v>Good</v>
      </c>
      <c r="BE23" s="22" t="str">
        <f t="shared" si="1"/>
        <v>IT</v>
      </c>
      <c r="BF23" s="19"/>
      <c r="BG23" s="19"/>
      <c r="BH23" s="22"/>
      <c r="BI23" s="22"/>
      <c r="BJ23" s="22"/>
      <c r="BK23" s="22"/>
      <c r="BL23" s="22"/>
      <c r="BM23" s="23" t="s">
        <v>9</v>
      </c>
    </row>
    <row r="24" spans="5:65" x14ac:dyDescent="0.25">
      <c r="E24" s="6"/>
      <c r="F24" s="14">
        <v>3626237293222</v>
      </c>
      <c r="G24" s="13">
        <v>94</v>
      </c>
      <c r="H24" s="13" t="str">
        <f t="shared" si="2"/>
        <v>PASS</v>
      </c>
      <c r="I24" s="13" t="str">
        <f t="shared" si="3"/>
        <v>Excellent</v>
      </c>
      <c r="J24" s="13" t="str">
        <f t="shared" si="4"/>
        <v>FD</v>
      </c>
      <c r="K24"/>
      <c r="L24" s="13"/>
      <c r="M24"/>
      <c r="N24" s="13"/>
      <c r="O24" s="13"/>
      <c r="P24" s="13"/>
      <c r="Q24" s="13"/>
      <c r="R24" s="7"/>
      <c r="AZ24" s="18"/>
      <c r="BA24" s="21">
        <v>3626237293222</v>
      </c>
      <c r="BB24" s="22">
        <v>94</v>
      </c>
      <c r="BC24" s="22" t="str">
        <f t="shared" si="7"/>
        <v>Pass</v>
      </c>
      <c r="BD24" s="22" t="str">
        <f t="shared" si="0"/>
        <v>Excellent</v>
      </c>
      <c r="BE24" s="22" t="str">
        <f t="shared" si="1"/>
        <v>FD</v>
      </c>
      <c r="BF24" s="19"/>
      <c r="BG24" s="19"/>
      <c r="BH24" s="22" t="s">
        <v>30</v>
      </c>
      <c r="BI24" s="19"/>
      <c r="BJ24" s="22"/>
      <c r="BK24" s="22"/>
      <c r="BL24" s="22"/>
      <c r="BM24" s="23"/>
    </row>
    <row r="25" spans="5:65" x14ac:dyDescent="0.25">
      <c r="E25" s="6"/>
      <c r="F25" s="14">
        <v>5298939536333</v>
      </c>
      <c r="G25" s="13">
        <v>80</v>
      </c>
      <c r="H25" s="13" t="str">
        <f t="shared" si="2"/>
        <v>PASS</v>
      </c>
      <c r="I25" s="13" t="str">
        <f t="shared" si="3"/>
        <v>Good</v>
      </c>
      <c r="J25" s="13" t="str">
        <f t="shared" si="4"/>
        <v>RD</v>
      </c>
      <c r="K25"/>
      <c r="L25" s="13"/>
      <c r="M25"/>
      <c r="N25" s="13"/>
      <c r="O25" s="13"/>
      <c r="P25" s="13"/>
      <c r="Q25" s="13"/>
      <c r="R25" s="7"/>
      <c r="AZ25" s="18"/>
      <c r="BA25" s="21">
        <v>5298939536333</v>
      </c>
      <c r="BB25" s="22">
        <v>80</v>
      </c>
      <c r="BC25" s="22" t="str">
        <f t="shared" si="7"/>
        <v>Pass</v>
      </c>
      <c r="BD25" s="22" t="str">
        <f t="shared" si="0"/>
        <v>Good</v>
      </c>
      <c r="BE25" s="22" t="str">
        <f t="shared" si="1"/>
        <v>RD</v>
      </c>
      <c r="BF25" s="19"/>
      <c r="BG25" s="19"/>
      <c r="BH25" s="22"/>
      <c r="BI25" s="22" t="s">
        <v>10</v>
      </c>
      <c r="BJ25" s="22">
        <f>AVERAGEIF($BD$17:$BD$31,BI25,$BB$17:$BB$31)</f>
        <v>90</v>
      </c>
      <c r="BK25" s="22"/>
      <c r="BL25" s="22"/>
      <c r="BM25" s="23"/>
    </row>
    <row r="26" spans="5:65" x14ac:dyDescent="0.25">
      <c r="E26" s="6"/>
      <c r="F26" s="14">
        <v>1994955008444</v>
      </c>
      <c r="G26" s="13">
        <v>47</v>
      </c>
      <c r="H26" s="13" t="str">
        <f t="shared" si="2"/>
        <v>FAIL</v>
      </c>
      <c r="I26" s="13" t="str">
        <f t="shared" si="3"/>
        <v>Bad</v>
      </c>
      <c r="J26" s="13" t="str">
        <f t="shared" si="4"/>
        <v>OD</v>
      </c>
      <c r="K26"/>
      <c r="L26" s="13"/>
      <c r="M26"/>
      <c r="N26" s="13"/>
      <c r="O26" s="13"/>
      <c r="P26" s="13"/>
      <c r="Q26" s="13"/>
      <c r="R26" s="7"/>
      <c r="AZ26" s="18"/>
      <c r="BA26" s="21">
        <v>1994955008444</v>
      </c>
      <c r="BB26" s="22">
        <v>47</v>
      </c>
      <c r="BC26" s="22" t="str">
        <f t="shared" si="7"/>
        <v>Fail</v>
      </c>
      <c r="BD26" s="22" t="str">
        <f t="shared" si="0"/>
        <v>Bad</v>
      </c>
      <c r="BE26" s="22" t="str">
        <f t="shared" si="1"/>
        <v>OD</v>
      </c>
      <c r="BF26" s="19"/>
      <c r="BG26" s="19"/>
      <c r="BH26" s="22"/>
      <c r="BI26" s="22" t="s">
        <v>11</v>
      </c>
      <c r="BJ26" s="22">
        <f t="shared" ref="BJ26:BJ27" si="9">AVERAGEIF($BD$17:$BD$31,BI26,$BB$17:$BB$31)</f>
        <v>73.125</v>
      </c>
      <c r="BK26" s="22"/>
      <c r="BL26" s="22"/>
      <c r="BM26" s="23"/>
    </row>
    <row r="27" spans="5:65" x14ac:dyDescent="0.25">
      <c r="E27" s="6"/>
      <c r="F27" s="14">
        <v>4144837821555</v>
      </c>
      <c r="G27" s="13">
        <v>60</v>
      </c>
      <c r="H27" s="13" t="str">
        <f t="shared" si="2"/>
        <v>PASS</v>
      </c>
      <c r="I27" s="13" t="str">
        <f t="shared" si="3"/>
        <v>Bad</v>
      </c>
      <c r="J27" s="13" t="str">
        <f t="shared" si="4"/>
        <v>SD</v>
      </c>
      <c r="K27"/>
      <c r="L27" s="13"/>
      <c r="M27"/>
      <c r="N27" s="13"/>
      <c r="O27" s="13"/>
      <c r="P27" s="13"/>
      <c r="Q27" s="13"/>
      <c r="R27" s="7"/>
      <c r="AZ27" s="18"/>
      <c r="BA27" s="21">
        <v>4144837821555</v>
      </c>
      <c r="BB27" s="22">
        <v>60</v>
      </c>
      <c r="BC27" s="22" t="str">
        <f t="shared" si="7"/>
        <v>Pass</v>
      </c>
      <c r="BD27" s="22" t="str">
        <f t="shared" si="0"/>
        <v>Good</v>
      </c>
      <c r="BE27" s="22" t="str">
        <f t="shared" si="1"/>
        <v>SD</v>
      </c>
      <c r="BF27" s="19"/>
      <c r="BG27" s="19"/>
      <c r="BH27" s="22"/>
      <c r="BI27" s="22" t="s">
        <v>9</v>
      </c>
      <c r="BJ27" s="22">
        <f t="shared" si="9"/>
        <v>47.5</v>
      </c>
      <c r="BK27" s="22"/>
      <c r="BL27" s="22"/>
      <c r="BM27" s="23"/>
    </row>
    <row r="28" spans="5:65" x14ac:dyDescent="0.25">
      <c r="E28" s="6"/>
      <c r="F28" s="14">
        <v>5547262728111</v>
      </c>
      <c r="G28" s="13">
        <v>63</v>
      </c>
      <c r="H28" s="13" t="str">
        <f t="shared" si="2"/>
        <v>PASS</v>
      </c>
      <c r="I28" s="13" t="str">
        <f t="shared" si="3"/>
        <v>Good</v>
      </c>
      <c r="J28" s="13" t="str">
        <f t="shared" si="4"/>
        <v>IT</v>
      </c>
      <c r="K28"/>
      <c r="L28" s="13"/>
      <c r="M28"/>
      <c r="N28" s="13"/>
      <c r="O28" s="13"/>
      <c r="P28" s="13"/>
      <c r="Q28" s="13"/>
      <c r="R28" s="7"/>
      <c r="AZ28" s="18"/>
      <c r="BA28" s="21">
        <v>5547262728111</v>
      </c>
      <c r="BB28" s="22">
        <v>63</v>
      </c>
      <c r="BC28" s="22" t="str">
        <f t="shared" si="7"/>
        <v>Pass</v>
      </c>
      <c r="BD28" s="22" t="str">
        <f t="shared" si="0"/>
        <v>Good</v>
      </c>
      <c r="BE28" s="22" t="str">
        <f t="shared" si="1"/>
        <v>IT</v>
      </c>
      <c r="BF28" s="22"/>
      <c r="BG28" s="22"/>
      <c r="BH28" s="22"/>
      <c r="BI28" s="22"/>
      <c r="BJ28" s="22"/>
      <c r="BK28" s="22"/>
      <c r="BL28" s="22"/>
      <c r="BM28" s="23"/>
    </row>
    <row r="29" spans="5:65" x14ac:dyDescent="0.25">
      <c r="E29" s="6"/>
      <c r="F29" s="14">
        <v>8795547327222</v>
      </c>
      <c r="G29" s="13">
        <v>45</v>
      </c>
      <c r="H29" s="13" t="str">
        <f t="shared" si="2"/>
        <v>FAIL</v>
      </c>
      <c r="I29" s="13" t="str">
        <f t="shared" si="3"/>
        <v>Bad</v>
      </c>
      <c r="J29" s="13" t="str">
        <f t="shared" si="4"/>
        <v>FD</v>
      </c>
      <c r="K29"/>
      <c r="L29" s="13"/>
      <c r="M29"/>
      <c r="N29" s="13"/>
      <c r="O29" s="13"/>
      <c r="P29" s="13"/>
      <c r="Q29" s="13"/>
      <c r="R29" s="7"/>
      <c r="AZ29" s="18"/>
      <c r="BA29" s="21">
        <v>8795547327222</v>
      </c>
      <c r="BB29" s="22">
        <v>45</v>
      </c>
      <c r="BC29" s="22" t="str">
        <f t="shared" si="7"/>
        <v>Fail</v>
      </c>
      <c r="BD29" s="22" t="str">
        <f t="shared" si="0"/>
        <v>Bad</v>
      </c>
      <c r="BE29" s="22" t="str">
        <f t="shared" si="1"/>
        <v>FD</v>
      </c>
      <c r="BF29" s="22"/>
      <c r="BG29" s="22"/>
      <c r="BH29" s="22"/>
      <c r="BI29" s="22"/>
      <c r="BJ29" s="22"/>
      <c r="BK29" s="22"/>
      <c r="BL29" s="22"/>
      <c r="BM29" s="23"/>
    </row>
    <row r="30" spans="5:65" x14ac:dyDescent="0.25">
      <c r="E30" s="6"/>
      <c r="F30" s="14">
        <v>9868330693333</v>
      </c>
      <c r="G30" s="13">
        <v>86</v>
      </c>
      <c r="H30" s="13" t="str">
        <f t="shared" si="2"/>
        <v>PASS</v>
      </c>
      <c r="I30" s="13" t="str">
        <f t="shared" si="3"/>
        <v>Excellent</v>
      </c>
      <c r="J30" s="13" t="str">
        <f t="shared" si="4"/>
        <v>RD</v>
      </c>
      <c r="K30"/>
      <c r="L30" s="13"/>
      <c r="M30"/>
      <c r="N30" s="13"/>
      <c r="O30" s="13"/>
      <c r="P30" s="13"/>
      <c r="Q30" s="13"/>
      <c r="R30" s="7"/>
      <c r="AZ30" s="18"/>
      <c r="BA30" s="21">
        <v>9868330693333</v>
      </c>
      <c r="BB30" s="22">
        <v>86</v>
      </c>
      <c r="BC30" s="22" t="str">
        <f t="shared" si="7"/>
        <v>Pass</v>
      </c>
      <c r="BD30" s="22" t="str">
        <f t="shared" si="0"/>
        <v>Excellent</v>
      </c>
      <c r="BE30" s="22" t="str">
        <f t="shared" si="1"/>
        <v>RD</v>
      </c>
      <c r="BF30" s="22"/>
      <c r="BG30" s="22"/>
      <c r="BH30" s="22"/>
      <c r="BI30" s="22"/>
      <c r="BJ30" s="22"/>
      <c r="BK30" s="22"/>
      <c r="BL30" s="22"/>
      <c r="BM30" s="23"/>
    </row>
    <row r="31" spans="5:65" x14ac:dyDescent="0.25">
      <c r="E31" s="6"/>
      <c r="F31" s="14">
        <v>7512508391444</v>
      </c>
      <c r="G31" s="13">
        <v>46</v>
      </c>
      <c r="H31" s="13" t="str">
        <f t="shared" si="2"/>
        <v>FAIL</v>
      </c>
      <c r="I31" s="13" t="str">
        <f t="shared" si="3"/>
        <v>Bad</v>
      </c>
      <c r="J31" s="13" t="str">
        <f t="shared" si="4"/>
        <v>OD</v>
      </c>
      <c r="K31"/>
      <c r="L31" s="13"/>
      <c r="M31"/>
      <c r="N31" s="13"/>
      <c r="O31" s="13"/>
      <c r="P31" s="13"/>
      <c r="Q31" s="13"/>
      <c r="R31" s="7"/>
      <c r="AZ31" s="18"/>
      <c r="BA31" s="21">
        <v>7512508391444</v>
      </c>
      <c r="BB31" s="22">
        <v>46</v>
      </c>
      <c r="BC31" s="22" t="str">
        <f t="shared" si="7"/>
        <v>Fail</v>
      </c>
      <c r="BD31" s="22" t="str">
        <f t="shared" si="0"/>
        <v>Bad</v>
      </c>
      <c r="BE31" s="22" t="str">
        <f t="shared" si="1"/>
        <v>OD</v>
      </c>
      <c r="BF31" s="22"/>
      <c r="BG31" s="22"/>
      <c r="BH31" s="22"/>
      <c r="BI31" s="22"/>
      <c r="BJ31" s="22"/>
      <c r="BK31" s="22"/>
      <c r="BL31" s="22"/>
      <c r="BM31" s="23"/>
    </row>
    <row r="32" spans="5:65" x14ac:dyDescent="0.25"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AZ32" s="18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3"/>
    </row>
    <row r="33" spans="52:65" x14ac:dyDescent="0.25">
      <c r="AZ33" s="24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Тема урока</vt:lpstr>
      <vt:lpstr>Выполнить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2026-02-11T15:48:25Z</dcterms:modified>
</cp:coreProperties>
</file>