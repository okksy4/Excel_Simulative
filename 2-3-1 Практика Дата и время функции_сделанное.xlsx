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РАБОТА\"/>
    </mc:Choice>
  </mc:AlternateContent>
  <xr:revisionPtr revIDLastSave="0" documentId="13_ncr:1_{B5324817-37BA-4568-8535-FB46A2F777CC}" xr6:coauthVersionLast="37" xr6:coauthVersionMax="47" xr10:uidLastSave="{00000000-0000-0000-0000-000000000000}"/>
  <bookViews>
    <workbookView xWindow="0" yWindow="0" windowWidth="28800" windowHeight="11910" activeTab="4" xr2:uid="{BE275577-B430-4DCB-AA1E-9DF443D9D709}"/>
  </bookViews>
  <sheets>
    <sheet name="Тема урока" sheetId="1" r:id="rId1"/>
    <sheet name="Инструкция" sheetId="4" r:id="rId2"/>
    <sheet name="Бюджет" sheetId="6" r:id="rId3"/>
    <sheet name="Расход" sheetId="7" r:id="rId4"/>
    <sheet name="Калькулятор" sheetId="9" r:id="rId5"/>
  </sheets>
  <definedNames>
    <definedName name="_xlchart.v1.0" hidden="1">(Калькулятор!$F$8,Калькулятор!$F$12)</definedName>
    <definedName name="_xlchart.v1.1" hidden="1">(Калькулятор!$G$8,Калькулятор!$G$12)</definedName>
    <definedName name="_xlchart.v1.2" hidden="1">(Калькулятор!$F$8,Калькулятор!$F$12)</definedName>
    <definedName name="_xlchart.v1.3" hidden="1">(Калькулятор!$G$8,Калькулятор!$G$12)</definedName>
  </definedNames>
  <calcPr calcId="179021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9" l="1"/>
  <c r="G8" i="9" l="1"/>
  <c r="G7" i="9"/>
  <c r="G11" i="9" s="1"/>
  <c r="G12" i="9" s="1"/>
  <c r="F246" i="7"/>
  <c r="F247" i="7" s="1"/>
  <c r="F248" i="7" s="1"/>
  <c r="F249" i="7" s="1"/>
  <c r="F250" i="7" s="1"/>
  <c r="F251" i="7" s="1"/>
  <c r="F252" i="7" s="1"/>
  <c r="F253" i="7" s="1"/>
  <c r="F254" i="7" s="1"/>
  <c r="F255" i="7" s="1"/>
  <c r="F256" i="7" s="1"/>
  <c r="F257" i="7" s="1"/>
  <c r="F258" i="7" s="1"/>
  <c r="F259" i="7" s="1"/>
  <c r="F260" i="7" s="1"/>
  <c r="F261" i="7" s="1"/>
  <c r="F262" i="7" s="1"/>
  <c r="F263" i="7" s="1"/>
  <c r="F264" i="7" s="1"/>
  <c r="F265" i="7" s="1"/>
  <c r="F266" i="7" s="1"/>
  <c r="F267" i="7" s="1"/>
  <c r="F268" i="7" s="1"/>
  <c r="F269" i="7" s="1"/>
  <c r="F270" i="7" s="1"/>
  <c r="F271" i="7" s="1"/>
  <c r="F272" i="7" s="1"/>
  <c r="F273" i="7" s="1"/>
  <c r="F274" i="7" s="1"/>
  <c r="F275" i="7" s="1"/>
  <c r="F276" i="7" s="1"/>
  <c r="F277" i="7" s="1"/>
  <c r="F278" i="7" s="1"/>
  <c r="F279" i="7" s="1"/>
  <c r="F280" i="7" s="1"/>
  <c r="F281" i="7" s="1"/>
  <c r="F282" i="7" s="1"/>
  <c r="F283" i="7" s="1"/>
  <c r="F284" i="7" s="1"/>
  <c r="F285" i="7" s="1"/>
  <c r="F286" i="7" s="1"/>
  <c r="F287" i="7" s="1"/>
  <c r="F288" i="7" s="1"/>
  <c r="F289" i="7" s="1"/>
  <c r="F290" i="7" s="1"/>
  <c r="F291" i="7" s="1"/>
  <c r="F292" i="7" s="1"/>
  <c r="F293" i="7" s="1"/>
  <c r="F294" i="7" s="1"/>
  <c r="F295" i="7" s="1"/>
  <c r="F296" i="7" s="1"/>
  <c r="F297" i="7" s="1"/>
  <c r="F298" i="7" s="1"/>
  <c r="F299" i="7" s="1"/>
  <c r="F300" i="7" s="1"/>
  <c r="F301" i="7" s="1"/>
  <c r="F302" i="7" s="1"/>
  <c r="F303" i="7" s="1"/>
  <c r="F304" i="7" s="1"/>
  <c r="F305" i="7" s="1"/>
  <c r="F306" i="7" s="1"/>
  <c r="F307" i="7" s="1"/>
  <c r="F308" i="7" s="1"/>
  <c r="F309" i="7" s="1"/>
  <c r="F310" i="7" s="1"/>
  <c r="F311" i="7" s="1"/>
  <c r="F312" i="7" s="1"/>
  <c r="F313" i="7" s="1"/>
  <c r="F314" i="7" s="1"/>
  <c r="F315" i="7" s="1"/>
  <c r="F316" i="7" s="1"/>
  <c r="F317" i="7" s="1"/>
  <c r="F318" i="7" s="1"/>
  <c r="F319" i="7" s="1"/>
  <c r="F320" i="7" s="1"/>
  <c r="F321" i="7" s="1"/>
  <c r="F322" i="7" s="1"/>
  <c r="F323" i="7" s="1"/>
  <c r="F324" i="7" s="1"/>
  <c r="F325" i="7" s="1"/>
  <c r="F326" i="7" s="1"/>
  <c r="F327" i="7" s="1"/>
  <c r="F328" i="7" s="1"/>
  <c r="F329" i="7" s="1"/>
  <c r="F330" i="7" s="1"/>
  <c r="F331" i="7" s="1"/>
  <c r="F332" i="7" s="1"/>
  <c r="F333" i="7" s="1"/>
  <c r="F334" i="7" s="1"/>
  <c r="F335" i="7" s="1"/>
  <c r="F336" i="7" s="1"/>
  <c r="F337" i="7" s="1"/>
  <c r="F338" i="7" s="1"/>
  <c r="F339" i="7" s="1"/>
  <c r="F340" i="7" s="1"/>
  <c r="F341" i="7" s="1"/>
  <c r="F342" i="7" s="1"/>
  <c r="F343" i="7" s="1"/>
  <c r="F344" i="7" s="1"/>
  <c r="F345" i="7" s="1"/>
  <c r="F346" i="7" s="1"/>
  <c r="F347" i="7" s="1"/>
  <c r="F348" i="7" s="1"/>
  <c r="F349" i="7" s="1"/>
  <c r="F350" i="7" s="1"/>
  <c r="F351" i="7" s="1"/>
  <c r="F352" i="7" s="1"/>
  <c r="F353" i="7" s="1"/>
  <c r="F354" i="7" s="1"/>
  <c r="F355" i="7" s="1"/>
  <c r="F356" i="7" s="1"/>
  <c r="F357" i="7" s="1"/>
  <c r="F358" i="7" s="1"/>
  <c r="F359" i="7" s="1"/>
  <c r="F360" i="7" s="1"/>
  <c r="F361" i="7" s="1"/>
  <c r="F362" i="7" s="1"/>
  <c r="F363" i="7" s="1"/>
  <c r="F364" i="7" s="1"/>
  <c r="F365" i="7" s="1"/>
  <c r="F366" i="7" s="1"/>
  <c r="F4" i="7"/>
  <c r="F5" i="7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F235" i="7" s="1"/>
  <c r="F236" i="7" s="1"/>
  <c r="F237" i="7" s="1"/>
  <c r="F238" i="7" s="1"/>
  <c r="F239" i="7" s="1"/>
  <c r="F240" i="7" s="1"/>
  <c r="F241" i="7" s="1"/>
  <c r="F242" i="7" s="1"/>
  <c r="F243" i="7" s="1"/>
  <c r="F244" i="7" s="1"/>
  <c r="F245" i="7" s="1"/>
  <c r="F3" i="7"/>
</calcChain>
</file>

<file path=xl/sharedStrings.xml><?xml version="1.0" encoding="utf-8"?>
<sst xmlns="http://schemas.openxmlformats.org/spreadsheetml/2006/main" count="23" uniqueCount="21">
  <si>
    <t>Бюджет</t>
  </si>
  <si>
    <t>Расход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</si>
  <si>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</si>
  <si>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</si>
  <si>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</si>
  <si>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</si>
  <si>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</si>
  <si>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</si>
  <si>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</si>
  <si>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</si>
  <si>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</si>
  <si>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</si>
  <si>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</si>
  <si>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</si>
  <si>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</si>
  <si>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Дата:</t>
  </si>
  <si>
    <t>Начало месяца:</t>
  </si>
  <si>
    <t>% дней по месяцу:</t>
  </si>
  <si>
    <t>Бюджет на месяц:</t>
  </si>
  <si>
    <t>Расход за месяц:</t>
  </si>
  <si>
    <t>% расхода от бюджета: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</si>
</sst>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\ &quot;₽&quot;_-;\-* #,##0\ &quot;₽&quot;_-;_-* &quot;-&quot;??\ &quot;₽&quot;_-;_-@_-"/>
    <numFmt numFmtId="165" formatCode="mmmm"/>
    <numFmt numFmtId="168" formatCode="[$-419]mmmm;@"/>
  </numFmts>
  <fonts count="13" x14ac:knownFonts="1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u/>
      <sz val="11"/>
      <color theme="10"/>
      <name val="Univers"/>
      <family val="2"/>
      <charset val="204"/>
    </font>
    <font>
      <sz val="11"/>
      <name val="Wingdings"/>
      <charset val="2"/>
    </font>
    <font>
      <u/>
      <sz val="11"/>
      <color theme="10"/>
      <name val="Wingdings"/>
      <charset val="2"/>
    </font>
    <font>
      <b/>
      <i/>
      <sz val="12"/>
      <name val="Univers"/>
      <family val="2"/>
    </font>
    <font>
      <b/>
      <i/>
      <sz val="12"/>
      <color rgb="FFFF9933"/>
      <name val="Univers"/>
      <family val="2"/>
    </font>
    <font>
      <b/>
      <sz val="11"/>
      <color rgb="FFFA7D00"/>
      <name val="Univers"/>
      <family val="2"/>
      <charset val="204"/>
    </font>
    <font>
      <b/>
      <sz val="11"/>
      <color theme="1"/>
      <name val="Univers"/>
      <family val="2"/>
      <charset val="204"/>
    </font>
    <font>
      <b/>
      <sz val="11"/>
      <color theme="0"/>
      <name val="Univers"/>
      <family val="2"/>
    </font>
    <font>
      <sz val="8"/>
      <name val="Univers"/>
      <family val="2"/>
      <charset val="204"/>
    </font>
    <font>
      <sz val="11"/>
      <color theme="1"/>
      <name val="Univers"/>
      <family val="2"/>
      <charset val="204"/>
    </font>
    <font>
      <i/>
      <sz val="11"/>
      <color theme="1" tint="0.34998626667073579"/>
      <name val="Univers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4" borderId="1" applyNumberFormat="0" applyAlignment="0" applyProtection="0"/>
    <xf numFmtId="9" fontId="1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1" applyFill="1"/>
    <xf numFmtId="0" fontId="3" fillId="3" borderId="0" xfId="0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/>
    <xf numFmtId="164" fontId="8" fillId="0" borderId="0" xfId="2" applyNumberFormat="1" applyFont="1" applyFill="1" applyBorder="1" applyAlignment="1"/>
    <xf numFmtId="164" fontId="8" fillId="0" borderId="2" xfId="2" applyNumberFormat="1" applyFont="1" applyFill="1" applyBorder="1" applyAlignment="1"/>
    <xf numFmtId="0" fontId="9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65" fontId="8" fillId="0" borderId="0" xfId="2" applyNumberFormat="1" applyFont="1" applyFill="1" applyBorder="1" applyAlignment="1"/>
    <xf numFmtId="165" fontId="8" fillId="0" borderId="2" xfId="2" applyNumberFormat="1" applyFont="1" applyFill="1" applyBorder="1" applyAlignment="1"/>
    <xf numFmtId="0" fontId="0" fillId="5" borderId="0" xfId="0" applyFill="1"/>
    <xf numFmtId="165" fontId="8" fillId="2" borderId="0" xfId="2" applyNumberFormat="1" applyFont="1" applyFill="1" applyBorder="1" applyAlignment="1"/>
    <xf numFmtId="14" fontId="0" fillId="2" borderId="0" xfId="0" applyNumberFormat="1" applyFill="1"/>
    <xf numFmtId="10" fontId="0" fillId="2" borderId="0" xfId="3" applyNumberFormat="1" applyFont="1" applyFill="1"/>
    <xf numFmtId="168" fontId="0" fillId="2" borderId="0" xfId="0" applyNumberFormat="1" applyFill="1"/>
    <xf numFmtId="4" fontId="0" fillId="2" borderId="0" xfId="0" applyNumberFormat="1" applyFill="1"/>
    <xf numFmtId="0" fontId="12" fillId="2" borderId="0" xfId="0" applyFont="1" applyFill="1" applyAlignment="1">
      <alignment horizontal="right"/>
    </xf>
  </cellXfs>
  <cellStyles count="4">
    <cellStyle name="Вычисление" xfId="2" builtinId="22"/>
    <cellStyle name="Гиперссылка" xfId="1" builtinId="8"/>
    <cellStyle name="Обычный" xfId="0" builtinId="0"/>
    <cellStyle name="Процентный" xfId="3" builtinId="5"/>
  </cellStyles>
  <dxfs count="0"/>
  <tableStyles count="1" defaultTableStyle="TableStyleMedium2" defaultPivotStyle="PivotStyleLight16">
    <tableStyle name="Invisible" pivot="0" table="0" count="0" xr9:uid="{B5C0A367-8E28-4443-A3DF-2024ECE1942A}"/>
  </tableStyles>
  <colors>
    <mruColors>
      <color rgb="FFFF9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&#1042;&#1099;&#1087;&#1086;&#1083;&#1085;&#1080;&#1090;&#1100;!A1"/><Relationship Id="rId5" Type="http://schemas.openxmlformats.org/officeDocument/2006/relationships/image" Target="../media/image5.svg"/><Relationship Id="rId10" Type="http://schemas.openxmlformats.org/officeDocument/2006/relationships/hyperlink" Target="#&#1048;&#1085;&#1089;&#1090;&#1088;&#1091;&#1082;&#1094;&#1080;&#1103;!A1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19" name="Прямоугольник 18">
          <a:extLst>
            <a:ext uri="{FF2B5EF4-FFF2-40B4-BE49-F238E27FC236}">
              <a16:creationId xmlns:a16="http://schemas.microsoft.com/office/drawing/2014/main" id="{5BE2D0FC-602F-0A26-883F-21D43B33CB88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7" name="Google Shape;63;p14">
          <a:extLst>
            <a:ext uri="{FF2B5EF4-FFF2-40B4-BE49-F238E27FC236}">
              <a16:creationId xmlns:a16="http://schemas.microsoft.com/office/drawing/2014/main" id="{366B56AD-675E-0DB5-436F-FA38D022C4A1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5" name="Рисунок 4" descr="Мужской профиль контур">
          <a:extLst>
            <a:ext uri="{FF2B5EF4-FFF2-40B4-BE49-F238E27FC236}">
              <a16:creationId xmlns:a16="http://schemas.microsoft.com/office/drawing/2014/main" id="{2BEF9A60-454B-2D0C-89A5-105DD39D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9" name="Рисунок 8" descr="Конверт контур">
          <a:extLst>
            <a:ext uri="{FF2B5EF4-FFF2-40B4-BE49-F238E27FC236}">
              <a16:creationId xmlns:a16="http://schemas.microsoft.com/office/drawing/2014/main" id="{04C1FC32-4A77-BD01-8CCB-BABF9F015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909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ADF2C05-8FC2-F677-20F5-A0072284A6C7}"/>
            </a:ext>
          </a:extLst>
        </xdr:cNvPr>
        <xdr:cNvSpPr txBox="1"/>
      </xdr:nvSpPr>
      <xdr:spPr>
        <a:xfrm>
          <a:off x="41275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12" name="Рисунок 11" descr="Значок 1 со сплошной заливкой">
          <a:extLst>
            <a:ext uri="{FF2B5EF4-FFF2-40B4-BE49-F238E27FC236}">
              <a16:creationId xmlns:a16="http://schemas.microsoft.com/office/drawing/2014/main" id="{EDF55D29-9580-8B8A-C6AE-6ABF1A28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8227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99F8172-B9CC-427F-F49B-60921070EEA7}"/>
            </a:ext>
          </a:extLst>
        </xdr:cNvPr>
        <xdr:cNvSpPr txBox="1"/>
      </xdr:nvSpPr>
      <xdr:spPr>
        <a:xfrm>
          <a:off x="33845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br>
            <a:rPr lang="en-US" sz="1400" u="sng" baseline="0"/>
          </a:br>
          <a:r>
            <a:rPr lang="ru-RU" sz="1400" u="sng" baseline="0"/>
            <a:t>Тема: Калькулятор бюджета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101600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F3DAD7-CFAA-DCEE-0B71-751DC95A97C6}"/>
            </a:ext>
          </a:extLst>
        </xdr:cNvPr>
        <xdr:cNvSpPr txBox="1"/>
      </xdr:nvSpPr>
      <xdr:spPr>
        <a:xfrm>
          <a:off x="1987550" y="1974850"/>
          <a:ext cx="4908550" cy="3282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Привет!</a:t>
          </a:r>
          <a:br>
            <a:rPr lang="ru-RU"/>
          </a:b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 нас был простенький калькулятор по выполнению бюджета, что-то я не могу его найти.  Давай так, это будет вместо практической работы, тем более функции "Дата и время" не столь сложны в применении.</a:t>
          </a:r>
          <a:br>
            <a:rPr lang="ru-RU"/>
          </a:b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 чем суть калькулятора? Каждый день у нас загружаются суммы по расходу на рекламу, эти данные мы рассчитываем и интегрируем в калькулятор, где мы можем видеть % от выставленного бюджета на месяц, а также % пройденных дней от выбранной даты соответствующего месяца.</a:t>
          </a:r>
          <a:br>
            <a:rPr lang="ru-RU"/>
          </a:b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"Простота" калькулятора заключалось в том, что при выборе той или иной даты  подтягивались данные по бюджету.</a:t>
          </a:r>
          <a:br>
            <a:rPr lang="ru-RU"/>
          </a:b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Выполнять будешь пошагово, инструкцию приложил.</a:t>
          </a:r>
          <a:endParaRPr lang="ru-RU" sz="1100"/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6" name="Рисунок 15" descr="Скрепка со сплошной заливкой">
          <a:extLst>
            <a:ext uri="{FF2B5EF4-FFF2-40B4-BE49-F238E27FC236}">
              <a16:creationId xmlns:a16="http://schemas.microsoft.com/office/drawing/2014/main" id="{D511AD92-337A-2586-25C6-9DA14009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29</xdr:row>
      <xdr:rowOff>57150</xdr:rowOff>
    </xdr:from>
    <xdr:to>
      <xdr:col>10</xdr:col>
      <xdr:colOff>330200</xdr:colOff>
      <xdr:row>30</xdr:row>
      <xdr:rowOff>101600</xdr:rowOff>
    </xdr:to>
    <xdr:sp macro="" textlink="">
      <xdr:nvSpPr>
        <xdr:cNvPr id="21" name="TextBox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8C3A6C-1142-431D-8E1A-B4BC9E838043}"/>
            </a:ext>
          </a:extLst>
        </xdr:cNvPr>
        <xdr:cNvSpPr txBox="1"/>
      </xdr:nvSpPr>
      <xdr:spPr>
        <a:xfrm>
          <a:off x="6045200" y="53975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6</xdr:col>
      <xdr:colOff>146050</xdr:colOff>
      <xdr:row>30</xdr:row>
      <xdr:rowOff>139700</xdr:rowOff>
    </xdr:to>
    <xdr:sp macro="" textlink="">
      <xdr:nvSpPr>
        <xdr:cNvPr id="6" name="TextBox 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4A79FFF-F60D-408F-8390-2C53E100281E}"/>
            </a:ext>
          </a:extLst>
        </xdr:cNvPr>
        <xdr:cNvSpPr txBox="1"/>
      </xdr:nvSpPr>
      <xdr:spPr>
        <a:xfrm>
          <a:off x="2254250" y="5308600"/>
          <a:ext cx="18161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050" b="0" i="1" u="none"/>
            <a:t>Инструкция</a:t>
          </a:r>
        </a:p>
      </xdr:txBody>
    </xdr:sp>
    <xdr:clientData/>
  </xdr:twoCellAnchor>
  <xdr:twoCellAnchor>
    <xdr:from>
      <xdr:col>0</xdr:col>
      <xdr:colOff>120650</xdr:colOff>
      <xdr:row>2</xdr:row>
      <xdr:rowOff>0</xdr:rowOff>
    </xdr:from>
    <xdr:to>
      <xdr:col>1</xdr:col>
      <xdr:colOff>273050</xdr:colOff>
      <xdr:row>26</xdr:row>
      <xdr:rowOff>114300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1FDF6167-12C1-4335-9F9C-04B6BB84B191}"/>
            </a:ext>
          </a:extLst>
        </xdr:cNvPr>
        <xdr:cNvSpPr txBox="1"/>
      </xdr:nvSpPr>
      <xdr:spPr>
        <a:xfrm rot="-5400000">
          <a:off x="-1860550" y="23495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Работа с функциями</a:t>
          </a:r>
          <a:r>
            <a:rPr lang="ru-RU" sz="20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" sz="2000">
              <a:latin typeface="Fira Sans"/>
              <a:ea typeface="Fira Sans"/>
              <a:cs typeface="Fira Sans"/>
              <a:sym typeface="Fira Sans"/>
            </a:rPr>
            <a:t>/ Дата и время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CFB7591F-0EFC-48B0-9C97-C3BAAF93B06D}"/>
            </a:ext>
          </a:extLst>
        </xdr:cNvPr>
        <xdr:cNvSpPr txBox="1"/>
      </xdr:nvSpPr>
      <xdr:spPr>
        <a:xfrm rot="-5400000">
          <a:off x="3382962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4</xdr:col>
      <xdr:colOff>25400</xdr:colOff>
      <xdr:row>0</xdr:row>
      <xdr:rowOff>88900</xdr:rowOff>
    </xdr:from>
    <xdr:to>
      <xdr:col>13</xdr:col>
      <xdr:colOff>330200</xdr:colOff>
      <xdr:row>31</xdr:row>
      <xdr:rowOff>171450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59802244-36FE-4E4E-9A61-23A94CA05528}"/>
            </a:ext>
          </a:extLst>
        </xdr:cNvPr>
        <xdr:cNvSpPr/>
      </xdr:nvSpPr>
      <xdr:spPr>
        <a:xfrm>
          <a:off x="1879600" y="889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133350</xdr:colOff>
      <xdr:row>1</xdr:row>
      <xdr:rowOff>38100</xdr:rowOff>
    </xdr:from>
    <xdr:to>
      <xdr:col>13</xdr:col>
      <xdr:colOff>241300</xdr:colOff>
      <xdr:row>31</xdr:row>
      <xdr:rowOff>82550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18F7CEC-8161-4D17-AF09-2638D50C75B1}"/>
            </a:ext>
          </a:extLst>
        </xdr:cNvPr>
        <xdr:cNvSpPr txBox="1"/>
      </xdr:nvSpPr>
      <xdr:spPr>
        <a:xfrm>
          <a:off x="1987550" y="222250"/>
          <a:ext cx="6051550" cy="5568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800" b="1"/>
            <a:t>Инструкция</a:t>
          </a:r>
        </a:p>
        <a:p>
          <a:endParaRPr lang="ru-RU" sz="1100"/>
        </a:p>
        <a:p>
          <a:r>
            <a:rPr lang="ru-RU" sz="1800" b="1" i="1" u="sng"/>
            <a:t>Основные шаги</a:t>
          </a:r>
        </a:p>
        <a:p>
          <a:r>
            <a:rPr lang="ru-RU" sz="1100" b="1"/>
            <a:t>Шаг</a:t>
          </a:r>
          <a:r>
            <a:rPr lang="ru-RU" sz="1100" b="1" baseline="0"/>
            <a:t> 1. Работа с данными по расходу</a:t>
          </a:r>
        </a:p>
        <a:p>
          <a:r>
            <a:rPr lang="ru-RU" sz="1100" baseline="0"/>
            <a:t>Необходимо преобразовать данные по расходам на рекламу с учетом того, что данные будут добавляться. Каждая строка в отчете это отдельный день с суммой расхода по всем инициативам. </a:t>
          </a:r>
          <a:endParaRPr lang="en-US" sz="1100" baseline="0"/>
        </a:p>
        <a:p>
          <a:r>
            <a:rPr lang="ru-RU" sz="1100" baseline="0"/>
            <a:t>В отчете отражены данные с янв по авг 2024.</a:t>
          </a:r>
        </a:p>
        <a:p>
          <a:endParaRPr lang="ru-RU" sz="1100" baseline="0"/>
        </a:p>
        <a:p>
          <a:r>
            <a:rPr lang="ru-RU" sz="1100" b="1" baseline="0"/>
            <a:t>Шаг 2. Выстроить простую форму калькулятора</a:t>
          </a:r>
          <a:r>
            <a:rPr lang="ru-RU" sz="1100" baseline="0"/>
            <a:t>(</a:t>
          </a:r>
          <a:r>
            <a:rPr lang="ru-RU" sz="1000" i="1" baseline="0"/>
            <a:t>уже есть отдельная вкладка</a:t>
          </a:r>
          <a:r>
            <a:rPr lang="ru-RU" sz="1100" baseline="0"/>
            <a:t>), где есть:</a:t>
          </a:r>
          <a:br>
            <a:rPr lang="ru-RU" sz="1100" baseline="0"/>
          </a:br>
          <a:r>
            <a:rPr lang="ru-RU" sz="1100" baseline="0"/>
            <a:t>Текущая дата (</a:t>
          </a:r>
          <a:r>
            <a:rPr lang="ru-RU" sz="900" i="1" baseline="0"/>
            <a:t>или любая другая в рамках периода из отчета по расходам</a:t>
          </a:r>
          <a:r>
            <a:rPr lang="ru-RU" sz="1100" baseline="0"/>
            <a:t>)</a:t>
          </a:r>
        </a:p>
        <a:p>
          <a:r>
            <a:rPr lang="ru-RU" sz="1100" baseline="0"/>
            <a:t>Первое число месяца от текущей даты</a:t>
          </a:r>
          <a:r>
            <a:rPr lang="en-US" sz="1100" baseline="0"/>
            <a:t>(</a:t>
          </a:r>
          <a:r>
            <a:rPr lang="ru-RU" sz="900" i="1" baseline="0"/>
            <a:t>так как % будем считать в рамках месяца по текущей дате</a:t>
          </a:r>
          <a:r>
            <a:rPr lang="ru-RU" sz="1100" baseline="0"/>
            <a:t>)</a:t>
          </a:r>
        </a:p>
        <a:p>
          <a:r>
            <a:rPr lang="ru-RU" sz="1100" baseline="0"/>
            <a:t>Расчет % пройденных дней по месяцу выбранной текущей даты</a:t>
          </a:r>
        </a:p>
        <a:p>
          <a:r>
            <a:rPr lang="ru-RU" sz="1100" baseline="0"/>
            <a:t>Бюджет на месяц (</a:t>
          </a:r>
          <a:r>
            <a:rPr lang="ru-RU" sz="900" i="1" baseline="0"/>
            <a:t>он должен автоматически подтягиваться в зависимости от выбранной текущей даты</a:t>
          </a:r>
          <a:r>
            <a:rPr lang="ru-RU" sz="1100" baseline="0"/>
            <a:t>)</a:t>
          </a:r>
        </a:p>
        <a:p>
          <a:r>
            <a:rPr lang="ru-RU" sz="1100" baseline="0"/>
            <a:t>Расход за месяц (</a:t>
          </a:r>
          <a:r>
            <a:rPr lang="ru-RU" sz="900" i="1" baseline="0"/>
            <a:t>иными словами сколько мы уже потратили в месяце от выбранной текущей даты</a:t>
          </a:r>
          <a:r>
            <a:rPr lang="ru-RU" sz="1100" baseline="0"/>
            <a:t>)</a:t>
          </a:r>
        </a:p>
        <a:p>
          <a:r>
            <a:rPr lang="ru-RU" sz="1100" baseline="0"/>
            <a:t>Расчет % бюджета и расхода</a:t>
          </a:r>
        </a:p>
        <a:p>
          <a:endParaRPr lang="ru-RU" sz="1100" baseline="0"/>
        </a:p>
        <a:p>
          <a:r>
            <a:rPr lang="ru-RU" sz="1100" b="1" baseline="0"/>
            <a:t>Шаг 3. Выполнить расчеты</a:t>
          </a:r>
        </a:p>
        <a:p>
          <a:r>
            <a:rPr lang="ru-RU" sz="1100" b="0" baseline="0"/>
            <a:t>Необходимо выполнить расчет показателей из 2 шага</a:t>
          </a:r>
        </a:p>
        <a:p>
          <a:endParaRPr lang="ru-RU" sz="1100" b="0" baseline="0"/>
        </a:p>
        <a:p>
          <a:endParaRPr lang="ru-RU" sz="1100" b="0" baseline="0"/>
        </a:p>
        <a:p>
          <a:endParaRPr lang="ru-RU" sz="1100" b="0" baseline="0"/>
        </a:p>
        <a:p>
          <a:endParaRPr lang="ru-RU" sz="1100" b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8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Дополнительные шаги</a:t>
          </a:r>
          <a:endParaRPr lang="ru-RU" sz="1800" b="0" baseline="0"/>
        </a:p>
        <a:p>
          <a:r>
            <a:rPr lang="ru-RU" sz="1100" b="1" baseline="0"/>
            <a:t>Шаг 4. Построить график сравнения по % величинам</a:t>
          </a:r>
        </a:p>
        <a:p>
          <a:r>
            <a:rPr lang="ru-RU" sz="1100" b="1" baseline="0"/>
            <a:t>Шаг 5. Настроить и протестировать калькулятор при дополнительной загрузке данных с сентября по декабрь.</a:t>
          </a:r>
          <a:endParaRPr lang="ru-RU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BCCAE6FA-13F8-4D4A-82E3-10CADCB75924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Бюджет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9F92A96C-1EAF-4F78-88AA-A88BE8D1549E}"/>
            </a:ext>
          </a:extLst>
        </xdr:cNvPr>
        <xdr:cNvSpPr txBox="1"/>
      </xdr:nvSpPr>
      <xdr:spPr>
        <a:xfrm rot="-5400000">
          <a:off x="-1228725" y="3082925"/>
          <a:ext cx="3638550" cy="469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Расход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0</xdr:row>
      <xdr:rowOff>171450</xdr:rowOff>
    </xdr:from>
    <xdr:to>
      <xdr:col>2</xdr:col>
      <xdr:colOff>88900</xdr:colOff>
      <xdr:row>29</xdr:row>
      <xdr:rowOff>44450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FE5ABBEE-3F9B-4CD3-B80A-90D934C6FB63}"/>
            </a:ext>
          </a:extLst>
        </xdr:cNvPr>
        <xdr:cNvSpPr txBox="1"/>
      </xdr:nvSpPr>
      <xdr:spPr>
        <a:xfrm rot="-5400000">
          <a:off x="-2066925" y="2454275"/>
          <a:ext cx="5213350" cy="647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3600">
              <a:latin typeface="Fira Sans"/>
              <a:ea typeface="Fira Sans"/>
              <a:cs typeface="Fira Sans"/>
              <a:sym typeface="Fira Sans"/>
            </a:rPr>
            <a:t>Калькулятор бюджета</a:t>
          </a:r>
          <a:endParaRPr sz="36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F77D-45FC-464E-8E9B-5691F646CDC2}">
  <dimension ref="A1:T99"/>
  <sheetViews>
    <sheetView showGridLines="0" zoomScaleNormal="100" workbookViewId="0">
      <selection activeCell="M16" sqref="M16"/>
    </sheetView>
  </sheetViews>
  <sheetFormatPr defaultColWidth="0" defaultRowHeight="15" zeroHeight="1" x14ac:dyDescent="0.25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>
      <c r="A32" s="2">
        <v>1</v>
      </c>
    </row>
    <row r="33" x14ac:dyDescent="0.25"/>
    <row r="34" x14ac:dyDescent="0.25"/>
    <row r="66" spans="1:1" hidden="1" x14ac:dyDescent="0.25">
      <c r="A66" s="2">
        <v>1</v>
      </c>
    </row>
    <row r="99" spans="1:1" hidden="1" x14ac:dyDescent="0.25">
      <c r="A9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9880-6F5E-4807-B937-230C1ABE3A4C}">
  <dimension ref="A2:Q7"/>
  <sheetViews>
    <sheetView workbookViewId="0">
      <selection activeCell="Q4" sqref="Q4"/>
    </sheetView>
  </sheetViews>
  <sheetFormatPr defaultColWidth="8.625" defaultRowHeight="15" x14ac:dyDescent="0.25"/>
  <cols>
    <col min="1" max="1" width="2.875" style="2" customWidth="1"/>
    <col min="2" max="2" width="3.5" style="2" customWidth="1"/>
    <col min="3" max="3" width="4.25" style="2" customWidth="1"/>
    <col min="4" max="14" width="8.625" style="1"/>
    <col min="15" max="15" width="4.125" style="1" customWidth="1"/>
    <col min="16" max="16" width="9.375" style="1" bestFit="1" customWidth="1"/>
    <col min="17" max="17" width="4.125" style="1" bestFit="1" customWidth="1"/>
    <col min="18" max="16384" width="8.625" style="1"/>
  </cols>
  <sheetData>
    <row r="2" spans="7:17" x14ac:dyDescent="0.25">
      <c r="G2" s="3"/>
    </row>
    <row r="3" spans="7:17" x14ac:dyDescent="0.25">
      <c r="G3" s="3"/>
      <c r="O3" s="2"/>
      <c r="P3" s="2"/>
      <c r="Q3" s="2"/>
    </row>
    <row r="4" spans="7:17" ht="15.75" x14ac:dyDescent="0.25">
      <c r="O4" s="2"/>
      <c r="P4" s="6" t="s">
        <v>0</v>
      </c>
      <c r="Q4" s="5">
        <v>4</v>
      </c>
    </row>
    <row r="5" spans="7:17" ht="15.75" x14ac:dyDescent="0.25">
      <c r="O5" s="2"/>
      <c r="P5" s="7"/>
      <c r="Q5" s="4"/>
    </row>
    <row r="6" spans="7:17" ht="15.75" x14ac:dyDescent="0.25">
      <c r="O6" s="2"/>
      <c r="P6" s="6" t="s">
        <v>1</v>
      </c>
      <c r="Q6" s="5">
        <v>4</v>
      </c>
    </row>
    <row r="7" spans="7:17" x14ac:dyDescent="0.25">
      <c r="O7" s="2"/>
      <c r="P7" s="2"/>
      <c r="Q7" s="2"/>
    </row>
  </sheetData>
  <hyperlinks>
    <hyperlink ref="Q4" location="Бюджет!A1" display="Бюджет!A1" xr:uid="{7804388C-8FC3-4309-AB7D-52879549B77A}"/>
    <hyperlink ref="Q6" location="Расход!A1" display="Расход!A1" xr:uid="{B6B3DFAF-44AE-4C2E-B668-A599B014247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B1B6-0841-4D11-A3EF-E79A8ACFDF6E}">
  <dimension ref="A3:F15"/>
  <sheetViews>
    <sheetView workbookViewId="0">
      <selection activeCell="E4" sqref="E4:F15"/>
    </sheetView>
  </sheetViews>
  <sheetFormatPr defaultColWidth="8.625" defaultRowHeight="15" x14ac:dyDescent="0.25"/>
  <cols>
    <col min="1" max="1" width="3.875" style="2" customWidth="1"/>
    <col min="2" max="2" width="3.125" style="2" customWidth="1"/>
    <col min="3" max="3" width="3.375" style="2" customWidth="1"/>
    <col min="4" max="5" width="8.625" style="1"/>
    <col min="6" max="6" width="9.875" style="1" bestFit="1" customWidth="1"/>
    <col min="7" max="16384" width="8.625" style="1"/>
  </cols>
  <sheetData>
    <row r="3" spans="5:6" x14ac:dyDescent="0.25">
      <c r="E3" s="10" t="s">
        <v>2</v>
      </c>
      <c r="F3" s="10" t="s">
        <v>0</v>
      </c>
    </row>
    <row r="4" spans="5:6" x14ac:dyDescent="0.25">
      <c r="E4" s="12" t="s">
        <v>3</v>
      </c>
      <c r="F4" s="8">
        <v>425000</v>
      </c>
    </row>
    <row r="5" spans="5:6" x14ac:dyDescent="0.25">
      <c r="E5" s="12" t="s">
        <v>4</v>
      </c>
      <c r="F5" s="8">
        <v>426326</v>
      </c>
    </row>
    <row r="6" spans="5:6" x14ac:dyDescent="0.25">
      <c r="E6" s="12" t="s">
        <v>5</v>
      </c>
      <c r="F6" s="8">
        <v>433045</v>
      </c>
    </row>
    <row r="7" spans="5:6" x14ac:dyDescent="0.25">
      <c r="E7" s="12" t="s">
        <v>6</v>
      </c>
      <c r="F7" s="8">
        <v>442470</v>
      </c>
    </row>
    <row r="8" spans="5:6" x14ac:dyDescent="0.25">
      <c r="E8" s="12" t="s">
        <v>7</v>
      </c>
      <c r="F8" s="8">
        <v>474321</v>
      </c>
    </row>
    <row r="9" spans="5:6" x14ac:dyDescent="0.25">
      <c r="E9" s="12" t="s">
        <v>8</v>
      </c>
      <c r="F9" s="8">
        <v>481044</v>
      </c>
    </row>
    <row r="10" spans="5:6" x14ac:dyDescent="0.25">
      <c r="E10" s="12" t="s">
        <v>9</v>
      </c>
      <c r="F10" s="8">
        <v>484451</v>
      </c>
    </row>
    <row r="11" spans="5:6" ht="15.75" thickBot="1" x14ac:dyDescent="0.3">
      <c r="E11" s="13" t="s">
        <v>10</v>
      </c>
      <c r="F11" s="9">
        <v>491343</v>
      </c>
    </row>
    <row r="12" spans="5:6" x14ac:dyDescent="0.25">
      <c r="E12" s="15" t="s">
        <v>11</v>
      </c>
      <c r="F12" s="8">
        <v>500000</v>
      </c>
    </row>
    <row r="13" spans="5:6" x14ac:dyDescent="0.25">
      <c r="E13" s="15" t="s">
        <v>12</v>
      </c>
      <c r="F13" s="8">
        <v>500000</v>
      </c>
    </row>
    <row r="14" spans="5:6" x14ac:dyDescent="0.25">
      <c r="E14" s="15" t="s">
        <v>13</v>
      </c>
      <c r="F14" s="8">
        <v>500000</v>
      </c>
    </row>
    <row r="15" spans="5:6" x14ac:dyDescent="0.25">
      <c r="E15" s="15" t="s">
        <v>14</v>
      </c>
      <c r="F15" s="8">
        <v>500001</v>
      </c>
    </row>
  </sheetData>
  <phoneticPr fontId="10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8CDF-F8D4-481A-B062-CC9EAB270FE0}">
  <dimension ref="A1:G540"/>
  <sheetViews>
    <sheetView workbookViewId="0">
      <selection activeCell="E367" sqref="E367:F540"/>
    </sheetView>
  </sheetViews>
  <sheetFormatPr defaultColWidth="8.625" defaultRowHeight="15" x14ac:dyDescent="0.25"/>
  <cols>
    <col min="1" max="1" width="2.625" style="2" customWidth="1"/>
    <col min="2" max="3" width="3.125" style="2" customWidth="1"/>
    <col min="4" max="4" width="4.875" style="1" customWidth="1"/>
    <col min="5" max="5" width="8.625" style="1"/>
    <col min="6" max="6" width="9.875" style="1" bestFit="1" customWidth="1"/>
    <col min="7" max="16384" width="8.625" style="1"/>
  </cols>
  <sheetData>
    <row r="1" spans="6:7" x14ac:dyDescent="0.25">
      <c r="G1" s="11" t="s">
        <v>1</v>
      </c>
    </row>
    <row r="2" spans="6:7" x14ac:dyDescent="0.25">
      <c r="F2" s="16">
        <v>45292</v>
      </c>
      <c r="G2" s="1">
        <v>13608</v>
      </c>
    </row>
    <row r="3" spans="6:7" x14ac:dyDescent="0.25">
      <c r="F3" s="16">
        <f>F2+1</f>
        <v>45293</v>
      </c>
      <c r="G3" s="1">
        <v>22996</v>
      </c>
    </row>
    <row r="4" spans="6:7" x14ac:dyDescent="0.25">
      <c r="F4" s="16">
        <f t="shared" ref="F4:F67" si="0">F3+1</f>
        <v>45294</v>
      </c>
      <c r="G4" s="1">
        <v>15114</v>
      </c>
    </row>
    <row r="5" spans="6:7" x14ac:dyDescent="0.25">
      <c r="F5" s="16">
        <f t="shared" si="0"/>
        <v>45295</v>
      </c>
      <c r="G5" s="1">
        <v>3858</v>
      </c>
    </row>
    <row r="6" spans="6:7" x14ac:dyDescent="0.25">
      <c r="F6" s="16">
        <f t="shared" si="0"/>
        <v>45296</v>
      </c>
      <c r="G6" s="1">
        <v>24330</v>
      </c>
    </row>
    <row r="7" spans="6:7" x14ac:dyDescent="0.25">
      <c r="F7" s="16">
        <f t="shared" si="0"/>
        <v>45297</v>
      </c>
      <c r="G7" s="1">
        <v>9708</v>
      </c>
    </row>
    <row r="8" spans="6:7" x14ac:dyDescent="0.25">
      <c r="F8" s="16">
        <f t="shared" si="0"/>
        <v>45298</v>
      </c>
      <c r="G8" s="1">
        <v>23633</v>
      </c>
    </row>
    <row r="9" spans="6:7" x14ac:dyDescent="0.25">
      <c r="F9" s="16">
        <f t="shared" si="0"/>
        <v>45299</v>
      </c>
      <c r="G9" s="1">
        <v>5617</v>
      </c>
    </row>
    <row r="10" spans="6:7" x14ac:dyDescent="0.25">
      <c r="F10" s="16">
        <f t="shared" si="0"/>
        <v>45300</v>
      </c>
      <c r="G10" s="1">
        <v>12967</v>
      </c>
    </row>
    <row r="11" spans="6:7" x14ac:dyDescent="0.25">
      <c r="F11" s="16">
        <f t="shared" si="0"/>
        <v>45301</v>
      </c>
      <c r="G11" s="1">
        <v>4297</v>
      </c>
    </row>
    <row r="12" spans="6:7" x14ac:dyDescent="0.25">
      <c r="F12" s="16">
        <f t="shared" si="0"/>
        <v>45302</v>
      </c>
      <c r="G12" s="1">
        <v>4840</v>
      </c>
    </row>
    <row r="13" spans="6:7" x14ac:dyDescent="0.25">
      <c r="F13" s="16">
        <f t="shared" si="0"/>
        <v>45303</v>
      </c>
      <c r="G13" s="1">
        <v>1896</v>
      </c>
    </row>
    <row r="14" spans="6:7" x14ac:dyDescent="0.25">
      <c r="F14" s="16">
        <f t="shared" si="0"/>
        <v>45304</v>
      </c>
      <c r="G14" s="1">
        <v>14115</v>
      </c>
    </row>
    <row r="15" spans="6:7" x14ac:dyDescent="0.25">
      <c r="F15" s="16">
        <f t="shared" si="0"/>
        <v>45305</v>
      </c>
      <c r="G15" s="1">
        <v>6684</v>
      </c>
    </row>
    <row r="16" spans="6:7" x14ac:dyDescent="0.25">
      <c r="F16" s="16">
        <f t="shared" si="0"/>
        <v>45306</v>
      </c>
      <c r="G16" s="1">
        <v>16544</v>
      </c>
    </row>
    <row r="17" spans="6:7" x14ac:dyDescent="0.25">
      <c r="F17" s="16">
        <f t="shared" si="0"/>
        <v>45307</v>
      </c>
      <c r="G17" s="1">
        <v>5674</v>
      </c>
    </row>
    <row r="18" spans="6:7" x14ac:dyDescent="0.25">
      <c r="F18" s="16">
        <f t="shared" si="0"/>
        <v>45308</v>
      </c>
      <c r="G18" s="1">
        <v>2191</v>
      </c>
    </row>
    <row r="19" spans="6:7" x14ac:dyDescent="0.25">
      <c r="F19" s="16">
        <f t="shared" si="0"/>
        <v>45309</v>
      </c>
      <c r="G19" s="1">
        <v>1031</v>
      </c>
    </row>
    <row r="20" spans="6:7" x14ac:dyDescent="0.25">
      <c r="F20" s="16">
        <f t="shared" si="0"/>
        <v>45310</v>
      </c>
      <c r="G20" s="1">
        <v>22615</v>
      </c>
    </row>
    <row r="21" spans="6:7" x14ac:dyDescent="0.25">
      <c r="F21" s="16">
        <f t="shared" si="0"/>
        <v>45311</v>
      </c>
      <c r="G21" s="1">
        <v>18056</v>
      </c>
    </row>
    <row r="22" spans="6:7" x14ac:dyDescent="0.25">
      <c r="F22" s="16">
        <f t="shared" si="0"/>
        <v>45312</v>
      </c>
      <c r="G22" s="1">
        <v>24606</v>
      </c>
    </row>
    <row r="23" spans="6:7" x14ac:dyDescent="0.25">
      <c r="F23" s="16">
        <f t="shared" si="0"/>
        <v>45313</v>
      </c>
      <c r="G23" s="1">
        <v>16393</v>
      </c>
    </row>
    <row r="24" spans="6:7" x14ac:dyDescent="0.25">
      <c r="F24" s="16">
        <f t="shared" si="0"/>
        <v>45314</v>
      </c>
      <c r="G24" s="1">
        <v>8015</v>
      </c>
    </row>
    <row r="25" spans="6:7" x14ac:dyDescent="0.25">
      <c r="F25" s="16">
        <f t="shared" si="0"/>
        <v>45315</v>
      </c>
      <c r="G25" s="1">
        <v>22020</v>
      </c>
    </row>
    <row r="26" spans="6:7" x14ac:dyDescent="0.25">
      <c r="F26" s="16">
        <f t="shared" si="0"/>
        <v>45316</v>
      </c>
      <c r="G26" s="1">
        <v>8260</v>
      </c>
    </row>
    <row r="27" spans="6:7" x14ac:dyDescent="0.25">
      <c r="F27" s="16">
        <f t="shared" si="0"/>
        <v>45317</v>
      </c>
      <c r="G27" s="1">
        <v>12949</v>
      </c>
    </row>
    <row r="28" spans="6:7" x14ac:dyDescent="0.25">
      <c r="F28" s="16">
        <f t="shared" si="0"/>
        <v>45318</v>
      </c>
      <c r="G28" s="1">
        <v>23317</v>
      </c>
    </row>
    <row r="29" spans="6:7" x14ac:dyDescent="0.25">
      <c r="F29" s="16">
        <f t="shared" si="0"/>
        <v>45319</v>
      </c>
      <c r="G29" s="1">
        <v>19063</v>
      </c>
    </row>
    <row r="30" spans="6:7" x14ac:dyDescent="0.25">
      <c r="F30" s="16">
        <f t="shared" si="0"/>
        <v>45320</v>
      </c>
      <c r="G30" s="1">
        <v>23095</v>
      </c>
    </row>
    <row r="31" spans="6:7" x14ac:dyDescent="0.25">
      <c r="F31" s="16">
        <f t="shared" si="0"/>
        <v>45321</v>
      </c>
      <c r="G31" s="1">
        <v>6458</v>
      </c>
    </row>
    <row r="32" spans="6:7" x14ac:dyDescent="0.25">
      <c r="F32" s="16">
        <f t="shared" si="0"/>
        <v>45322</v>
      </c>
      <c r="G32" s="1">
        <v>21074</v>
      </c>
    </row>
    <row r="33" spans="6:7" x14ac:dyDescent="0.25">
      <c r="F33" s="16">
        <f t="shared" si="0"/>
        <v>45323</v>
      </c>
      <c r="G33" s="1">
        <v>23594</v>
      </c>
    </row>
    <row r="34" spans="6:7" x14ac:dyDescent="0.25">
      <c r="F34" s="16">
        <f t="shared" si="0"/>
        <v>45324</v>
      </c>
      <c r="G34" s="1">
        <v>3137</v>
      </c>
    </row>
    <row r="35" spans="6:7" x14ac:dyDescent="0.25">
      <c r="F35" s="16">
        <f t="shared" si="0"/>
        <v>45325</v>
      </c>
      <c r="G35" s="1">
        <v>23273</v>
      </c>
    </row>
    <row r="36" spans="6:7" x14ac:dyDescent="0.25">
      <c r="F36" s="16">
        <f t="shared" si="0"/>
        <v>45326</v>
      </c>
      <c r="G36" s="1">
        <v>14051</v>
      </c>
    </row>
    <row r="37" spans="6:7" x14ac:dyDescent="0.25">
      <c r="F37" s="16">
        <f t="shared" si="0"/>
        <v>45327</v>
      </c>
      <c r="G37" s="1">
        <v>12506</v>
      </c>
    </row>
    <row r="38" spans="6:7" x14ac:dyDescent="0.25">
      <c r="F38" s="16">
        <f t="shared" si="0"/>
        <v>45328</v>
      </c>
      <c r="G38" s="1">
        <v>11216</v>
      </c>
    </row>
    <row r="39" spans="6:7" x14ac:dyDescent="0.25">
      <c r="F39" s="16">
        <f t="shared" si="0"/>
        <v>45329</v>
      </c>
      <c r="G39" s="1">
        <v>12696</v>
      </c>
    </row>
    <row r="40" spans="6:7" x14ac:dyDescent="0.25">
      <c r="F40" s="16">
        <f t="shared" si="0"/>
        <v>45330</v>
      </c>
      <c r="G40" s="1">
        <v>23103</v>
      </c>
    </row>
    <row r="41" spans="6:7" x14ac:dyDescent="0.25">
      <c r="F41" s="16">
        <f t="shared" si="0"/>
        <v>45331</v>
      </c>
      <c r="G41" s="1">
        <v>12491</v>
      </c>
    </row>
    <row r="42" spans="6:7" x14ac:dyDescent="0.25">
      <c r="F42" s="16">
        <f t="shared" si="0"/>
        <v>45332</v>
      </c>
      <c r="G42" s="1">
        <v>3258</v>
      </c>
    </row>
    <row r="43" spans="6:7" x14ac:dyDescent="0.25">
      <c r="F43" s="16">
        <f t="shared" si="0"/>
        <v>45333</v>
      </c>
      <c r="G43" s="1">
        <v>11302</v>
      </c>
    </row>
    <row r="44" spans="6:7" x14ac:dyDescent="0.25">
      <c r="F44" s="16">
        <f t="shared" si="0"/>
        <v>45334</v>
      </c>
      <c r="G44" s="1">
        <v>19282</v>
      </c>
    </row>
    <row r="45" spans="6:7" x14ac:dyDescent="0.25">
      <c r="F45" s="16">
        <f t="shared" si="0"/>
        <v>45335</v>
      </c>
      <c r="G45" s="1">
        <v>20047</v>
      </c>
    </row>
    <row r="46" spans="6:7" x14ac:dyDescent="0.25">
      <c r="F46" s="16">
        <f t="shared" si="0"/>
        <v>45336</v>
      </c>
      <c r="G46" s="1">
        <v>7463</v>
      </c>
    </row>
    <row r="47" spans="6:7" x14ac:dyDescent="0.25">
      <c r="F47" s="16">
        <f t="shared" si="0"/>
        <v>45337</v>
      </c>
      <c r="G47" s="1">
        <v>21148</v>
      </c>
    </row>
    <row r="48" spans="6:7" x14ac:dyDescent="0.25">
      <c r="F48" s="16">
        <f t="shared" si="0"/>
        <v>45338</v>
      </c>
      <c r="G48" s="1">
        <v>17199</v>
      </c>
    </row>
    <row r="49" spans="6:7" x14ac:dyDescent="0.25">
      <c r="F49" s="16">
        <f t="shared" si="0"/>
        <v>45339</v>
      </c>
      <c r="G49" s="1">
        <v>17681</v>
      </c>
    </row>
    <row r="50" spans="6:7" x14ac:dyDescent="0.25">
      <c r="F50" s="16">
        <f t="shared" si="0"/>
        <v>45340</v>
      </c>
      <c r="G50" s="1">
        <v>15996</v>
      </c>
    </row>
    <row r="51" spans="6:7" x14ac:dyDescent="0.25">
      <c r="F51" s="16">
        <f t="shared" si="0"/>
        <v>45341</v>
      </c>
      <c r="G51" s="1">
        <v>16978</v>
      </c>
    </row>
    <row r="52" spans="6:7" x14ac:dyDescent="0.25">
      <c r="F52" s="16">
        <f t="shared" si="0"/>
        <v>45342</v>
      </c>
      <c r="G52" s="1">
        <v>13105</v>
      </c>
    </row>
    <row r="53" spans="6:7" x14ac:dyDescent="0.25">
      <c r="F53" s="16">
        <f t="shared" si="0"/>
        <v>45343</v>
      </c>
      <c r="G53" s="1">
        <v>7270</v>
      </c>
    </row>
    <row r="54" spans="6:7" x14ac:dyDescent="0.25">
      <c r="F54" s="16">
        <f t="shared" si="0"/>
        <v>45344</v>
      </c>
      <c r="G54" s="1">
        <v>5707</v>
      </c>
    </row>
    <row r="55" spans="6:7" x14ac:dyDescent="0.25">
      <c r="F55" s="16">
        <f t="shared" si="0"/>
        <v>45345</v>
      </c>
      <c r="G55" s="1">
        <v>19383</v>
      </c>
    </row>
    <row r="56" spans="6:7" x14ac:dyDescent="0.25">
      <c r="F56" s="16">
        <f t="shared" si="0"/>
        <v>45346</v>
      </c>
      <c r="G56" s="1">
        <v>9275</v>
      </c>
    </row>
    <row r="57" spans="6:7" x14ac:dyDescent="0.25">
      <c r="F57" s="16">
        <f t="shared" si="0"/>
        <v>45347</v>
      </c>
      <c r="G57" s="1">
        <v>20968</v>
      </c>
    </row>
    <row r="58" spans="6:7" x14ac:dyDescent="0.25">
      <c r="F58" s="16">
        <f t="shared" si="0"/>
        <v>45348</v>
      </c>
      <c r="G58" s="1">
        <v>8741</v>
      </c>
    </row>
    <row r="59" spans="6:7" x14ac:dyDescent="0.25">
      <c r="F59" s="16">
        <f t="shared" si="0"/>
        <v>45349</v>
      </c>
      <c r="G59" s="1">
        <v>3526</v>
      </c>
    </row>
    <row r="60" spans="6:7" x14ac:dyDescent="0.25">
      <c r="F60" s="16">
        <f t="shared" si="0"/>
        <v>45350</v>
      </c>
      <c r="G60" s="1">
        <v>19131</v>
      </c>
    </row>
    <row r="61" spans="6:7" x14ac:dyDescent="0.25">
      <c r="F61" s="16">
        <f t="shared" si="0"/>
        <v>45351</v>
      </c>
      <c r="G61" s="1">
        <v>3431</v>
      </c>
    </row>
    <row r="62" spans="6:7" x14ac:dyDescent="0.25">
      <c r="F62" s="16">
        <f t="shared" si="0"/>
        <v>45352</v>
      </c>
      <c r="G62" s="1">
        <v>16740</v>
      </c>
    </row>
    <row r="63" spans="6:7" x14ac:dyDescent="0.25">
      <c r="F63" s="16">
        <f t="shared" si="0"/>
        <v>45353</v>
      </c>
      <c r="G63" s="1">
        <v>4221</v>
      </c>
    </row>
    <row r="64" spans="6:7" x14ac:dyDescent="0.25">
      <c r="F64" s="16">
        <f t="shared" si="0"/>
        <v>45354</v>
      </c>
      <c r="G64" s="1">
        <v>21168</v>
      </c>
    </row>
    <row r="65" spans="6:7" x14ac:dyDescent="0.25">
      <c r="F65" s="16">
        <f t="shared" si="0"/>
        <v>45355</v>
      </c>
      <c r="G65" s="1">
        <v>23040</v>
      </c>
    </row>
    <row r="66" spans="6:7" x14ac:dyDescent="0.25">
      <c r="F66" s="16">
        <f t="shared" si="0"/>
        <v>45356</v>
      </c>
      <c r="G66" s="1">
        <v>9672</v>
      </c>
    </row>
    <row r="67" spans="6:7" x14ac:dyDescent="0.25">
      <c r="F67" s="16">
        <f t="shared" si="0"/>
        <v>45357</v>
      </c>
      <c r="G67" s="1">
        <v>5468</v>
      </c>
    </row>
    <row r="68" spans="6:7" x14ac:dyDescent="0.25">
      <c r="F68" s="16">
        <f t="shared" ref="F68:F131" si="1">F67+1</f>
        <v>45358</v>
      </c>
      <c r="G68" s="1">
        <v>502</v>
      </c>
    </row>
    <row r="69" spans="6:7" x14ac:dyDescent="0.25">
      <c r="F69" s="16">
        <f t="shared" si="1"/>
        <v>45359</v>
      </c>
      <c r="G69" s="1">
        <v>6096</v>
      </c>
    </row>
    <row r="70" spans="6:7" x14ac:dyDescent="0.25">
      <c r="F70" s="16">
        <f t="shared" si="1"/>
        <v>45360</v>
      </c>
      <c r="G70" s="1">
        <v>17999</v>
      </c>
    </row>
    <row r="71" spans="6:7" x14ac:dyDescent="0.25">
      <c r="F71" s="16">
        <f t="shared" si="1"/>
        <v>45361</v>
      </c>
      <c r="G71" s="1">
        <v>1590</v>
      </c>
    </row>
    <row r="72" spans="6:7" x14ac:dyDescent="0.25">
      <c r="F72" s="16">
        <f t="shared" si="1"/>
        <v>45362</v>
      </c>
      <c r="G72" s="1">
        <v>22488</v>
      </c>
    </row>
    <row r="73" spans="6:7" x14ac:dyDescent="0.25">
      <c r="F73" s="16">
        <f t="shared" si="1"/>
        <v>45363</v>
      </c>
      <c r="G73" s="1">
        <v>5082</v>
      </c>
    </row>
    <row r="74" spans="6:7" x14ac:dyDescent="0.25">
      <c r="F74" s="16">
        <f t="shared" si="1"/>
        <v>45364</v>
      </c>
      <c r="G74" s="1">
        <v>22062</v>
      </c>
    </row>
    <row r="75" spans="6:7" x14ac:dyDescent="0.25">
      <c r="F75" s="16">
        <f t="shared" si="1"/>
        <v>45365</v>
      </c>
      <c r="G75" s="1">
        <v>1463</v>
      </c>
    </row>
    <row r="76" spans="6:7" x14ac:dyDescent="0.25">
      <c r="F76" s="16">
        <f t="shared" si="1"/>
        <v>45366</v>
      </c>
      <c r="G76" s="1">
        <v>23829</v>
      </c>
    </row>
    <row r="77" spans="6:7" x14ac:dyDescent="0.25">
      <c r="F77" s="16">
        <f t="shared" si="1"/>
        <v>45367</v>
      </c>
      <c r="G77" s="1">
        <v>1311</v>
      </c>
    </row>
    <row r="78" spans="6:7" x14ac:dyDescent="0.25">
      <c r="F78" s="16">
        <f t="shared" si="1"/>
        <v>45368</v>
      </c>
      <c r="G78" s="1">
        <v>14072</v>
      </c>
    </row>
    <row r="79" spans="6:7" x14ac:dyDescent="0.25">
      <c r="F79" s="16">
        <f t="shared" si="1"/>
        <v>45369</v>
      </c>
      <c r="G79" s="1">
        <v>1410</v>
      </c>
    </row>
    <row r="80" spans="6:7" x14ac:dyDescent="0.25">
      <c r="F80" s="16">
        <f t="shared" si="1"/>
        <v>45370</v>
      </c>
      <c r="G80" s="1">
        <v>6699</v>
      </c>
    </row>
    <row r="81" spans="6:7" x14ac:dyDescent="0.25">
      <c r="F81" s="16">
        <f t="shared" si="1"/>
        <v>45371</v>
      </c>
      <c r="G81" s="1">
        <v>18762</v>
      </c>
    </row>
    <row r="82" spans="6:7" x14ac:dyDescent="0.25">
      <c r="F82" s="16">
        <f t="shared" si="1"/>
        <v>45372</v>
      </c>
      <c r="G82" s="1">
        <v>9190</v>
      </c>
    </row>
    <row r="83" spans="6:7" x14ac:dyDescent="0.25">
      <c r="F83" s="16">
        <f t="shared" si="1"/>
        <v>45373</v>
      </c>
      <c r="G83" s="1">
        <v>15214</v>
      </c>
    </row>
    <row r="84" spans="6:7" x14ac:dyDescent="0.25">
      <c r="F84" s="16">
        <f t="shared" si="1"/>
        <v>45374</v>
      </c>
      <c r="G84" s="1">
        <v>9887</v>
      </c>
    </row>
    <row r="85" spans="6:7" x14ac:dyDescent="0.25">
      <c r="F85" s="16">
        <f t="shared" si="1"/>
        <v>45375</v>
      </c>
      <c r="G85" s="1">
        <v>20450</v>
      </c>
    </row>
    <row r="86" spans="6:7" x14ac:dyDescent="0.25">
      <c r="F86" s="16">
        <f t="shared" si="1"/>
        <v>45376</v>
      </c>
      <c r="G86" s="1">
        <v>15458</v>
      </c>
    </row>
    <row r="87" spans="6:7" x14ac:dyDescent="0.25">
      <c r="F87" s="16">
        <f t="shared" si="1"/>
        <v>45377</v>
      </c>
      <c r="G87" s="1">
        <v>2583</v>
      </c>
    </row>
    <row r="88" spans="6:7" x14ac:dyDescent="0.25">
      <c r="F88" s="16">
        <f t="shared" si="1"/>
        <v>45378</v>
      </c>
      <c r="G88" s="1">
        <v>11580</v>
      </c>
    </row>
    <row r="89" spans="6:7" x14ac:dyDescent="0.25">
      <c r="F89" s="16">
        <f t="shared" si="1"/>
        <v>45379</v>
      </c>
      <c r="G89" s="1">
        <v>14000</v>
      </c>
    </row>
    <row r="90" spans="6:7" x14ac:dyDescent="0.25">
      <c r="F90" s="16">
        <f t="shared" si="1"/>
        <v>45380</v>
      </c>
      <c r="G90" s="1">
        <v>10347</v>
      </c>
    </row>
    <row r="91" spans="6:7" x14ac:dyDescent="0.25">
      <c r="F91" s="16">
        <f t="shared" si="1"/>
        <v>45381</v>
      </c>
      <c r="G91" s="1">
        <v>12739</v>
      </c>
    </row>
    <row r="92" spans="6:7" x14ac:dyDescent="0.25">
      <c r="F92" s="16">
        <f t="shared" si="1"/>
        <v>45382</v>
      </c>
      <c r="G92" s="1">
        <v>2370</v>
      </c>
    </row>
    <row r="93" spans="6:7" x14ac:dyDescent="0.25">
      <c r="F93" s="16">
        <f t="shared" si="1"/>
        <v>45383</v>
      </c>
      <c r="G93" s="1">
        <v>17410</v>
      </c>
    </row>
    <row r="94" spans="6:7" x14ac:dyDescent="0.25">
      <c r="F94" s="16">
        <f t="shared" si="1"/>
        <v>45384</v>
      </c>
      <c r="G94" s="1">
        <v>15650</v>
      </c>
    </row>
    <row r="95" spans="6:7" x14ac:dyDescent="0.25">
      <c r="F95" s="16">
        <f t="shared" si="1"/>
        <v>45385</v>
      </c>
      <c r="G95" s="1">
        <v>19114</v>
      </c>
    </row>
    <row r="96" spans="6:7" x14ac:dyDescent="0.25">
      <c r="F96" s="16">
        <f t="shared" si="1"/>
        <v>45386</v>
      </c>
      <c r="G96" s="1">
        <v>9461</v>
      </c>
    </row>
    <row r="97" spans="6:7" x14ac:dyDescent="0.25">
      <c r="F97" s="16">
        <f t="shared" si="1"/>
        <v>45387</v>
      </c>
      <c r="G97" s="1">
        <v>5933</v>
      </c>
    </row>
    <row r="98" spans="6:7" x14ac:dyDescent="0.25">
      <c r="F98" s="16">
        <f t="shared" si="1"/>
        <v>45388</v>
      </c>
      <c r="G98" s="1">
        <v>16877</v>
      </c>
    </row>
    <row r="99" spans="6:7" x14ac:dyDescent="0.25">
      <c r="F99" s="16">
        <f t="shared" si="1"/>
        <v>45389</v>
      </c>
      <c r="G99" s="1">
        <v>21007</v>
      </c>
    </row>
    <row r="100" spans="6:7" x14ac:dyDescent="0.25">
      <c r="F100" s="16">
        <f t="shared" si="1"/>
        <v>45390</v>
      </c>
      <c r="G100" s="1">
        <v>15078</v>
      </c>
    </row>
    <row r="101" spans="6:7" x14ac:dyDescent="0.25">
      <c r="F101" s="16">
        <f t="shared" si="1"/>
        <v>45391</v>
      </c>
      <c r="G101" s="1">
        <v>4389</v>
      </c>
    </row>
    <row r="102" spans="6:7" x14ac:dyDescent="0.25">
      <c r="F102" s="16">
        <f t="shared" si="1"/>
        <v>45392</v>
      </c>
      <c r="G102" s="1">
        <v>23205</v>
      </c>
    </row>
    <row r="103" spans="6:7" x14ac:dyDescent="0.25">
      <c r="F103" s="16">
        <f t="shared" si="1"/>
        <v>45393</v>
      </c>
      <c r="G103" s="1">
        <v>19045</v>
      </c>
    </row>
    <row r="104" spans="6:7" x14ac:dyDescent="0.25">
      <c r="F104" s="16">
        <f t="shared" si="1"/>
        <v>45394</v>
      </c>
      <c r="G104" s="1">
        <v>6318</v>
      </c>
    </row>
    <row r="105" spans="6:7" x14ac:dyDescent="0.25">
      <c r="F105" s="16">
        <f t="shared" si="1"/>
        <v>45395</v>
      </c>
      <c r="G105" s="1">
        <v>4180</v>
      </c>
    </row>
    <row r="106" spans="6:7" x14ac:dyDescent="0.25">
      <c r="F106" s="16">
        <f t="shared" si="1"/>
        <v>45396</v>
      </c>
      <c r="G106" s="1">
        <v>3898</v>
      </c>
    </row>
    <row r="107" spans="6:7" x14ac:dyDescent="0.25">
      <c r="F107" s="16">
        <f t="shared" si="1"/>
        <v>45397</v>
      </c>
      <c r="G107" s="1">
        <v>7045</v>
      </c>
    </row>
    <row r="108" spans="6:7" x14ac:dyDescent="0.25">
      <c r="F108" s="16">
        <f t="shared" si="1"/>
        <v>45398</v>
      </c>
      <c r="G108" s="1">
        <v>10912</v>
      </c>
    </row>
    <row r="109" spans="6:7" x14ac:dyDescent="0.25">
      <c r="F109" s="16">
        <f t="shared" si="1"/>
        <v>45399</v>
      </c>
      <c r="G109" s="1">
        <v>2884</v>
      </c>
    </row>
    <row r="110" spans="6:7" x14ac:dyDescent="0.25">
      <c r="F110" s="16">
        <f t="shared" si="1"/>
        <v>45400</v>
      </c>
      <c r="G110" s="1">
        <v>12340</v>
      </c>
    </row>
    <row r="111" spans="6:7" x14ac:dyDescent="0.25">
      <c r="F111" s="16">
        <f t="shared" si="1"/>
        <v>45401</v>
      </c>
      <c r="G111" s="1">
        <v>5265</v>
      </c>
    </row>
    <row r="112" spans="6:7" x14ac:dyDescent="0.25">
      <c r="F112" s="16">
        <f t="shared" si="1"/>
        <v>45402</v>
      </c>
      <c r="G112" s="1">
        <v>23699</v>
      </c>
    </row>
    <row r="113" spans="6:7" x14ac:dyDescent="0.25">
      <c r="F113" s="16">
        <f t="shared" si="1"/>
        <v>45403</v>
      </c>
      <c r="G113" s="1">
        <v>4026</v>
      </c>
    </row>
    <row r="114" spans="6:7" x14ac:dyDescent="0.25">
      <c r="F114" s="16">
        <f t="shared" si="1"/>
        <v>45404</v>
      </c>
      <c r="G114" s="1">
        <v>14460</v>
      </c>
    </row>
    <row r="115" spans="6:7" x14ac:dyDescent="0.25">
      <c r="F115" s="16">
        <f t="shared" si="1"/>
        <v>45405</v>
      </c>
      <c r="G115" s="1">
        <v>19649</v>
      </c>
    </row>
    <row r="116" spans="6:7" x14ac:dyDescent="0.25">
      <c r="F116" s="16">
        <f t="shared" si="1"/>
        <v>45406</v>
      </c>
      <c r="G116" s="1">
        <v>21324</v>
      </c>
    </row>
    <row r="117" spans="6:7" x14ac:dyDescent="0.25">
      <c r="F117" s="16">
        <f t="shared" si="1"/>
        <v>45407</v>
      </c>
      <c r="G117" s="1">
        <v>14147</v>
      </c>
    </row>
    <row r="118" spans="6:7" x14ac:dyDescent="0.25">
      <c r="F118" s="16">
        <f t="shared" si="1"/>
        <v>45408</v>
      </c>
      <c r="G118" s="1">
        <v>13347</v>
      </c>
    </row>
    <row r="119" spans="6:7" x14ac:dyDescent="0.25">
      <c r="F119" s="16">
        <f t="shared" si="1"/>
        <v>45409</v>
      </c>
      <c r="G119" s="1">
        <v>9742</v>
      </c>
    </row>
    <row r="120" spans="6:7" x14ac:dyDescent="0.25">
      <c r="F120" s="16">
        <f t="shared" si="1"/>
        <v>45410</v>
      </c>
      <c r="G120" s="1">
        <v>13456</v>
      </c>
    </row>
    <row r="121" spans="6:7" x14ac:dyDescent="0.25">
      <c r="F121" s="16">
        <f t="shared" si="1"/>
        <v>45411</v>
      </c>
      <c r="G121" s="1">
        <v>20018</v>
      </c>
    </row>
    <row r="122" spans="6:7" x14ac:dyDescent="0.25">
      <c r="F122" s="16">
        <f t="shared" si="1"/>
        <v>45412</v>
      </c>
      <c r="G122" s="1">
        <v>14247</v>
      </c>
    </row>
    <row r="123" spans="6:7" x14ac:dyDescent="0.25">
      <c r="F123" s="16">
        <f t="shared" si="1"/>
        <v>45413</v>
      </c>
      <c r="G123" s="1">
        <v>6280</v>
      </c>
    </row>
    <row r="124" spans="6:7" x14ac:dyDescent="0.25">
      <c r="F124" s="16">
        <f t="shared" si="1"/>
        <v>45414</v>
      </c>
      <c r="G124" s="1">
        <v>18278</v>
      </c>
    </row>
    <row r="125" spans="6:7" x14ac:dyDescent="0.25">
      <c r="F125" s="16">
        <f t="shared" si="1"/>
        <v>45415</v>
      </c>
      <c r="G125" s="1">
        <v>24771</v>
      </c>
    </row>
    <row r="126" spans="6:7" x14ac:dyDescent="0.25">
      <c r="F126" s="16">
        <f t="shared" si="1"/>
        <v>45416</v>
      </c>
      <c r="G126" s="1">
        <v>16356</v>
      </c>
    </row>
    <row r="127" spans="6:7" x14ac:dyDescent="0.25">
      <c r="F127" s="16">
        <f t="shared" si="1"/>
        <v>45417</v>
      </c>
      <c r="G127" s="1">
        <v>11895</v>
      </c>
    </row>
    <row r="128" spans="6:7" x14ac:dyDescent="0.25">
      <c r="F128" s="16">
        <f t="shared" si="1"/>
        <v>45418</v>
      </c>
      <c r="G128" s="1">
        <v>8191</v>
      </c>
    </row>
    <row r="129" spans="6:7" x14ac:dyDescent="0.25">
      <c r="F129" s="16">
        <f t="shared" si="1"/>
        <v>45419</v>
      </c>
      <c r="G129" s="1">
        <v>20619</v>
      </c>
    </row>
    <row r="130" spans="6:7" x14ac:dyDescent="0.25">
      <c r="F130" s="16">
        <f t="shared" si="1"/>
        <v>45420</v>
      </c>
      <c r="G130" s="1">
        <v>15771</v>
      </c>
    </row>
    <row r="131" spans="6:7" x14ac:dyDescent="0.25">
      <c r="F131" s="16">
        <f t="shared" si="1"/>
        <v>45421</v>
      </c>
      <c r="G131" s="1">
        <v>17155</v>
      </c>
    </row>
    <row r="132" spans="6:7" x14ac:dyDescent="0.25">
      <c r="F132" s="16">
        <f t="shared" ref="F132:F195" si="2">F131+1</f>
        <v>45422</v>
      </c>
      <c r="G132" s="1">
        <v>9269</v>
      </c>
    </row>
    <row r="133" spans="6:7" x14ac:dyDescent="0.25">
      <c r="F133" s="16">
        <f t="shared" si="2"/>
        <v>45423</v>
      </c>
      <c r="G133" s="1">
        <v>23690</v>
      </c>
    </row>
    <row r="134" spans="6:7" x14ac:dyDescent="0.25">
      <c r="F134" s="16">
        <f t="shared" si="2"/>
        <v>45424</v>
      </c>
      <c r="G134" s="1">
        <v>14601</v>
      </c>
    </row>
    <row r="135" spans="6:7" x14ac:dyDescent="0.25">
      <c r="F135" s="16">
        <f t="shared" si="2"/>
        <v>45425</v>
      </c>
      <c r="G135" s="1">
        <v>20698</v>
      </c>
    </row>
    <row r="136" spans="6:7" x14ac:dyDescent="0.25">
      <c r="F136" s="16">
        <f t="shared" si="2"/>
        <v>45426</v>
      </c>
      <c r="G136" s="1">
        <v>13331</v>
      </c>
    </row>
    <row r="137" spans="6:7" x14ac:dyDescent="0.25">
      <c r="F137" s="16">
        <f t="shared" si="2"/>
        <v>45427</v>
      </c>
      <c r="G137" s="1">
        <v>2209</v>
      </c>
    </row>
    <row r="138" spans="6:7" x14ac:dyDescent="0.25">
      <c r="F138" s="16">
        <f t="shared" si="2"/>
        <v>45428</v>
      </c>
      <c r="G138" s="1">
        <v>20171</v>
      </c>
    </row>
    <row r="139" spans="6:7" x14ac:dyDescent="0.25">
      <c r="F139" s="16">
        <f t="shared" si="2"/>
        <v>45429</v>
      </c>
      <c r="G139" s="1">
        <v>3845</v>
      </c>
    </row>
    <row r="140" spans="6:7" x14ac:dyDescent="0.25">
      <c r="F140" s="16">
        <f t="shared" si="2"/>
        <v>45430</v>
      </c>
      <c r="G140" s="1">
        <v>23668</v>
      </c>
    </row>
    <row r="141" spans="6:7" x14ac:dyDescent="0.25">
      <c r="F141" s="16">
        <f t="shared" si="2"/>
        <v>45431</v>
      </c>
      <c r="G141" s="1">
        <v>13442</v>
      </c>
    </row>
    <row r="142" spans="6:7" x14ac:dyDescent="0.25">
      <c r="F142" s="16">
        <f t="shared" si="2"/>
        <v>45432</v>
      </c>
      <c r="G142" s="1">
        <v>24072</v>
      </c>
    </row>
    <row r="143" spans="6:7" x14ac:dyDescent="0.25">
      <c r="F143" s="16">
        <f t="shared" si="2"/>
        <v>45433</v>
      </c>
      <c r="G143" s="1">
        <v>23947</v>
      </c>
    </row>
    <row r="144" spans="6:7" x14ac:dyDescent="0.25">
      <c r="F144" s="16">
        <f t="shared" si="2"/>
        <v>45434</v>
      </c>
      <c r="G144" s="1">
        <v>5078</v>
      </c>
    </row>
    <row r="145" spans="6:7" x14ac:dyDescent="0.25">
      <c r="F145" s="16">
        <f t="shared" si="2"/>
        <v>45435</v>
      </c>
      <c r="G145" s="1">
        <v>18510</v>
      </c>
    </row>
    <row r="146" spans="6:7" x14ac:dyDescent="0.25">
      <c r="F146" s="16">
        <f t="shared" si="2"/>
        <v>45436</v>
      </c>
      <c r="G146" s="1">
        <v>17796</v>
      </c>
    </row>
    <row r="147" spans="6:7" x14ac:dyDescent="0.25">
      <c r="F147" s="16">
        <f t="shared" si="2"/>
        <v>45437</v>
      </c>
      <c r="G147" s="1">
        <v>16714</v>
      </c>
    </row>
    <row r="148" spans="6:7" x14ac:dyDescent="0.25">
      <c r="F148" s="16">
        <f t="shared" si="2"/>
        <v>45438</v>
      </c>
      <c r="G148" s="1">
        <v>5382</v>
      </c>
    </row>
    <row r="149" spans="6:7" x14ac:dyDescent="0.25">
      <c r="F149" s="16">
        <f t="shared" si="2"/>
        <v>45439</v>
      </c>
      <c r="G149" s="1">
        <v>8013</v>
      </c>
    </row>
    <row r="150" spans="6:7" x14ac:dyDescent="0.25">
      <c r="F150" s="16">
        <f t="shared" si="2"/>
        <v>45440</v>
      </c>
      <c r="G150" s="1">
        <v>3045</v>
      </c>
    </row>
    <row r="151" spans="6:7" x14ac:dyDescent="0.25">
      <c r="F151" s="16">
        <f t="shared" si="2"/>
        <v>45441</v>
      </c>
      <c r="G151" s="1">
        <v>24949</v>
      </c>
    </row>
    <row r="152" spans="6:7" x14ac:dyDescent="0.25">
      <c r="F152" s="16">
        <f t="shared" si="2"/>
        <v>45442</v>
      </c>
      <c r="G152" s="1">
        <v>24896</v>
      </c>
    </row>
    <row r="153" spans="6:7" x14ac:dyDescent="0.25">
      <c r="F153" s="16">
        <f t="shared" si="2"/>
        <v>45443</v>
      </c>
      <c r="G153" s="1">
        <v>16808</v>
      </c>
    </row>
    <row r="154" spans="6:7" x14ac:dyDescent="0.25">
      <c r="F154" s="16">
        <f t="shared" si="2"/>
        <v>45444</v>
      </c>
      <c r="G154" s="1">
        <v>15349</v>
      </c>
    </row>
    <row r="155" spans="6:7" x14ac:dyDescent="0.25">
      <c r="F155" s="16">
        <f t="shared" si="2"/>
        <v>45445</v>
      </c>
      <c r="G155" s="1">
        <v>16255</v>
      </c>
    </row>
    <row r="156" spans="6:7" x14ac:dyDescent="0.25">
      <c r="F156" s="16">
        <f t="shared" si="2"/>
        <v>45446</v>
      </c>
      <c r="G156" s="1">
        <v>10721</v>
      </c>
    </row>
    <row r="157" spans="6:7" x14ac:dyDescent="0.25">
      <c r="F157" s="16">
        <f t="shared" si="2"/>
        <v>45447</v>
      </c>
      <c r="G157" s="1">
        <v>3672</v>
      </c>
    </row>
    <row r="158" spans="6:7" x14ac:dyDescent="0.25">
      <c r="F158" s="16">
        <f t="shared" si="2"/>
        <v>45448</v>
      </c>
      <c r="G158" s="1">
        <v>18202</v>
      </c>
    </row>
    <row r="159" spans="6:7" x14ac:dyDescent="0.25">
      <c r="F159" s="16">
        <f t="shared" si="2"/>
        <v>45449</v>
      </c>
      <c r="G159" s="1">
        <v>13534</v>
      </c>
    </row>
    <row r="160" spans="6:7" x14ac:dyDescent="0.25">
      <c r="F160" s="16">
        <f t="shared" si="2"/>
        <v>45450</v>
      </c>
      <c r="G160" s="1">
        <v>18761</v>
      </c>
    </row>
    <row r="161" spans="6:7" x14ac:dyDescent="0.25">
      <c r="F161" s="16">
        <f t="shared" si="2"/>
        <v>45451</v>
      </c>
      <c r="G161" s="1">
        <v>10445</v>
      </c>
    </row>
    <row r="162" spans="6:7" x14ac:dyDescent="0.25">
      <c r="F162" s="16">
        <f t="shared" si="2"/>
        <v>45452</v>
      </c>
      <c r="G162" s="1">
        <v>10532</v>
      </c>
    </row>
    <row r="163" spans="6:7" x14ac:dyDescent="0.25">
      <c r="F163" s="16">
        <f t="shared" si="2"/>
        <v>45453</v>
      </c>
      <c r="G163" s="1">
        <v>4879</v>
      </c>
    </row>
    <row r="164" spans="6:7" x14ac:dyDescent="0.25">
      <c r="F164" s="16">
        <f t="shared" si="2"/>
        <v>45454</v>
      </c>
      <c r="G164" s="1">
        <v>7997</v>
      </c>
    </row>
    <row r="165" spans="6:7" x14ac:dyDescent="0.25">
      <c r="F165" s="16">
        <f t="shared" si="2"/>
        <v>45455</v>
      </c>
      <c r="G165" s="1">
        <v>6455</v>
      </c>
    </row>
    <row r="166" spans="6:7" x14ac:dyDescent="0.25">
      <c r="F166" s="16">
        <f t="shared" si="2"/>
        <v>45456</v>
      </c>
      <c r="G166" s="1">
        <v>3357</v>
      </c>
    </row>
    <row r="167" spans="6:7" x14ac:dyDescent="0.25">
      <c r="F167" s="16">
        <f t="shared" si="2"/>
        <v>45457</v>
      </c>
      <c r="G167" s="1">
        <v>18706</v>
      </c>
    </row>
    <row r="168" spans="6:7" x14ac:dyDescent="0.25">
      <c r="F168" s="16">
        <f t="shared" si="2"/>
        <v>45458</v>
      </c>
      <c r="G168" s="1">
        <v>2457</v>
      </c>
    </row>
    <row r="169" spans="6:7" x14ac:dyDescent="0.25">
      <c r="F169" s="16">
        <f t="shared" si="2"/>
        <v>45459</v>
      </c>
      <c r="G169" s="1">
        <v>10872</v>
      </c>
    </row>
    <row r="170" spans="6:7" x14ac:dyDescent="0.25">
      <c r="F170" s="16">
        <f t="shared" si="2"/>
        <v>45460</v>
      </c>
      <c r="G170" s="1">
        <v>20946</v>
      </c>
    </row>
    <row r="171" spans="6:7" x14ac:dyDescent="0.25">
      <c r="F171" s="16">
        <f t="shared" si="2"/>
        <v>45461</v>
      </c>
      <c r="G171" s="1">
        <v>13042</v>
      </c>
    </row>
    <row r="172" spans="6:7" x14ac:dyDescent="0.25">
      <c r="F172" s="16">
        <f t="shared" si="2"/>
        <v>45462</v>
      </c>
      <c r="G172" s="1">
        <v>19686</v>
      </c>
    </row>
    <row r="173" spans="6:7" x14ac:dyDescent="0.25">
      <c r="F173" s="16">
        <f t="shared" si="2"/>
        <v>45463</v>
      </c>
      <c r="G173" s="1">
        <v>11381</v>
      </c>
    </row>
    <row r="174" spans="6:7" x14ac:dyDescent="0.25">
      <c r="F174" s="16">
        <f t="shared" si="2"/>
        <v>45464</v>
      </c>
      <c r="G174" s="1">
        <v>21394</v>
      </c>
    </row>
    <row r="175" spans="6:7" x14ac:dyDescent="0.25">
      <c r="F175" s="16">
        <f t="shared" si="2"/>
        <v>45465</v>
      </c>
      <c r="G175" s="1">
        <v>2023</v>
      </c>
    </row>
    <row r="176" spans="6:7" x14ac:dyDescent="0.25">
      <c r="F176" s="16">
        <f t="shared" si="2"/>
        <v>45466</v>
      </c>
      <c r="G176" s="1">
        <v>13828</v>
      </c>
    </row>
    <row r="177" spans="6:7" x14ac:dyDescent="0.25">
      <c r="F177" s="16">
        <f t="shared" si="2"/>
        <v>45467</v>
      </c>
      <c r="G177" s="1">
        <v>4602</v>
      </c>
    </row>
    <row r="178" spans="6:7" x14ac:dyDescent="0.25">
      <c r="F178" s="16">
        <f t="shared" si="2"/>
        <v>45468</v>
      </c>
      <c r="G178" s="1">
        <v>10881</v>
      </c>
    </row>
    <row r="179" spans="6:7" x14ac:dyDescent="0.25">
      <c r="F179" s="16">
        <f t="shared" si="2"/>
        <v>45469</v>
      </c>
      <c r="G179" s="1">
        <v>15820</v>
      </c>
    </row>
    <row r="180" spans="6:7" x14ac:dyDescent="0.25">
      <c r="F180" s="16">
        <f t="shared" si="2"/>
        <v>45470</v>
      </c>
      <c r="G180" s="1">
        <v>5406</v>
      </c>
    </row>
    <row r="181" spans="6:7" x14ac:dyDescent="0.25">
      <c r="F181" s="16">
        <f t="shared" si="2"/>
        <v>45471</v>
      </c>
      <c r="G181" s="1">
        <v>10214</v>
      </c>
    </row>
    <row r="182" spans="6:7" x14ac:dyDescent="0.25">
      <c r="F182" s="16">
        <f t="shared" si="2"/>
        <v>45472</v>
      </c>
      <c r="G182" s="1">
        <v>20121</v>
      </c>
    </row>
    <row r="183" spans="6:7" x14ac:dyDescent="0.25">
      <c r="F183" s="16">
        <f t="shared" si="2"/>
        <v>45473</v>
      </c>
      <c r="G183" s="1">
        <v>18737</v>
      </c>
    </row>
    <row r="184" spans="6:7" x14ac:dyDescent="0.25">
      <c r="F184" s="16">
        <f t="shared" si="2"/>
        <v>45474</v>
      </c>
      <c r="G184" s="1">
        <v>18019</v>
      </c>
    </row>
    <row r="185" spans="6:7" x14ac:dyDescent="0.25">
      <c r="F185" s="16">
        <f t="shared" si="2"/>
        <v>45475</v>
      </c>
      <c r="G185" s="1">
        <v>24769</v>
      </c>
    </row>
    <row r="186" spans="6:7" x14ac:dyDescent="0.25">
      <c r="F186" s="16">
        <f t="shared" si="2"/>
        <v>45476</v>
      </c>
      <c r="G186" s="1">
        <v>5653</v>
      </c>
    </row>
    <row r="187" spans="6:7" x14ac:dyDescent="0.25">
      <c r="F187" s="16">
        <f t="shared" si="2"/>
        <v>45477</v>
      </c>
      <c r="G187" s="1">
        <v>19680</v>
      </c>
    </row>
    <row r="188" spans="6:7" x14ac:dyDescent="0.25">
      <c r="F188" s="16">
        <f t="shared" si="2"/>
        <v>45478</v>
      </c>
      <c r="G188" s="1">
        <v>5378</v>
      </c>
    </row>
    <row r="189" spans="6:7" x14ac:dyDescent="0.25">
      <c r="F189" s="16">
        <f t="shared" si="2"/>
        <v>45479</v>
      </c>
      <c r="G189" s="1">
        <v>10957</v>
      </c>
    </row>
    <row r="190" spans="6:7" x14ac:dyDescent="0.25">
      <c r="F190" s="16">
        <f t="shared" si="2"/>
        <v>45480</v>
      </c>
      <c r="G190" s="1">
        <v>16897</v>
      </c>
    </row>
    <row r="191" spans="6:7" x14ac:dyDescent="0.25">
      <c r="F191" s="16">
        <f t="shared" si="2"/>
        <v>45481</v>
      </c>
      <c r="G191" s="1">
        <v>3508</v>
      </c>
    </row>
    <row r="192" spans="6:7" x14ac:dyDescent="0.25">
      <c r="F192" s="16">
        <f t="shared" si="2"/>
        <v>45482</v>
      </c>
      <c r="G192" s="1">
        <v>765</v>
      </c>
    </row>
    <row r="193" spans="6:7" x14ac:dyDescent="0.25">
      <c r="F193" s="16">
        <f t="shared" si="2"/>
        <v>45483</v>
      </c>
      <c r="G193" s="1">
        <v>1152</v>
      </c>
    </row>
    <row r="194" spans="6:7" x14ac:dyDescent="0.25">
      <c r="F194" s="16">
        <f t="shared" si="2"/>
        <v>45484</v>
      </c>
      <c r="G194" s="1">
        <v>3734</v>
      </c>
    </row>
    <row r="195" spans="6:7" x14ac:dyDescent="0.25">
      <c r="F195" s="16">
        <f t="shared" si="2"/>
        <v>45485</v>
      </c>
      <c r="G195" s="1">
        <v>12306</v>
      </c>
    </row>
    <row r="196" spans="6:7" x14ac:dyDescent="0.25">
      <c r="F196" s="16">
        <f t="shared" ref="F196:F259" si="3">F195+1</f>
        <v>45486</v>
      </c>
      <c r="G196" s="1">
        <v>6947</v>
      </c>
    </row>
    <row r="197" spans="6:7" x14ac:dyDescent="0.25">
      <c r="F197" s="16">
        <f t="shared" si="3"/>
        <v>45487</v>
      </c>
      <c r="G197" s="1">
        <v>7368</v>
      </c>
    </row>
    <row r="198" spans="6:7" x14ac:dyDescent="0.25">
      <c r="F198" s="16">
        <f t="shared" si="3"/>
        <v>45488</v>
      </c>
      <c r="G198" s="1">
        <v>19297</v>
      </c>
    </row>
    <row r="199" spans="6:7" x14ac:dyDescent="0.25">
      <c r="F199" s="16">
        <f t="shared" si="3"/>
        <v>45489</v>
      </c>
      <c r="G199" s="1">
        <v>3395</v>
      </c>
    </row>
    <row r="200" spans="6:7" x14ac:dyDescent="0.25">
      <c r="F200" s="16">
        <f t="shared" si="3"/>
        <v>45490</v>
      </c>
      <c r="G200" s="1">
        <v>14642</v>
      </c>
    </row>
    <row r="201" spans="6:7" x14ac:dyDescent="0.25">
      <c r="F201" s="16">
        <f t="shared" si="3"/>
        <v>45491</v>
      </c>
      <c r="G201" s="1">
        <v>835</v>
      </c>
    </row>
    <row r="202" spans="6:7" x14ac:dyDescent="0.25">
      <c r="F202" s="16">
        <f t="shared" si="3"/>
        <v>45492</v>
      </c>
      <c r="G202" s="1">
        <v>11911</v>
      </c>
    </row>
    <row r="203" spans="6:7" x14ac:dyDescent="0.25">
      <c r="F203" s="16">
        <f t="shared" si="3"/>
        <v>45493</v>
      </c>
      <c r="G203" s="1">
        <v>11294</v>
      </c>
    </row>
    <row r="204" spans="6:7" x14ac:dyDescent="0.25">
      <c r="F204" s="16">
        <f t="shared" si="3"/>
        <v>45494</v>
      </c>
      <c r="G204" s="1">
        <v>14060</v>
      </c>
    </row>
    <row r="205" spans="6:7" x14ac:dyDescent="0.25">
      <c r="F205" s="16">
        <f t="shared" si="3"/>
        <v>45495</v>
      </c>
      <c r="G205" s="1">
        <v>7347</v>
      </c>
    </row>
    <row r="206" spans="6:7" x14ac:dyDescent="0.25">
      <c r="F206" s="16">
        <f t="shared" si="3"/>
        <v>45496</v>
      </c>
      <c r="G206" s="1">
        <v>16005</v>
      </c>
    </row>
    <row r="207" spans="6:7" x14ac:dyDescent="0.25">
      <c r="F207" s="16">
        <f t="shared" si="3"/>
        <v>45497</v>
      </c>
      <c r="G207" s="1">
        <v>2917</v>
      </c>
    </row>
    <row r="208" spans="6:7" x14ac:dyDescent="0.25">
      <c r="F208" s="16">
        <f t="shared" si="3"/>
        <v>45498</v>
      </c>
      <c r="G208" s="1">
        <v>17143</v>
      </c>
    </row>
    <row r="209" spans="6:7" x14ac:dyDescent="0.25">
      <c r="F209" s="16">
        <f t="shared" si="3"/>
        <v>45499</v>
      </c>
      <c r="G209" s="1">
        <v>12461</v>
      </c>
    </row>
    <row r="210" spans="6:7" x14ac:dyDescent="0.25">
      <c r="F210" s="16">
        <f t="shared" si="3"/>
        <v>45500</v>
      </c>
      <c r="G210" s="1">
        <v>7874</v>
      </c>
    </row>
    <row r="211" spans="6:7" x14ac:dyDescent="0.25">
      <c r="F211" s="16">
        <f t="shared" si="3"/>
        <v>45501</v>
      </c>
      <c r="G211" s="1">
        <v>16212</v>
      </c>
    </row>
    <row r="212" spans="6:7" x14ac:dyDescent="0.25">
      <c r="F212" s="16">
        <f t="shared" si="3"/>
        <v>45502</v>
      </c>
      <c r="G212" s="1">
        <v>6779</v>
      </c>
    </row>
    <row r="213" spans="6:7" x14ac:dyDescent="0.25">
      <c r="F213" s="16">
        <f t="shared" si="3"/>
        <v>45503</v>
      </c>
      <c r="G213" s="1">
        <v>6068</v>
      </c>
    </row>
    <row r="214" spans="6:7" x14ac:dyDescent="0.25">
      <c r="F214" s="16">
        <f t="shared" si="3"/>
        <v>45504</v>
      </c>
      <c r="G214" s="1">
        <v>7699</v>
      </c>
    </row>
    <row r="215" spans="6:7" x14ac:dyDescent="0.25">
      <c r="F215" s="16">
        <f t="shared" si="3"/>
        <v>45505</v>
      </c>
      <c r="G215" s="1">
        <v>7565</v>
      </c>
    </row>
    <row r="216" spans="6:7" x14ac:dyDescent="0.25">
      <c r="F216" s="16">
        <f t="shared" si="3"/>
        <v>45506</v>
      </c>
      <c r="G216" s="1">
        <v>24823</v>
      </c>
    </row>
    <row r="217" spans="6:7" x14ac:dyDescent="0.25">
      <c r="F217" s="16">
        <f t="shared" si="3"/>
        <v>45507</v>
      </c>
      <c r="G217" s="1">
        <v>21890</v>
      </c>
    </row>
    <row r="218" spans="6:7" x14ac:dyDescent="0.25">
      <c r="F218" s="16">
        <f t="shared" si="3"/>
        <v>45508</v>
      </c>
      <c r="G218" s="1">
        <v>19528</v>
      </c>
    </row>
    <row r="219" spans="6:7" x14ac:dyDescent="0.25">
      <c r="F219" s="16">
        <f t="shared" si="3"/>
        <v>45509</v>
      </c>
      <c r="G219" s="1">
        <v>8747</v>
      </c>
    </row>
    <row r="220" spans="6:7" x14ac:dyDescent="0.25">
      <c r="F220" s="16">
        <f t="shared" si="3"/>
        <v>45510</v>
      </c>
      <c r="G220" s="1">
        <v>15990</v>
      </c>
    </row>
    <row r="221" spans="6:7" x14ac:dyDescent="0.25">
      <c r="F221" s="16">
        <f t="shared" si="3"/>
        <v>45511</v>
      </c>
      <c r="G221" s="1">
        <v>11534</v>
      </c>
    </row>
    <row r="222" spans="6:7" x14ac:dyDescent="0.25">
      <c r="F222" s="16">
        <f t="shared" si="3"/>
        <v>45512</v>
      </c>
      <c r="G222" s="1">
        <v>21197</v>
      </c>
    </row>
    <row r="223" spans="6:7" x14ac:dyDescent="0.25">
      <c r="F223" s="16">
        <f t="shared" si="3"/>
        <v>45513</v>
      </c>
      <c r="G223" s="1">
        <v>14970</v>
      </c>
    </row>
    <row r="224" spans="6:7" x14ac:dyDescent="0.25">
      <c r="F224" s="16">
        <f t="shared" si="3"/>
        <v>45514</v>
      </c>
      <c r="G224" s="1">
        <v>22886</v>
      </c>
    </row>
    <row r="225" spans="6:7" x14ac:dyDescent="0.25">
      <c r="F225" s="16">
        <f t="shared" si="3"/>
        <v>45515</v>
      </c>
      <c r="G225" s="1">
        <v>7445</v>
      </c>
    </row>
    <row r="226" spans="6:7" x14ac:dyDescent="0.25">
      <c r="F226" s="16">
        <f t="shared" si="3"/>
        <v>45516</v>
      </c>
      <c r="G226" s="1">
        <v>22678</v>
      </c>
    </row>
    <row r="227" spans="6:7" x14ac:dyDescent="0.25">
      <c r="F227" s="16">
        <f t="shared" si="3"/>
        <v>45517</v>
      </c>
      <c r="G227" s="1">
        <v>19303</v>
      </c>
    </row>
    <row r="228" spans="6:7" x14ac:dyDescent="0.25">
      <c r="F228" s="16">
        <f t="shared" si="3"/>
        <v>45518</v>
      </c>
      <c r="G228" s="1">
        <v>21145</v>
      </c>
    </row>
    <row r="229" spans="6:7" x14ac:dyDescent="0.25">
      <c r="F229" s="16">
        <f t="shared" si="3"/>
        <v>45519</v>
      </c>
      <c r="G229" s="1">
        <v>11074</v>
      </c>
    </row>
    <row r="230" spans="6:7" x14ac:dyDescent="0.25">
      <c r="F230" s="16">
        <f t="shared" si="3"/>
        <v>45520</v>
      </c>
      <c r="G230" s="1">
        <v>1706</v>
      </c>
    </row>
    <row r="231" spans="6:7" x14ac:dyDescent="0.25">
      <c r="F231" s="16">
        <f t="shared" si="3"/>
        <v>45521</v>
      </c>
      <c r="G231" s="1">
        <v>16509</v>
      </c>
    </row>
    <row r="232" spans="6:7" x14ac:dyDescent="0.25">
      <c r="F232" s="16">
        <f t="shared" si="3"/>
        <v>45522</v>
      </c>
      <c r="G232" s="1">
        <v>8585</v>
      </c>
    </row>
    <row r="233" spans="6:7" x14ac:dyDescent="0.25">
      <c r="F233" s="16">
        <f t="shared" si="3"/>
        <v>45523</v>
      </c>
      <c r="G233" s="1">
        <v>18032</v>
      </c>
    </row>
    <row r="234" spans="6:7" x14ac:dyDescent="0.25">
      <c r="F234" s="16">
        <f t="shared" si="3"/>
        <v>45524</v>
      </c>
      <c r="G234" s="1">
        <v>20548</v>
      </c>
    </row>
    <row r="235" spans="6:7" x14ac:dyDescent="0.25">
      <c r="F235" s="16">
        <f t="shared" si="3"/>
        <v>45525</v>
      </c>
      <c r="G235" s="1">
        <v>9527</v>
      </c>
    </row>
    <row r="236" spans="6:7" x14ac:dyDescent="0.25">
      <c r="F236" s="16">
        <f t="shared" si="3"/>
        <v>45526</v>
      </c>
      <c r="G236" s="1">
        <v>4126</v>
      </c>
    </row>
    <row r="237" spans="6:7" x14ac:dyDescent="0.25">
      <c r="F237" s="16">
        <f t="shared" si="3"/>
        <v>45527</v>
      </c>
      <c r="G237" s="1">
        <v>16098</v>
      </c>
    </row>
    <row r="238" spans="6:7" x14ac:dyDescent="0.25">
      <c r="F238" s="16">
        <f t="shared" si="3"/>
        <v>45528</v>
      </c>
      <c r="G238" s="1">
        <v>7823</v>
      </c>
    </row>
    <row r="239" spans="6:7" x14ac:dyDescent="0.25">
      <c r="F239" s="16">
        <f t="shared" si="3"/>
        <v>45529</v>
      </c>
      <c r="G239" s="1">
        <v>16419</v>
      </c>
    </row>
    <row r="240" spans="6:7" x14ac:dyDescent="0.25">
      <c r="F240" s="16">
        <f t="shared" si="3"/>
        <v>45530</v>
      </c>
      <c r="G240" s="1">
        <v>15759</v>
      </c>
    </row>
    <row r="241" spans="6:7" x14ac:dyDescent="0.25">
      <c r="F241" s="16">
        <f t="shared" si="3"/>
        <v>45531</v>
      </c>
      <c r="G241" s="1">
        <v>6058</v>
      </c>
    </row>
    <row r="242" spans="6:7" x14ac:dyDescent="0.25">
      <c r="F242" s="16">
        <f t="shared" si="3"/>
        <v>45532</v>
      </c>
      <c r="G242" s="1">
        <v>23048</v>
      </c>
    </row>
    <row r="243" spans="6:7" x14ac:dyDescent="0.25">
      <c r="F243" s="16">
        <f t="shared" si="3"/>
        <v>45533</v>
      </c>
      <c r="G243" s="1">
        <v>15930</v>
      </c>
    </row>
    <row r="244" spans="6:7" x14ac:dyDescent="0.25">
      <c r="F244" s="16">
        <f t="shared" si="3"/>
        <v>45534</v>
      </c>
      <c r="G244" s="1">
        <v>23918</v>
      </c>
    </row>
    <row r="245" spans="6:7" x14ac:dyDescent="0.25">
      <c r="F245" s="16">
        <f t="shared" si="3"/>
        <v>45535</v>
      </c>
      <c r="G245" s="14">
        <v>6274</v>
      </c>
    </row>
    <row r="246" spans="6:7" x14ac:dyDescent="0.25">
      <c r="F246" s="16">
        <f t="shared" si="3"/>
        <v>45536</v>
      </c>
    </row>
    <row r="247" spans="6:7" x14ac:dyDescent="0.25">
      <c r="F247" s="16">
        <f t="shared" si="3"/>
        <v>45537</v>
      </c>
    </row>
    <row r="248" spans="6:7" x14ac:dyDescent="0.25">
      <c r="F248" s="16">
        <f t="shared" si="3"/>
        <v>45538</v>
      </c>
    </row>
    <row r="249" spans="6:7" x14ac:dyDescent="0.25">
      <c r="F249" s="16">
        <f t="shared" si="3"/>
        <v>45539</v>
      </c>
    </row>
    <row r="250" spans="6:7" x14ac:dyDescent="0.25">
      <c r="F250" s="16">
        <f t="shared" si="3"/>
        <v>45540</v>
      </c>
    </row>
    <row r="251" spans="6:7" x14ac:dyDescent="0.25">
      <c r="F251" s="16">
        <f t="shared" si="3"/>
        <v>45541</v>
      </c>
    </row>
    <row r="252" spans="6:7" x14ac:dyDescent="0.25">
      <c r="F252" s="16">
        <f t="shared" si="3"/>
        <v>45542</v>
      </c>
    </row>
    <row r="253" spans="6:7" x14ac:dyDescent="0.25">
      <c r="F253" s="16">
        <f t="shared" si="3"/>
        <v>45543</v>
      </c>
    </row>
    <row r="254" spans="6:7" x14ac:dyDescent="0.25">
      <c r="F254" s="16">
        <f t="shared" si="3"/>
        <v>45544</v>
      </c>
    </row>
    <row r="255" spans="6:7" x14ac:dyDescent="0.25">
      <c r="F255" s="16">
        <f t="shared" si="3"/>
        <v>45545</v>
      </c>
    </row>
    <row r="256" spans="6:7" x14ac:dyDescent="0.25">
      <c r="F256" s="16">
        <f t="shared" si="3"/>
        <v>45546</v>
      </c>
    </row>
    <row r="257" spans="6:6" x14ac:dyDescent="0.25">
      <c r="F257" s="16">
        <f t="shared" si="3"/>
        <v>45547</v>
      </c>
    </row>
    <row r="258" spans="6:6" x14ac:dyDescent="0.25">
      <c r="F258" s="16">
        <f t="shared" si="3"/>
        <v>45548</v>
      </c>
    </row>
    <row r="259" spans="6:6" x14ac:dyDescent="0.25">
      <c r="F259" s="16">
        <f t="shared" si="3"/>
        <v>45549</v>
      </c>
    </row>
    <row r="260" spans="6:6" x14ac:dyDescent="0.25">
      <c r="F260" s="16">
        <f t="shared" ref="F260:F323" si="4">F259+1</f>
        <v>45550</v>
      </c>
    </row>
    <row r="261" spans="6:6" x14ac:dyDescent="0.25">
      <c r="F261" s="16">
        <f t="shared" si="4"/>
        <v>45551</v>
      </c>
    </row>
    <row r="262" spans="6:6" x14ac:dyDescent="0.25">
      <c r="F262" s="16">
        <f t="shared" si="4"/>
        <v>45552</v>
      </c>
    </row>
    <row r="263" spans="6:6" x14ac:dyDescent="0.25">
      <c r="F263" s="16">
        <f t="shared" si="4"/>
        <v>45553</v>
      </c>
    </row>
    <row r="264" spans="6:6" x14ac:dyDescent="0.25">
      <c r="F264" s="16">
        <f t="shared" si="4"/>
        <v>45554</v>
      </c>
    </row>
    <row r="265" spans="6:6" x14ac:dyDescent="0.25">
      <c r="F265" s="16">
        <f t="shared" si="4"/>
        <v>45555</v>
      </c>
    </row>
    <row r="266" spans="6:6" x14ac:dyDescent="0.25">
      <c r="F266" s="16">
        <f t="shared" si="4"/>
        <v>45556</v>
      </c>
    </row>
    <row r="267" spans="6:6" x14ac:dyDescent="0.25">
      <c r="F267" s="16">
        <f t="shared" si="4"/>
        <v>45557</v>
      </c>
    </row>
    <row r="268" spans="6:6" x14ac:dyDescent="0.25">
      <c r="F268" s="16">
        <f t="shared" si="4"/>
        <v>45558</v>
      </c>
    </row>
    <row r="269" spans="6:6" x14ac:dyDescent="0.25">
      <c r="F269" s="16">
        <f t="shared" si="4"/>
        <v>45559</v>
      </c>
    </row>
    <row r="270" spans="6:6" x14ac:dyDescent="0.25">
      <c r="F270" s="16">
        <f t="shared" si="4"/>
        <v>45560</v>
      </c>
    </row>
    <row r="271" spans="6:6" x14ac:dyDescent="0.25">
      <c r="F271" s="16">
        <f t="shared" si="4"/>
        <v>45561</v>
      </c>
    </row>
    <row r="272" spans="6:6" x14ac:dyDescent="0.25">
      <c r="F272" s="16">
        <f t="shared" si="4"/>
        <v>45562</v>
      </c>
    </row>
    <row r="273" spans="6:6" x14ac:dyDescent="0.25">
      <c r="F273" s="16">
        <f t="shared" si="4"/>
        <v>45563</v>
      </c>
    </row>
    <row r="274" spans="6:6" x14ac:dyDescent="0.25">
      <c r="F274" s="16">
        <f t="shared" si="4"/>
        <v>45564</v>
      </c>
    </row>
    <row r="275" spans="6:6" x14ac:dyDescent="0.25">
      <c r="F275" s="16">
        <f t="shared" si="4"/>
        <v>45565</v>
      </c>
    </row>
    <row r="276" spans="6:6" x14ac:dyDescent="0.25">
      <c r="F276" s="16">
        <f t="shared" si="4"/>
        <v>45566</v>
      </c>
    </row>
    <row r="277" spans="6:6" x14ac:dyDescent="0.25">
      <c r="F277" s="16">
        <f t="shared" si="4"/>
        <v>45567</v>
      </c>
    </row>
    <row r="278" spans="6:6" x14ac:dyDescent="0.25">
      <c r="F278" s="16">
        <f t="shared" si="4"/>
        <v>45568</v>
      </c>
    </row>
    <row r="279" spans="6:6" x14ac:dyDescent="0.25">
      <c r="F279" s="16">
        <f t="shared" si="4"/>
        <v>45569</v>
      </c>
    </row>
    <row r="280" spans="6:6" x14ac:dyDescent="0.25">
      <c r="F280" s="16">
        <f t="shared" si="4"/>
        <v>45570</v>
      </c>
    </row>
    <row r="281" spans="6:6" x14ac:dyDescent="0.25">
      <c r="F281" s="16">
        <f t="shared" si="4"/>
        <v>45571</v>
      </c>
    </row>
    <row r="282" spans="6:6" x14ac:dyDescent="0.25">
      <c r="F282" s="16">
        <f t="shared" si="4"/>
        <v>45572</v>
      </c>
    </row>
    <row r="283" spans="6:6" x14ac:dyDescent="0.25">
      <c r="F283" s="16">
        <f t="shared" si="4"/>
        <v>45573</v>
      </c>
    </row>
    <row r="284" spans="6:6" x14ac:dyDescent="0.25">
      <c r="F284" s="16">
        <f t="shared" si="4"/>
        <v>45574</v>
      </c>
    </row>
    <row r="285" spans="6:6" x14ac:dyDescent="0.25">
      <c r="F285" s="16">
        <f t="shared" si="4"/>
        <v>45575</v>
      </c>
    </row>
    <row r="286" spans="6:6" x14ac:dyDescent="0.25">
      <c r="F286" s="16">
        <f t="shared" si="4"/>
        <v>45576</v>
      </c>
    </row>
    <row r="287" spans="6:6" x14ac:dyDescent="0.25">
      <c r="F287" s="16">
        <f t="shared" si="4"/>
        <v>45577</v>
      </c>
    </row>
    <row r="288" spans="6:6" x14ac:dyDescent="0.25">
      <c r="F288" s="16">
        <f t="shared" si="4"/>
        <v>45578</v>
      </c>
    </row>
    <row r="289" spans="6:6" x14ac:dyDescent="0.25">
      <c r="F289" s="16">
        <f t="shared" si="4"/>
        <v>45579</v>
      </c>
    </row>
    <row r="290" spans="6:6" x14ac:dyDescent="0.25">
      <c r="F290" s="16">
        <f t="shared" si="4"/>
        <v>45580</v>
      </c>
    </row>
    <row r="291" spans="6:6" x14ac:dyDescent="0.25">
      <c r="F291" s="16">
        <f t="shared" si="4"/>
        <v>45581</v>
      </c>
    </row>
    <row r="292" spans="6:6" x14ac:dyDescent="0.25">
      <c r="F292" s="16">
        <f t="shared" si="4"/>
        <v>45582</v>
      </c>
    </row>
    <row r="293" spans="6:6" x14ac:dyDescent="0.25">
      <c r="F293" s="16">
        <f t="shared" si="4"/>
        <v>45583</v>
      </c>
    </row>
    <row r="294" spans="6:6" x14ac:dyDescent="0.25">
      <c r="F294" s="16">
        <f t="shared" si="4"/>
        <v>45584</v>
      </c>
    </row>
    <row r="295" spans="6:6" x14ac:dyDescent="0.25">
      <c r="F295" s="16">
        <f t="shared" si="4"/>
        <v>45585</v>
      </c>
    </row>
    <row r="296" spans="6:6" x14ac:dyDescent="0.25">
      <c r="F296" s="16">
        <f t="shared" si="4"/>
        <v>45586</v>
      </c>
    </row>
    <row r="297" spans="6:6" x14ac:dyDescent="0.25">
      <c r="F297" s="16">
        <f t="shared" si="4"/>
        <v>45587</v>
      </c>
    </row>
    <row r="298" spans="6:6" x14ac:dyDescent="0.25">
      <c r="F298" s="16">
        <f t="shared" si="4"/>
        <v>45588</v>
      </c>
    </row>
    <row r="299" spans="6:6" x14ac:dyDescent="0.25">
      <c r="F299" s="16">
        <f t="shared" si="4"/>
        <v>45589</v>
      </c>
    </row>
    <row r="300" spans="6:6" x14ac:dyDescent="0.25">
      <c r="F300" s="16">
        <f t="shared" si="4"/>
        <v>45590</v>
      </c>
    </row>
    <row r="301" spans="6:6" x14ac:dyDescent="0.25">
      <c r="F301" s="16">
        <f t="shared" si="4"/>
        <v>45591</v>
      </c>
    </row>
    <row r="302" spans="6:6" x14ac:dyDescent="0.25">
      <c r="F302" s="16">
        <f t="shared" si="4"/>
        <v>45592</v>
      </c>
    </row>
    <row r="303" spans="6:6" x14ac:dyDescent="0.25">
      <c r="F303" s="16">
        <f t="shared" si="4"/>
        <v>45593</v>
      </c>
    </row>
    <row r="304" spans="6:6" x14ac:dyDescent="0.25">
      <c r="F304" s="16">
        <f t="shared" si="4"/>
        <v>45594</v>
      </c>
    </row>
    <row r="305" spans="6:6" x14ac:dyDescent="0.25">
      <c r="F305" s="16">
        <f t="shared" si="4"/>
        <v>45595</v>
      </c>
    </row>
    <row r="306" spans="6:6" x14ac:dyDescent="0.25">
      <c r="F306" s="16">
        <f t="shared" si="4"/>
        <v>45596</v>
      </c>
    </row>
    <row r="307" spans="6:6" x14ac:dyDescent="0.25">
      <c r="F307" s="16">
        <f t="shared" si="4"/>
        <v>45597</v>
      </c>
    </row>
    <row r="308" spans="6:6" x14ac:dyDescent="0.25">
      <c r="F308" s="16">
        <f t="shared" si="4"/>
        <v>45598</v>
      </c>
    </row>
    <row r="309" spans="6:6" x14ac:dyDescent="0.25">
      <c r="F309" s="16">
        <f t="shared" si="4"/>
        <v>45599</v>
      </c>
    </row>
    <row r="310" spans="6:6" x14ac:dyDescent="0.25">
      <c r="F310" s="16">
        <f t="shared" si="4"/>
        <v>45600</v>
      </c>
    </row>
    <row r="311" spans="6:6" x14ac:dyDescent="0.25">
      <c r="F311" s="16">
        <f t="shared" si="4"/>
        <v>45601</v>
      </c>
    </row>
    <row r="312" spans="6:6" x14ac:dyDescent="0.25">
      <c r="F312" s="16">
        <f t="shared" si="4"/>
        <v>45602</v>
      </c>
    </row>
    <row r="313" spans="6:6" x14ac:dyDescent="0.25">
      <c r="F313" s="16">
        <f t="shared" si="4"/>
        <v>45603</v>
      </c>
    </row>
    <row r="314" spans="6:6" x14ac:dyDescent="0.25">
      <c r="F314" s="16">
        <f t="shared" si="4"/>
        <v>45604</v>
      </c>
    </row>
    <row r="315" spans="6:6" x14ac:dyDescent="0.25">
      <c r="F315" s="16">
        <f t="shared" si="4"/>
        <v>45605</v>
      </c>
    </row>
    <row r="316" spans="6:6" x14ac:dyDescent="0.25">
      <c r="F316" s="16">
        <f t="shared" si="4"/>
        <v>45606</v>
      </c>
    </row>
    <row r="317" spans="6:6" x14ac:dyDescent="0.25">
      <c r="F317" s="16">
        <f t="shared" si="4"/>
        <v>45607</v>
      </c>
    </row>
    <row r="318" spans="6:6" x14ac:dyDescent="0.25">
      <c r="F318" s="16">
        <f t="shared" si="4"/>
        <v>45608</v>
      </c>
    </row>
    <row r="319" spans="6:6" x14ac:dyDescent="0.25">
      <c r="F319" s="16">
        <f t="shared" si="4"/>
        <v>45609</v>
      </c>
    </row>
    <row r="320" spans="6:6" x14ac:dyDescent="0.25">
      <c r="F320" s="16">
        <f t="shared" si="4"/>
        <v>45610</v>
      </c>
    </row>
    <row r="321" spans="6:6" x14ac:dyDescent="0.25">
      <c r="F321" s="16">
        <f t="shared" si="4"/>
        <v>45611</v>
      </c>
    </row>
    <row r="322" spans="6:6" x14ac:dyDescent="0.25">
      <c r="F322" s="16">
        <f t="shared" si="4"/>
        <v>45612</v>
      </c>
    </row>
    <row r="323" spans="6:6" x14ac:dyDescent="0.25">
      <c r="F323" s="16">
        <f t="shared" si="4"/>
        <v>45613</v>
      </c>
    </row>
    <row r="324" spans="6:6" x14ac:dyDescent="0.25">
      <c r="F324" s="16">
        <f t="shared" ref="F324:F387" si="5">F323+1</f>
        <v>45614</v>
      </c>
    </row>
    <row r="325" spans="6:6" x14ac:dyDescent="0.25">
      <c r="F325" s="16">
        <f t="shared" si="5"/>
        <v>45615</v>
      </c>
    </row>
    <row r="326" spans="6:6" x14ac:dyDescent="0.25">
      <c r="F326" s="16">
        <f t="shared" si="5"/>
        <v>45616</v>
      </c>
    </row>
    <row r="327" spans="6:6" x14ac:dyDescent="0.25">
      <c r="F327" s="16">
        <f t="shared" si="5"/>
        <v>45617</v>
      </c>
    </row>
    <row r="328" spans="6:6" x14ac:dyDescent="0.25">
      <c r="F328" s="16">
        <f t="shared" si="5"/>
        <v>45618</v>
      </c>
    </row>
    <row r="329" spans="6:6" x14ac:dyDescent="0.25">
      <c r="F329" s="16">
        <f t="shared" si="5"/>
        <v>45619</v>
      </c>
    </row>
    <row r="330" spans="6:6" x14ac:dyDescent="0.25">
      <c r="F330" s="16">
        <f t="shared" si="5"/>
        <v>45620</v>
      </c>
    </row>
    <row r="331" spans="6:6" x14ac:dyDescent="0.25">
      <c r="F331" s="16">
        <f t="shared" si="5"/>
        <v>45621</v>
      </c>
    </row>
    <row r="332" spans="6:6" x14ac:dyDescent="0.25">
      <c r="F332" s="16">
        <f t="shared" si="5"/>
        <v>45622</v>
      </c>
    </row>
    <row r="333" spans="6:6" x14ac:dyDescent="0.25">
      <c r="F333" s="16">
        <f t="shared" si="5"/>
        <v>45623</v>
      </c>
    </row>
    <row r="334" spans="6:6" x14ac:dyDescent="0.25">
      <c r="F334" s="16">
        <f t="shared" si="5"/>
        <v>45624</v>
      </c>
    </row>
    <row r="335" spans="6:6" x14ac:dyDescent="0.25">
      <c r="F335" s="16">
        <f t="shared" si="5"/>
        <v>45625</v>
      </c>
    </row>
    <row r="336" spans="6:6" x14ac:dyDescent="0.25">
      <c r="F336" s="16">
        <f t="shared" si="5"/>
        <v>45626</v>
      </c>
    </row>
    <row r="337" spans="6:6" x14ac:dyDescent="0.25">
      <c r="F337" s="16">
        <f t="shared" si="5"/>
        <v>45627</v>
      </c>
    </row>
    <row r="338" spans="6:6" x14ac:dyDescent="0.25">
      <c r="F338" s="16">
        <f t="shared" si="5"/>
        <v>45628</v>
      </c>
    </row>
    <row r="339" spans="6:6" x14ac:dyDescent="0.25">
      <c r="F339" s="16">
        <f t="shared" si="5"/>
        <v>45629</v>
      </c>
    </row>
    <row r="340" spans="6:6" x14ac:dyDescent="0.25">
      <c r="F340" s="16">
        <f t="shared" si="5"/>
        <v>45630</v>
      </c>
    </row>
    <row r="341" spans="6:6" x14ac:dyDescent="0.25">
      <c r="F341" s="16">
        <f t="shared" si="5"/>
        <v>45631</v>
      </c>
    </row>
    <row r="342" spans="6:6" x14ac:dyDescent="0.25">
      <c r="F342" s="16">
        <f t="shared" si="5"/>
        <v>45632</v>
      </c>
    </row>
    <row r="343" spans="6:6" x14ac:dyDescent="0.25">
      <c r="F343" s="16">
        <f t="shared" si="5"/>
        <v>45633</v>
      </c>
    </row>
    <row r="344" spans="6:6" x14ac:dyDescent="0.25">
      <c r="F344" s="16">
        <f t="shared" si="5"/>
        <v>45634</v>
      </c>
    </row>
    <row r="345" spans="6:6" x14ac:dyDescent="0.25">
      <c r="F345" s="16">
        <f t="shared" si="5"/>
        <v>45635</v>
      </c>
    </row>
    <row r="346" spans="6:6" x14ac:dyDescent="0.25">
      <c r="F346" s="16">
        <f t="shared" si="5"/>
        <v>45636</v>
      </c>
    </row>
    <row r="347" spans="6:6" x14ac:dyDescent="0.25">
      <c r="F347" s="16">
        <f t="shared" si="5"/>
        <v>45637</v>
      </c>
    </row>
    <row r="348" spans="6:6" x14ac:dyDescent="0.25">
      <c r="F348" s="16">
        <f t="shared" si="5"/>
        <v>45638</v>
      </c>
    </row>
    <row r="349" spans="6:6" x14ac:dyDescent="0.25">
      <c r="F349" s="16">
        <f t="shared" si="5"/>
        <v>45639</v>
      </c>
    </row>
    <row r="350" spans="6:6" x14ac:dyDescent="0.25">
      <c r="F350" s="16">
        <f t="shared" si="5"/>
        <v>45640</v>
      </c>
    </row>
    <row r="351" spans="6:6" x14ac:dyDescent="0.25">
      <c r="F351" s="16">
        <f t="shared" si="5"/>
        <v>45641</v>
      </c>
    </row>
    <row r="352" spans="6:6" x14ac:dyDescent="0.25">
      <c r="F352" s="16">
        <f t="shared" si="5"/>
        <v>45642</v>
      </c>
    </row>
    <row r="353" spans="6:6" x14ac:dyDescent="0.25">
      <c r="F353" s="16">
        <f t="shared" si="5"/>
        <v>45643</v>
      </c>
    </row>
    <row r="354" spans="6:6" x14ac:dyDescent="0.25">
      <c r="F354" s="16">
        <f t="shared" si="5"/>
        <v>45644</v>
      </c>
    </row>
    <row r="355" spans="6:6" x14ac:dyDescent="0.25">
      <c r="F355" s="16">
        <f t="shared" si="5"/>
        <v>45645</v>
      </c>
    </row>
    <row r="356" spans="6:6" x14ac:dyDescent="0.25">
      <c r="F356" s="16">
        <f t="shared" si="5"/>
        <v>45646</v>
      </c>
    </row>
    <row r="357" spans="6:6" x14ac:dyDescent="0.25">
      <c r="F357" s="16">
        <f t="shared" si="5"/>
        <v>45647</v>
      </c>
    </row>
    <row r="358" spans="6:6" x14ac:dyDescent="0.25">
      <c r="F358" s="16">
        <f t="shared" si="5"/>
        <v>45648</v>
      </c>
    </row>
    <row r="359" spans="6:6" x14ac:dyDescent="0.25">
      <c r="F359" s="16">
        <f t="shared" si="5"/>
        <v>45649</v>
      </c>
    </row>
    <row r="360" spans="6:6" x14ac:dyDescent="0.25">
      <c r="F360" s="16">
        <f t="shared" si="5"/>
        <v>45650</v>
      </c>
    </row>
    <row r="361" spans="6:6" x14ac:dyDescent="0.25">
      <c r="F361" s="16">
        <f t="shared" si="5"/>
        <v>45651</v>
      </c>
    </row>
    <row r="362" spans="6:6" x14ac:dyDescent="0.25">
      <c r="F362" s="16">
        <f t="shared" si="5"/>
        <v>45652</v>
      </c>
    </row>
    <row r="363" spans="6:6" x14ac:dyDescent="0.25">
      <c r="F363" s="16">
        <f t="shared" si="5"/>
        <v>45653</v>
      </c>
    </row>
    <row r="364" spans="6:6" x14ac:dyDescent="0.25">
      <c r="F364" s="16">
        <f t="shared" si="5"/>
        <v>45654</v>
      </c>
    </row>
    <row r="365" spans="6:6" x14ac:dyDescent="0.25">
      <c r="F365" s="16">
        <f t="shared" si="5"/>
        <v>45655</v>
      </c>
    </row>
    <row r="366" spans="6:6" x14ac:dyDescent="0.25">
      <c r="F366" s="16">
        <f t="shared" si="5"/>
        <v>45656</v>
      </c>
    </row>
    <row r="367" spans="6:6" x14ac:dyDescent="0.25">
      <c r="F367" s="16"/>
    </row>
    <row r="368" spans="6:6" x14ac:dyDescent="0.25">
      <c r="F368" s="16"/>
    </row>
    <row r="369" spans="6:6" x14ac:dyDescent="0.25">
      <c r="F369" s="16"/>
    </row>
    <row r="370" spans="6:6" x14ac:dyDescent="0.25">
      <c r="F370" s="16"/>
    </row>
    <row r="371" spans="6:6" x14ac:dyDescent="0.25">
      <c r="F371" s="16"/>
    </row>
    <row r="372" spans="6:6" x14ac:dyDescent="0.25">
      <c r="F372" s="16"/>
    </row>
    <row r="373" spans="6:6" x14ac:dyDescent="0.25">
      <c r="F373" s="16"/>
    </row>
    <row r="374" spans="6:6" x14ac:dyDescent="0.25">
      <c r="F374" s="16"/>
    </row>
    <row r="375" spans="6:6" x14ac:dyDescent="0.25">
      <c r="F375" s="16"/>
    </row>
    <row r="376" spans="6:6" x14ac:dyDescent="0.25">
      <c r="F376" s="16"/>
    </row>
    <row r="377" spans="6:6" x14ac:dyDescent="0.25">
      <c r="F377" s="16"/>
    </row>
    <row r="378" spans="6:6" x14ac:dyDescent="0.25">
      <c r="F378" s="16"/>
    </row>
    <row r="379" spans="6:6" x14ac:dyDescent="0.25">
      <c r="F379" s="16"/>
    </row>
    <row r="380" spans="6:6" x14ac:dyDescent="0.25">
      <c r="F380" s="16"/>
    </row>
    <row r="381" spans="6:6" x14ac:dyDescent="0.25">
      <c r="F381" s="16"/>
    </row>
    <row r="382" spans="6:6" x14ac:dyDescent="0.25">
      <c r="F382" s="16"/>
    </row>
    <row r="383" spans="6:6" x14ac:dyDescent="0.25">
      <c r="F383" s="16"/>
    </row>
    <row r="384" spans="6:6" x14ac:dyDescent="0.25">
      <c r="F384" s="16"/>
    </row>
    <row r="385" spans="6:6" x14ac:dyDescent="0.25">
      <c r="F385" s="16"/>
    </row>
    <row r="386" spans="6:6" x14ac:dyDescent="0.25">
      <c r="F386" s="16"/>
    </row>
    <row r="387" spans="6:6" x14ac:dyDescent="0.25">
      <c r="F387" s="16"/>
    </row>
    <row r="388" spans="6:6" x14ac:dyDescent="0.25">
      <c r="F388" s="16"/>
    </row>
    <row r="389" spans="6:6" x14ac:dyDescent="0.25">
      <c r="F389" s="16"/>
    </row>
    <row r="390" spans="6:6" x14ac:dyDescent="0.25">
      <c r="F390" s="16"/>
    </row>
    <row r="391" spans="6:6" x14ac:dyDescent="0.25">
      <c r="F391" s="16"/>
    </row>
    <row r="392" spans="6:6" x14ac:dyDescent="0.25">
      <c r="F392" s="16"/>
    </row>
    <row r="393" spans="6:6" x14ac:dyDescent="0.25">
      <c r="F393" s="16"/>
    </row>
    <row r="394" spans="6:6" x14ac:dyDescent="0.25">
      <c r="F394" s="16"/>
    </row>
    <row r="395" spans="6:6" x14ac:dyDescent="0.25">
      <c r="F395" s="16"/>
    </row>
    <row r="396" spans="6:6" x14ac:dyDescent="0.25">
      <c r="F396" s="16"/>
    </row>
    <row r="397" spans="6:6" x14ac:dyDescent="0.25">
      <c r="F397" s="16"/>
    </row>
    <row r="398" spans="6:6" x14ac:dyDescent="0.25">
      <c r="F398" s="16"/>
    </row>
    <row r="399" spans="6:6" x14ac:dyDescent="0.25">
      <c r="F399" s="16"/>
    </row>
    <row r="400" spans="6:6" x14ac:dyDescent="0.25">
      <c r="F400" s="16"/>
    </row>
    <row r="401" spans="6:6" x14ac:dyDescent="0.25">
      <c r="F401" s="16"/>
    </row>
    <row r="402" spans="6:6" x14ac:dyDescent="0.25">
      <c r="F402" s="16"/>
    </row>
    <row r="403" spans="6:6" x14ac:dyDescent="0.25">
      <c r="F403" s="16"/>
    </row>
    <row r="404" spans="6:6" x14ac:dyDescent="0.25">
      <c r="F404" s="16"/>
    </row>
    <row r="405" spans="6:6" x14ac:dyDescent="0.25">
      <c r="F405" s="16"/>
    </row>
    <row r="406" spans="6:6" x14ac:dyDescent="0.25">
      <c r="F406" s="16"/>
    </row>
    <row r="407" spans="6:6" x14ac:dyDescent="0.25">
      <c r="F407" s="16"/>
    </row>
    <row r="408" spans="6:6" x14ac:dyDescent="0.25">
      <c r="F408" s="16"/>
    </row>
    <row r="409" spans="6:6" x14ac:dyDescent="0.25">
      <c r="F409" s="16"/>
    </row>
    <row r="410" spans="6:6" x14ac:dyDescent="0.25">
      <c r="F410" s="16"/>
    </row>
    <row r="411" spans="6:6" x14ac:dyDescent="0.25">
      <c r="F411" s="16"/>
    </row>
    <row r="412" spans="6:6" x14ac:dyDescent="0.25">
      <c r="F412" s="16"/>
    </row>
    <row r="413" spans="6:6" x14ac:dyDescent="0.25">
      <c r="F413" s="16"/>
    </row>
    <row r="414" spans="6:6" x14ac:dyDescent="0.25">
      <c r="F414" s="16"/>
    </row>
    <row r="415" spans="6:6" x14ac:dyDescent="0.25">
      <c r="F415" s="16"/>
    </row>
    <row r="416" spans="6:6" x14ac:dyDescent="0.25">
      <c r="F416" s="16"/>
    </row>
    <row r="417" spans="6:6" x14ac:dyDescent="0.25">
      <c r="F417" s="16"/>
    </row>
    <row r="418" spans="6:6" x14ac:dyDescent="0.25">
      <c r="F418" s="16"/>
    </row>
    <row r="419" spans="6:6" x14ac:dyDescent="0.25">
      <c r="F419" s="16"/>
    </row>
    <row r="420" spans="6:6" x14ac:dyDescent="0.25">
      <c r="F420" s="16"/>
    </row>
    <row r="421" spans="6:6" x14ac:dyDescent="0.25">
      <c r="F421" s="16"/>
    </row>
    <row r="422" spans="6:6" x14ac:dyDescent="0.25">
      <c r="F422" s="16"/>
    </row>
    <row r="423" spans="6:6" x14ac:dyDescent="0.25">
      <c r="F423" s="16"/>
    </row>
    <row r="424" spans="6:6" x14ac:dyDescent="0.25">
      <c r="F424" s="16"/>
    </row>
    <row r="425" spans="6:6" x14ac:dyDescent="0.25">
      <c r="F425" s="16"/>
    </row>
    <row r="426" spans="6:6" x14ac:dyDescent="0.25">
      <c r="F426" s="16"/>
    </row>
    <row r="427" spans="6:6" x14ac:dyDescent="0.25">
      <c r="F427" s="16"/>
    </row>
    <row r="428" spans="6:6" x14ac:dyDescent="0.25">
      <c r="F428" s="16"/>
    </row>
    <row r="429" spans="6:6" x14ac:dyDescent="0.25">
      <c r="F429" s="16"/>
    </row>
    <row r="430" spans="6:6" x14ac:dyDescent="0.25">
      <c r="F430" s="16"/>
    </row>
    <row r="431" spans="6:6" x14ac:dyDescent="0.25">
      <c r="F431" s="16"/>
    </row>
    <row r="432" spans="6:6" x14ac:dyDescent="0.25">
      <c r="F432" s="16"/>
    </row>
    <row r="433" spans="6:6" x14ac:dyDescent="0.25">
      <c r="F433" s="16"/>
    </row>
    <row r="434" spans="6:6" x14ac:dyDescent="0.25">
      <c r="F434" s="16"/>
    </row>
    <row r="435" spans="6:6" x14ac:dyDescent="0.25">
      <c r="F435" s="16"/>
    </row>
    <row r="436" spans="6:6" x14ac:dyDescent="0.25">
      <c r="F436" s="16"/>
    </row>
    <row r="437" spans="6:6" x14ac:dyDescent="0.25">
      <c r="F437" s="16"/>
    </row>
    <row r="438" spans="6:6" x14ac:dyDescent="0.25">
      <c r="F438" s="16"/>
    </row>
    <row r="439" spans="6:6" x14ac:dyDescent="0.25">
      <c r="F439" s="16"/>
    </row>
    <row r="440" spans="6:6" x14ac:dyDescent="0.25">
      <c r="F440" s="16"/>
    </row>
    <row r="441" spans="6:6" x14ac:dyDescent="0.25">
      <c r="F441" s="16"/>
    </row>
    <row r="442" spans="6:6" x14ac:dyDescent="0.25">
      <c r="F442" s="16"/>
    </row>
    <row r="443" spans="6:6" x14ac:dyDescent="0.25">
      <c r="F443" s="16"/>
    </row>
    <row r="444" spans="6:6" x14ac:dyDescent="0.25">
      <c r="F444" s="16"/>
    </row>
    <row r="445" spans="6:6" x14ac:dyDescent="0.25">
      <c r="F445" s="16"/>
    </row>
    <row r="446" spans="6:6" x14ac:dyDescent="0.25">
      <c r="F446" s="16"/>
    </row>
    <row r="447" spans="6:6" x14ac:dyDescent="0.25">
      <c r="F447" s="16"/>
    </row>
    <row r="448" spans="6:6" x14ac:dyDescent="0.25">
      <c r="F448" s="16"/>
    </row>
    <row r="449" spans="6:6" x14ac:dyDescent="0.25">
      <c r="F449" s="16"/>
    </row>
    <row r="450" spans="6:6" x14ac:dyDescent="0.25">
      <c r="F450" s="16"/>
    </row>
    <row r="451" spans="6:6" x14ac:dyDescent="0.25">
      <c r="F451" s="16"/>
    </row>
    <row r="452" spans="6:6" x14ac:dyDescent="0.25">
      <c r="F452" s="16"/>
    </row>
    <row r="453" spans="6:6" x14ac:dyDescent="0.25">
      <c r="F453" s="16"/>
    </row>
    <row r="454" spans="6:6" x14ac:dyDescent="0.25">
      <c r="F454" s="16"/>
    </row>
    <row r="455" spans="6:6" x14ac:dyDescent="0.25">
      <c r="F455" s="16"/>
    </row>
    <row r="456" spans="6:6" x14ac:dyDescent="0.25">
      <c r="F456" s="16"/>
    </row>
    <row r="457" spans="6:6" x14ac:dyDescent="0.25">
      <c r="F457" s="16"/>
    </row>
    <row r="458" spans="6:6" x14ac:dyDescent="0.25">
      <c r="F458" s="16"/>
    </row>
    <row r="459" spans="6:6" x14ac:dyDescent="0.25">
      <c r="F459" s="16"/>
    </row>
    <row r="460" spans="6:6" x14ac:dyDescent="0.25">
      <c r="F460" s="16"/>
    </row>
    <row r="461" spans="6:6" x14ac:dyDescent="0.25">
      <c r="F461" s="16"/>
    </row>
    <row r="462" spans="6:6" x14ac:dyDescent="0.25">
      <c r="F462" s="16"/>
    </row>
    <row r="463" spans="6:6" x14ac:dyDescent="0.25">
      <c r="F463" s="16"/>
    </row>
    <row r="464" spans="6:6" x14ac:dyDescent="0.25">
      <c r="F464" s="16"/>
    </row>
    <row r="465" spans="6:6" x14ac:dyDescent="0.25">
      <c r="F465" s="16"/>
    </row>
    <row r="466" spans="6:6" x14ac:dyDescent="0.25">
      <c r="F466" s="16"/>
    </row>
    <row r="467" spans="6:6" x14ac:dyDescent="0.25">
      <c r="F467" s="16"/>
    </row>
    <row r="468" spans="6:6" x14ac:dyDescent="0.25">
      <c r="F468" s="16"/>
    </row>
    <row r="469" spans="6:6" x14ac:dyDescent="0.25">
      <c r="F469" s="16"/>
    </row>
    <row r="470" spans="6:6" x14ac:dyDescent="0.25">
      <c r="F470" s="16"/>
    </row>
    <row r="471" spans="6:6" x14ac:dyDescent="0.25">
      <c r="F471" s="16"/>
    </row>
    <row r="472" spans="6:6" x14ac:dyDescent="0.25">
      <c r="F472" s="16"/>
    </row>
    <row r="473" spans="6:6" x14ac:dyDescent="0.25">
      <c r="F473" s="16"/>
    </row>
    <row r="474" spans="6:6" x14ac:dyDescent="0.25">
      <c r="F474" s="16"/>
    </row>
    <row r="475" spans="6:6" x14ac:dyDescent="0.25">
      <c r="F475" s="16"/>
    </row>
    <row r="476" spans="6:6" x14ac:dyDescent="0.25">
      <c r="F476" s="16"/>
    </row>
    <row r="477" spans="6:6" x14ac:dyDescent="0.25">
      <c r="F477" s="16"/>
    </row>
    <row r="478" spans="6:6" x14ac:dyDescent="0.25">
      <c r="F478" s="16"/>
    </row>
    <row r="479" spans="6:6" x14ac:dyDescent="0.25">
      <c r="F479" s="16"/>
    </row>
    <row r="480" spans="6:6" x14ac:dyDescent="0.25">
      <c r="F480" s="16"/>
    </row>
    <row r="481" spans="6:6" x14ac:dyDescent="0.25">
      <c r="F481" s="16"/>
    </row>
    <row r="482" spans="6:6" x14ac:dyDescent="0.25">
      <c r="F482" s="16"/>
    </row>
    <row r="483" spans="6:6" x14ac:dyDescent="0.25">
      <c r="F483" s="16"/>
    </row>
    <row r="484" spans="6:6" x14ac:dyDescent="0.25">
      <c r="F484" s="16"/>
    </row>
    <row r="485" spans="6:6" x14ac:dyDescent="0.25">
      <c r="F485" s="16"/>
    </row>
    <row r="486" spans="6:6" x14ac:dyDescent="0.25">
      <c r="F486" s="16"/>
    </row>
    <row r="487" spans="6:6" x14ac:dyDescent="0.25">
      <c r="F487" s="16"/>
    </row>
    <row r="488" spans="6:6" x14ac:dyDescent="0.25">
      <c r="F488" s="16"/>
    </row>
    <row r="489" spans="6:6" x14ac:dyDescent="0.25">
      <c r="F489" s="16"/>
    </row>
    <row r="490" spans="6:6" x14ac:dyDescent="0.25">
      <c r="F490" s="16"/>
    </row>
    <row r="491" spans="6:6" x14ac:dyDescent="0.25">
      <c r="F491" s="16"/>
    </row>
    <row r="492" spans="6:6" x14ac:dyDescent="0.25">
      <c r="F492" s="16"/>
    </row>
    <row r="493" spans="6:6" x14ac:dyDescent="0.25">
      <c r="F493" s="16"/>
    </row>
    <row r="494" spans="6:6" x14ac:dyDescent="0.25">
      <c r="F494" s="16"/>
    </row>
    <row r="495" spans="6:6" x14ac:dyDescent="0.25">
      <c r="F495" s="16"/>
    </row>
    <row r="496" spans="6:6" x14ac:dyDescent="0.25">
      <c r="F496" s="16"/>
    </row>
    <row r="497" spans="6:6" x14ac:dyDescent="0.25">
      <c r="F497" s="16"/>
    </row>
    <row r="498" spans="6:6" x14ac:dyDescent="0.25">
      <c r="F498" s="16"/>
    </row>
    <row r="499" spans="6:6" x14ac:dyDescent="0.25">
      <c r="F499" s="16"/>
    </row>
    <row r="500" spans="6:6" x14ac:dyDescent="0.25">
      <c r="F500" s="16"/>
    </row>
    <row r="501" spans="6:6" x14ac:dyDescent="0.25">
      <c r="F501" s="16"/>
    </row>
    <row r="502" spans="6:6" x14ac:dyDescent="0.25">
      <c r="F502" s="16"/>
    </row>
    <row r="503" spans="6:6" x14ac:dyDescent="0.25">
      <c r="F503" s="16"/>
    </row>
    <row r="504" spans="6:6" x14ac:dyDescent="0.25">
      <c r="F504" s="16"/>
    </row>
    <row r="505" spans="6:6" x14ac:dyDescent="0.25">
      <c r="F505" s="16"/>
    </row>
    <row r="506" spans="6:6" x14ac:dyDescent="0.25">
      <c r="F506" s="16"/>
    </row>
    <row r="507" spans="6:6" x14ac:dyDescent="0.25">
      <c r="F507" s="16"/>
    </row>
    <row r="508" spans="6:6" x14ac:dyDescent="0.25">
      <c r="F508" s="16"/>
    </row>
    <row r="509" spans="6:6" x14ac:dyDescent="0.25">
      <c r="F509" s="16"/>
    </row>
    <row r="510" spans="6:6" x14ac:dyDescent="0.25">
      <c r="F510" s="16"/>
    </row>
    <row r="511" spans="6:6" x14ac:dyDescent="0.25">
      <c r="F511" s="16"/>
    </row>
    <row r="512" spans="6:6" x14ac:dyDescent="0.25">
      <c r="F512" s="16"/>
    </row>
    <row r="513" spans="6:6" x14ac:dyDescent="0.25">
      <c r="F513" s="16"/>
    </row>
    <row r="514" spans="6:6" x14ac:dyDescent="0.25">
      <c r="F514" s="16"/>
    </row>
    <row r="515" spans="6:6" x14ac:dyDescent="0.25">
      <c r="F515" s="16"/>
    </row>
    <row r="516" spans="6:6" x14ac:dyDescent="0.25">
      <c r="F516" s="16"/>
    </row>
    <row r="517" spans="6:6" x14ac:dyDescent="0.25">
      <c r="F517" s="16"/>
    </row>
    <row r="518" spans="6:6" x14ac:dyDescent="0.25">
      <c r="F518" s="16"/>
    </row>
    <row r="519" spans="6:6" x14ac:dyDescent="0.25">
      <c r="F519" s="16"/>
    </row>
    <row r="520" spans="6:6" x14ac:dyDescent="0.25">
      <c r="F520" s="16"/>
    </row>
    <row r="521" spans="6:6" x14ac:dyDescent="0.25">
      <c r="F521" s="16"/>
    </row>
    <row r="522" spans="6:6" x14ac:dyDescent="0.25">
      <c r="F522" s="16"/>
    </row>
    <row r="523" spans="6:6" x14ac:dyDescent="0.25">
      <c r="F523" s="16"/>
    </row>
    <row r="524" spans="6:6" x14ac:dyDescent="0.25">
      <c r="F524" s="16"/>
    </row>
    <row r="525" spans="6:6" x14ac:dyDescent="0.25">
      <c r="F525" s="16"/>
    </row>
    <row r="526" spans="6:6" x14ac:dyDescent="0.25">
      <c r="F526" s="16"/>
    </row>
    <row r="527" spans="6:6" x14ac:dyDescent="0.25">
      <c r="F527" s="16"/>
    </row>
    <row r="528" spans="6:6" x14ac:dyDescent="0.25">
      <c r="F528" s="16"/>
    </row>
    <row r="529" spans="6:6" x14ac:dyDescent="0.25">
      <c r="F529" s="16"/>
    </row>
    <row r="530" spans="6:6" x14ac:dyDescent="0.25">
      <c r="F530" s="16"/>
    </row>
    <row r="531" spans="6:6" x14ac:dyDescent="0.25">
      <c r="F531" s="16"/>
    </row>
    <row r="532" spans="6:6" x14ac:dyDescent="0.25">
      <c r="F532" s="16"/>
    </row>
    <row r="533" spans="6:6" x14ac:dyDescent="0.25">
      <c r="F533" s="16"/>
    </row>
    <row r="534" spans="6:6" x14ac:dyDescent="0.25">
      <c r="F534" s="16"/>
    </row>
    <row r="535" spans="6:6" x14ac:dyDescent="0.25">
      <c r="F535" s="16"/>
    </row>
    <row r="536" spans="6:6" x14ac:dyDescent="0.25">
      <c r="F536" s="16"/>
    </row>
    <row r="537" spans="6:6" x14ac:dyDescent="0.25">
      <c r="F537" s="16"/>
    </row>
    <row r="538" spans="6:6" x14ac:dyDescent="0.25">
      <c r="F538" s="16"/>
    </row>
    <row r="539" spans="6:6" x14ac:dyDescent="0.25">
      <c r="F539" s="16"/>
    </row>
    <row r="540" spans="6:6" x14ac:dyDescent="0.25">
      <c r="F540" s="1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5964-B222-46CA-B82B-0787B85605F4}">
  <dimension ref="A6:G12"/>
  <sheetViews>
    <sheetView tabSelected="1" workbookViewId="0">
      <selection activeCell="F21" sqref="F21"/>
    </sheetView>
  </sheetViews>
  <sheetFormatPr defaultColWidth="8.625" defaultRowHeight="15" x14ac:dyDescent="0.25"/>
  <cols>
    <col min="1" max="1" width="4.625" style="2" customWidth="1"/>
    <col min="2" max="3" width="5.5" style="2" customWidth="1"/>
    <col min="4" max="5" width="8.625" style="1"/>
    <col min="6" max="6" width="25" style="1" customWidth="1"/>
    <col min="7" max="7" width="9.875" style="1" bestFit="1" customWidth="1"/>
    <col min="8" max="16384" width="8.625" style="1"/>
  </cols>
  <sheetData>
    <row r="6" spans="6:7" x14ac:dyDescent="0.25">
      <c r="F6" s="20" t="s">
        <v>15</v>
      </c>
      <c r="G6" s="16">
        <v>45483</v>
      </c>
    </row>
    <row r="7" spans="6:7" x14ac:dyDescent="0.25">
      <c r="F7" s="20" t="s">
        <v>16</v>
      </c>
      <c r="G7" s="16">
        <f>EOMONTH(G6,-1)+1</f>
        <v>45474</v>
      </c>
    </row>
    <row r="8" spans="6:7" x14ac:dyDescent="0.25">
      <c r="F8" s="20" t="s">
        <v>17</v>
      </c>
      <c r="G8" s="17">
        <f>DAY(G6)/DAY(EOMONTH(G6,0))</f>
        <v>0.32258064516129031</v>
      </c>
    </row>
    <row r="9" spans="6:7" x14ac:dyDescent="0.25">
      <c r="F9" s="20"/>
      <c r="G9" s="18"/>
    </row>
    <row r="10" spans="6:7" x14ac:dyDescent="0.25">
      <c r="F10" s="20" t="s">
        <v>18</v>
      </c>
      <c r="G10" s="19">
        <f>VLOOKUP(TEXT(G6,"ММММ"),Бюджет!$E$4:$F$15,2,FALSE)</f>
        <v>484451</v>
      </c>
    </row>
    <row r="11" spans="6:7" x14ac:dyDescent="0.25">
      <c r="F11" s="20" t="s">
        <v>19</v>
      </c>
      <c r="G11" s="19">
        <f>SUMIFS(Расход!G:G,Расход!F:F,"&gt;="&amp;Калькулятор!G7,Расход!F:F,"&lt;="&amp;Калькулятор!G6)</f>
        <v>106778</v>
      </c>
    </row>
    <row r="12" spans="6:7" x14ac:dyDescent="0.25">
      <c r="F12" s="20" t="s">
        <v>20</v>
      </c>
      <c r="G12" s="17">
        <f>G11/G10</f>
        <v>0.22041032013557615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Тема урока</vt:lpstr>
      <vt:lpstr>Инструкция</vt:lpstr>
      <vt:lpstr>Бюджет</vt:lpstr>
      <vt:lpstr>Расход</vt:lpstr>
      <vt:lpstr>Калькулятор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user</cp:lastModifiedBy>
  <dcterms:created xsi:type="dcterms:W3CDTF">2024-08-24T22:17:11Z</dcterms:created>
  <dcterms:modified xsi:type="dcterms:W3CDTF">2026-02-24T15:26:10Z</dcterms:modified>
</cp:coreProperties>
</file>