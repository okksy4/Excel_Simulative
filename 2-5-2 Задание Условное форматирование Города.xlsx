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РАБОТА\"/>
    </mc:Choice>
  </mc:AlternateContent>
  <xr:revisionPtr revIDLastSave="0" documentId="13_ncr:1_{8D117A32-7725-4679-ACFE-60C706F864D6}" xr6:coauthVersionLast="37" xr6:coauthVersionMax="47" xr10:uidLastSave="{00000000-0000-0000-0000-000000000000}"/>
  <bookViews>
    <workbookView xWindow="0" yWindow="0" windowWidth="28800" windowHeight="11910" tabRatio="737" activeTab="1" xr2:uid="{BE275577-B430-4DCB-AA1E-9DF443D9D709}"/>
  </bookViews>
  <sheets>
    <sheet name="Тема урока" sheetId="19" r:id="rId1"/>
    <sheet name="Выполнить" sheetId="21" r:id="rId2"/>
    <sheet name="Sales" sheetId="17" r:id="rId3"/>
    <sheet name="Справка" sheetId="3" r:id="rId4"/>
  </sheets>
  <definedNames>
    <definedName name="_xlnm._FilterDatabase" localSheetId="2" hidden="1">Sales!$E$1:$E$502</definedName>
    <definedName name="_xlnm._FilterDatabase" localSheetId="1" hidden="1">Выполнить!#REF!</definedName>
    <definedName name="_xlnm.Extract" localSheetId="2">Sales!#REF!</definedName>
    <definedName name="_xlnm.Extract" localSheetId="1">Выполнить!$J$2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21" l="1"/>
  <c r="N9" i="21"/>
  <c r="O9" i="21"/>
  <c r="P9" i="21"/>
  <c r="L4" i="21"/>
  <c r="L5" i="21"/>
  <c r="L6" i="21"/>
  <c r="L7" i="21"/>
  <c r="L8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3" i="21"/>
  <c r="N8" i="21"/>
  <c r="O8" i="21"/>
  <c r="P8" i="21"/>
  <c r="N4" i="21" l="1"/>
  <c r="N5" i="21"/>
  <c r="N6" i="21"/>
  <c r="N7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3" i="21"/>
  <c r="O3" i="21"/>
  <c r="J504" i="17"/>
  <c r="P3" i="21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2" i="17"/>
  <c r="P4" i="21"/>
  <c r="P5" i="21"/>
  <c r="P6" i="21"/>
  <c r="P7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O4" i="21"/>
  <c r="O5" i="21"/>
  <c r="O6" i="21"/>
  <c r="O7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</calcChain>
</file>

<file path=xl/sharedStrings.xml><?xml version="1.0" encoding="utf-8"?>
<sst xmlns="http://schemas.openxmlformats.org/spreadsheetml/2006/main" count="3655" uniqueCount="1016">
  <si>
    <t>https://excalidraw.com/</t>
  </si>
  <si>
    <t>Customer ID</t>
  </si>
  <si>
    <t>City</t>
  </si>
  <si>
    <t>Region</t>
  </si>
  <si>
    <t>Product ID</t>
  </si>
  <si>
    <t>Category</t>
  </si>
  <si>
    <t>Quantity</t>
  </si>
  <si>
    <t>CG-12520</t>
  </si>
  <si>
    <t>Henderson</t>
  </si>
  <si>
    <t>South</t>
  </si>
  <si>
    <t>FUR-BO-10001798</t>
  </si>
  <si>
    <t>Furniture</t>
  </si>
  <si>
    <t>FUR-CH-10000454</t>
  </si>
  <si>
    <t>DV-13045</t>
  </si>
  <si>
    <t>Los Angeles</t>
  </si>
  <si>
    <t>West</t>
  </si>
  <si>
    <t>OFF-LA-10000240</t>
  </si>
  <si>
    <t>Office Supplies</t>
  </si>
  <si>
    <t>SO-20335</t>
  </si>
  <si>
    <t>Fort Lauderdale</t>
  </si>
  <si>
    <t>FUR-TA-10000577</t>
  </si>
  <si>
    <t>OFF-ST-10000760</t>
  </si>
  <si>
    <t>BH-11710</t>
  </si>
  <si>
    <t>FUR-FU-10001487</t>
  </si>
  <si>
    <t>OFF-AR-10002833</t>
  </si>
  <si>
    <t>TEC-PH-10002275</t>
  </si>
  <si>
    <t>Technology</t>
  </si>
  <si>
    <t>OFF-BI-10003910</t>
  </si>
  <si>
    <t>OFF-AP-10002892</t>
  </si>
  <si>
    <t>FUR-TA-10001539</t>
  </si>
  <si>
    <t>TEC-PH-10002033</t>
  </si>
  <si>
    <t>AA-10480</t>
  </si>
  <si>
    <t>Concord</t>
  </si>
  <si>
    <t>OFF-PA-10002365</t>
  </si>
  <si>
    <t>IM-15070</t>
  </si>
  <si>
    <t>Seattle</t>
  </si>
  <si>
    <t>OFF-BI-10003656</t>
  </si>
  <si>
    <t>HP-14815</t>
  </si>
  <si>
    <t>Fort Worth</t>
  </si>
  <si>
    <t>Central</t>
  </si>
  <si>
    <t>OFF-AP-10002311</t>
  </si>
  <si>
    <t>OFF-BI-10000756</t>
  </si>
  <si>
    <t>PK-19075</t>
  </si>
  <si>
    <t>Madison</t>
  </si>
  <si>
    <t>OFF-ST-10004186</t>
  </si>
  <si>
    <t>AG-10270</t>
  </si>
  <si>
    <t>West Jordan</t>
  </si>
  <si>
    <t>OFF-ST-10000107</t>
  </si>
  <si>
    <t>ZD-21925</t>
  </si>
  <si>
    <t>San Francisco</t>
  </si>
  <si>
    <t>OFF-AR-10003056</t>
  </si>
  <si>
    <t>TEC-PH-10001949</t>
  </si>
  <si>
    <t>OFF-BI-10002215</t>
  </si>
  <si>
    <t>KB-16585</t>
  </si>
  <si>
    <t>Fremont</t>
  </si>
  <si>
    <t>OFF-AR-10000246</t>
  </si>
  <si>
    <t>OFF-AP-10001492</t>
  </si>
  <si>
    <t>SF-20065</t>
  </si>
  <si>
    <t>Philadelphia</t>
  </si>
  <si>
    <t>East</t>
  </si>
  <si>
    <t>FUR-CH-10002774</t>
  </si>
  <si>
    <t>EB-13870</t>
  </si>
  <si>
    <t>Orem</t>
  </si>
  <si>
    <t>EH-13945</t>
  </si>
  <si>
    <t>OFF-BI-10001634</t>
  </si>
  <si>
    <t>TEC-AC-10003027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</si>
  <si>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</si>
  <si>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</si>
  <si>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</si>
  <si>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</si>
  <si>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</si>
  <si>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</si>
  <si>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</si>
  <si>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</si>
  <si>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MA-17560</t>
  </si>
  <si>
    <t>Houston</t>
  </si>
  <si>
    <t>OFF-PA-10000249</t>
  </si>
  <si>
    <t>GH-14485</t>
  </si>
  <si>
    <t>Richardson</t>
  </si>
  <si>
    <t>TEC-PH-10004977</t>
  </si>
  <si>
    <t>FUR-FU-10003664</t>
  </si>
  <si>
    <t>SN-20710</t>
  </si>
  <si>
    <t>OFF-EN-10002986</t>
  </si>
  <si>
    <t>FUR-BO-10002545</t>
  </si>
  <si>
    <t>FUR-CH-10004218</t>
  </si>
  <si>
    <t>TEC-PH-10000486</t>
  </si>
  <si>
    <t>LC-16930</t>
  </si>
  <si>
    <t>Naperville</t>
  </si>
  <si>
    <t>TEC-PH-10004093</t>
  </si>
  <si>
    <t>RA-19885</t>
  </si>
  <si>
    <t>OFF-ST-10003479</t>
  </si>
  <si>
    <t>ES-14080</t>
  </si>
  <si>
    <t>Melbourne</t>
  </si>
  <si>
    <t>OFF-ST-10003282</t>
  </si>
  <si>
    <t>ON-18715</t>
  </si>
  <si>
    <t>Eagan</t>
  </si>
  <si>
    <t>TEC-AC-10000171</t>
  </si>
  <si>
    <t>OFF-BI-10003291</t>
  </si>
  <si>
    <t>PO-18865</t>
  </si>
  <si>
    <t>Westland</t>
  </si>
  <si>
    <t>OFF-ST-10001713</t>
  </si>
  <si>
    <t>LH-16900</t>
  </si>
  <si>
    <t>Dover</t>
  </si>
  <si>
    <t>TEC-AC-10002167</t>
  </si>
  <si>
    <t>TEC-PH-10003988</t>
  </si>
  <si>
    <t>DP-13000</t>
  </si>
  <si>
    <t>New Albany</t>
  </si>
  <si>
    <t>OFF-BI-10004410</t>
  </si>
  <si>
    <t>OFF-LA-10002762</t>
  </si>
  <si>
    <t>FUR-FU-10001706</t>
  </si>
  <si>
    <t>FUR-CH-10003061</t>
  </si>
  <si>
    <t>JM-15265</t>
  </si>
  <si>
    <t>New York City</t>
  </si>
  <si>
    <t>OFF-FA-10000304</t>
  </si>
  <si>
    <t>TEC-PH-10002447</t>
  </si>
  <si>
    <t>TB-21055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</si>
  <si>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</si>
  <si>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</si>
  <si>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</si>
  <si>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</si>
  <si>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</si>
  <si>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</si>
  <si>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</si>
  <si>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KM-16720</t>
  </si>
  <si>
    <t>TEC-AC-10004633</t>
  </si>
  <si>
    <t>OFF-BI-10001078</t>
  </si>
  <si>
    <t>OFF-PA-10003892</t>
  </si>
  <si>
    <t>FUR-FU-10000397</t>
  </si>
  <si>
    <t>PS-18970</t>
  </si>
  <si>
    <t>Chicago</t>
  </si>
  <si>
    <t>FUR-CH-10001146</t>
  </si>
  <si>
    <t>BS-11590</t>
  </si>
  <si>
    <t>Gilbert</t>
  </si>
  <si>
    <t>OFF-AR-10002671</t>
  </si>
  <si>
    <t>TEC-PH-10002726</t>
  </si>
  <si>
    <t>KD-16270</t>
  </si>
  <si>
    <t>Springfield</t>
  </si>
  <si>
    <t>OFF-PA-10000482</t>
  </si>
  <si>
    <t>HM-14980</t>
  </si>
  <si>
    <t>OFF-BI-10004654</t>
  </si>
  <si>
    <t>Jackson</t>
  </si>
  <si>
    <t>OFF-PA-10004675</t>
  </si>
  <si>
    <t>JE-15745</t>
  </si>
  <si>
    <t>Memphis</t>
  </si>
  <si>
    <t>FUR-CH-10000513</t>
  </si>
  <si>
    <t>FUR-FU-10003708</t>
  </si>
  <si>
    <t>OFF-ST-10004123</t>
  </si>
  <si>
    <t>KB-16600</t>
  </si>
  <si>
    <t>OFF-BI-10004182</t>
  </si>
  <si>
    <t>FUR-FU-10000260</t>
  </si>
  <si>
    <t>OFF-ST-10000615</t>
  </si>
  <si>
    <t>FUR-FU-10003194</t>
  </si>
  <si>
    <t>SC-20770</t>
  </si>
  <si>
    <t>Decatur</t>
  </si>
  <si>
    <t>OFF-AP-10002118</t>
  </si>
  <si>
    <t>OFF-BI-10002309</t>
  </si>
  <si>
    <t>DN-13690</t>
  </si>
  <si>
    <t>OFF-AR-10002053</t>
  </si>
  <si>
    <t>OFF-ST-10002370</t>
  </si>
  <si>
    <t>JC-16105</t>
  </si>
  <si>
    <t>Durham</t>
  </si>
  <si>
    <t>OFF-EN-10000927</t>
  </si>
  <si>
    <t>CS-12400</t>
  </si>
  <si>
    <t>OFF-ST-10003656</t>
  </si>
  <si>
    <t>Columbia</t>
  </si>
  <si>
    <t>FUR-CH-10000863</t>
  </si>
  <si>
    <t>PG-18895</t>
  </si>
  <si>
    <t>Rochester</t>
  </si>
  <si>
    <t>TEC-AC-10001998</t>
  </si>
  <si>
    <t>OFF-LA-10000134</t>
  </si>
  <si>
    <t>GM-14455</t>
  </si>
  <si>
    <t>OFF-ST-10003442</t>
  </si>
  <si>
    <t>JS-15685</t>
  </si>
  <si>
    <t>OFF-AR-10004930</t>
  </si>
  <si>
    <t>OFF-PA-10000304</t>
  </si>
  <si>
    <t>KB-16315</t>
  </si>
  <si>
    <t>Minneapolis</t>
  </si>
  <si>
    <t>OFF-PA-10003177</t>
  </si>
  <si>
    <t>FUR-FU-10003799</t>
  </si>
  <si>
    <t>OFF-BI-10002852</t>
  </si>
  <si>
    <t>RB-19705</t>
  </si>
  <si>
    <t>Portland</t>
  </si>
  <si>
    <t>OFF-BI-10004738</t>
  </si>
  <si>
    <t>PN-18775</t>
  </si>
  <si>
    <t>FUR-FU-10000629</t>
  </si>
  <si>
    <t>KD-16345</t>
  </si>
  <si>
    <t>OFF-BI-10001721</t>
  </si>
  <si>
    <t>ER-13855</t>
  </si>
  <si>
    <t>Saint Paul</t>
  </si>
  <si>
    <t>OFF-AP-10000358</t>
  </si>
  <si>
    <t>RB-19465</t>
  </si>
  <si>
    <t>OFF-PA-10003256</t>
  </si>
  <si>
    <t>TEC-AC-10001767</t>
  </si>
  <si>
    <t>OFF-BI-10002609</t>
  </si>
  <si>
    <t>GZ-14470</t>
  </si>
  <si>
    <t>OFF-PA-10004040</t>
  </si>
  <si>
    <t>LC-16870</t>
  </si>
  <si>
    <t>Aurora</t>
  </si>
  <si>
    <t>TEC-AC-10001552</t>
  </si>
  <si>
    <t>FUR-FU-10004006</t>
  </si>
  <si>
    <t>OFF-BI-10002794</t>
  </si>
  <si>
    <t>JM-15250</t>
  </si>
  <si>
    <t>Charlotte</t>
  </si>
  <si>
    <t>TEC-AC-10003499</t>
  </si>
  <si>
    <t>TEC-PH-10002844</t>
  </si>
  <si>
    <t>OFF-AR-10000390</t>
  </si>
  <si>
    <t>PA-19060</t>
  </si>
  <si>
    <t>Orland Park</t>
  </si>
  <si>
    <t>TEC-AC-10000844</t>
  </si>
  <si>
    <t>CV-12805</t>
  </si>
  <si>
    <t>FUR-FU-10001934</t>
  </si>
  <si>
    <t>CL-12565</t>
  </si>
  <si>
    <t>Urbandale</t>
  </si>
  <si>
    <t>OFF-AR-10000380</t>
  </si>
  <si>
    <t>OFF-BI-10003981</t>
  </si>
  <si>
    <t>RC-19960</t>
  </si>
  <si>
    <t>Columbus</t>
  </si>
  <si>
    <t>OFF-FA-10000621</t>
  </si>
  <si>
    <t>OFF-EN-10002600</t>
  </si>
  <si>
    <t>OFF-PA-10004965</t>
  </si>
  <si>
    <t>OFF-EN-10002504</t>
  </si>
  <si>
    <t>DK-13090</t>
  </si>
  <si>
    <t>FUR-TA-10001768</t>
  </si>
  <si>
    <t>GG-14650</t>
  </si>
  <si>
    <t>Bristol</t>
  </si>
  <si>
    <t>OFF-BI-10003650</t>
  </si>
  <si>
    <t>SC-20725</t>
  </si>
  <si>
    <t>Wilmington</t>
  </si>
  <si>
    <t>FUR-FU-10002157</t>
  </si>
  <si>
    <t>OFF-ST-10000777</t>
  </si>
  <si>
    <t>OFF-EN-10002500</t>
  </si>
  <si>
    <t>TEC-PH-10003875</t>
  </si>
  <si>
    <t>AD-10180</t>
  </si>
  <si>
    <t>FUR-CH-10004063</t>
  </si>
  <si>
    <t>PF-19165</t>
  </si>
  <si>
    <t>Bloomington</t>
  </si>
  <si>
    <t>FUR-TA-10004534</t>
  </si>
  <si>
    <t>TS-21610</t>
  </si>
  <si>
    <t>Phoenix</t>
  </si>
  <si>
    <t>OFF-BI-10003274</t>
  </si>
  <si>
    <t>OFF-ST-10002974</t>
  </si>
  <si>
    <t>LS-16975</t>
  </si>
  <si>
    <t>FUR-FU-10003773</t>
  </si>
  <si>
    <t>DW-13585</t>
  </si>
  <si>
    <t>TEC-PH-10002293</t>
  </si>
  <si>
    <t>OFF-PA-10002377</t>
  </si>
  <si>
    <t>OFF-FA-10002780</t>
  </si>
  <si>
    <t>LC-16885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</si>
  <si>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</si>
  <si>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</si>
  <si>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</si>
  <si>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</si>
  <si>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</si>
  <si>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</si>
  <si>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</si>
  <si>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JD-15895</t>
  </si>
  <si>
    <t>SH-19975</t>
  </si>
  <si>
    <t>OFF-AR-10000940</t>
  </si>
  <si>
    <t>OFF-EN-10004030</t>
  </si>
  <si>
    <t>OFF-PA-10004327</t>
  </si>
  <si>
    <t>SG-20080</t>
  </si>
  <si>
    <t>Independence</t>
  </si>
  <si>
    <t>OFF-AP-10001058</t>
  </si>
  <si>
    <t>HA-14920</t>
  </si>
  <si>
    <t>Pasadena</t>
  </si>
  <si>
    <t>MG-17680</t>
  </si>
  <si>
    <t>Newark</t>
  </si>
  <si>
    <t>FUR-FU-10000521</t>
  </si>
  <si>
    <t>JE-16165</t>
  </si>
  <si>
    <t>Franklin</t>
  </si>
  <si>
    <t>TEC-PH-10000215</t>
  </si>
  <si>
    <t>TEC-PH-10001448</t>
  </si>
  <si>
    <t>OFF-BI-10002735</t>
  </si>
  <si>
    <t>TW-21025</t>
  </si>
  <si>
    <t>Scottsdale</t>
  </si>
  <si>
    <t>OFF-AP-10000326</t>
  </si>
  <si>
    <t>TEC-PH-10001254</t>
  </si>
  <si>
    <t>SP-20650</t>
  </si>
  <si>
    <t>San Jose</t>
  </si>
  <si>
    <t>OFF-PA-10001950</t>
  </si>
  <si>
    <t>OFF-PA-10002254</t>
  </si>
  <si>
    <t>OFF-ST-10001590</t>
  </si>
  <si>
    <t>NK-18490</t>
  </si>
  <si>
    <t>OFF-AR-10001547</t>
  </si>
  <si>
    <t>DB-13060</t>
  </si>
  <si>
    <t>NP-18670</t>
  </si>
  <si>
    <t>Edmond</t>
  </si>
  <si>
    <t>OFF-LA-10002475</t>
  </si>
  <si>
    <t>TEC-PH-10004536</t>
  </si>
  <si>
    <t>TT-21070</t>
  </si>
  <si>
    <t>OFF-PA-10002751</t>
  </si>
  <si>
    <t>EM-13960</t>
  </si>
  <si>
    <t>TEC-AC-10003657</t>
  </si>
  <si>
    <t>RD-19900</t>
  </si>
  <si>
    <t>Carlsbad</t>
  </si>
  <si>
    <t>OFF-EN-10001990</t>
  </si>
  <si>
    <t>MJ-17740</t>
  </si>
  <si>
    <t>OFF-BI-10004002</t>
  </si>
  <si>
    <t>BM-11140</t>
  </si>
  <si>
    <t>San Antonio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</si>
  <si>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</si>
  <si>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</si>
  <si>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</si>
  <si>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</si>
  <si>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</si>
  <si>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</si>
  <si>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</si>
  <si>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CS-12130</t>
  </si>
  <si>
    <t>OFF-PA-10000659</t>
  </si>
  <si>
    <t>OFF-PA-10001144</t>
  </si>
  <si>
    <t>FUR-CH-10003817</t>
  </si>
  <si>
    <t>JB-15400</t>
  </si>
  <si>
    <t>OFF-AP-10000891</t>
  </si>
  <si>
    <t>OFF-LA-10003148</t>
  </si>
  <si>
    <t>SJ-20500</t>
  </si>
  <si>
    <t>OFF-AP-10002684</t>
  </si>
  <si>
    <t>FUR-CH-10004698</t>
  </si>
  <si>
    <t>OFF-SU-10002189</t>
  </si>
  <si>
    <t>JK-15640</t>
  </si>
  <si>
    <t>OFF-AR-10001940</t>
  </si>
  <si>
    <t>DK-13150</t>
  </si>
  <si>
    <t>OFF-ST-10003455</t>
  </si>
  <si>
    <t>TEC-AC-10004659</t>
  </si>
  <si>
    <t>RM-19675</t>
  </si>
  <si>
    <t>Monroe</t>
  </si>
  <si>
    <t>TEC-PH-10003273</t>
  </si>
  <si>
    <t>TEC-PH-10004896</t>
  </si>
  <si>
    <t>TEC-AC-10002345</t>
  </si>
  <si>
    <t>SK-19990</t>
  </si>
  <si>
    <t>Fairfield</t>
  </si>
  <si>
    <t>OFF-BI-10001890</t>
  </si>
  <si>
    <t>FM-14290</t>
  </si>
  <si>
    <t>TEC-AC-10002323</t>
  </si>
  <si>
    <t>AM-10360</t>
  </si>
  <si>
    <t>Grand Prairie</t>
  </si>
  <si>
    <t>OFF-ST-10001328</t>
  </si>
  <si>
    <t>MP-17470</t>
  </si>
  <si>
    <t>FUR-BO-10002613</t>
  </si>
  <si>
    <t>TEC-PH-10001552</t>
  </si>
  <si>
    <t>OFF-PA-10000061</t>
  </si>
  <si>
    <t>OFF-AR-10003514</t>
  </si>
  <si>
    <t>MZ-17515</t>
  </si>
  <si>
    <t>Redlands</t>
  </si>
  <si>
    <t>CB-12025</t>
  </si>
  <si>
    <t>Cassandra Brandow</t>
  </si>
  <si>
    <t>Hamilton</t>
  </si>
  <si>
    <t>OFF-AR-10004685</t>
  </si>
  <si>
    <t>OFF-AR-10004027</t>
  </si>
  <si>
    <t>VM-21685</t>
  </si>
  <si>
    <t>Westfield</t>
  </si>
  <si>
    <t>OFF-ST-10001414</t>
  </si>
  <si>
    <t>FH-14365</t>
  </si>
  <si>
    <t>OFF-BI-10000343</t>
  </si>
  <si>
    <t>OFF-PA-10002749</t>
  </si>
  <si>
    <t>MB-17305</t>
  </si>
  <si>
    <t>Akron</t>
  </si>
  <si>
    <t>OFF-PA-10002666</t>
  </si>
  <si>
    <t>BS-11755</t>
  </si>
  <si>
    <t>Denver</t>
  </si>
  <si>
    <t>FUR-TA-10004289</t>
  </si>
  <si>
    <t>OFF-AP-10003622</t>
  </si>
  <si>
    <t>LC-17140</t>
  </si>
  <si>
    <t>Dallas</t>
  </si>
  <si>
    <t>OFF-AP-10003217</t>
  </si>
  <si>
    <t>HK-14890</t>
  </si>
  <si>
    <t>FUR-FU-10002960</t>
  </si>
  <si>
    <t>LE-16810</t>
  </si>
  <si>
    <t>Whittier</t>
  </si>
  <si>
    <t>TEC-PH-10001918</t>
  </si>
  <si>
    <t>JH-15985</t>
  </si>
  <si>
    <t>Saginaw</t>
  </si>
  <si>
    <t>OFF-ST-10000642</t>
  </si>
  <si>
    <t>TEC-PH-10001700</t>
  </si>
  <si>
    <t>OFF-FA-10000134</t>
  </si>
  <si>
    <t>OFF-ST-10001522</t>
  </si>
  <si>
    <t>MS-17980</t>
  </si>
  <si>
    <t>TEC-AC-10001266</t>
  </si>
  <si>
    <t>VW-21775</t>
  </si>
  <si>
    <t>Medina</t>
  </si>
  <si>
    <t>OFF-LA-10004544</t>
  </si>
  <si>
    <t>FUR-BO-10004695</t>
  </si>
  <si>
    <t>TEC-MA-10000864</t>
  </si>
  <si>
    <t>TEC-AC-10000109</t>
  </si>
  <si>
    <t>JH-15910</t>
  </si>
  <si>
    <t>TEC-PH-10002563</t>
  </si>
  <si>
    <t>JB-15925</t>
  </si>
  <si>
    <t>Dublin</t>
  </si>
  <si>
    <t>OFF-FA-10000585</t>
  </si>
  <si>
    <t>OFF-PA-10004000</t>
  </si>
  <si>
    <t>FUR-FU-10000087</t>
  </si>
  <si>
    <t>TEC-MA-10001148</t>
  </si>
  <si>
    <t>OFF-AR-10001958</t>
  </si>
  <si>
    <t>DS-13180</t>
  </si>
  <si>
    <t>Detroit</t>
  </si>
  <si>
    <t>OFF-AR-10001026</t>
  </si>
  <si>
    <t>FUR-TA-10003748</t>
  </si>
  <si>
    <t>OFF-ST-10002485</t>
  </si>
  <si>
    <t>VD-21670</t>
  </si>
  <si>
    <t>FUR-CH-10004860</t>
  </si>
  <si>
    <t>FUR-CH-10004477</t>
  </si>
  <si>
    <t>EA-14035</t>
  </si>
  <si>
    <t>OFF-BI-10001679</t>
  </si>
  <si>
    <t>Tampa</t>
  </si>
  <si>
    <t>FUR-TA-10001705</t>
  </si>
  <si>
    <t>FUR-TA-10003473</t>
  </si>
  <si>
    <t>FUR-FU-10004017</t>
  </si>
  <si>
    <t>TEC-AC-10003832</t>
  </si>
  <si>
    <t>DB-13120</t>
  </si>
  <si>
    <t>Santa Clara</t>
  </si>
  <si>
    <t>OFF-PA-10002479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</si>
  <si>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</si>
  <si>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</si>
  <si>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</si>
  <si>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</si>
  <si>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</si>
  <si>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</si>
  <si>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</si>
  <si>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DW-13480</t>
  </si>
  <si>
    <t>Lakeville</t>
  </si>
  <si>
    <t>OFF-ST-10002276</t>
  </si>
  <si>
    <t>OFF-PA-10004082</t>
  </si>
  <si>
    <t>OFF-AP-10002945</t>
  </si>
  <si>
    <t>LH-17155</t>
  </si>
  <si>
    <t>FUR-CH-10002965</t>
  </si>
  <si>
    <t>KC-16540</t>
  </si>
  <si>
    <t>San Diego</t>
  </si>
  <si>
    <t>OFF-PA-10004569</t>
  </si>
  <si>
    <t>DL-13315</t>
  </si>
  <si>
    <t>OFF-ST-10001228</t>
  </si>
  <si>
    <t>OFF-EN-10003296</t>
  </si>
  <si>
    <t>DR-12880</t>
  </si>
  <si>
    <t>OFF-ST-10004804</t>
  </si>
  <si>
    <t>TEC-PH-10001580</t>
  </si>
  <si>
    <t>CC-12670</t>
  </si>
  <si>
    <t>TEC-AC-10000290</t>
  </si>
  <si>
    <t>OFF-ST-10002790</t>
  </si>
  <si>
    <t>OFF-BI-10003460</t>
  </si>
  <si>
    <t>Dl-13600</t>
  </si>
  <si>
    <t>OFF-AP-10002203</t>
  </si>
  <si>
    <t>SB-20290</t>
  </si>
  <si>
    <t>TEC-MA-10003353</t>
  </si>
  <si>
    <t>RC-19825</t>
  </si>
  <si>
    <t>TEC-PH-10001433</t>
  </si>
  <si>
    <t>AH-10210</t>
  </si>
  <si>
    <t>Brentwood</t>
  </si>
  <si>
    <t>TEC-AC-10004469</t>
  </si>
  <si>
    <t>CB-12535</t>
  </si>
  <si>
    <t>Chapel Hill</t>
  </si>
  <si>
    <t>OFF-AR-10003602</t>
  </si>
  <si>
    <t>Morristown</t>
  </si>
  <si>
    <t>OFF-FA-10003472</t>
  </si>
  <si>
    <t>CA-12310</t>
  </si>
  <si>
    <t>Cincinnati</t>
  </si>
  <si>
    <t>OFF-ST-10004180</t>
  </si>
  <si>
    <t>OFF-EN-10004386</t>
  </si>
  <si>
    <t>KH-16690</t>
  </si>
  <si>
    <t>OFF-ST-10003208</t>
  </si>
  <si>
    <t>TEC-AC-10003628</t>
  </si>
  <si>
    <t>FUR-FU-10003274</t>
  </si>
  <si>
    <t>OFF-BI-10002557</t>
  </si>
  <si>
    <t>BB-10990</t>
  </si>
  <si>
    <t>Inglewood</t>
  </si>
  <si>
    <t>OFF-PA-10002615</t>
  </si>
  <si>
    <t>OFF-AR-10001427</t>
  </si>
  <si>
    <t>AG-10495</t>
  </si>
  <si>
    <t>OFF-PA-10000673</t>
  </si>
  <si>
    <t>OFF-PA-10004470</t>
  </si>
  <si>
    <t>OFF-ST-10000876</t>
  </si>
  <si>
    <t>OFF-LA-10002043</t>
  </si>
  <si>
    <t>OFF-BI-10004967</t>
  </si>
  <si>
    <t>TEC-PH-10001760</t>
  </si>
  <si>
    <t>JO-15280</t>
  </si>
  <si>
    <t>FUR-TA-10002903</t>
  </si>
  <si>
    <t>OFF-PA-10000474</t>
  </si>
  <si>
    <t>TEC-AC-10001956</t>
  </si>
  <si>
    <t>OFF-PA-10004100</t>
  </si>
  <si>
    <t>AH-10195</t>
  </si>
  <si>
    <t>Tamarac</t>
  </si>
  <si>
    <t>OFF-BI-10000778</t>
  </si>
  <si>
    <t>OFF-SU-10000646</t>
  </si>
  <si>
    <t>NZ-18565</t>
  </si>
  <si>
    <t>OFF-FA-10002983</t>
  </si>
  <si>
    <t>OFF-LA-10004689</t>
  </si>
  <si>
    <t>TEC-AC-10002001</t>
  </si>
  <si>
    <t>FUR-BO-10004709</t>
  </si>
  <si>
    <t>KL-16555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</si>
  <si>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</si>
  <si>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</si>
  <si>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</si>
  <si>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</si>
  <si>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</si>
  <si>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</si>
  <si>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</si>
  <si>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</si>
  <si>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</si>
  <si>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</si>
  <si>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</si>
  <si>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</si>
  <si>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</si>
  <si>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AS-10225</t>
  </si>
  <si>
    <t>FUR-FU-10002671</t>
  </si>
  <si>
    <t>Taylor</t>
  </si>
  <si>
    <t>OFF-AR-10003651</t>
  </si>
  <si>
    <t>CR-12625</t>
  </si>
  <si>
    <t>Lakewood</t>
  </si>
  <si>
    <t>OFF-BI-10001072</t>
  </si>
  <si>
    <t>OFF-AR-10002135</t>
  </si>
  <si>
    <t>SH-20395</t>
  </si>
  <si>
    <t>Arlington</t>
  </si>
  <si>
    <t>OFF-AR-10002804</t>
  </si>
  <si>
    <t>BP-11185</t>
  </si>
  <si>
    <t>Arvada</t>
  </si>
  <si>
    <t>FUR-FU-10001918</t>
  </si>
  <si>
    <t>FUR-CH-10004086</t>
  </si>
  <si>
    <t>FUR-FU-10001756</t>
  </si>
  <si>
    <t>OFF-LA-10000634</t>
  </si>
  <si>
    <t>TS-21205</t>
  </si>
  <si>
    <t>Hackensack</t>
  </si>
  <si>
    <t>FUR-FU-10001588</t>
  </si>
  <si>
    <t>AG-10525</t>
  </si>
  <si>
    <t>Saint Petersburg</t>
  </si>
  <si>
    <t>TEC-PH-10002398</t>
  </si>
  <si>
    <t>OFF-PA-10001937</t>
  </si>
  <si>
    <t>SP-20860</t>
  </si>
  <si>
    <t>OFF-AR-10003373</t>
  </si>
  <si>
    <t>NM-18445</t>
  </si>
  <si>
    <t>FUR-CH-10002602</t>
  </si>
  <si>
    <t>TEC-MA-10002927</t>
  </si>
  <si>
    <t>TEC-AC-10000892</t>
  </si>
  <si>
    <t>FA-14230</t>
  </si>
  <si>
    <t>Long Beach</t>
  </si>
  <si>
    <t>OFF-FA-10000624</t>
  </si>
  <si>
    <t>GK-14620</t>
  </si>
  <si>
    <t>Hesperia</t>
  </si>
  <si>
    <t>TEC-AC-10001908</t>
  </si>
  <si>
    <t>DJ-13510</t>
  </si>
  <si>
    <t>Murfreesboro</t>
  </si>
  <si>
    <t>FUR-FU-10001967</t>
  </si>
  <si>
    <t>PO-18850</t>
  </si>
  <si>
    <t>TEC-PH-10003645</t>
  </si>
  <si>
    <t>OFF-ST-10000675</t>
  </si>
  <si>
    <t>FUR-CH-10003312</t>
  </si>
  <si>
    <t>OFF-LA-10001074</t>
  </si>
  <si>
    <t>OFF-BI-10001524</t>
  </si>
  <si>
    <t>JL-15850</t>
  </si>
  <si>
    <t>TEC-PH-10004614</t>
  </si>
  <si>
    <t>OFF-BI-10001153</t>
  </si>
  <si>
    <t>OFF-BI-10001982</t>
  </si>
  <si>
    <t>DB-13615</t>
  </si>
  <si>
    <t>OFF-BI-10001922</t>
  </si>
  <si>
    <t>TEC-CO-10001449</t>
  </si>
  <si>
    <t>OFF-BI-10004140</t>
  </si>
  <si>
    <t>AC-10420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</si>
  <si>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</si>
  <si>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</si>
  <si>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</si>
  <si>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</si>
  <si>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</si>
  <si>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</si>
  <si>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</si>
  <si>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CC-12550</t>
  </si>
  <si>
    <t>TD-20995</t>
  </si>
  <si>
    <t>Lowell</t>
  </si>
  <si>
    <t>OFF-AR-10001374</t>
  </si>
  <si>
    <t>AB-10060</t>
  </si>
  <si>
    <t>OFF-PA-10001970</t>
  </si>
  <si>
    <t>OFF-BI-10002160</t>
  </si>
  <si>
    <t>OFF-BI-10004995</t>
  </si>
  <si>
    <t>JL-15505</t>
  </si>
  <si>
    <t>FUR-BO-10002268</t>
  </si>
  <si>
    <t>OFF-EN-10001137</t>
  </si>
  <si>
    <t>OFF-AR-10002399</t>
  </si>
  <si>
    <t>OFF-PA-10002713</t>
  </si>
  <si>
    <t>VB-21745</t>
  </si>
  <si>
    <t>OFF-AP-10001124</t>
  </si>
  <si>
    <t>OFF-LA-10001158</t>
  </si>
  <si>
    <t>KW-16435</t>
  </si>
  <si>
    <t>FUR-CH-10000785</t>
  </si>
  <si>
    <t>OFF-AR-10003732</t>
  </si>
  <si>
    <t>FUR-FU-10000023</t>
  </si>
  <si>
    <t>JD-16060</t>
  </si>
  <si>
    <t>MK-17905</t>
  </si>
  <si>
    <t>Manchester</t>
  </si>
  <si>
    <t>OFF-BI-10002412</t>
  </si>
  <si>
    <t>OFF-SU-10001225</t>
  </si>
  <si>
    <t>OFF-ST-10002406</t>
  </si>
  <si>
    <t>GT-14755</t>
  </si>
  <si>
    <t>Harlingen</t>
  </si>
  <si>
    <t>OFF-PA-10002036</t>
  </si>
  <si>
    <t>OFF-ST-10002205</t>
  </si>
  <si>
    <t>AG-10900</t>
  </si>
  <si>
    <t>Tucson</t>
  </si>
  <si>
    <t>TEC-AC-10003911</t>
  </si>
  <si>
    <t>OFF-AR-10000658</t>
  </si>
  <si>
    <t>TEC-AC-10002076</t>
  </si>
  <si>
    <t>MM-18280</t>
  </si>
  <si>
    <t>Quincy</t>
  </si>
  <si>
    <t>OFF-PA-10003039</t>
  </si>
  <si>
    <t>AR-10405</t>
  </si>
  <si>
    <t>FUR-TA-10004915</t>
  </si>
  <si>
    <t>RA-19915</t>
  </si>
  <si>
    <t>OFF-AP-10000696</t>
  </si>
  <si>
    <t>OFF-ST-10003327</t>
  </si>
  <si>
    <t>OFF-BI-10000309</t>
  </si>
  <si>
    <t>AS-10285</t>
  </si>
  <si>
    <t>OFF-PA-10004734</t>
  </si>
  <si>
    <t>OFF-BI-10002225</t>
  </si>
  <si>
    <t>LA-16780</t>
  </si>
  <si>
    <t>TEC-AC-10004708</t>
  </si>
  <si>
    <t>DO-13435</t>
  </si>
  <si>
    <t>Pembroke Pines</t>
  </si>
  <si>
    <t>FUR-TA-10000617</t>
  </si>
  <si>
    <t>TEC-AC-10002335</t>
  </si>
  <si>
    <t>DK-13225</t>
  </si>
  <si>
    <t>TEC-MA-10001681</t>
  </si>
  <si>
    <t>FUR-FU-10001935</t>
  </si>
  <si>
    <t>NG-18430</t>
  </si>
  <si>
    <t>OFF-AR-10004757</t>
  </si>
  <si>
    <t>MV-18190</t>
  </si>
  <si>
    <t>OFF-BI-10000050</t>
  </si>
  <si>
    <t>JG-15115</t>
  </si>
  <si>
    <t>Des Moines</t>
  </si>
  <si>
    <t>TEC-PH-10003012</t>
  </si>
  <si>
    <t>TEC-CO-10002313</t>
  </si>
  <si>
    <t>BP-11095</t>
  </si>
  <si>
    <t>Peoria</t>
  </si>
  <si>
    <t>OFF-BI-10003982</t>
  </si>
  <si>
    <t>VP-21730</t>
  </si>
  <si>
    <t>Las Vegas</t>
  </si>
  <si>
    <t>OFF-BI-10004492</t>
  </si>
  <si>
    <t>SS-20140</t>
  </si>
  <si>
    <t>Warwick</t>
  </si>
  <si>
    <t>OFF-ST-10000798</t>
  </si>
  <si>
    <t>OFF-PA-10002552</t>
  </si>
  <si>
    <t>OFF-SU-10002573</t>
  </si>
  <si>
    <t>AG-10675</t>
  </si>
  <si>
    <t>OFF-ST-10001580</t>
  </si>
  <si>
    <t>OFF-ST-10000934</t>
  </si>
  <si>
    <t>TEC-AC-10000158</t>
  </si>
  <si>
    <t>LF-17185</t>
  </si>
  <si>
    <t>Miami</t>
  </si>
  <si>
    <t>OFF-PA-10001947</t>
  </si>
  <si>
    <t>OFF-AR-10003478</t>
  </si>
  <si>
    <t>RF-19840</t>
  </si>
  <si>
    <t>OFF-AP-10004249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</si>
  <si>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</si>
  <si>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</si>
  <si>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</si>
  <si>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</si>
  <si>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</si>
  <si>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</si>
  <si>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</si>
  <si>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</si>
  <si>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KC-16675</t>
  </si>
  <si>
    <t>OFF-PA-10000157</t>
  </si>
  <si>
    <t>CJ-12010</t>
  </si>
  <si>
    <t>Huntington Beach</t>
  </si>
  <si>
    <t>OFF-AR-10004344</t>
  </si>
  <si>
    <t>PB-19150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</si>
  <si>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</si>
  <si>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</si>
  <si>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</si>
  <si>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</si>
  <si>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</si>
  <si>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</si>
  <si>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</si>
  <si>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MP-17965</t>
  </si>
  <si>
    <t>Lawrence</t>
  </si>
  <si>
    <t>FUR-FU-10004712</t>
  </si>
  <si>
    <t>OFF-ST-10000918</t>
  </si>
  <si>
    <t>NF-18385</t>
  </si>
  <si>
    <t>FUR-CH-10000015</t>
  </si>
  <si>
    <t>Canton</t>
  </si>
  <si>
    <t>FUR-FU-10003347</t>
  </si>
  <si>
    <t>OFF-BI-10001543</t>
  </si>
  <si>
    <t>SD-20485</t>
  </si>
  <si>
    <t>New Rochelle</t>
  </si>
  <si>
    <t>TEC-MA-10000029</t>
  </si>
  <si>
    <t>KH-16630</t>
  </si>
  <si>
    <t>OFF-AR-10000369</t>
  </si>
  <si>
    <t>RB-19795</t>
  </si>
  <si>
    <t>Gastonia</t>
  </si>
  <si>
    <t>OFF-BI-10004584</t>
  </si>
  <si>
    <t>OFF-ST-10000617</t>
  </si>
  <si>
    <t>OFF-ST-10003306</t>
  </si>
  <si>
    <t>MK-18160</t>
  </si>
  <si>
    <t>Jacksonville</t>
  </si>
  <si>
    <t>OFF-BI-10000773</t>
  </si>
  <si>
    <t>TEC-AC-10002600</t>
  </si>
  <si>
    <t>PO-19180</t>
  </si>
  <si>
    <t>TEC-MA-10002937</t>
  </si>
  <si>
    <t>BB-11545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</si>
  <si>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</si>
  <si>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</si>
  <si>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</si>
  <si>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</si>
  <si>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</si>
  <si>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</si>
  <si>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</si>
  <si>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</si>
  <si>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TB-21595</t>
  </si>
  <si>
    <t>FUR-FU-10000206</t>
  </si>
  <si>
    <t>RB-19360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</si>
  <si>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</si>
  <si>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</si>
  <si>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</si>
  <si>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</si>
  <si>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</si>
  <si>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</si>
  <si>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</si>
  <si>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EB-13705</t>
  </si>
  <si>
    <t>OFF-ST-10000142</t>
  </si>
  <si>
    <t>Norman</t>
  </si>
  <si>
    <t>TEC-AC-10001772</t>
  </si>
  <si>
    <t>SC-20095</t>
  </si>
  <si>
    <t>FUR-CH-10000225</t>
  </si>
  <si>
    <t>FUR-CH-10002331</t>
  </si>
  <si>
    <t>OFF-EN-10001415</t>
  </si>
  <si>
    <t>OFF-AP-10002472</t>
  </si>
  <si>
    <t>TEC-AC-10004571</t>
  </si>
  <si>
    <t>OFF-BI-10001098</t>
  </si>
  <si>
    <t>TN-21040</t>
  </si>
  <si>
    <t>FUR-TA-10001889</t>
  </si>
  <si>
    <t>OFF-BI-10000315</t>
  </si>
  <si>
    <t>OFF-SU-10003505</t>
  </si>
  <si>
    <t>OFF-AP-10002578</t>
  </si>
  <si>
    <t>JS-15940</t>
  </si>
  <si>
    <t>Park Ridge</t>
  </si>
  <si>
    <t>Amarillo</t>
  </si>
  <si>
    <t>FUR-BO-10002824</t>
  </si>
  <si>
    <t>OFF-BI-10002194</t>
  </si>
  <si>
    <t>MH-17785</t>
  </si>
  <si>
    <t>Lindenhurst</t>
  </si>
  <si>
    <t>OFF-PA-10004071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</si>
  <si>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</si>
  <si>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</si>
  <si>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</si>
  <si>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</si>
  <si>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</si>
  <si>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</si>
  <si>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</si>
  <si>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</si>
  <si>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JE-15475</t>
  </si>
  <si>
    <t>JG-15805</t>
  </si>
  <si>
    <t>OFF-AR-10003045</t>
  </si>
  <si>
    <t>OFF-ST-10000689</t>
  </si>
  <si>
    <t>XP-21865</t>
  </si>
  <si>
    <t>TEC-AC-10001445</t>
  </si>
  <si>
    <t>EM-14065</t>
  </si>
  <si>
    <t>TEC-AC-10002567</t>
  </si>
  <si>
    <t>MT-18070</t>
  </si>
  <si>
    <t>OFF-LA-10003923</t>
  </si>
  <si>
    <t>FUR-BO-10001337</t>
  </si>
  <si>
    <t>TEC-PH-10001924</t>
  </si>
  <si>
    <t>SA-20830</t>
  </si>
  <si>
    <t>TEC-PH-10001363</t>
  </si>
  <si>
    <t>CW-11905</t>
  </si>
  <si>
    <t>Huntsville</t>
  </si>
  <si>
    <t>TEC-PH-10000376</t>
  </si>
  <si>
    <t>TEC-AC-10000303</t>
  </si>
  <si>
    <t>AJ-10960</t>
  </si>
  <si>
    <t>OFF-ST-10001809</t>
  </si>
  <si>
    <t>OFF-EN-10003845</t>
  </si>
  <si>
    <t>SS-20590</t>
  </si>
  <si>
    <t>TEC-AC-10000991</t>
  </si>
  <si>
    <t>RO-19780</t>
  </si>
  <si>
    <t>FUR-TA-10001857</t>
  </si>
  <si>
    <t>MD-17350</t>
  </si>
  <si>
    <t>Fayetteville</t>
  </si>
  <si>
    <t>OFF-EN-10001434</t>
  </si>
  <si>
    <t>Costa Mesa</t>
  </si>
  <si>
    <t>OFF-BI-10002498</t>
  </si>
  <si>
    <t>FUR-FU-10004864</t>
  </si>
  <si>
    <t>FUR-FU-10000073</t>
  </si>
  <si>
    <t>Chuck Magee</t>
  </si>
  <si>
    <t>Order ID</t>
  </si>
  <si>
    <t>Order Date</t>
  </si>
  <si>
    <t>CA-2016-152156</t>
  </si>
  <si>
    <t>CA-2016-138688</t>
  </si>
  <si>
    <t>Anna Andreadi</t>
  </si>
  <si>
    <t>US-2015-108966</t>
  </si>
  <si>
    <t>CA-2014-115812</t>
  </si>
  <si>
    <t>CA-2017-114412</t>
  </si>
  <si>
    <t>CA-2016-161389</t>
  </si>
  <si>
    <t>US-2015-118983</t>
  </si>
  <si>
    <t>Kelly Williams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</si>
  <si>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</si>
  <si>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</si>
  <si>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</si>
  <si>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</si>
  <si>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</si>
  <si>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</si>
  <si>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</si>
  <si>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</si>
  <si>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</si>
  <si>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</si>
  <si>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</si>
  <si>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</si>
  <si>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</si>
  <si>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</si>
  <si>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</si>
  <si>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</si>
  <si>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</si>
  <si>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</si>
  <si>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</si>
  <si>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</si>
  <si>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</si>
  <si>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</si>
  <si>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</si>
  <si>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</si>
  <si>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</si>
  <si>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</si>
  <si>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</si>
  <si>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</si>
  <si>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</si>
  <si>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</si>
  <si>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</si>
  <si>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</si>
  <si>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</si>
  <si>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</si>
  <si>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</si>
  <si>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</si>
  <si>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</si>
  <si>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</si>
  <si>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</si>
  <si>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</si>
  <si>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</si>
  <si>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</si>
  <si>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</si>
  <si>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</si>
  <si>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</si>
  <si>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</si>
  <si>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</si>
  <si>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</si>
  <si>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</si>
  <si>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</si>
  <si>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</si>
  <si>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</si>
  <si>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</si>
  <si>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</si>
  <si>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</si>
  <si>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</si>
  <si>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</si>
  <si>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</si>
  <si>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</si>
  <si>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</si>
  <si>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</si>
  <si>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</si>
  <si>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</si>
  <si>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</si>
  <si>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</si>
  <si>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</si>
  <si>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</si>
  <si>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</si>
  <si>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</si>
  <si>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</si>
  <si>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</si>
  <si>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</si>
  <si>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</si>
  <si>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</si>
  <si>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</si>
  <si>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</si>
  <si>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</si>
  <si>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</si>
  <si>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</si>
  <si>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</si>
  <si>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</si>
  <si>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</si>
  <si>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</si>
  <si>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</si>
  <si>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</si>
  <si>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</si>
  <si>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</si>
  <si>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</si>
  <si>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</si>
  <si>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</si>
  <si>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</si>
  <si>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</si>
  <si>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</si>
  <si>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</si>
  <si>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</si>
  <si>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</si>
  <si>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</si>
  <si>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</si>
  <si>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</si>
  <si>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</si>
  <si>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</si>
  <si>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</si>
  <si>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</si>
  <si>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</si>
  <si>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</si>
  <si>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</si>
  <si>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</si>
  <si>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</si>
  <si>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</si>
  <si>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</si>
  <si>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</si>
  <si>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</si>
  <si>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</si>
  <si>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</si>
  <si>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</si>
  <si>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</si>
  <si>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</si>
  <si>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</si>
  <si>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</si>
  <si>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</si>
  <si>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</si>
  <si>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</si>
  <si>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</si>
  <si>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</si>
  <si>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</si>
  <si>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</si>
  <si>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</si>
  <si>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</si>
  <si>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</si>
  <si>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</si>
  <si>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</si>
  <si>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</si>
  <si>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</si>
  <si>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</si>
  <si>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</si>
  <si>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</si>
  <si>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</si>
  <si>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</si>
  <si>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</si>
  <si>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</si>
  <si>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</si>
  <si>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</si>
  <si>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</si>
  <si>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</si>
  <si>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</si>
  <si>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</si>
  <si>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</si>
  <si>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</si>
  <si>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</si>
  <si>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</si>
  <si>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</si>
  <si>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</si>
  <si>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</si>
  <si>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</si>
  <si>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</si>
  <si>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</si>
  <si>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</si>
  <si>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</si>
  <si>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</si>
  <si>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</si>
  <si>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</si>
  <si>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</si>
  <si>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</si>
  <si>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</si>
  <si>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</si>
  <si>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</si>
  <si>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</si>
  <si>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</si>
  <si>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</si>
  <si>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</si>
  <si>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</si>
  <si>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</si>
  <si>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</si>
  <si>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</si>
  <si>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</si>
  <si>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</si>
  <si>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</si>
  <si>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</si>
  <si>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</si>
  <si>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</si>
  <si>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</si>
  <si>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</si>
  <si>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</si>
  <si>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</si>
  <si>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</si>
  <si>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</si>
  <si>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</si>
  <si>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</si>
  <si>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</si>
  <si>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</si>
  <si>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</si>
  <si>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</si>
  <si>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</si>
  <si>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</si>
  <si>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</si>
  <si>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</si>
  <si>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</si>
  <si>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</si>
  <si>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</si>
  <si>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</si>
  <si>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</si>
  <si>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</si>
  <si>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</si>
  <si>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</si>
  <si>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</si>
  <si>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</si>
  <si>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</si>
  <si>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</si>
  <si>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</si>
  <si>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</si>
  <si>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</si>
  <si>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</si>
  <si>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</si>
  <si>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</si>
  <si>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</si>
  <si>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</si>
  <si>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</si>
  <si>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</si>
  <si>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</si>
  <si>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</si>
  <si>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</si>
  <si>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</si>
  <si>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</si>
  <si>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</si>
  <si>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Manager</t>
  </si>
  <si>
    <t>Year</t>
  </si>
  <si>
    <t>Sales Price</t>
  </si>
  <si>
    <t>Использование условного форматирования для выделения сведений в Excel из официального источника</t>
  </si>
  <si>
    <t>#</t>
  </si>
  <si>
    <t>Sales Voiume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</si>
</sst>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color theme="1"/>
      <name val="Univers"/>
      <family val="2"/>
      <charset val="204"/>
    </font>
    <font>
      <b/>
      <sz val="8"/>
      <color theme="1"/>
      <name val="Univers"/>
      <family val="2"/>
      <charset val="204"/>
    </font>
    <font>
      <sz val="10"/>
      <color rgb="FF000000"/>
      <name val="Liberation Sans"/>
    </font>
    <font>
      <sz val="16"/>
      <color theme="1"/>
      <name val="Univers"/>
      <family val="2"/>
      <charset val="204"/>
    </font>
    <font>
      <sz val="8"/>
      <name val="Segoe UI"/>
      <family val="2"/>
      <charset val="204"/>
    </font>
    <font>
      <sz val="11"/>
      <color theme="0"/>
      <name val="Univers"/>
      <family val="2"/>
      <charset val="204"/>
    </font>
    <font>
      <b/>
      <sz val="8"/>
      <color theme="0"/>
      <name val="Univers"/>
      <family val="2"/>
      <charset val="204"/>
    </font>
    <font>
      <b/>
      <sz val="11"/>
      <color theme="1"/>
      <name val="Univers"/>
      <family val="2"/>
      <charset val="204"/>
    </font>
    <font>
      <i/>
      <sz val="8"/>
      <color theme="1"/>
      <name val="Univers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F993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3" borderId="0" xfId="1" applyFill="1"/>
    <xf numFmtId="165" fontId="0" fillId="2" borderId="0" xfId="2" applyNumberFormat="1" applyFont="1" applyFill="1"/>
    <xf numFmtId="0" fontId="4" fillId="2" borderId="1" xfId="0" applyFont="1" applyFill="1" applyBorder="1" applyAlignment="1">
      <alignment horizontal="center"/>
    </xf>
    <xf numFmtId="14" fontId="0" fillId="2" borderId="0" xfId="0" applyNumberFormat="1" applyFill="1"/>
    <xf numFmtId="0" fontId="1" fillId="2" borderId="0" xfId="0" applyFont="1" applyFill="1"/>
    <xf numFmtId="0" fontId="1" fillId="3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0" fillId="2" borderId="0" xfId="0" applyFill="1" applyAlignment="1" applyProtection="1">
      <alignment horizontal="left" vertical="center" indent="1"/>
      <protection locked="0"/>
    </xf>
    <xf numFmtId="0" fontId="5" fillId="2" borderId="0" xfId="0" applyFont="1" applyFill="1" applyAlignment="1" applyProtection="1">
      <alignment horizontal="left" vertical="center" indent="3"/>
      <protection locked="0"/>
    </xf>
    <xf numFmtId="0" fontId="1" fillId="3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8" fillId="2" borderId="0" xfId="0" applyFont="1" applyFill="1" applyProtection="1">
      <protection locked="0"/>
    </xf>
    <xf numFmtId="0" fontId="8" fillId="2" borderId="0" xfId="0" applyFont="1" applyFill="1" applyBorder="1" applyProtection="1">
      <protection locked="0"/>
    </xf>
    <xf numFmtId="0" fontId="9" fillId="2" borderId="0" xfId="0" applyFont="1" applyFill="1" applyBorder="1" applyAlignment="1">
      <alignment horizontal="center"/>
    </xf>
    <xf numFmtId="0" fontId="0" fillId="2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6" fillId="4" borderId="0" xfId="0" applyFont="1" applyFill="1" applyProtection="1">
      <protection locked="0"/>
    </xf>
    <xf numFmtId="0" fontId="10" fillId="4" borderId="1" xfId="0" applyFont="1" applyFill="1" applyBorder="1" applyAlignment="1">
      <alignment horizontal="center"/>
    </xf>
    <xf numFmtId="1" fontId="0" fillId="4" borderId="0" xfId="0" applyNumberFormat="1" applyFill="1" applyProtection="1">
      <protection locked="0"/>
    </xf>
    <xf numFmtId="2" fontId="0" fillId="4" borderId="0" xfId="0" applyNumberFormat="1" applyFill="1" applyProtection="1">
      <protection locked="0"/>
    </xf>
    <xf numFmtId="3" fontId="0" fillId="4" borderId="0" xfId="0" applyNumberFormat="1" applyFill="1" applyProtection="1">
      <protection locked="0"/>
    </xf>
    <xf numFmtId="0" fontId="11" fillId="4" borderId="0" xfId="0" applyFont="1" applyFill="1" applyProtection="1">
      <protection locked="0"/>
    </xf>
    <xf numFmtId="0" fontId="0" fillId="4" borderId="2" xfId="0" applyFill="1" applyBorder="1" applyProtection="1">
      <protection locked="0"/>
    </xf>
    <xf numFmtId="2" fontId="0" fillId="4" borderId="2" xfId="0" applyNumberFormat="1" applyFill="1" applyBorder="1" applyProtection="1">
      <protection locked="0"/>
    </xf>
    <xf numFmtId="3" fontId="0" fillId="4" borderId="2" xfId="0" applyNumberFormat="1" applyFill="1" applyBorder="1" applyProtection="1">
      <protection locked="0"/>
    </xf>
    <xf numFmtId="0" fontId="0" fillId="4" borderId="0" xfId="0" applyFont="1" applyFill="1" applyProtection="1">
      <protection locked="0"/>
    </xf>
    <xf numFmtId="0" fontId="11" fillId="4" borderId="0" xfId="0" applyFont="1" applyFill="1" applyAlignment="1" applyProtection="1">
      <alignment horizontal="left" vertical="center" wrapText="1"/>
      <protection locked="0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4">
    <dxf>
      <font>
        <b/>
        <i/>
        <strike val="0"/>
        <color theme="1"/>
      </font>
      <fill>
        <patternFill patternType="solid">
          <bgColor rgb="FFFF5050"/>
        </patternFill>
      </fill>
      <border>
        <left style="thin">
          <color rgb="FF800000"/>
        </left>
        <right style="thin">
          <color rgb="FF800000"/>
        </right>
        <top style="thin">
          <color rgb="FF800000"/>
        </top>
        <bottom style="thin">
          <color rgb="FF800000"/>
        </bottom>
        <vertical/>
        <horizontal/>
      </border>
    </dxf>
    <dxf>
      <font>
        <b/>
        <i/>
        <strike val="0"/>
        <color theme="1"/>
      </font>
      <fill>
        <patternFill>
          <bgColor theme="6" tint="0.39994506668294322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</border>
    </dxf>
    <dxf>
      <font>
        <color theme="3" tint="0.24994659260841701"/>
      </font>
      <fill>
        <patternFill>
          <bgColor rgb="FFFFFF99"/>
        </patternFill>
      </fill>
    </dxf>
    <dxf>
      <font>
        <b/>
        <i/>
        <color theme="1"/>
      </font>
      <fill>
        <patternFill>
          <bgColor theme="7" tint="0.39994506668294322"/>
        </patternFill>
      </fill>
    </dxf>
  </dxfs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800000"/>
      <color rgb="FFFF5050"/>
      <color rgb="FFFF9933"/>
      <color rgb="FFFFFF99"/>
      <color rgb="FFFFCCCC"/>
      <color rgb="FFFF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fmlaLink="$T$10" lockText="1"/>
</file>

<file path=xl/ctrlProps/ctrlProp2.xml><?xml version="1.0" encoding="utf-8"?>
<formControlPr xmlns="http://schemas.microsoft.com/office/spreadsheetml/2009/9/main" objectType="CheckBox" fmlaLink="$T$12" lockText="1"/>
</file>

<file path=xl/ctrlProps/ctrlProp3.xml><?xml version="1.0" encoding="utf-8"?>
<formControlPr xmlns="http://schemas.microsoft.com/office/spreadsheetml/2009/9/main" objectType="CheckBox" fmlaLink="$T$14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hyperlink" Target="#&#1042;&#1099;&#1087;&#1086;&#1083;&#1085;&#1080;&#1090;&#1100;!B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28F4E22C-A537-4834-AB7D-AA44565CAC54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3" name="Google Shape;63;p14">
          <a:extLst>
            <a:ext uri="{FF2B5EF4-FFF2-40B4-BE49-F238E27FC236}">
              <a16:creationId xmlns:a16="http://schemas.microsoft.com/office/drawing/2014/main" id="{FED5018C-54C8-482F-B88B-802D9282B30E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4" name="Рисунок 3" descr="Мужской профиль контур">
          <a:extLst>
            <a:ext uri="{FF2B5EF4-FFF2-40B4-BE49-F238E27FC236}">
              <a16:creationId xmlns:a16="http://schemas.microsoft.com/office/drawing/2014/main" id="{969506BB-8FB5-436B-8A29-6F2E7DDE6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5" name="Рисунок 4" descr="Конверт контур">
          <a:extLst>
            <a:ext uri="{FF2B5EF4-FFF2-40B4-BE49-F238E27FC236}">
              <a16:creationId xmlns:a16="http://schemas.microsoft.com/office/drawing/2014/main" id="{EA7C3DDF-2430-4360-B2FE-C206DD5C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528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9514C7-107E-4BD9-9968-E207A8F7E78B}"/>
            </a:ext>
          </a:extLst>
        </xdr:cNvPr>
        <xdr:cNvSpPr txBox="1"/>
      </xdr:nvSpPr>
      <xdr:spPr>
        <a:xfrm>
          <a:off x="40894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7" name="Рисунок 6" descr="Значок 1 со сплошной заливкой">
          <a:extLst>
            <a:ext uri="{FF2B5EF4-FFF2-40B4-BE49-F238E27FC236}">
              <a16:creationId xmlns:a16="http://schemas.microsoft.com/office/drawing/2014/main" id="{50BC5E06-46D4-4F48-ABC0-D52A6DAB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846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57A0F5-F2E7-4F57-B742-7273C26F8B18}"/>
            </a:ext>
          </a:extLst>
        </xdr:cNvPr>
        <xdr:cNvSpPr txBox="1"/>
      </xdr:nvSpPr>
      <xdr:spPr>
        <a:xfrm>
          <a:off x="33464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Аналитическая табл. по городам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63500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218054-9A98-463F-BDFF-22F5DCD7F386}"/>
            </a:ext>
          </a:extLst>
        </xdr:cNvPr>
        <xdr:cNvSpPr txBox="1"/>
      </xdr:nvSpPr>
      <xdr:spPr>
        <a:xfrm>
          <a:off x="1987550" y="1974850"/>
          <a:ext cx="4908550" cy="32448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Привет!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Хочу предложить создать аналитическую таблицу для анализа данных по городам. (детали прикрепил к</a:t>
          </a:r>
          <a:r>
            <a:rPr lang="ru-RU" sz="900" baseline="0">
              <a:solidFill>
                <a:srgbClr val="000000"/>
              </a:solidFill>
              <a:effectLst/>
              <a:latin typeface="Liberation Sans"/>
            </a:rPr>
            <a:t> сообщению)</a:t>
          </a:r>
          <a:endParaRPr lang="ru-RU" sz="900">
            <a:solidFill>
              <a:srgbClr val="000000"/>
            </a:solidFill>
            <a:effectLst/>
            <a:latin typeface="Liberation Sans"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Эта таблица будет ограничена максимум 20 городами и предоставит удобный способ сравнения ключевых метрик.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Общие черты: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Таблица должна быть динамичной и интуитивно понятной.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Она будет включать три основные метрики: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en-US" sz="900">
              <a:solidFill>
                <a:srgbClr val="000000"/>
              </a:solidFill>
              <a:effectLst/>
              <a:latin typeface="Liberation Sans"/>
            </a:rPr>
            <a:t>Sales Price —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средняя цена.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en-US" sz="900">
              <a:solidFill>
                <a:srgbClr val="000000"/>
              </a:solidFill>
              <a:effectLst/>
              <a:latin typeface="Liberation Sans"/>
            </a:rPr>
            <a:t>Quantity —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общее количество.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r>
            <a:rPr lang="en-US" sz="900">
              <a:solidFill>
                <a:srgbClr val="000000"/>
              </a:solidFill>
              <a:effectLst/>
              <a:latin typeface="Liberation Sans"/>
            </a:rPr>
            <a:t>Sales Volume —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общий объем продаж.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У пользователей должна быть возможность выбирать города, а также активировать дополнительные функции анализа.</a:t>
          </a:r>
          <a:endParaRPr lang="ru-RU" sz="900">
            <a:effectLst/>
          </a:endParaRPr>
        </a:p>
        <a:p>
          <a:pPr>
            <a:spcAft>
              <a:spcPts val="1000"/>
            </a:spcAft>
          </a:pPr>
          <a:r>
            <a:rPr lang="ru-RU" sz="900">
              <a:effectLst/>
            </a:rPr>
            <a:t> </a:t>
          </a:r>
        </a:p>
        <a:p>
          <a:pPr marL="449999" indent="-228600">
            <a:spcAft>
              <a:spcPts val="1000"/>
            </a:spcAft>
            <a:buFont typeface="+mj-lt"/>
            <a:buAutoNum type="arabicPeriod"/>
          </a:pPr>
          <a:endParaRPr lang="ru-RU" sz="900" baseline="0">
            <a:solidFill>
              <a:srgbClr val="000000"/>
            </a:solidFill>
            <a:effectLst/>
            <a:latin typeface="Liberation Sans"/>
          </a:endParaRPr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0" name="Рисунок 9" descr="Скрепка со сплошной заливкой">
          <a:extLst>
            <a:ext uri="{FF2B5EF4-FFF2-40B4-BE49-F238E27FC236}">
              <a16:creationId xmlns:a16="http://schemas.microsoft.com/office/drawing/2014/main" id="{6502A61C-1A2F-4EBC-9C28-C837DABA0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11" name="TextBox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7BCDD64-E86D-4190-8121-EBCF119DED49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7</xdr:col>
      <xdr:colOff>266700</xdr:colOff>
      <xdr:row>30</xdr:row>
      <xdr:rowOff>139700</xdr:rowOff>
    </xdr:to>
    <xdr:sp macro="" textlink="">
      <xdr:nvSpPr>
        <xdr:cNvPr id="12" name="TextBox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5C3A366-B8B6-404C-882F-2ECDB7DEE902}"/>
            </a:ext>
          </a:extLst>
        </xdr:cNvPr>
        <xdr:cNvSpPr txBox="1"/>
      </xdr:nvSpPr>
      <xdr:spPr>
        <a:xfrm>
          <a:off x="2254250" y="5308600"/>
          <a:ext cx="25971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Детали + №2</a:t>
          </a:r>
          <a:r>
            <a:rPr lang="ru-RU" sz="1050" b="0" i="1" u="none" baseline="0"/>
            <a:t> отчет по городам</a:t>
          </a:r>
          <a:endParaRPr lang="ru-RU" sz="1050" b="0" i="1" u="none"/>
        </a:p>
      </xdr:txBody>
    </xdr:sp>
    <xdr:clientData/>
  </xdr:twoCellAnchor>
  <xdr:twoCellAnchor editAs="absolute">
    <xdr:from>
      <xdr:col>0</xdr:col>
      <xdr:colOff>158750</xdr:colOff>
      <xdr:row>0</xdr:row>
      <xdr:rowOff>107950</xdr:rowOff>
    </xdr:from>
    <xdr:to>
      <xdr:col>1</xdr:col>
      <xdr:colOff>95250</xdr:colOff>
      <xdr:row>28</xdr:row>
      <xdr:rowOff>63500</xdr:rowOff>
    </xdr:to>
    <xdr:sp macro="" textlink="">
      <xdr:nvSpPr>
        <xdr:cNvPr id="14" name="Google Shape;64;p14">
          <a:extLst>
            <a:ext uri="{FF2B5EF4-FFF2-40B4-BE49-F238E27FC236}">
              <a16:creationId xmlns:a16="http://schemas.microsoft.com/office/drawing/2014/main" id="{4676B44B-5E05-4D0D-8FAB-A9FB23F8C817}"/>
            </a:ext>
          </a:extLst>
        </xdr:cNvPr>
        <xdr:cNvSpPr txBox="1"/>
      </xdr:nvSpPr>
      <xdr:spPr>
        <a:xfrm rot="-5400000">
          <a:off x="-2219325" y="2486025"/>
          <a:ext cx="5111750" cy="35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14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14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1400">
              <a:latin typeface="Fira Sans"/>
              <a:ea typeface="Fira Sans"/>
              <a:cs typeface="Fira Sans"/>
              <a:sym typeface="Fira Sans"/>
            </a:rPr>
            <a:t>/</a:t>
          </a:r>
          <a:r>
            <a:rPr lang="ru" sz="14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-RU" sz="1400" baseline="0">
              <a:latin typeface="Fira Sans"/>
              <a:ea typeface="Fira Sans"/>
              <a:cs typeface="Fira Sans"/>
              <a:sym typeface="Fira Sans"/>
            </a:rPr>
            <a:t>Условное форматирование</a:t>
          </a:r>
          <a:endParaRPr sz="1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406400</xdr:colOff>
      <xdr:row>8</xdr:row>
      <xdr:rowOff>25400</xdr:rowOff>
    </xdr:from>
    <xdr:to>
      <xdr:col>48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D6445F55-C1CA-489D-9697-979A848B0208}"/>
            </a:ext>
          </a:extLst>
        </xdr:cNvPr>
        <xdr:cNvSpPr txBox="1"/>
      </xdr:nvSpPr>
      <xdr:spPr>
        <a:xfrm rot="-5400000">
          <a:off x="29041725" y="3203575"/>
          <a:ext cx="3651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Пример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E3C552E5-4660-4607-8BF0-F14ACDA23ABD}"/>
            </a:ext>
          </a:extLst>
        </xdr:cNvPr>
        <xdr:cNvSpPr txBox="1"/>
      </xdr:nvSpPr>
      <xdr:spPr>
        <a:xfrm rot="-5400000">
          <a:off x="-1235075" y="3101975"/>
          <a:ext cx="36512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6EB02D-7198-42DC-81F9-54F4DAEBF5FA}"/>
            </a:ext>
          </a:extLst>
        </xdr:cNvPr>
        <xdr:cNvSpPr txBox="1"/>
      </xdr:nvSpPr>
      <xdr:spPr>
        <a:xfrm>
          <a:off x="222250" y="5638800"/>
          <a:ext cx="7874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Пример</a:t>
          </a:r>
        </a:p>
      </xdr:txBody>
    </xdr:sp>
    <xdr:clientData/>
  </xdr:twoCellAnchor>
  <xdr:twoCellAnchor>
    <xdr:from>
      <xdr:col>3</xdr:col>
      <xdr:colOff>152400</xdr:colOff>
      <xdr:row>0</xdr:row>
      <xdr:rowOff>50800</xdr:rowOff>
    </xdr:from>
    <xdr:to>
      <xdr:col>7</xdr:col>
      <xdr:colOff>514350</xdr:colOff>
      <xdr:row>31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1A39F2-3527-4FA9-8F47-6321D4AD8AB3}"/>
            </a:ext>
          </a:extLst>
        </xdr:cNvPr>
        <xdr:cNvSpPr txBox="1"/>
      </xdr:nvSpPr>
      <xdr:spPr>
        <a:xfrm>
          <a:off x="1346200" y="50800"/>
          <a:ext cx="3448050" cy="5765800"/>
        </a:xfrm>
        <a:prstGeom prst="rect">
          <a:avLst/>
        </a:prstGeom>
        <a:solidFill>
          <a:srgbClr val="FF9933"/>
        </a:solidFill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1000"/>
            </a:spcAft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Детали задачи:</a:t>
          </a:r>
          <a:endParaRPr lang="ru-RU" sz="900">
            <a:effectLst/>
          </a:endParaRPr>
        </a:p>
        <a:p>
          <a:pPr>
            <a:spcBef>
              <a:spcPts val="1000"/>
            </a:spcBef>
            <a:spcAft>
              <a:spcPts val="1000"/>
            </a:spcAft>
          </a:pPr>
          <a:r>
            <a:rPr lang="ru-RU" sz="1100">
              <a:solidFill>
                <a:srgbClr val="000000"/>
              </a:solidFill>
              <a:effectLst/>
              <a:latin typeface="Liberation Sans"/>
            </a:rPr>
            <a:t>Основной функционал: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Таблица должна позволять выбирать любой город из общего отчета 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Sales.</a:t>
          </a:r>
          <a:endParaRPr lang="en-US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После выбора данные по трем метрикам (</a:t>
          </a:r>
          <a:r>
            <a:rPr lang="en-US" sz="900">
              <a:solidFill>
                <a:srgbClr val="000000"/>
              </a:solidFill>
              <a:effectLst/>
              <a:latin typeface="Liberation Sans"/>
            </a:rPr>
            <a:t>Sales Price, Quantity, Sales Volume) </a:t>
          </a: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автоматически обновляются, отображая актуальные значения только для выбранных городов.</a:t>
          </a:r>
          <a:endParaRPr lang="ru-RU" sz="900">
            <a:effectLst/>
          </a:endParaRPr>
        </a:p>
        <a:p>
          <a:pPr>
            <a:spcBef>
              <a:spcPts val="1000"/>
            </a:spcBef>
            <a:spcAft>
              <a:spcPts val="1000"/>
            </a:spcAft>
          </a:pPr>
          <a:r>
            <a:rPr lang="ru-RU" sz="1100">
              <a:solidFill>
                <a:srgbClr val="000000"/>
              </a:solidFill>
              <a:effectLst/>
              <a:latin typeface="Liberation Sans"/>
            </a:rPr>
            <a:t>Дополнительные функции с использованием флагов: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chemeClr val="tx1"/>
              </a:solidFill>
              <a:effectLst/>
              <a:latin typeface="Liberation Sans"/>
            </a:rPr>
            <a:t>Максимальные и минимальные значения:</a:t>
          </a:r>
          <a:endParaRPr lang="ru-RU" sz="900">
            <a:solidFill>
              <a:schemeClr val="tx1"/>
            </a:solidFill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FF0000"/>
              </a:solidFill>
              <a:effectLst/>
              <a:latin typeface="Liberation Sans"/>
            </a:rPr>
            <a:t>При активации флага максимальные и минимальные значения для каждой метрики должны подсвечиваться (например, с использованием цветовой шкалы).</a:t>
          </a:r>
          <a:endParaRPr lang="ru-RU" sz="900">
            <a:solidFill>
              <a:srgbClr val="FF0000"/>
            </a:solidFill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Подсветка выше среднего: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FF0000"/>
              </a:solidFill>
              <a:effectLst/>
              <a:latin typeface="Liberation Sans"/>
            </a:rPr>
            <a:t>Если активирован флаг для метрики </a:t>
          </a:r>
          <a:r>
            <a:rPr lang="en-US" sz="900">
              <a:solidFill>
                <a:srgbClr val="FF0000"/>
              </a:solidFill>
              <a:effectLst/>
              <a:latin typeface="Liberation Sans"/>
            </a:rPr>
            <a:t>Sales, </a:t>
          </a:r>
          <a:r>
            <a:rPr lang="ru-RU" sz="900">
              <a:solidFill>
                <a:srgbClr val="FF0000"/>
              </a:solidFill>
              <a:effectLst/>
              <a:latin typeface="Liberation Sans"/>
            </a:rPr>
            <a:t>подсветить строки городов, чей объем продаж превышает средний объем продаж среди выбранных 20 городов.</a:t>
          </a:r>
          <a:endParaRPr lang="ru-RU" sz="900">
            <a:solidFill>
              <a:srgbClr val="FF0000"/>
            </a:solidFill>
            <a:effectLst/>
          </a:endParaRPr>
        </a:p>
        <a:p>
          <a:pPr>
            <a:spcBef>
              <a:spcPts val="1000"/>
            </a:spcBef>
            <a:spcAft>
              <a:spcPts val="1000"/>
            </a:spcAft>
          </a:pPr>
          <a:r>
            <a:rPr lang="ru-RU" sz="1100">
              <a:solidFill>
                <a:srgbClr val="000000"/>
              </a:solidFill>
              <a:effectLst/>
              <a:latin typeface="Liberation Sans"/>
            </a:rPr>
            <a:t>Визуальные элементы и удобство: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Добавить выпадающий список для выбора городов и переключатели (чекбоксы) для активации функций подсветки.</a:t>
          </a:r>
          <a:endParaRPr lang="ru-RU" sz="900">
            <a:effectLst/>
          </a:endParaRPr>
        </a:p>
        <a:p>
          <a:pPr marL="449999" indent="-228600">
            <a:spcAft>
              <a:spcPts val="1000"/>
            </a:spcAft>
            <a:buFont typeface="Arial" panose="020B0604020202020204" pitchFamily="34" charset="0"/>
            <a:buChar char="•"/>
          </a:pPr>
          <a:r>
            <a:rPr lang="ru-RU" sz="900">
              <a:solidFill>
                <a:srgbClr val="000000"/>
              </a:solidFill>
              <a:effectLst/>
              <a:latin typeface="Liberation Sans"/>
            </a:rPr>
            <a:t>Использовать условное форматирование, чтобы выделения и подсветка были интуитивно понятными и сразу привлекали внимание.</a:t>
          </a:r>
          <a:endParaRPr lang="ru-RU" sz="900">
            <a:effectLst/>
          </a:endParaRPr>
        </a:p>
      </xdr:txBody>
    </xdr:sp>
    <xdr:clientData/>
  </xdr:twoCellAnchor>
  <xdr:twoCellAnchor editAs="absolute">
    <xdr:from>
      <xdr:col>51</xdr:col>
      <xdr:colOff>285750</xdr:colOff>
      <xdr:row>1</xdr:row>
      <xdr:rowOff>92075</xdr:rowOff>
    </xdr:from>
    <xdr:to>
      <xdr:col>59</xdr:col>
      <xdr:colOff>565150</xdr:colOff>
      <xdr:row>24</xdr:row>
      <xdr:rowOff>44450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AE2B79F-CCE4-3562-247C-E688E81BF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94450" y="292100"/>
          <a:ext cx="5537200" cy="440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266700</xdr:colOff>
          <xdr:row>9</xdr:row>
          <xdr:rowOff>9525</xdr:rowOff>
        </xdr:from>
        <xdr:to>
          <xdr:col>18</xdr:col>
          <xdr:colOff>304800</xdr:colOff>
          <xdr:row>10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7D7A5052-2FD6-4662-B44D-81FE45F9F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266700</xdr:colOff>
          <xdr:row>10</xdr:row>
          <xdr:rowOff>57150</xdr:rowOff>
        </xdr:from>
        <xdr:to>
          <xdr:col>18</xdr:col>
          <xdr:colOff>304800</xdr:colOff>
          <xdr:row>11</xdr:row>
          <xdr:rowOff>76200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8EFDB363-1F81-4E86-BD5E-660A090F4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104775</xdr:rowOff>
        </xdr:from>
        <xdr:to>
          <xdr:col>18</xdr:col>
          <xdr:colOff>314325</xdr:colOff>
          <xdr:row>12</xdr:row>
          <xdr:rowOff>123825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2D6B6F0C-9CDB-4181-BA00-40589C553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SALES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177800</xdr:rowOff>
    </xdr:from>
    <xdr:to>
      <xdr:col>1</xdr:col>
      <xdr:colOff>241300</xdr:colOff>
      <xdr:row>27</xdr:row>
      <xdr:rowOff>107950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011E4D0E-6AD3-4DCD-B7A8-883B55DD1F9B}"/>
            </a:ext>
          </a:extLst>
        </xdr:cNvPr>
        <xdr:cNvSpPr txBox="1"/>
      </xdr:nvSpPr>
      <xdr:spPr>
        <a:xfrm rot="-5400000">
          <a:off x="-1936750" y="25273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Справка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xcalidraw.com/" TargetMode="External"/><Relationship Id="rId1" Type="http://schemas.openxmlformats.org/officeDocument/2006/relationships/hyperlink" Target="https://support.microsoft.com/ru-ru/office/%D0%B8%D1%81%D0%BF%D0%BE%D0%BB%D1%8C%D0%B7%D0%BE%D0%B2%D0%B0%D0%BD%D0%B8%D0%B5-%D1%83%D1%81%D0%BB%D0%BE%D0%B2%D0%BD%D0%BE%D0%B3%D0%BE-%D1%84%D0%BE%D1%80%D0%BC%D0%B0%D1%82%D0%B8%D1%80%D0%BE%D0%B2%D0%B0%D0%BD%D0%B8%D1%8F-%D0%B4%D0%BB%D1%8F-%D0%B2%D1%8B%D0%B4%D0%B5%D0%BB%D0%B5%D0%BD%D0%B8%D1%8F-%D1%81%D0%B2%D0%B5%D0%B4%D0%B5%D0%BD%D0%B8%D0%B9-%D0%B2-excel-fed60dfa-1d3f-4e13-9ecb-f1951ff89d7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23D2-A2A0-408F-8A7B-A13E831C05A0}">
  <dimension ref="A1:T99"/>
  <sheetViews>
    <sheetView showGridLines="0" zoomScaleNormal="100" workbookViewId="0">
      <selection activeCell="N13" sqref="N13"/>
    </sheetView>
  </sheetViews>
  <sheetFormatPr defaultColWidth="0" defaultRowHeight="14.45" customHeight="1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spans="1:2" s="8" customFormat="1" ht="15" x14ac:dyDescent="0.25">
      <c r="A1" s="2"/>
      <c r="B1" s="2"/>
    </row>
    <row r="2" spans="1:2" s="8" customFormat="1" ht="15" x14ac:dyDescent="0.25">
      <c r="A2" s="2"/>
      <c r="B2" s="2"/>
    </row>
    <row r="3" spans="1:2" s="8" customFormat="1" ht="15" x14ac:dyDescent="0.25">
      <c r="A3" s="2"/>
      <c r="B3" s="2"/>
    </row>
    <row r="4" spans="1:2" s="8" customFormat="1" ht="15" x14ac:dyDescent="0.25">
      <c r="A4" s="2"/>
      <c r="B4" s="2"/>
    </row>
    <row r="5" spans="1:2" s="8" customFormat="1" ht="15" x14ac:dyDescent="0.25">
      <c r="A5" s="2"/>
      <c r="B5" s="2"/>
    </row>
    <row r="6" spans="1:2" s="8" customFormat="1" ht="15" x14ac:dyDescent="0.25">
      <c r="A6" s="2"/>
      <c r="B6" s="2"/>
    </row>
    <row r="7" spans="1:2" s="8" customFormat="1" ht="15" x14ac:dyDescent="0.25">
      <c r="A7" s="2"/>
      <c r="B7" s="2"/>
    </row>
    <row r="8" spans="1:2" s="8" customFormat="1" ht="15" x14ac:dyDescent="0.25">
      <c r="A8" s="2"/>
      <c r="B8" s="2"/>
    </row>
    <row r="9" spans="1:2" s="8" customFormat="1" ht="15" x14ac:dyDescent="0.25">
      <c r="A9" s="2"/>
      <c r="B9" s="2"/>
    </row>
    <row r="10" spans="1:2" s="8" customFormat="1" ht="15" x14ac:dyDescent="0.25">
      <c r="A10" s="2"/>
      <c r="B10" s="2"/>
    </row>
    <row r="11" spans="1:2" s="8" customFormat="1" ht="15" x14ac:dyDescent="0.25">
      <c r="A11" s="2"/>
      <c r="B11" s="2"/>
    </row>
    <row r="12" spans="1:2" s="8" customFormat="1" ht="15" x14ac:dyDescent="0.25">
      <c r="A12" s="2"/>
      <c r="B12" s="2"/>
    </row>
    <row r="13" spans="1:2" s="8" customFormat="1" ht="15" x14ac:dyDescent="0.25">
      <c r="A13" s="2"/>
      <c r="B13" s="2"/>
    </row>
    <row r="14" spans="1:2" s="8" customFormat="1" ht="15" x14ac:dyDescent="0.25">
      <c r="A14" s="2"/>
      <c r="B14" s="2"/>
    </row>
    <row r="15" spans="1:2" s="8" customFormat="1" ht="15" x14ac:dyDescent="0.25">
      <c r="A15" s="2"/>
      <c r="B15" s="2"/>
    </row>
    <row r="16" spans="1:2" s="8" customFormat="1" ht="15" x14ac:dyDescent="0.25">
      <c r="A16" s="2"/>
      <c r="B16" s="2"/>
    </row>
    <row r="17" spans="1:2" s="8" customFormat="1" ht="15" x14ac:dyDescent="0.25">
      <c r="A17" s="2"/>
      <c r="B17" s="2"/>
    </row>
    <row r="18" spans="1:2" s="8" customFormat="1" ht="15" x14ac:dyDescent="0.25">
      <c r="A18" s="2"/>
      <c r="B18" s="2"/>
    </row>
    <row r="19" spans="1:2" s="8" customFormat="1" ht="15" x14ac:dyDescent="0.25">
      <c r="A19" s="2"/>
      <c r="B19" s="2"/>
    </row>
    <row r="20" spans="1:2" s="8" customFormat="1" ht="15" x14ac:dyDescent="0.25">
      <c r="A20" s="2"/>
      <c r="B20" s="2"/>
    </row>
    <row r="21" spans="1:2" s="8" customFormat="1" ht="15" x14ac:dyDescent="0.25">
      <c r="A21" s="2"/>
      <c r="B21" s="2"/>
    </row>
    <row r="22" spans="1:2" s="8" customFormat="1" ht="15" x14ac:dyDescent="0.25">
      <c r="A22" s="2"/>
      <c r="B22" s="2"/>
    </row>
    <row r="23" spans="1:2" s="8" customFormat="1" ht="15" x14ac:dyDescent="0.25">
      <c r="A23" s="2"/>
      <c r="B23" s="2"/>
    </row>
    <row r="24" spans="1:2" s="8" customFormat="1" ht="15" x14ac:dyDescent="0.25">
      <c r="A24" s="2"/>
      <c r="B24" s="2"/>
    </row>
    <row r="25" spans="1:2" s="8" customFormat="1" ht="15" x14ac:dyDescent="0.25">
      <c r="A25" s="2"/>
      <c r="B25" s="2"/>
    </row>
    <row r="26" spans="1:2" s="8" customFormat="1" ht="15" x14ac:dyDescent="0.25">
      <c r="A26" s="2"/>
      <c r="B26" s="2"/>
    </row>
    <row r="27" spans="1:2" s="8" customFormat="1" ht="15" x14ac:dyDescent="0.25">
      <c r="A27" s="2"/>
      <c r="B27" s="2"/>
    </row>
    <row r="28" spans="1:2" s="8" customFormat="1" ht="15" x14ac:dyDescent="0.25">
      <c r="A28" s="2"/>
      <c r="B28" s="2"/>
    </row>
    <row r="29" spans="1:2" s="8" customFormat="1" ht="15" x14ac:dyDescent="0.25">
      <c r="A29" s="2"/>
      <c r="B29" s="2"/>
    </row>
    <row r="30" spans="1:2" s="8" customFormat="1" ht="15" x14ac:dyDescent="0.25">
      <c r="A30" s="2"/>
      <c r="B30" s="2"/>
    </row>
    <row r="31" spans="1:2" s="8" customFormat="1" ht="15" x14ac:dyDescent="0.25">
      <c r="A31" s="2"/>
      <c r="B31" s="2"/>
    </row>
    <row r="32" spans="1:2" s="8" customFormat="1" ht="15" x14ac:dyDescent="0.25">
      <c r="A32" s="2">
        <v>1</v>
      </c>
      <c r="B32" s="2"/>
    </row>
    <row r="33" spans="1:2" s="8" customFormat="1" ht="15" x14ac:dyDescent="0.25">
      <c r="A33" s="2"/>
      <c r="B33" s="2"/>
    </row>
    <row r="34" spans="1:2" s="8" customFormat="1" ht="15" x14ac:dyDescent="0.25">
      <c r="A34" s="2"/>
      <c r="B34" s="2"/>
    </row>
    <row r="66" spans="1:2" s="8" customFormat="1" ht="15" hidden="1" x14ac:dyDescent="0.25">
      <c r="A66" s="2">
        <v>1</v>
      </c>
      <c r="B66" s="2"/>
    </row>
    <row r="99" spans="1:2" s="8" customFormat="1" ht="15" hidden="1" x14ac:dyDescent="0.25">
      <c r="A99" s="2">
        <v>1</v>
      </c>
      <c r="B9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3979-2C82-4990-B5E8-8CD8D3E3DB78}">
  <sheetPr codeName="Лист1"/>
  <dimension ref="A1:AY119"/>
  <sheetViews>
    <sheetView tabSelected="1" workbookViewId="0">
      <selection activeCell="M2" sqref="M2"/>
    </sheetView>
  </sheetViews>
  <sheetFormatPr defaultColWidth="8.625" defaultRowHeight="15" x14ac:dyDescent="0.25"/>
  <cols>
    <col min="1" max="1" width="4.625" style="9" customWidth="1"/>
    <col min="2" max="3" width="5.5" style="9" customWidth="1"/>
    <col min="4" max="4" width="8.625" style="10"/>
    <col min="5" max="5" width="11.25" style="10" bestFit="1" customWidth="1"/>
    <col min="6" max="6" width="9.125" style="10" bestFit="1" customWidth="1"/>
    <col min="7" max="7" width="11.375" style="10" bestFit="1" customWidth="1"/>
    <col min="8" max="8" width="8.5" style="10" customWidth="1"/>
    <col min="9" max="9" width="11.625" style="10" bestFit="1" customWidth="1"/>
    <col min="10" max="10" width="0" style="16" hidden="1" customWidth="1"/>
    <col min="11" max="11" width="8.625" style="10"/>
    <col min="12" max="12" width="4.75" style="10" customWidth="1"/>
    <col min="13" max="13" width="15.25" style="10" customWidth="1"/>
    <col min="14" max="14" width="10.375" style="10" customWidth="1"/>
    <col min="15" max="15" width="11.75" style="10" customWidth="1"/>
    <col min="16" max="16" width="14.5" style="10" customWidth="1"/>
    <col min="17" max="17" width="3.25" style="10" customWidth="1"/>
    <col min="18" max="18" width="8.625" style="10"/>
    <col min="19" max="19" width="6.5" style="10" customWidth="1"/>
    <col min="20" max="46" width="8.625" style="10"/>
    <col min="47" max="47" width="3.125" style="14" customWidth="1"/>
    <col min="48" max="48" width="2.875" style="14" customWidth="1"/>
    <col min="49" max="49" width="3.75" style="14" customWidth="1"/>
    <col min="50" max="50" width="5.125" style="15" customWidth="1"/>
    <col min="51" max="51" width="6" style="15" customWidth="1"/>
    <col min="52" max="16384" width="8.625" style="10"/>
  </cols>
  <sheetData>
    <row r="1" spans="5:20" ht="15.75" thickBot="1" x14ac:dyDescent="0.3">
      <c r="K1" s="20"/>
      <c r="L1" s="20"/>
      <c r="M1" s="20"/>
      <c r="N1" s="20"/>
      <c r="O1" s="20"/>
      <c r="P1" s="20"/>
      <c r="Q1" s="20"/>
      <c r="R1" s="20"/>
      <c r="S1" s="20"/>
    </row>
    <row r="2" spans="5:20" ht="20.25" x14ac:dyDescent="0.3">
      <c r="J2" s="18"/>
      <c r="K2" s="21"/>
      <c r="L2" s="22" t="s">
        <v>1014</v>
      </c>
      <c r="M2" s="22" t="s">
        <v>2</v>
      </c>
      <c r="N2" s="22" t="s">
        <v>1012</v>
      </c>
      <c r="O2" s="22" t="s">
        <v>6</v>
      </c>
      <c r="P2" s="22" t="s">
        <v>1015</v>
      </c>
      <c r="Q2" s="20"/>
      <c r="R2" s="20"/>
      <c r="S2" s="20"/>
    </row>
    <row r="3" spans="5:20" x14ac:dyDescent="0.25">
      <c r="E3" s="11"/>
      <c r="J3" s="16" t="s">
        <v>355</v>
      </c>
      <c r="K3" s="20"/>
      <c r="L3" s="23">
        <f>ROW(L3)-2</f>
        <v>1</v>
      </c>
      <c r="M3" s="20" t="s">
        <v>511</v>
      </c>
      <c r="N3" s="24">
        <f>AVERAGEIF(Sales!$E$2:$E$501,Выполнить!$M3,Sales!$J$2:$J$501)</f>
        <v>125.85000000000002</v>
      </c>
      <c r="O3" s="20">
        <f>SUMPRODUCT((Sales!$E$2:$E$501=Выполнить!$M3)*Sales!$K$2:$K$501)</f>
        <v>10</v>
      </c>
      <c r="P3" s="25">
        <f>SUMPRODUCT((Sales!$E$2:$E$501=Выполнить!$M3)*(Sales!$K$2:$K$501*Sales!$J$2:$J$501))</f>
        <v>1028.104</v>
      </c>
      <c r="Q3" s="20"/>
      <c r="R3" s="20"/>
      <c r="S3" s="26"/>
    </row>
    <row r="4" spans="5:20" x14ac:dyDescent="0.25">
      <c r="E4" s="12"/>
      <c r="J4" s="17" t="s">
        <v>728</v>
      </c>
      <c r="K4" s="20"/>
      <c r="L4" s="23">
        <f t="shared" ref="L4:L22" si="0">ROW(L4)-2</f>
        <v>2</v>
      </c>
      <c r="M4" s="20" t="s">
        <v>167</v>
      </c>
      <c r="N4" s="24">
        <f>AVERAGEIF(Sales!$E$2:$E$501,Выполнить!$M4,Sales!$J$2:$J$501)</f>
        <v>102.05799999999999</v>
      </c>
      <c r="O4" s="20">
        <f>SUMPRODUCT((Sales!$E$2:$E$501=Выполнить!$M4)*Sales!$K$2:$K$501)</f>
        <v>15</v>
      </c>
      <c r="P4" s="25">
        <f>SUMPRODUCT((Sales!$E$2:$E$501=Выполнить!$M4)*(Sales!$K$2:$K$501)*(Sales!$J$2:$J$501))</f>
        <v>2406.9499999999998</v>
      </c>
      <c r="Q4" s="20"/>
      <c r="R4" s="20"/>
      <c r="S4" s="26"/>
    </row>
    <row r="5" spans="5:20" x14ac:dyDescent="0.25">
      <c r="E5" s="13"/>
      <c r="J5" s="16" t="s">
        <v>508</v>
      </c>
      <c r="K5" s="20"/>
      <c r="L5" s="23">
        <f t="shared" si="0"/>
        <v>3</v>
      </c>
      <c r="M5" s="20" t="s">
        <v>202</v>
      </c>
      <c r="N5" s="24">
        <f>AVERAGEIF(Sales!$E$2:$E$501,Выполнить!$M5,Sales!$J$2:$J$501)</f>
        <v>32.059200000000004</v>
      </c>
      <c r="O5" s="20">
        <f>SUMPRODUCT((Sales!$E$2:$E$501=Выполнить!$M5)*Sales!$K$2:$K$501)</f>
        <v>22</v>
      </c>
      <c r="P5" s="25">
        <f>SUMPRODUCT((Sales!$E$2:$E$501=Выполнить!$M5)*(Sales!$K$2:$K$501)*(Sales!$J$2:$J$501))</f>
        <v>935.92800000000011</v>
      </c>
      <c r="Q5" s="20"/>
      <c r="R5" s="20"/>
      <c r="S5" s="31"/>
    </row>
    <row r="6" spans="5:20" x14ac:dyDescent="0.25">
      <c r="E6" s="13"/>
      <c r="J6" s="16" t="s">
        <v>511</v>
      </c>
      <c r="K6" s="20"/>
      <c r="L6" s="23">
        <f t="shared" si="0"/>
        <v>4</v>
      </c>
      <c r="M6" s="20" t="s">
        <v>559</v>
      </c>
      <c r="N6" s="24">
        <f>AVERAGEIF(Sales!$E$2:$E$501,Выполнить!$M6,Sales!$J$2:$J$501)</f>
        <v>88.800000000000011</v>
      </c>
      <c r="O6" s="20">
        <f>SUMPRODUCT((Sales!$E$2:$E$501=Выполнить!$M6)*Sales!$K$2:$K$501)</f>
        <v>4</v>
      </c>
      <c r="P6" s="25">
        <f>SUMPRODUCT((Sales!$E$2:$E$501=Выполнить!$M6)*(Sales!$K$2:$K$501)*(Sales!$J$2:$J$501))</f>
        <v>355.20000000000005</v>
      </c>
      <c r="Q6" s="20"/>
      <c r="R6" s="25"/>
      <c r="S6" s="31"/>
    </row>
    <row r="7" spans="5:20" x14ac:dyDescent="0.25">
      <c r="E7" s="12"/>
      <c r="J7" s="16" t="s">
        <v>703</v>
      </c>
      <c r="K7" s="20"/>
      <c r="L7" s="23">
        <f t="shared" si="0"/>
        <v>5</v>
      </c>
      <c r="M7" s="20" t="s">
        <v>355</v>
      </c>
      <c r="N7" s="24">
        <f>AVERAGEIF(Sales!$E$2:$E$501,Выполнить!$M7,Sales!$J$2:$J$501)</f>
        <v>323.83866666666671</v>
      </c>
      <c r="O7" s="20">
        <f>SUMPRODUCT((Sales!$E$2:$E$501=Выполнить!$M7)*Sales!$K$2:$K$501)</f>
        <v>7</v>
      </c>
      <c r="P7" s="25">
        <f>SUMPRODUCT((Sales!$E$2:$E$501=Выполнить!$M7)*(Sales!$K$2:$K$501)*(Sales!$J$2:$J$501))</f>
        <v>1964.7759999999998</v>
      </c>
      <c r="Q7" s="20"/>
      <c r="R7" s="20"/>
      <c r="S7" s="20"/>
    </row>
    <row r="8" spans="5:20" x14ac:dyDescent="0.25">
      <c r="E8" s="13"/>
      <c r="J8" s="16" t="s">
        <v>197</v>
      </c>
      <c r="K8" s="20"/>
      <c r="L8" s="23">
        <f t="shared" si="0"/>
        <v>6</v>
      </c>
      <c r="M8" s="20" t="s">
        <v>197</v>
      </c>
      <c r="N8" s="24">
        <f>AVERAGEIF(Sales!$E$2:$E$501,Выполнить!$M8,Sales!$J$2:$J$501)</f>
        <v>126.04599999999999</v>
      </c>
      <c r="O8" s="20">
        <f>SUMPRODUCT((Sales!$E$2:$E$501=Выполнить!$M8)*Sales!$K$2:$K$501)</f>
        <v>12</v>
      </c>
      <c r="P8" s="25">
        <f>SUMPRODUCT((Sales!$E$2:$E$501=Выполнить!$M8)*(Sales!$K$2:$K$501)*(Sales!$J$2:$J$501))</f>
        <v>1851.1020000000001</v>
      </c>
      <c r="Q8" s="20"/>
      <c r="R8" s="20"/>
      <c r="S8" s="20"/>
      <c r="T8" s="19"/>
    </row>
    <row r="9" spans="5:20" x14ac:dyDescent="0.25">
      <c r="E9" s="12"/>
      <c r="J9" s="16" t="s">
        <v>559</v>
      </c>
      <c r="K9" s="20"/>
      <c r="L9" s="23">
        <f t="shared" si="0"/>
        <v>7</v>
      </c>
      <c r="M9" s="20" t="s">
        <v>212</v>
      </c>
      <c r="N9" s="24">
        <f>AVERAGEIF(Sales!$E$2:$E$501,Выполнить!$M9,Sales!$J$2:$J$501)</f>
        <v>51.599999999999994</v>
      </c>
      <c r="O9" s="20">
        <f>SUMPRODUCT((Sales!$E$2:$E$501=Выполнить!$M9)*Sales!$K$2:$K$501)</f>
        <v>8</v>
      </c>
      <c r="P9" s="25">
        <f>SUMPRODUCT((Sales!$E$2:$E$501=Выполнить!$M9)*(Sales!$K$2:$K$501)*(Sales!$J$2:$J$501))</f>
        <v>315.36</v>
      </c>
      <c r="Q9" s="20"/>
      <c r="R9" s="20"/>
      <c r="S9" s="30"/>
      <c r="T9" s="19"/>
    </row>
    <row r="10" spans="5:20" x14ac:dyDescent="0.25">
      <c r="E10" s="13"/>
      <c r="J10" s="16" t="s">
        <v>492</v>
      </c>
      <c r="K10" s="20"/>
      <c r="L10" s="23">
        <f t="shared" si="0"/>
        <v>8</v>
      </c>
      <c r="M10" s="20" t="s">
        <v>46</v>
      </c>
      <c r="N10" s="24">
        <f>AVERAGEIF(Sales!$E$2:$E$501,Выполнить!$M10,Sales!$J$2:$J$501)</f>
        <v>55.5</v>
      </c>
      <c r="O10" s="20">
        <f>SUMPRODUCT((Sales!$E$2:$E$501=Выполнить!$M10)*Sales!$K$2:$K$501)</f>
        <v>2</v>
      </c>
      <c r="P10" s="25">
        <f>SUMPRODUCT((Sales!$E$2:$E$501=Выполнить!$M10)*(Sales!$K$2:$K$501)*(Sales!$J$2:$J$501))</f>
        <v>111</v>
      </c>
      <c r="Q10" s="20"/>
      <c r="R10" s="20"/>
      <c r="S10" s="30"/>
      <c r="T10" s="16" t="b">
        <v>0</v>
      </c>
    </row>
    <row r="11" spans="5:20" x14ac:dyDescent="0.25">
      <c r="E11" s="13"/>
      <c r="J11" s="16" t="s">
        <v>235</v>
      </c>
      <c r="K11" s="20"/>
      <c r="L11" s="23">
        <f t="shared" si="0"/>
        <v>9</v>
      </c>
      <c r="M11" s="20" t="s">
        <v>112</v>
      </c>
      <c r="N11" s="24">
        <f>AVERAGEIF(Sales!$E$2:$E$501,Выполнить!$M11,Sales!$J$2:$J$501)</f>
        <v>349.71623255813961</v>
      </c>
      <c r="O11" s="20">
        <f>SUMPRODUCT((Sales!$E$2:$E$501=Выполнить!$M11)*Sales!$K$2:$K$501)</f>
        <v>156</v>
      </c>
      <c r="P11" s="25">
        <f>SUMPRODUCT((Sales!$E$2:$E$501=Выполнить!$M11)*(Sales!$K$2:$K$501)*(Sales!$J$2:$J$501))</f>
        <v>53493.378000000012</v>
      </c>
      <c r="Q11" s="20"/>
      <c r="R11" s="20"/>
      <c r="S11" s="30"/>
      <c r="T11" s="16"/>
    </row>
    <row r="12" spans="5:20" x14ac:dyDescent="0.25">
      <c r="E12" s="13"/>
      <c r="J12" s="16" t="s">
        <v>444</v>
      </c>
      <c r="K12" s="20"/>
      <c r="L12" s="23">
        <f t="shared" si="0"/>
        <v>10</v>
      </c>
      <c r="M12" s="20" t="s">
        <v>197</v>
      </c>
      <c r="N12" s="24">
        <f>AVERAGEIF(Sales!$E$2:$E$501,Выполнить!$M12,Sales!$J$2:$J$501)</f>
        <v>126.04599999999999</v>
      </c>
      <c r="O12" s="20">
        <f>SUMPRODUCT((Sales!$E$2:$E$501=Выполнить!$M12)*Sales!$K$2:$K$501)</f>
        <v>12</v>
      </c>
      <c r="P12" s="25">
        <f>SUMPRODUCT((Sales!$E$2:$E$501=Выполнить!$M12)*(Sales!$K$2:$K$501)*(Sales!$J$2:$J$501))</f>
        <v>1851.1020000000001</v>
      </c>
      <c r="Q12" s="20"/>
      <c r="R12" s="20"/>
      <c r="S12" s="30"/>
      <c r="T12" s="16" t="b">
        <v>0</v>
      </c>
    </row>
    <row r="13" spans="5:20" x14ac:dyDescent="0.25">
      <c r="E13" s="13"/>
      <c r="J13" s="16" t="s">
        <v>224</v>
      </c>
      <c r="K13" s="20"/>
      <c r="L13" s="23">
        <f t="shared" si="0"/>
        <v>11</v>
      </c>
      <c r="M13" s="20" t="s">
        <v>425</v>
      </c>
      <c r="N13" s="24">
        <f>AVERAGEIF(Sales!$E$2:$E$501,Выполнить!$M13,Sales!$J$2:$J$501)</f>
        <v>1121.3566666666668</v>
      </c>
      <c r="O13" s="20">
        <f>SUMPRODUCT((Sales!$E$2:$E$501=Выполнить!$M13)*Sales!$K$2:$K$501)</f>
        <v>17</v>
      </c>
      <c r="P13" s="25">
        <f>SUMPRODUCT((Sales!$E$2:$E$501=Выполнить!$M13)*(Sales!$K$2:$K$501)*(Sales!$J$2:$J$501))</f>
        <v>43550.689999999995</v>
      </c>
      <c r="Q13" s="20"/>
      <c r="R13" s="20"/>
      <c r="S13" s="30"/>
      <c r="T13" s="16"/>
    </row>
    <row r="14" spans="5:20" x14ac:dyDescent="0.25">
      <c r="E14" s="13"/>
      <c r="J14" s="16" t="s">
        <v>672</v>
      </c>
      <c r="K14" s="20"/>
      <c r="L14" s="23">
        <f t="shared" si="0"/>
        <v>12</v>
      </c>
      <c r="M14" s="20" t="s">
        <v>447</v>
      </c>
      <c r="N14" s="24">
        <f>AVERAGEIF(Sales!$E$2:$E$501,Выполнить!$M14,Sales!$J$2:$J$501)</f>
        <v>14.015999999999998</v>
      </c>
      <c r="O14" s="20">
        <f>SUMPRODUCT((Sales!$E$2:$E$501=Выполнить!$M14)*Sales!$K$2:$K$501)</f>
        <v>3</v>
      </c>
      <c r="P14" s="25">
        <f>SUMPRODUCT((Sales!$E$2:$E$501=Выполнить!$M14)*(Sales!$K$2:$K$501)*(Sales!$J$2:$J$501))</f>
        <v>42.047999999999995</v>
      </c>
      <c r="Q14" s="20"/>
      <c r="R14" s="20"/>
      <c r="S14" s="30"/>
      <c r="T14" s="16" t="b">
        <v>0</v>
      </c>
    </row>
    <row r="15" spans="5:20" x14ac:dyDescent="0.25">
      <c r="E15" s="13"/>
      <c r="J15" s="16" t="s">
        <v>294</v>
      </c>
      <c r="K15" s="20"/>
      <c r="L15" s="23">
        <f t="shared" si="0"/>
        <v>13</v>
      </c>
      <c r="M15" s="20" t="s">
        <v>681</v>
      </c>
      <c r="N15" s="24">
        <f>AVERAGEIF(Sales!$E$2:$E$501,Выполнить!$M15,Sales!$J$2:$J$501)</f>
        <v>223.76499999999999</v>
      </c>
      <c r="O15" s="20">
        <f>SUMPRODUCT((Sales!$E$2:$E$501=Выполнить!$M15)*Sales!$K$2:$K$501)</f>
        <v>16</v>
      </c>
      <c r="P15" s="25">
        <f>SUMPRODUCT((Sales!$E$2:$E$501=Выполнить!$M15)*(Sales!$K$2:$K$501)*(Sales!$J$2:$J$501))</f>
        <v>4709.7199999999993</v>
      </c>
      <c r="Q15" s="20"/>
      <c r="R15" s="20"/>
      <c r="S15" s="20"/>
      <c r="T15" s="19"/>
    </row>
    <row r="16" spans="5:20" x14ac:dyDescent="0.25">
      <c r="E16" s="13"/>
      <c r="J16" s="16" t="s">
        <v>447</v>
      </c>
      <c r="K16" s="20"/>
      <c r="L16" s="23">
        <f t="shared" si="0"/>
        <v>14</v>
      </c>
      <c r="M16" s="20" t="s">
        <v>99</v>
      </c>
      <c r="N16" s="24">
        <f>AVERAGEIF(Sales!$E$2:$E$501,Выполнить!$M16,Sales!$J$2:$J$501)</f>
        <v>211.96</v>
      </c>
      <c r="O16" s="20">
        <f>SUMPRODUCT((Sales!$E$2:$E$501=Выполнить!$M16)*Sales!$K$2:$K$501)</f>
        <v>4</v>
      </c>
      <c r="P16" s="25">
        <f>SUMPRODUCT((Sales!$E$2:$E$501=Выполнить!$M16)*(Sales!$K$2:$K$501)*(Sales!$J$2:$J$501))</f>
        <v>847.84</v>
      </c>
      <c r="Q16" s="20"/>
      <c r="R16" s="20"/>
      <c r="S16" s="20"/>
    </row>
    <row r="17" spans="5:19" x14ac:dyDescent="0.25">
      <c r="E17" s="13"/>
      <c r="J17" s="16" t="s">
        <v>202</v>
      </c>
      <c r="K17" s="20"/>
      <c r="L17" s="23">
        <f t="shared" si="0"/>
        <v>15</v>
      </c>
      <c r="M17" s="20" t="s">
        <v>555</v>
      </c>
      <c r="N17" s="24">
        <f>AVERAGEIF(Sales!$E$2:$E$501,Выполнить!$M17,Sales!$J$2:$J$501)</f>
        <v>4.96</v>
      </c>
      <c r="O17" s="20">
        <f>SUMPRODUCT((Sales!$E$2:$E$501=Выполнить!$M17)*Sales!$K$2:$K$501)</f>
        <v>4</v>
      </c>
      <c r="P17" s="25">
        <f>SUMPRODUCT((Sales!$E$2:$E$501=Выполнить!$M17)*(Sales!$K$2:$K$501)*(Sales!$J$2:$J$501))</f>
        <v>19.84</v>
      </c>
      <c r="Q17" s="20"/>
      <c r="R17" s="20"/>
      <c r="S17" s="20"/>
    </row>
    <row r="18" spans="5:19" x14ac:dyDescent="0.25">
      <c r="J18" s="16" t="s">
        <v>129</v>
      </c>
      <c r="K18" s="20"/>
      <c r="L18" s="23">
        <f t="shared" si="0"/>
        <v>16</v>
      </c>
      <c r="M18" s="20" t="s">
        <v>367</v>
      </c>
      <c r="N18" s="24">
        <f>AVERAGEIF(Sales!$E$2:$E$501,Выполнить!$M18,Sales!$J$2:$J$501)</f>
        <v>444.76800000000003</v>
      </c>
      <c r="O18" s="20">
        <f>SUMPRODUCT((Sales!$E$2:$E$501=Выполнить!$M18)*Sales!$K$2:$K$501)</f>
        <v>4</v>
      </c>
      <c r="P18" s="25">
        <f>SUMPRODUCT((Sales!$E$2:$E$501=Выполнить!$M18)*(Sales!$K$2:$K$501)*(Sales!$J$2:$J$501))</f>
        <v>1779.0720000000001</v>
      </c>
      <c r="Q18" s="20"/>
      <c r="R18" s="20"/>
      <c r="S18" s="20"/>
    </row>
    <row r="19" spans="5:19" x14ac:dyDescent="0.25">
      <c r="J19" s="16" t="s">
        <v>452</v>
      </c>
      <c r="K19" s="20"/>
      <c r="L19" s="23">
        <f t="shared" si="0"/>
        <v>17</v>
      </c>
      <c r="M19" s="20" t="s">
        <v>227</v>
      </c>
      <c r="N19" s="24">
        <f>AVERAGEIF(Sales!$E$2:$E$501,Выполнить!$M19,Sales!$J$2:$J$501)</f>
        <v>87.762</v>
      </c>
      <c r="O19" s="20">
        <f>SUMPRODUCT((Sales!$E$2:$E$501=Выполнить!$M19)*Sales!$K$2:$K$501)</f>
        <v>35</v>
      </c>
      <c r="P19" s="25">
        <f>SUMPRODUCT((Sales!$E$2:$E$501=Выполнить!$M19)*(Sales!$K$2:$K$501)*(Sales!$J$2:$J$501))</f>
        <v>3369.7320000000009</v>
      </c>
      <c r="Q19" s="20"/>
      <c r="R19" s="20"/>
      <c r="S19" s="20"/>
    </row>
    <row r="20" spans="5:19" x14ac:dyDescent="0.25">
      <c r="J20" s="16" t="s">
        <v>486</v>
      </c>
      <c r="K20" s="20"/>
      <c r="L20" s="23">
        <f t="shared" si="0"/>
        <v>18</v>
      </c>
      <c r="M20" s="20" t="s">
        <v>728</v>
      </c>
      <c r="N20" s="24">
        <f>AVERAGEIF(Sales!$E$2:$E$501,Выполнить!$M20,Sales!$J$2:$J$501)</f>
        <v>205.33279999999996</v>
      </c>
      <c r="O20" s="20">
        <f>SUMPRODUCT((Sales!$E$2:$E$501=Выполнить!$M20)*Sales!$K$2:$K$501)</f>
        <v>2</v>
      </c>
      <c r="P20" s="25">
        <f>SUMPRODUCT((Sales!$E$2:$E$501=Выполнить!$M20)*(Sales!$K$2:$K$501)*(Sales!$J$2:$J$501))</f>
        <v>410.66559999999993</v>
      </c>
      <c r="Q20" s="20"/>
      <c r="R20" s="20"/>
      <c r="S20" s="20"/>
    </row>
    <row r="21" spans="5:19" x14ac:dyDescent="0.25">
      <c r="J21" s="16" t="s">
        <v>164</v>
      </c>
      <c r="K21" s="20"/>
      <c r="L21" s="23">
        <f t="shared" si="0"/>
        <v>19</v>
      </c>
      <c r="M21" s="20" t="s">
        <v>449</v>
      </c>
      <c r="N21" s="24">
        <f>AVERAGEIF(Sales!$E$2:$E$501,Выполнить!$M21,Sales!$J$2:$J$501)</f>
        <v>7.5600000000000005</v>
      </c>
      <c r="O21" s="20">
        <f>SUMPRODUCT((Sales!$E$2:$E$501=Выполнить!$M21)*Sales!$K$2:$K$501)</f>
        <v>6</v>
      </c>
      <c r="P21" s="25">
        <f>SUMPRODUCT((Sales!$E$2:$E$501=Выполнить!$M21)*(Sales!$K$2:$K$501)*(Sales!$J$2:$J$501))</f>
        <v>45.36</v>
      </c>
      <c r="Q21" s="20"/>
      <c r="R21" s="20"/>
      <c r="S21" s="20"/>
    </row>
    <row r="22" spans="5:19" x14ac:dyDescent="0.25">
      <c r="J22" s="16" t="s">
        <v>216</v>
      </c>
      <c r="K22" s="20"/>
      <c r="L22" s="23">
        <f t="shared" si="0"/>
        <v>20</v>
      </c>
      <c r="M22" s="27" t="s">
        <v>477</v>
      </c>
      <c r="N22" s="28">
        <f>AVERAGEIF(Sales!$E$2:$E$501,Выполнить!$M22,Sales!$J$2:$J$501)</f>
        <v>470.02200000000011</v>
      </c>
      <c r="O22" s="27">
        <f>SUMPRODUCT((Sales!$E$2:$E$501=Выполнить!$M22)*Sales!$K$2:$K$501)</f>
        <v>14</v>
      </c>
      <c r="P22" s="29">
        <f>SUMPRODUCT((Sales!$E$2:$E$501=Выполнить!$M22)*(Sales!$K$2:$K$501)*(Sales!$J$2:$J$501))</f>
        <v>6974.862000000001</v>
      </c>
      <c r="Q22" s="20"/>
      <c r="R22" s="20"/>
      <c r="S22" s="20"/>
    </row>
    <row r="23" spans="5:19" x14ac:dyDescent="0.25">
      <c r="J23" s="16" t="s">
        <v>32</v>
      </c>
      <c r="K23" s="20"/>
      <c r="L23" s="20"/>
      <c r="M23" s="20"/>
      <c r="N23" s="20"/>
      <c r="O23" s="20"/>
      <c r="P23" s="20"/>
      <c r="Q23" s="20"/>
      <c r="R23" s="20"/>
      <c r="S23" s="20"/>
    </row>
    <row r="24" spans="5:19" x14ac:dyDescent="0.25">
      <c r="J24" s="16" t="s">
        <v>770</v>
      </c>
    </row>
    <row r="25" spans="5:19" x14ac:dyDescent="0.25">
      <c r="J25" s="16" t="s">
        <v>362</v>
      </c>
    </row>
    <row r="26" spans="5:19" x14ac:dyDescent="0.25">
      <c r="J26" s="16" t="s">
        <v>153</v>
      </c>
    </row>
    <row r="27" spans="5:19" x14ac:dyDescent="0.25">
      <c r="J27" s="16" t="s">
        <v>358</v>
      </c>
    </row>
    <row r="28" spans="5:19" x14ac:dyDescent="0.25">
      <c r="J28" s="16" t="s">
        <v>621</v>
      </c>
    </row>
    <row r="29" spans="5:19" x14ac:dyDescent="0.25">
      <c r="J29" s="16" t="s">
        <v>393</v>
      </c>
    </row>
    <row r="30" spans="5:19" x14ac:dyDescent="0.25">
      <c r="J30" s="16" t="s">
        <v>102</v>
      </c>
    </row>
    <row r="31" spans="5:19" x14ac:dyDescent="0.25">
      <c r="J31" s="16" t="s">
        <v>386</v>
      </c>
    </row>
    <row r="32" spans="5:19" x14ac:dyDescent="0.25">
      <c r="J32" s="16" t="s">
        <v>160</v>
      </c>
    </row>
    <row r="33" spans="10:10" x14ac:dyDescent="0.25">
      <c r="J33" s="16" t="s">
        <v>95</v>
      </c>
    </row>
    <row r="34" spans="10:10" x14ac:dyDescent="0.25">
      <c r="J34" s="16" t="s">
        <v>286</v>
      </c>
    </row>
    <row r="35" spans="10:10" x14ac:dyDescent="0.25">
      <c r="J35" s="16" t="s">
        <v>329</v>
      </c>
    </row>
    <row r="36" spans="10:10" x14ac:dyDescent="0.25">
      <c r="J36" s="16" t="s">
        <v>768</v>
      </c>
    </row>
    <row r="37" spans="10:10" x14ac:dyDescent="0.25">
      <c r="J37" s="16" t="s">
        <v>19</v>
      </c>
    </row>
    <row r="38" spans="10:10" x14ac:dyDescent="0.25">
      <c r="J38" s="16" t="s">
        <v>38</v>
      </c>
    </row>
    <row r="39" spans="10:10" x14ac:dyDescent="0.25">
      <c r="J39" s="16" t="s">
        <v>269</v>
      </c>
    </row>
    <row r="40" spans="10:10" x14ac:dyDescent="0.25">
      <c r="J40" s="16" t="s">
        <v>54</v>
      </c>
    </row>
    <row r="41" spans="10:10" x14ac:dyDescent="0.25">
      <c r="J41" s="16" t="s">
        <v>681</v>
      </c>
    </row>
    <row r="42" spans="10:10" x14ac:dyDescent="0.25">
      <c r="J42" s="16" t="s">
        <v>132</v>
      </c>
    </row>
    <row r="43" spans="10:10" x14ac:dyDescent="0.25">
      <c r="J43" s="16" t="s">
        <v>334</v>
      </c>
    </row>
    <row r="44" spans="10:10" x14ac:dyDescent="0.25">
      <c r="J44" s="16" t="s">
        <v>517</v>
      </c>
    </row>
    <row r="45" spans="10:10" x14ac:dyDescent="0.25">
      <c r="J45" s="16" t="s">
        <v>345</v>
      </c>
    </row>
    <row r="46" spans="10:10" x14ac:dyDescent="0.25">
      <c r="J46" s="16" t="s">
        <v>587</v>
      </c>
    </row>
    <row r="47" spans="10:10" x14ac:dyDescent="0.25">
      <c r="J47" s="16" t="s">
        <v>8</v>
      </c>
    </row>
    <row r="48" spans="10:10" x14ac:dyDescent="0.25">
      <c r="J48" s="16" t="s">
        <v>533</v>
      </c>
    </row>
    <row r="49" spans="10:10" x14ac:dyDescent="0.25">
      <c r="J49" s="16" t="s">
        <v>75</v>
      </c>
    </row>
    <row r="50" spans="10:10" x14ac:dyDescent="0.25">
      <c r="J50" s="16" t="s">
        <v>656</v>
      </c>
    </row>
    <row r="51" spans="10:10" x14ac:dyDescent="0.25">
      <c r="J51" s="16" t="s">
        <v>757</v>
      </c>
    </row>
    <row r="52" spans="10:10" x14ac:dyDescent="0.25">
      <c r="J52" s="16" t="s">
        <v>261</v>
      </c>
    </row>
    <row r="53" spans="10:10" x14ac:dyDescent="0.25">
      <c r="J53" s="16" t="s">
        <v>461</v>
      </c>
    </row>
    <row r="54" spans="10:10" x14ac:dyDescent="0.25">
      <c r="J54" s="16" t="s">
        <v>140</v>
      </c>
    </row>
    <row r="55" spans="10:10" x14ac:dyDescent="0.25">
      <c r="J55" s="16" t="s">
        <v>686</v>
      </c>
    </row>
    <row r="56" spans="10:10" x14ac:dyDescent="0.25">
      <c r="J56" s="16" t="s">
        <v>418</v>
      </c>
    </row>
    <row r="57" spans="10:10" x14ac:dyDescent="0.25">
      <c r="J57" s="16" t="s">
        <v>504</v>
      </c>
    </row>
    <row r="58" spans="10:10" x14ac:dyDescent="0.25">
      <c r="J58" s="16" t="s">
        <v>628</v>
      </c>
    </row>
    <row r="59" spans="10:10" x14ac:dyDescent="0.25">
      <c r="J59" s="16" t="s">
        <v>667</v>
      </c>
    </row>
    <row r="60" spans="10:10" x14ac:dyDescent="0.25">
      <c r="J60" s="16" t="s">
        <v>555</v>
      </c>
    </row>
    <row r="61" spans="10:10" x14ac:dyDescent="0.25">
      <c r="J61" s="16" t="s">
        <v>732</v>
      </c>
    </row>
    <row r="62" spans="10:10" x14ac:dyDescent="0.25">
      <c r="J62" s="16" t="s">
        <v>530</v>
      </c>
    </row>
    <row r="63" spans="10:10" x14ac:dyDescent="0.25">
      <c r="J63" s="16" t="s">
        <v>14</v>
      </c>
    </row>
    <row r="64" spans="10:10" x14ac:dyDescent="0.25">
      <c r="J64" s="16" t="s">
        <v>664</v>
      </c>
    </row>
    <row r="65" spans="10:10" x14ac:dyDescent="0.25">
      <c r="J65" s="16" t="s">
        <v>562</v>
      </c>
    </row>
    <row r="66" spans="10:10" x14ac:dyDescent="0.25">
      <c r="J66" s="16" t="s">
        <v>43</v>
      </c>
    </row>
    <row r="67" spans="10:10" x14ac:dyDescent="0.25">
      <c r="J67" s="16" t="s">
        <v>582</v>
      </c>
    </row>
    <row r="68" spans="10:10" x14ac:dyDescent="0.25">
      <c r="J68" s="16" t="s">
        <v>378</v>
      </c>
    </row>
    <row r="69" spans="10:10" x14ac:dyDescent="0.25">
      <c r="J69" s="16" t="s">
        <v>92</v>
      </c>
    </row>
    <row r="70" spans="10:10" x14ac:dyDescent="0.25">
      <c r="J70" s="16" t="s">
        <v>143</v>
      </c>
    </row>
    <row r="71" spans="10:10" x14ac:dyDescent="0.25">
      <c r="J71" s="16" t="s">
        <v>640</v>
      </c>
    </row>
    <row r="72" spans="10:10" x14ac:dyDescent="0.25">
      <c r="J72" s="16" t="s">
        <v>176</v>
      </c>
    </row>
    <row r="73" spans="10:10" x14ac:dyDescent="0.25">
      <c r="J73" s="16" t="s">
        <v>324</v>
      </c>
    </row>
    <row r="74" spans="10:10" x14ac:dyDescent="0.25">
      <c r="J74" s="16" t="s">
        <v>449</v>
      </c>
    </row>
    <row r="75" spans="10:10" x14ac:dyDescent="0.25">
      <c r="J75" s="16" t="s">
        <v>536</v>
      </c>
    </row>
    <row r="76" spans="10:10" x14ac:dyDescent="0.25">
      <c r="J76" s="16" t="s">
        <v>87</v>
      </c>
    </row>
    <row r="77" spans="10:10" x14ac:dyDescent="0.25">
      <c r="J77" s="16" t="s">
        <v>106</v>
      </c>
    </row>
    <row r="78" spans="10:10" x14ac:dyDescent="0.25">
      <c r="J78" s="16" t="s">
        <v>676</v>
      </c>
    </row>
    <row r="79" spans="10:10" x14ac:dyDescent="0.25">
      <c r="J79" s="16" t="s">
        <v>112</v>
      </c>
    </row>
    <row r="80" spans="10:10" x14ac:dyDescent="0.25">
      <c r="J80" s="16" t="s">
        <v>266</v>
      </c>
    </row>
    <row r="81" spans="10:10" x14ac:dyDescent="0.25">
      <c r="J81" s="16" t="s">
        <v>712</v>
      </c>
    </row>
    <row r="82" spans="10:10" x14ac:dyDescent="0.25">
      <c r="J82" s="16" t="s">
        <v>62</v>
      </c>
    </row>
    <row r="83" spans="10:10" x14ac:dyDescent="0.25">
      <c r="J83" s="16" t="s">
        <v>207</v>
      </c>
    </row>
    <row r="84" spans="10:10" x14ac:dyDescent="0.25">
      <c r="J84" s="16" t="s">
        <v>727</v>
      </c>
    </row>
    <row r="85" spans="10:10" x14ac:dyDescent="0.25">
      <c r="J85" s="16" t="s">
        <v>264</v>
      </c>
    </row>
    <row r="86" spans="10:10" x14ac:dyDescent="0.25">
      <c r="J86" s="16" t="s">
        <v>610</v>
      </c>
    </row>
    <row r="87" spans="10:10" x14ac:dyDescent="0.25">
      <c r="J87" s="16" t="s">
        <v>625</v>
      </c>
    </row>
    <row r="88" spans="10:10" x14ac:dyDescent="0.25">
      <c r="J88" s="16" t="s">
        <v>58</v>
      </c>
    </row>
    <row r="89" spans="10:10" x14ac:dyDescent="0.25">
      <c r="J89" s="16" t="s">
        <v>238</v>
      </c>
    </row>
    <row r="90" spans="10:10" x14ac:dyDescent="0.25">
      <c r="J90" s="16" t="s">
        <v>181</v>
      </c>
    </row>
    <row r="91" spans="10:10" x14ac:dyDescent="0.25">
      <c r="J91" s="16" t="s">
        <v>596</v>
      </c>
    </row>
    <row r="92" spans="10:10" x14ac:dyDescent="0.25">
      <c r="J92" s="16" t="s">
        <v>342</v>
      </c>
    </row>
    <row r="93" spans="10:10" x14ac:dyDescent="0.25">
      <c r="J93" s="16" t="s">
        <v>78</v>
      </c>
    </row>
    <row r="94" spans="10:10" x14ac:dyDescent="0.25">
      <c r="J94" s="16" t="s">
        <v>660</v>
      </c>
    </row>
    <row r="95" spans="10:10" x14ac:dyDescent="0.25">
      <c r="J95" s="16" t="s">
        <v>167</v>
      </c>
    </row>
    <row r="96" spans="10:10" x14ac:dyDescent="0.25">
      <c r="J96" s="16" t="s">
        <v>248</v>
      </c>
    </row>
    <row r="97" spans="10:10" x14ac:dyDescent="0.25">
      <c r="J97" s="16" t="s">
        <v>370</v>
      </c>
    </row>
    <row r="98" spans="10:10" x14ac:dyDescent="0.25">
      <c r="J98" s="16" t="s">
        <v>188</v>
      </c>
    </row>
    <row r="99" spans="10:10" x14ac:dyDescent="0.25">
      <c r="J99" s="16" t="s">
        <v>520</v>
      </c>
    </row>
    <row r="100" spans="10:10" x14ac:dyDescent="0.25">
      <c r="J100" s="16" t="s">
        <v>299</v>
      </c>
    </row>
    <row r="101" spans="10:10" x14ac:dyDescent="0.25">
      <c r="J101" s="16" t="s">
        <v>425</v>
      </c>
    </row>
    <row r="102" spans="10:10" x14ac:dyDescent="0.25">
      <c r="J102" s="16" t="s">
        <v>49</v>
      </c>
    </row>
    <row r="103" spans="10:10" x14ac:dyDescent="0.25">
      <c r="J103" s="16" t="s">
        <v>278</v>
      </c>
    </row>
    <row r="104" spans="10:10" x14ac:dyDescent="0.25">
      <c r="J104" s="16" t="s">
        <v>408</v>
      </c>
    </row>
    <row r="105" spans="10:10" x14ac:dyDescent="0.25">
      <c r="J105" s="16" t="s">
        <v>274</v>
      </c>
    </row>
    <row r="106" spans="10:10" x14ac:dyDescent="0.25">
      <c r="J106" s="16" t="s">
        <v>35</v>
      </c>
    </row>
    <row r="107" spans="10:10" x14ac:dyDescent="0.25">
      <c r="J107" s="16" t="s">
        <v>136</v>
      </c>
    </row>
    <row r="108" spans="10:10" x14ac:dyDescent="0.25">
      <c r="J108" s="16" t="s">
        <v>477</v>
      </c>
    </row>
    <row r="109" spans="10:10" x14ac:dyDescent="0.25">
      <c r="J109" s="16" t="s">
        <v>402</v>
      </c>
    </row>
    <row r="110" spans="10:10" x14ac:dyDescent="0.25">
      <c r="J110" s="16" t="s">
        <v>501</v>
      </c>
    </row>
    <row r="111" spans="10:10" x14ac:dyDescent="0.25">
      <c r="J111" s="16" t="s">
        <v>116</v>
      </c>
    </row>
    <row r="112" spans="10:10" x14ac:dyDescent="0.25">
      <c r="J112" s="16" t="s">
        <v>591</v>
      </c>
    </row>
    <row r="113" spans="10:10" x14ac:dyDescent="0.25">
      <c r="J113" s="16" t="s">
        <v>212</v>
      </c>
    </row>
    <row r="114" spans="10:10" x14ac:dyDescent="0.25">
      <c r="J114" s="16" t="s">
        <v>631</v>
      </c>
    </row>
    <row r="115" spans="10:10" x14ac:dyDescent="0.25">
      <c r="J115" s="16" t="s">
        <v>46</v>
      </c>
    </row>
    <row r="116" spans="10:10" x14ac:dyDescent="0.25">
      <c r="J116" s="16" t="s">
        <v>349</v>
      </c>
    </row>
    <row r="117" spans="10:10" x14ac:dyDescent="0.25">
      <c r="J117" s="16" t="s">
        <v>99</v>
      </c>
    </row>
    <row r="118" spans="10:10" x14ac:dyDescent="0.25">
      <c r="J118" s="16" t="s">
        <v>367</v>
      </c>
    </row>
    <row r="119" spans="10:10" x14ac:dyDescent="0.25">
      <c r="J119" s="16" t="s">
        <v>227</v>
      </c>
    </row>
  </sheetData>
  <sheetProtection formatCells="0" formatColumns="0" formatRows="0" autoFilter="0" pivotTables="0"/>
  <sortState ref="J4:J119">
    <sortCondition ref="J4"/>
  </sortState>
  <mergeCells count="1">
    <mergeCell ref="S5:S6"/>
  </mergeCells>
  <conditionalFormatting sqref="M3:M22">
    <cfRule type="duplicateValues" dxfId="3" priority="3"/>
  </conditionalFormatting>
  <conditionalFormatting sqref="L3:P22">
    <cfRule type="expression" dxfId="2" priority="4">
      <formula>AND($P3&gt;AVERAGE($P$3:$P$22),$T$14)</formula>
    </cfRule>
  </conditionalFormatting>
  <conditionalFormatting sqref="N3:P22">
    <cfRule type="expression" dxfId="1" priority="2">
      <formula>AND(N3=MAX(N$3:N$22),$T$10)</formula>
    </cfRule>
    <cfRule type="expression" dxfId="0" priority="1">
      <formula>AND(N3=MIN(N$3:N$22),$T$12)</formula>
    </cfRule>
  </conditionalFormatting>
  <dataValidations count="1">
    <dataValidation type="list" allowBlank="1" showInputMessage="1" showErrorMessage="1" sqref="M3:M22" xr:uid="{A6FA878F-D21A-4C96-8B96-311F6836BBE9}">
      <formula1>$J$3:$J$119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O4:O22 P4:P22 N3:N22 O3:P3 L3:L22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17</xdr:col>
                    <xdr:colOff>266700</xdr:colOff>
                    <xdr:row>9</xdr:row>
                    <xdr:rowOff>9525</xdr:rowOff>
                  </from>
                  <to>
                    <xdr:col>18</xdr:col>
                    <xdr:colOff>304800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defaultSize="0" autoFill="0" autoLine="0" autoPict="0">
                <anchor moveWithCells="1">
                  <from>
                    <xdr:col>17</xdr:col>
                    <xdr:colOff>266700</xdr:colOff>
                    <xdr:row>10</xdr:row>
                    <xdr:rowOff>57150</xdr:rowOff>
                  </from>
                  <to>
                    <xdr:col>18</xdr:col>
                    <xdr:colOff>304800</xdr:colOff>
                    <xdr:row>11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104775</xdr:rowOff>
                  </from>
                  <to>
                    <xdr:col>18</xdr:col>
                    <xdr:colOff>314325</xdr:colOff>
                    <xdr:row>12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4034-3FDB-47C1-B1F7-128FBD6A69CD}">
  <sheetPr>
    <tabColor theme="1"/>
  </sheetPr>
  <dimension ref="A1:L504"/>
  <sheetViews>
    <sheetView topLeftCell="A447" workbookViewId="0">
      <selection activeCell="J504" sqref="J504"/>
    </sheetView>
  </sheetViews>
  <sheetFormatPr defaultColWidth="8.625" defaultRowHeight="15" x14ac:dyDescent="0.25"/>
  <cols>
    <col min="1" max="1" width="14.625" style="1" bestFit="1" customWidth="1"/>
    <col min="2" max="2" width="7.875" style="1" bestFit="1" customWidth="1"/>
    <col min="3" max="3" width="10.75" style="7" bestFit="1" customWidth="1"/>
    <col min="4" max="4" width="9.875" style="1" bestFit="1" customWidth="1"/>
    <col min="5" max="5" width="16.125" style="1" bestFit="1" customWidth="1"/>
    <col min="6" max="6" width="8.625" style="1"/>
    <col min="7" max="7" width="18.125" style="1" bestFit="1" customWidth="1"/>
    <col min="8" max="8" width="16.5" style="1" bestFit="1" customWidth="1"/>
    <col min="9" max="9" width="13.75" style="1" bestFit="1" customWidth="1"/>
    <col min="10" max="10" width="12.5" style="1" bestFit="1" customWidth="1"/>
    <col min="11" max="11" width="8.625" style="1"/>
    <col min="12" max="12" width="9.875" style="1" bestFit="1" customWidth="1"/>
    <col min="13" max="16384" width="8.625" style="1"/>
  </cols>
  <sheetData>
    <row r="1" spans="1:12" x14ac:dyDescent="0.25">
      <c r="A1" s="6" t="s">
        <v>775</v>
      </c>
      <c r="B1" s="6" t="s">
        <v>1011</v>
      </c>
      <c r="C1" s="6" t="s">
        <v>776</v>
      </c>
      <c r="D1" s="6" t="s">
        <v>1</v>
      </c>
      <c r="E1" s="6" t="s">
        <v>2</v>
      </c>
      <c r="F1" s="6" t="s">
        <v>3</v>
      </c>
      <c r="G1" s="6" t="s">
        <v>1010</v>
      </c>
      <c r="H1" s="6" t="s">
        <v>4</v>
      </c>
      <c r="I1" s="6" t="s">
        <v>5</v>
      </c>
      <c r="J1" s="6" t="s">
        <v>1012</v>
      </c>
      <c r="K1" s="6" t="s">
        <v>6</v>
      </c>
    </row>
    <row r="2" spans="1:12" x14ac:dyDescent="0.25">
      <c r="A2" s="1" t="s">
        <v>777</v>
      </c>
      <c r="B2" s="1">
        <v>2023</v>
      </c>
      <c r="C2" s="7">
        <v>45238</v>
      </c>
      <c r="D2" s="1" t="s">
        <v>7</v>
      </c>
      <c r="E2" s="1" t="s">
        <v>8</v>
      </c>
      <c r="F2" s="1" t="s">
        <v>9</v>
      </c>
      <c r="G2" s="1" t="s">
        <v>344</v>
      </c>
      <c r="H2" s="1" t="s">
        <v>10</v>
      </c>
      <c r="I2" s="1" t="s">
        <v>11</v>
      </c>
      <c r="J2" s="1">
        <v>261.95999999999998</v>
      </c>
      <c r="K2" s="1">
        <v>2</v>
      </c>
      <c r="L2" s="5">
        <f>J2*K2</f>
        <v>523.91999999999996</v>
      </c>
    </row>
    <row r="3" spans="1:12" x14ac:dyDescent="0.25">
      <c r="A3" s="1" t="s">
        <v>777</v>
      </c>
      <c r="B3" s="1">
        <v>2023</v>
      </c>
      <c r="C3" s="7">
        <v>45238</v>
      </c>
      <c r="D3" s="1" t="s">
        <v>7</v>
      </c>
      <c r="E3" s="1" t="s">
        <v>8</v>
      </c>
      <c r="F3" s="1" t="s">
        <v>9</v>
      </c>
      <c r="G3" s="1" t="s">
        <v>344</v>
      </c>
      <c r="H3" s="1" t="s">
        <v>12</v>
      </c>
      <c r="I3" s="1" t="s">
        <v>11</v>
      </c>
      <c r="J3" s="1">
        <v>731.93999999999994</v>
      </c>
      <c r="K3" s="1">
        <v>3</v>
      </c>
      <c r="L3" s="5">
        <f t="shared" ref="L3:L66" si="0">J3*K3</f>
        <v>2195.8199999999997</v>
      </c>
    </row>
    <row r="4" spans="1:12" x14ac:dyDescent="0.25">
      <c r="A4" s="1" t="s">
        <v>778</v>
      </c>
      <c r="B4" s="1">
        <v>2023</v>
      </c>
      <c r="C4" s="7">
        <v>45089</v>
      </c>
      <c r="D4" s="1" t="s">
        <v>13</v>
      </c>
      <c r="E4" s="1" t="s">
        <v>14</v>
      </c>
      <c r="F4" s="1" t="s">
        <v>15</v>
      </c>
      <c r="G4" s="1" t="s">
        <v>779</v>
      </c>
      <c r="H4" s="1" t="s">
        <v>16</v>
      </c>
      <c r="I4" s="1" t="s">
        <v>17</v>
      </c>
      <c r="J4" s="1">
        <v>14.62</v>
      </c>
      <c r="K4" s="1">
        <v>2</v>
      </c>
      <c r="L4" s="5">
        <f t="shared" si="0"/>
        <v>29.24</v>
      </c>
    </row>
    <row r="5" spans="1:12" x14ac:dyDescent="0.25">
      <c r="A5" s="1" t="s">
        <v>780</v>
      </c>
      <c r="B5" s="1">
        <v>2022</v>
      </c>
      <c r="C5" s="7">
        <v>44845</v>
      </c>
      <c r="D5" s="1" t="s">
        <v>18</v>
      </c>
      <c r="E5" s="1" t="s">
        <v>19</v>
      </c>
      <c r="F5" s="1" t="s">
        <v>9</v>
      </c>
      <c r="G5" s="1" t="s">
        <v>344</v>
      </c>
      <c r="H5" s="1" t="s">
        <v>20</v>
      </c>
      <c r="I5" s="1" t="s">
        <v>11</v>
      </c>
      <c r="J5" s="1">
        <v>957.57749999999999</v>
      </c>
      <c r="K5" s="1">
        <v>5</v>
      </c>
      <c r="L5" s="5">
        <f t="shared" si="0"/>
        <v>4787.8874999999998</v>
      </c>
    </row>
    <row r="6" spans="1:12" x14ac:dyDescent="0.25">
      <c r="A6" s="1" t="s">
        <v>780</v>
      </c>
      <c r="B6" s="1">
        <v>2022</v>
      </c>
      <c r="C6" s="7">
        <v>44845</v>
      </c>
      <c r="D6" s="1" t="s">
        <v>18</v>
      </c>
      <c r="E6" s="1" t="s">
        <v>19</v>
      </c>
      <c r="F6" s="1" t="s">
        <v>9</v>
      </c>
      <c r="G6" s="1" t="s">
        <v>344</v>
      </c>
      <c r="H6" s="1" t="s">
        <v>21</v>
      </c>
      <c r="I6" s="1" t="s">
        <v>17</v>
      </c>
      <c r="J6" s="1">
        <v>22.368000000000002</v>
      </c>
      <c r="K6" s="1">
        <v>2</v>
      </c>
      <c r="L6" s="5">
        <f t="shared" si="0"/>
        <v>44.736000000000004</v>
      </c>
    </row>
    <row r="7" spans="1:12" x14ac:dyDescent="0.25">
      <c r="A7" s="1" t="s">
        <v>781</v>
      </c>
      <c r="B7" s="1">
        <v>2022</v>
      </c>
      <c r="C7" s="7">
        <v>44721</v>
      </c>
      <c r="D7" s="1" t="s">
        <v>22</v>
      </c>
      <c r="E7" s="1" t="s">
        <v>14</v>
      </c>
      <c r="F7" s="1" t="s">
        <v>15</v>
      </c>
      <c r="G7" s="1" t="s">
        <v>779</v>
      </c>
      <c r="H7" s="1" t="s">
        <v>23</v>
      </c>
      <c r="I7" s="1" t="s">
        <v>11</v>
      </c>
      <c r="J7" s="1">
        <v>48.86</v>
      </c>
      <c r="K7" s="1">
        <v>7</v>
      </c>
      <c r="L7" s="5">
        <f t="shared" si="0"/>
        <v>342.02</v>
      </c>
    </row>
    <row r="8" spans="1:12" x14ac:dyDescent="0.25">
      <c r="A8" s="1" t="s">
        <v>781</v>
      </c>
      <c r="B8" s="1">
        <v>2022</v>
      </c>
      <c r="C8" s="7">
        <v>44721</v>
      </c>
      <c r="D8" s="1" t="s">
        <v>22</v>
      </c>
      <c r="E8" s="1" t="s">
        <v>14</v>
      </c>
      <c r="F8" s="1" t="s">
        <v>15</v>
      </c>
      <c r="G8" s="1" t="s">
        <v>779</v>
      </c>
      <c r="H8" s="1" t="s">
        <v>24</v>
      </c>
      <c r="I8" s="1" t="s">
        <v>17</v>
      </c>
      <c r="J8" s="1">
        <v>7.28</v>
      </c>
      <c r="K8" s="1">
        <v>4</v>
      </c>
      <c r="L8" s="5">
        <f t="shared" si="0"/>
        <v>29.12</v>
      </c>
    </row>
    <row r="9" spans="1:12" x14ac:dyDescent="0.25">
      <c r="A9" s="1" t="s">
        <v>781</v>
      </c>
      <c r="B9" s="1">
        <v>2022</v>
      </c>
      <c r="C9" s="7">
        <v>44721</v>
      </c>
      <c r="D9" s="1" t="s">
        <v>22</v>
      </c>
      <c r="E9" s="1" t="s">
        <v>14</v>
      </c>
      <c r="F9" s="1" t="s">
        <v>15</v>
      </c>
      <c r="G9" s="1" t="s">
        <v>779</v>
      </c>
      <c r="H9" s="1" t="s">
        <v>25</v>
      </c>
      <c r="I9" s="1" t="s">
        <v>26</v>
      </c>
      <c r="J9" s="1">
        <v>907.15200000000004</v>
      </c>
      <c r="K9" s="1">
        <v>6</v>
      </c>
      <c r="L9" s="5">
        <f t="shared" si="0"/>
        <v>5442.9120000000003</v>
      </c>
    </row>
    <row r="10" spans="1:12" x14ac:dyDescent="0.25">
      <c r="A10" s="1" t="s">
        <v>781</v>
      </c>
      <c r="B10" s="1">
        <v>2022</v>
      </c>
      <c r="C10" s="7">
        <v>44721</v>
      </c>
      <c r="D10" s="1" t="s">
        <v>22</v>
      </c>
      <c r="E10" s="1" t="s">
        <v>14</v>
      </c>
      <c r="F10" s="1" t="s">
        <v>15</v>
      </c>
      <c r="G10" s="1" t="s">
        <v>779</v>
      </c>
      <c r="H10" s="1" t="s">
        <v>27</v>
      </c>
      <c r="I10" s="1" t="s">
        <v>17</v>
      </c>
      <c r="J10" s="1">
        <v>18.504000000000001</v>
      </c>
      <c r="K10" s="1">
        <v>3</v>
      </c>
      <c r="L10" s="5">
        <f t="shared" si="0"/>
        <v>55.512</v>
      </c>
    </row>
    <row r="11" spans="1:12" x14ac:dyDescent="0.25">
      <c r="A11" s="1" t="s">
        <v>781</v>
      </c>
      <c r="B11" s="1">
        <v>2022</v>
      </c>
      <c r="C11" s="7">
        <v>44721</v>
      </c>
      <c r="D11" s="1" t="s">
        <v>22</v>
      </c>
      <c r="E11" s="1" t="s">
        <v>14</v>
      </c>
      <c r="F11" s="1" t="s">
        <v>15</v>
      </c>
      <c r="G11" s="1" t="s">
        <v>779</v>
      </c>
      <c r="H11" s="1" t="s">
        <v>28</v>
      </c>
      <c r="I11" s="1" t="s">
        <v>17</v>
      </c>
      <c r="J11" s="1">
        <v>114.9</v>
      </c>
      <c r="K11" s="1">
        <v>5</v>
      </c>
      <c r="L11" s="5">
        <f t="shared" si="0"/>
        <v>574.5</v>
      </c>
    </row>
    <row r="12" spans="1:12" x14ac:dyDescent="0.25">
      <c r="A12" s="1" t="s">
        <v>781</v>
      </c>
      <c r="B12" s="1">
        <v>2022</v>
      </c>
      <c r="C12" s="7">
        <v>44721</v>
      </c>
      <c r="D12" s="1" t="s">
        <v>22</v>
      </c>
      <c r="E12" s="1" t="s">
        <v>14</v>
      </c>
      <c r="F12" s="1" t="s">
        <v>15</v>
      </c>
      <c r="G12" s="1" t="s">
        <v>779</v>
      </c>
      <c r="H12" s="1" t="s">
        <v>29</v>
      </c>
      <c r="I12" s="1" t="s">
        <v>11</v>
      </c>
      <c r="J12" s="1">
        <v>1706.1840000000002</v>
      </c>
      <c r="K12" s="1">
        <v>9</v>
      </c>
      <c r="L12" s="5">
        <f t="shared" si="0"/>
        <v>15355.656000000003</v>
      </c>
    </row>
    <row r="13" spans="1:12" x14ac:dyDescent="0.25">
      <c r="A13" s="1" t="s">
        <v>781</v>
      </c>
      <c r="B13" s="1">
        <v>2022</v>
      </c>
      <c r="C13" s="7">
        <v>44721</v>
      </c>
      <c r="D13" s="1" t="s">
        <v>22</v>
      </c>
      <c r="E13" s="1" t="s">
        <v>14</v>
      </c>
      <c r="F13" s="1" t="s">
        <v>15</v>
      </c>
      <c r="G13" s="1" t="s">
        <v>779</v>
      </c>
      <c r="H13" s="1" t="s">
        <v>30</v>
      </c>
      <c r="I13" s="1" t="s">
        <v>26</v>
      </c>
      <c r="J13" s="1">
        <v>911.42399999999998</v>
      </c>
      <c r="K13" s="1">
        <v>4</v>
      </c>
      <c r="L13" s="5">
        <f t="shared" si="0"/>
        <v>3645.6959999999999</v>
      </c>
    </row>
    <row r="14" spans="1:12" x14ac:dyDescent="0.25">
      <c r="A14" s="1" t="s">
        <v>782</v>
      </c>
      <c r="B14" s="1">
        <v>2023</v>
      </c>
      <c r="C14" s="7">
        <v>45031</v>
      </c>
      <c r="D14" s="1" t="s">
        <v>31</v>
      </c>
      <c r="E14" s="1" t="s">
        <v>32</v>
      </c>
      <c r="F14" s="1" t="s">
        <v>9</v>
      </c>
      <c r="G14" s="1" t="s">
        <v>344</v>
      </c>
      <c r="H14" s="1" t="s">
        <v>33</v>
      </c>
      <c r="I14" s="1" t="s">
        <v>17</v>
      </c>
      <c r="J14" s="1">
        <v>15.552000000000003</v>
      </c>
      <c r="K14" s="1">
        <v>3</v>
      </c>
      <c r="L14" s="5">
        <f t="shared" si="0"/>
        <v>46.656000000000006</v>
      </c>
    </row>
    <row r="15" spans="1:12" x14ac:dyDescent="0.25">
      <c r="A15" s="1" t="s">
        <v>783</v>
      </c>
      <c r="B15" s="1">
        <v>2023</v>
      </c>
      <c r="C15" s="7">
        <v>45265</v>
      </c>
      <c r="D15" s="1" t="s">
        <v>34</v>
      </c>
      <c r="E15" s="1" t="s">
        <v>35</v>
      </c>
      <c r="F15" s="1" t="s">
        <v>15</v>
      </c>
      <c r="G15" s="1" t="s">
        <v>779</v>
      </c>
      <c r="H15" s="1" t="s">
        <v>36</v>
      </c>
      <c r="I15" s="1" t="s">
        <v>17</v>
      </c>
      <c r="J15" s="1">
        <v>407.97600000000006</v>
      </c>
      <c r="K15" s="1">
        <v>3</v>
      </c>
      <c r="L15" s="5">
        <f t="shared" si="0"/>
        <v>1223.9280000000001</v>
      </c>
    </row>
    <row r="16" spans="1:12" x14ac:dyDescent="0.25">
      <c r="A16" s="1" t="s">
        <v>784</v>
      </c>
      <c r="B16" s="1">
        <v>2022</v>
      </c>
      <c r="C16" s="7">
        <v>44887</v>
      </c>
      <c r="D16" s="1" t="s">
        <v>37</v>
      </c>
      <c r="E16" s="1" t="s">
        <v>38</v>
      </c>
      <c r="F16" s="1" t="s">
        <v>39</v>
      </c>
      <c r="G16" s="1" t="s">
        <v>785</v>
      </c>
      <c r="H16" s="1" t="s">
        <v>40</v>
      </c>
      <c r="I16" s="1" t="s">
        <v>17</v>
      </c>
      <c r="J16" s="1">
        <v>68.809999999999988</v>
      </c>
      <c r="K16" s="1">
        <v>5</v>
      </c>
      <c r="L16" s="5">
        <f t="shared" si="0"/>
        <v>344.04999999999995</v>
      </c>
    </row>
    <row r="17" spans="1:12" x14ac:dyDescent="0.25">
      <c r="A17" s="1" t="s">
        <v>784</v>
      </c>
      <c r="B17" s="1">
        <v>2022</v>
      </c>
      <c r="C17" s="7">
        <v>44887</v>
      </c>
      <c r="D17" s="1" t="s">
        <v>37</v>
      </c>
      <c r="E17" s="1" t="s">
        <v>38</v>
      </c>
      <c r="F17" s="1" t="s">
        <v>39</v>
      </c>
      <c r="G17" s="1" t="s">
        <v>785</v>
      </c>
      <c r="H17" s="1" t="s">
        <v>41</v>
      </c>
      <c r="I17" s="1" t="s">
        <v>17</v>
      </c>
      <c r="J17" s="1">
        <v>2.5439999999999996</v>
      </c>
      <c r="K17" s="1">
        <v>3</v>
      </c>
      <c r="L17" s="5">
        <f t="shared" si="0"/>
        <v>7.6319999999999988</v>
      </c>
    </row>
    <row r="18" spans="1:12" x14ac:dyDescent="0.25">
      <c r="A18" s="1" t="s">
        <v>786</v>
      </c>
      <c r="B18" s="1">
        <v>2022</v>
      </c>
      <c r="C18" s="7">
        <v>44876</v>
      </c>
      <c r="D18" s="1" t="s">
        <v>42</v>
      </c>
      <c r="E18" s="1" t="s">
        <v>43</v>
      </c>
      <c r="F18" s="1" t="s">
        <v>39</v>
      </c>
      <c r="G18" s="1" t="s">
        <v>785</v>
      </c>
      <c r="H18" s="1" t="s">
        <v>44</v>
      </c>
      <c r="I18" s="1" t="s">
        <v>17</v>
      </c>
      <c r="J18" s="1">
        <v>665.88</v>
      </c>
      <c r="K18" s="1">
        <v>6</v>
      </c>
      <c r="L18" s="5">
        <f t="shared" si="0"/>
        <v>3995.2799999999997</v>
      </c>
    </row>
    <row r="19" spans="1:12" x14ac:dyDescent="0.25">
      <c r="A19" s="1" t="s">
        <v>787</v>
      </c>
      <c r="B19" s="1">
        <v>2022</v>
      </c>
      <c r="C19" s="7">
        <v>44694</v>
      </c>
      <c r="D19" s="1" t="s">
        <v>45</v>
      </c>
      <c r="E19" s="1" t="s">
        <v>46</v>
      </c>
      <c r="F19" s="1" t="s">
        <v>15</v>
      </c>
      <c r="G19" s="1" t="s">
        <v>779</v>
      </c>
      <c r="H19" s="1" t="s">
        <v>47</v>
      </c>
      <c r="I19" s="1" t="s">
        <v>17</v>
      </c>
      <c r="J19" s="1">
        <v>55.5</v>
      </c>
      <c r="K19" s="1">
        <v>2</v>
      </c>
      <c r="L19" s="5">
        <f t="shared" si="0"/>
        <v>111</v>
      </c>
    </row>
    <row r="20" spans="1:12" x14ac:dyDescent="0.25">
      <c r="A20" s="1" t="s">
        <v>788</v>
      </c>
      <c r="B20" s="1">
        <v>2022</v>
      </c>
      <c r="C20" s="7">
        <v>44800</v>
      </c>
      <c r="D20" s="1" t="s">
        <v>48</v>
      </c>
      <c r="E20" s="1" t="s">
        <v>49</v>
      </c>
      <c r="F20" s="1" t="s">
        <v>15</v>
      </c>
      <c r="G20" s="1" t="s">
        <v>779</v>
      </c>
      <c r="H20" s="1" t="s">
        <v>50</v>
      </c>
      <c r="I20" s="1" t="s">
        <v>17</v>
      </c>
      <c r="J20" s="1">
        <v>8.56</v>
      </c>
      <c r="K20" s="1">
        <v>2</v>
      </c>
      <c r="L20" s="5">
        <f t="shared" si="0"/>
        <v>17.12</v>
      </c>
    </row>
    <row r="21" spans="1:12" x14ac:dyDescent="0.25">
      <c r="A21" s="1" t="s">
        <v>788</v>
      </c>
      <c r="B21" s="1">
        <v>2022</v>
      </c>
      <c r="C21" s="7">
        <v>44800</v>
      </c>
      <c r="D21" s="1" t="s">
        <v>48</v>
      </c>
      <c r="E21" s="1" t="s">
        <v>49</v>
      </c>
      <c r="F21" s="1" t="s">
        <v>15</v>
      </c>
      <c r="G21" s="1" t="s">
        <v>779</v>
      </c>
      <c r="H21" s="1" t="s">
        <v>51</v>
      </c>
      <c r="I21" s="1" t="s">
        <v>26</v>
      </c>
      <c r="J21" s="1">
        <v>213.48000000000002</v>
      </c>
      <c r="K21" s="1">
        <v>3</v>
      </c>
      <c r="L21" s="5">
        <f t="shared" si="0"/>
        <v>640.44000000000005</v>
      </c>
    </row>
    <row r="22" spans="1:12" x14ac:dyDescent="0.25">
      <c r="A22" s="1" t="s">
        <v>788</v>
      </c>
      <c r="B22" s="1">
        <v>2022</v>
      </c>
      <c r="C22" s="7">
        <v>44800</v>
      </c>
      <c r="D22" s="1" t="s">
        <v>48</v>
      </c>
      <c r="E22" s="1" t="s">
        <v>49</v>
      </c>
      <c r="F22" s="1" t="s">
        <v>15</v>
      </c>
      <c r="G22" s="1" t="s">
        <v>779</v>
      </c>
      <c r="H22" s="1" t="s">
        <v>52</v>
      </c>
      <c r="I22" s="1" t="s">
        <v>17</v>
      </c>
      <c r="J22" s="1">
        <v>22.72</v>
      </c>
      <c r="K22" s="1">
        <v>4</v>
      </c>
      <c r="L22" s="5">
        <f t="shared" si="0"/>
        <v>90.88</v>
      </c>
    </row>
    <row r="23" spans="1:12" x14ac:dyDescent="0.25">
      <c r="A23" s="1" t="s">
        <v>789</v>
      </c>
      <c r="B23" s="1">
        <v>2023</v>
      </c>
      <c r="C23" s="7">
        <v>45269</v>
      </c>
      <c r="D23" s="1" t="s">
        <v>53</v>
      </c>
      <c r="E23" s="1" t="s">
        <v>54</v>
      </c>
      <c r="F23" s="1" t="s">
        <v>39</v>
      </c>
      <c r="G23" s="1" t="s">
        <v>785</v>
      </c>
      <c r="H23" s="1" t="s">
        <v>55</v>
      </c>
      <c r="I23" s="1" t="s">
        <v>17</v>
      </c>
      <c r="J23" s="1">
        <v>19.459999999999997</v>
      </c>
      <c r="K23" s="1">
        <v>7</v>
      </c>
      <c r="L23" s="5">
        <f t="shared" si="0"/>
        <v>136.21999999999997</v>
      </c>
    </row>
    <row r="24" spans="1:12" x14ac:dyDescent="0.25">
      <c r="A24" s="1" t="s">
        <v>789</v>
      </c>
      <c r="B24" s="1">
        <v>2023</v>
      </c>
      <c r="C24" s="7">
        <v>45269</v>
      </c>
      <c r="D24" s="1" t="s">
        <v>53</v>
      </c>
      <c r="E24" s="1" t="s">
        <v>54</v>
      </c>
      <c r="F24" s="1" t="s">
        <v>39</v>
      </c>
      <c r="G24" s="1" t="s">
        <v>785</v>
      </c>
      <c r="H24" s="1" t="s">
        <v>56</v>
      </c>
      <c r="I24" s="1" t="s">
        <v>17</v>
      </c>
      <c r="J24" s="1">
        <v>60.339999999999996</v>
      </c>
      <c r="K24" s="1">
        <v>7</v>
      </c>
      <c r="L24" s="5">
        <f t="shared" si="0"/>
        <v>422.38</v>
      </c>
    </row>
    <row r="25" spans="1:12" x14ac:dyDescent="0.25">
      <c r="A25" s="1" t="s">
        <v>790</v>
      </c>
      <c r="B25" s="1">
        <v>2023</v>
      </c>
      <c r="C25" s="7">
        <v>45123</v>
      </c>
      <c r="D25" s="1" t="s">
        <v>57</v>
      </c>
      <c r="E25" s="1" t="s">
        <v>58</v>
      </c>
      <c r="F25" s="1" t="s">
        <v>59</v>
      </c>
      <c r="G25" s="1" t="s">
        <v>774</v>
      </c>
      <c r="H25" s="1" t="s">
        <v>60</v>
      </c>
      <c r="I25" s="1" t="s">
        <v>11</v>
      </c>
      <c r="J25" s="1">
        <v>71.371999999999986</v>
      </c>
      <c r="K25" s="1">
        <v>2</v>
      </c>
      <c r="L25" s="5">
        <f t="shared" si="0"/>
        <v>142.74399999999997</v>
      </c>
    </row>
    <row r="26" spans="1:12" x14ac:dyDescent="0.25">
      <c r="A26" s="1" t="s">
        <v>791</v>
      </c>
      <c r="B26" s="1">
        <v>2022</v>
      </c>
      <c r="C26" s="7">
        <v>44829</v>
      </c>
      <c r="D26" s="1" t="s">
        <v>61</v>
      </c>
      <c r="E26" s="1" t="s">
        <v>62</v>
      </c>
      <c r="F26" s="1" t="s">
        <v>15</v>
      </c>
      <c r="G26" s="1" t="s">
        <v>779</v>
      </c>
      <c r="H26" s="1" t="s">
        <v>20</v>
      </c>
      <c r="I26" s="1" t="s">
        <v>11</v>
      </c>
      <c r="J26" s="1">
        <v>1044.6299999999999</v>
      </c>
      <c r="K26" s="1">
        <v>3</v>
      </c>
      <c r="L26" s="5">
        <f t="shared" si="0"/>
        <v>3133.8899999999994</v>
      </c>
    </row>
    <row r="27" spans="1:12" x14ac:dyDescent="0.25">
      <c r="A27" s="1" t="s">
        <v>792</v>
      </c>
      <c r="B27" s="1">
        <v>2023</v>
      </c>
      <c r="C27" s="7">
        <v>44942</v>
      </c>
      <c r="D27" s="1" t="s">
        <v>63</v>
      </c>
      <c r="E27" s="1" t="s">
        <v>14</v>
      </c>
      <c r="F27" s="1" t="s">
        <v>15</v>
      </c>
      <c r="G27" s="1" t="s">
        <v>779</v>
      </c>
      <c r="H27" s="1" t="s">
        <v>64</v>
      </c>
      <c r="I27" s="1" t="s">
        <v>17</v>
      </c>
      <c r="J27" s="1">
        <v>11.648000000000001</v>
      </c>
      <c r="K27" s="1">
        <v>2</v>
      </c>
      <c r="L27" s="5">
        <f t="shared" si="0"/>
        <v>23.296000000000003</v>
      </c>
    </row>
    <row r="28" spans="1:12" x14ac:dyDescent="0.25">
      <c r="A28" s="1" t="s">
        <v>792</v>
      </c>
      <c r="B28" s="1">
        <v>2023</v>
      </c>
      <c r="C28" s="7">
        <v>44942</v>
      </c>
      <c r="D28" s="1" t="s">
        <v>63</v>
      </c>
      <c r="E28" s="1" t="s">
        <v>14</v>
      </c>
      <c r="F28" s="1" t="s">
        <v>15</v>
      </c>
      <c r="G28" s="1" t="s">
        <v>779</v>
      </c>
      <c r="H28" s="1" t="s">
        <v>65</v>
      </c>
      <c r="I28" s="1" t="s">
        <v>26</v>
      </c>
      <c r="J28" s="1">
        <v>90.570000000000007</v>
      </c>
      <c r="K28" s="1">
        <v>3</v>
      </c>
      <c r="L28" s="5">
        <f t="shared" si="0"/>
        <v>271.71000000000004</v>
      </c>
    </row>
    <row r="29" spans="1:12" x14ac:dyDescent="0.25">
      <c r="A29" s="1" t="s">
        <v>793</v>
      </c>
      <c r="B29" s="1">
        <v>2022</v>
      </c>
      <c r="C29" s="7">
        <v>44821</v>
      </c>
      <c r="D29" s="1" t="s">
        <v>66</v>
      </c>
      <c r="E29" s="1" t="s">
        <v>58</v>
      </c>
      <c r="F29" s="1" t="s">
        <v>59</v>
      </c>
      <c r="G29" s="1" t="s">
        <v>774</v>
      </c>
      <c r="H29" s="1" t="s">
        <v>67</v>
      </c>
      <c r="I29" s="1" t="s">
        <v>11</v>
      </c>
      <c r="J29" s="1">
        <v>3083.4300000000003</v>
      </c>
      <c r="K29" s="1">
        <v>7</v>
      </c>
      <c r="L29" s="5">
        <f t="shared" si="0"/>
        <v>21584.010000000002</v>
      </c>
    </row>
    <row r="30" spans="1:12" x14ac:dyDescent="0.25">
      <c r="A30" s="1" t="s">
        <v>793</v>
      </c>
      <c r="B30" s="1">
        <v>2022</v>
      </c>
      <c r="C30" s="7">
        <v>44821</v>
      </c>
      <c r="D30" s="1" t="s">
        <v>66</v>
      </c>
      <c r="E30" s="1" t="s">
        <v>58</v>
      </c>
      <c r="F30" s="1" t="s">
        <v>59</v>
      </c>
      <c r="G30" s="1" t="s">
        <v>774</v>
      </c>
      <c r="H30" s="1" t="s">
        <v>68</v>
      </c>
      <c r="I30" s="1" t="s">
        <v>17</v>
      </c>
      <c r="J30" s="1">
        <v>9.6180000000000021</v>
      </c>
      <c r="K30" s="1">
        <v>2</v>
      </c>
      <c r="L30" s="5">
        <f t="shared" si="0"/>
        <v>19.236000000000004</v>
      </c>
    </row>
    <row r="31" spans="1:12" x14ac:dyDescent="0.25">
      <c r="A31" s="1" t="s">
        <v>793</v>
      </c>
      <c r="B31" s="1">
        <v>2022</v>
      </c>
      <c r="C31" s="7">
        <v>44821</v>
      </c>
      <c r="D31" s="1" t="s">
        <v>66</v>
      </c>
      <c r="E31" s="1" t="s">
        <v>58</v>
      </c>
      <c r="F31" s="1" t="s">
        <v>59</v>
      </c>
      <c r="G31" s="1" t="s">
        <v>774</v>
      </c>
      <c r="H31" s="1" t="s">
        <v>69</v>
      </c>
      <c r="I31" s="1" t="s">
        <v>11</v>
      </c>
      <c r="J31" s="1">
        <v>124.20000000000002</v>
      </c>
      <c r="K31" s="1">
        <v>3</v>
      </c>
      <c r="L31" s="5">
        <f t="shared" si="0"/>
        <v>372.6</v>
      </c>
    </row>
    <row r="32" spans="1:12" x14ac:dyDescent="0.25">
      <c r="A32" s="1" t="s">
        <v>793</v>
      </c>
      <c r="B32" s="1">
        <v>2022</v>
      </c>
      <c r="C32" s="7">
        <v>44821</v>
      </c>
      <c r="D32" s="1" t="s">
        <v>66</v>
      </c>
      <c r="E32" s="1" t="s">
        <v>58</v>
      </c>
      <c r="F32" s="1" t="s">
        <v>59</v>
      </c>
      <c r="G32" s="1" t="s">
        <v>774</v>
      </c>
      <c r="H32" s="1" t="s">
        <v>70</v>
      </c>
      <c r="I32" s="1" t="s">
        <v>17</v>
      </c>
      <c r="J32" s="1">
        <v>3.2640000000000002</v>
      </c>
      <c r="K32" s="1">
        <v>2</v>
      </c>
      <c r="L32" s="5">
        <f t="shared" si="0"/>
        <v>6.5280000000000005</v>
      </c>
    </row>
    <row r="33" spans="1:12" x14ac:dyDescent="0.25">
      <c r="A33" s="1" t="s">
        <v>793</v>
      </c>
      <c r="B33" s="1">
        <v>2022</v>
      </c>
      <c r="C33" s="7">
        <v>44821</v>
      </c>
      <c r="D33" s="1" t="s">
        <v>66</v>
      </c>
      <c r="E33" s="1" t="s">
        <v>58</v>
      </c>
      <c r="F33" s="1" t="s">
        <v>59</v>
      </c>
      <c r="G33" s="1" t="s">
        <v>774</v>
      </c>
      <c r="H33" s="1" t="s">
        <v>71</v>
      </c>
      <c r="I33" s="1" t="s">
        <v>17</v>
      </c>
      <c r="J33" s="1">
        <v>86.304000000000002</v>
      </c>
      <c r="K33" s="1">
        <v>6</v>
      </c>
      <c r="L33" s="5">
        <f t="shared" si="0"/>
        <v>517.82400000000007</v>
      </c>
    </row>
    <row r="34" spans="1:12" x14ac:dyDescent="0.25">
      <c r="A34" s="1" t="s">
        <v>793</v>
      </c>
      <c r="B34" s="1">
        <v>2022</v>
      </c>
      <c r="C34" s="7">
        <v>44821</v>
      </c>
      <c r="D34" s="1" t="s">
        <v>66</v>
      </c>
      <c r="E34" s="1" t="s">
        <v>58</v>
      </c>
      <c r="F34" s="1" t="s">
        <v>59</v>
      </c>
      <c r="G34" s="1" t="s">
        <v>774</v>
      </c>
      <c r="H34" s="1" t="s">
        <v>72</v>
      </c>
      <c r="I34" s="1" t="s">
        <v>17</v>
      </c>
      <c r="J34" s="1">
        <v>6.8580000000000014</v>
      </c>
      <c r="K34" s="1">
        <v>6</v>
      </c>
      <c r="L34" s="5">
        <f t="shared" si="0"/>
        <v>41.14800000000001</v>
      </c>
    </row>
    <row r="35" spans="1:12" x14ac:dyDescent="0.25">
      <c r="A35" s="1" t="s">
        <v>793</v>
      </c>
      <c r="B35" s="1">
        <v>2022</v>
      </c>
      <c r="C35" s="7">
        <v>44821</v>
      </c>
      <c r="D35" s="1" t="s">
        <v>66</v>
      </c>
      <c r="E35" s="1" t="s">
        <v>58</v>
      </c>
      <c r="F35" s="1" t="s">
        <v>59</v>
      </c>
      <c r="G35" s="1" t="s">
        <v>774</v>
      </c>
      <c r="H35" s="1" t="s">
        <v>73</v>
      </c>
      <c r="I35" s="1" t="s">
        <v>17</v>
      </c>
      <c r="J35" s="1">
        <v>15.76</v>
      </c>
      <c r="K35" s="1">
        <v>2</v>
      </c>
      <c r="L35" s="5">
        <f t="shared" si="0"/>
        <v>31.52</v>
      </c>
    </row>
    <row r="36" spans="1:12" x14ac:dyDescent="0.25">
      <c r="A36" s="1" t="s">
        <v>794</v>
      </c>
      <c r="B36" s="1">
        <v>2023</v>
      </c>
      <c r="C36" s="7">
        <v>45218</v>
      </c>
      <c r="D36" s="1" t="s">
        <v>74</v>
      </c>
      <c r="E36" s="1" t="s">
        <v>75</v>
      </c>
      <c r="F36" s="1" t="s">
        <v>39</v>
      </c>
      <c r="G36" s="1" t="s">
        <v>785</v>
      </c>
      <c r="H36" s="1" t="s">
        <v>76</v>
      </c>
      <c r="I36" s="1" t="s">
        <v>17</v>
      </c>
      <c r="J36" s="1">
        <v>29.472000000000001</v>
      </c>
      <c r="K36" s="1">
        <v>3</v>
      </c>
      <c r="L36" s="5">
        <f t="shared" si="0"/>
        <v>88.415999999999997</v>
      </c>
    </row>
    <row r="37" spans="1:12" x14ac:dyDescent="0.25">
      <c r="A37" s="1" t="s">
        <v>795</v>
      </c>
      <c r="B37" s="1">
        <v>2023</v>
      </c>
      <c r="C37" s="7">
        <v>45268</v>
      </c>
      <c r="D37" s="1" t="s">
        <v>77</v>
      </c>
      <c r="E37" s="1" t="s">
        <v>78</v>
      </c>
      <c r="F37" s="1" t="s">
        <v>39</v>
      </c>
      <c r="G37" s="1" t="s">
        <v>785</v>
      </c>
      <c r="H37" s="1" t="s">
        <v>79</v>
      </c>
      <c r="I37" s="1" t="s">
        <v>26</v>
      </c>
      <c r="J37" s="1">
        <v>1097.5440000000003</v>
      </c>
      <c r="K37" s="1">
        <v>7</v>
      </c>
      <c r="L37" s="5">
        <f t="shared" si="0"/>
        <v>7682.8080000000027</v>
      </c>
    </row>
    <row r="38" spans="1:12" x14ac:dyDescent="0.25">
      <c r="A38" s="1" t="s">
        <v>795</v>
      </c>
      <c r="B38" s="1">
        <v>2023</v>
      </c>
      <c r="C38" s="7">
        <v>45268</v>
      </c>
      <c r="D38" s="1" t="s">
        <v>77</v>
      </c>
      <c r="E38" s="1" t="s">
        <v>78</v>
      </c>
      <c r="F38" s="1" t="s">
        <v>39</v>
      </c>
      <c r="G38" s="1" t="s">
        <v>785</v>
      </c>
      <c r="H38" s="1" t="s">
        <v>80</v>
      </c>
      <c r="I38" s="1" t="s">
        <v>11</v>
      </c>
      <c r="J38" s="1">
        <v>190.92</v>
      </c>
      <c r="K38" s="1">
        <v>5</v>
      </c>
      <c r="L38" s="5">
        <f t="shared" si="0"/>
        <v>954.59999999999991</v>
      </c>
    </row>
    <row r="39" spans="1:12" x14ac:dyDescent="0.25">
      <c r="A39" s="1" t="s">
        <v>796</v>
      </c>
      <c r="B39" s="1">
        <v>2022</v>
      </c>
      <c r="C39" s="7">
        <v>44922</v>
      </c>
      <c r="D39" s="1" t="s">
        <v>81</v>
      </c>
      <c r="E39" s="1" t="s">
        <v>75</v>
      </c>
      <c r="F39" s="1" t="s">
        <v>39</v>
      </c>
      <c r="G39" s="1" t="s">
        <v>785</v>
      </c>
      <c r="H39" s="1" t="s">
        <v>82</v>
      </c>
      <c r="I39" s="1" t="s">
        <v>17</v>
      </c>
      <c r="J39" s="1">
        <v>113.328</v>
      </c>
      <c r="K39" s="1">
        <v>9</v>
      </c>
      <c r="L39" s="5">
        <f t="shared" si="0"/>
        <v>1019.952</v>
      </c>
    </row>
    <row r="40" spans="1:12" x14ac:dyDescent="0.25">
      <c r="A40" s="1" t="s">
        <v>796</v>
      </c>
      <c r="B40" s="1">
        <v>2022</v>
      </c>
      <c r="C40" s="7">
        <v>44922</v>
      </c>
      <c r="D40" s="1" t="s">
        <v>81</v>
      </c>
      <c r="E40" s="1" t="s">
        <v>75</v>
      </c>
      <c r="F40" s="1" t="s">
        <v>39</v>
      </c>
      <c r="G40" s="1" t="s">
        <v>785</v>
      </c>
      <c r="H40" s="1" t="s">
        <v>83</v>
      </c>
      <c r="I40" s="1" t="s">
        <v>11</v>
      </c>
      <c r="J40" s="1">
        <v>532.39919999999995</v>
      </c>
      <c r="K40" s="1">
        <v>3</v>
      </c>
      <c r="L40" s="5">
        <f t="shared" si="0"/>
        <v>1597.1976</v>
      </c>
    </row>
    <row r="41" spans="1:12" x14ac:dyDescent="0.25">
      <c r="A41" s="1" t="s">
        <v>796</v>
      </c>
      <c r="B41" s="1">
        <v>2022</v>
      </c>
      <c r="C41" s="7">
        <v>44922</v>
      </c>
      <c r="D41" s="1" t="s">
        <v>81</v>
      </c>
      <c r="E41" s="1" t="s">
        <v>75</v>
      </c>
      <c r="F41" s="1" t="s">
        <v>39</v>
      </c>
      <c r="G41" s="1" t="s">
        <v>785</v>
      </c>
      <c r="H41" s="1" t="s">
        <v>84</v>
      </c>
      <c r="I41" s="1" t="s">
        <v>11</v>
      </c>
      <c r="J41" s="1">
        <v>212.05799999999999</v>
      </c>
      <c r="K41" s="1">
        <v>3</v>
      </c>
      <c r="L41" s="5">
        <f t="shared" si="0"/>
        <v>636.17399999999998</v>
      </c>
    </row>
    <row r="42" spans="1:12" x14ac:dyDescent="0.25">
      <c r="A42" s="1" t="s">
        <v>796</v>
      </c>
      <c r="B42" s="1">
        <v>2022</v>
      </c>
      <c r="C42" s="7">
        <v>44922</v>
      </c>
      <c r="D42" s="1" t="s">
        <v>81</v>
      </c>
      <c r="E42" s="1" t="s">
        <v>75</v>
      </c>
      <c r="F42" s="1" t="s">
        <v>39</v>
      </c>
      <c r="G42" s="1" t="s">
        <v>785</v>
      </c>
      <c r="H42" s="1" t="s">
        <v>85</v>
      </c>
      <c r="I42" s="1" t="s">
        <v>26</v>
      </c>
      <c r="J42" s="1">
        <v>371.16800000000001</v>
      </c>
      <c r="K42" s="1">
        <v>4</v>
      </c>
      <c r="L42" s="5">
        <f t="shared" si="0"/>
        <v>1484.672</v>
      </c>
    </row>
    <row r="43" spans="1:12" x14ac:dyDescent="0.25">
      <c r="A43" s="1" t="s">
        <v>797</v>
      </c>
      <c r="B43" s="1">
        <v>2023</v>
      </c>
      <c r="C43" s="7">
        <v>45179</v>
      </c>
      <c r="D43" s="1" t="s">
        <v>86</v>
      </c>
      <c r="E43" s="1" t="s">
        <v>87</v>
      </c>
      <c r="F43" s="1" t="s">
        <v>39</v>
      </c>
      <c r="G43" s="1" t="s">
        <v>785</v>
      </c>
      <c r="H43" s="1" t="s">
        <v>88</v>
      </c>
      <c r="I43" s="1" t="s">
        <v>26</v>
      </c>
      <c r="J43" s="1">
        <v>147.16800000000001</v>
      </c>
      <c r="K43" s="1">
        <v>4</v>
      </c>
      <c r="L43" s="5">
        <f t="shared" si="0"/>
        <v>588.67200000000003</v>
      </c>
    </row>
    <row r="44" spans="1:12" x14ac:dyDescent="0.25">
      <c r="A44" s="1" t="s">
        <v>798</v>
      </c>
      <c r="B44" s="1">
        <v>2023</v>
      </c>
      <c r="C44" s="7">
        <v>45124</v>
      </c>
      <c r="D44" s="1" t="s">
        <v>89</v>
      </c>
      <c r="E44" s="1" t="s">
        <v>14</v>
      </c>
      <c r="F44" s="1" t="s">
        <v>15</v>
      </c>
      <c r="G44" s="1" t="s">
        <v>779</v>
      </c>
      <c r="H44" s="1" t="s">
        <v>90</v>
      </c>
      <c r="I44" s="1" t="s">
        <v>17</v>
      </c>
      <c r="J44" s="1">
        <v>77.88</v>
      </c>
      <c r="K44" s="1">
        <v>2</v>
      </c>
      <c r="L44" s="5">
        <f t="shared" si="0"/>
        <v>155.76</v>
      </c>
    </row>
    <row r="45" spans="1:12" x14ac:dyDescent="0.25">
      <c r="A45" s="1" t="s">
        <v>799</v>
      </c>
      <c r="B45" s="1">
        <v>2023</v>
      </c>
      <c r="C45" s="7">
        <v>45188</v>
      </c>
      <c r="D45" s="1" t="s">
        <v>91</v>
      </c>
      <c r="E45" s="1" t="s">
        <v>92</v>
      </c>
      <c r="F45" s="1" t="s">
        <v>9</v>
      </c>
      <c r="G45" s="1" t="s">
        <v>344</v>
      </c>
      <c r="H45" s="1" t="s">
        <v>93</v>
      </c>
      <c r="I45" s="1" t="s">
        <v>17</v>
      </c>
      <c r="J45" s="1">
        <v>95.616</v>
      </c>
      <c r="K45" s="1">
        <v>2</v>
      </c>
      <c r="L45" s="5">
        <f t="shared" si="0"/>
        <v>191.232</v>
      </c>
    </row>
    <row r="46" spans="1:12" x14ac:dyDescent="0.25">
      <c r="A46" s="1" t="s">
        <v>800</v>
      </c>
      <c r="B46" s="1">
        <v>2023</v>
      </c>
      <c r="C46" s="7">
        <v>44996</v>
      </c>
      <c r="D46" s="1" t="s">
        <v>94</v>
      </c>
      <c r="E46" s="1" t="s">
        <v>95</v>
      </c>
      <c r="F46" s="1" t="s">
        <v>39</v>
      </c>
      <c r="G46" s="1" t="s">
        <v>785</v>
      </c>
      <c r="H46" s="1" t="s">
        <v>96</v>
      </c>
      <c r="I46" s="1" t="s">
        <v>26</v>
      </c>
      <c r="J46" s="1">
        <v>45.98</v>
      </c>
      <c r="K46" s="1">
        <v>2</v>
      </c>
      <c r="L46" s="5">
        <f t="shared" si="0"/>
        <v>91.96</v>
      </c>
    </row>
    <row r="47" spans="1:12" x14ac:dyDescent="0.25">
      <c r="A47" s="1" t="s">
        <v>800</v>
      </c>
      <c r="B47" s="1">
        <v>2023</v>
      </c>
      <c r="C47" s="7">
        <v>44996</v>
      </c>
      <c r="D47" s="1" t="s">
        <v>94</v>
      </c>
      <c r="E47" s="1" t="s">
        <v>95</v>
      </c>
      <c r="F47" s="1" t="s">
        <v>39</v>
      </c>
      <c r="G47" s="1" t="s">
        <v>785</v>
      </c>
      <c r="H47" s="1" t="s">
        <v>97</v>
      </c>
      <c r="I47" s="1" t="s">
        <v>17</v>
      </c>
      <c r="J47" s="1">
        <v>17.46</v>
      </c>
      <c r="K47" s="1">
        <v>2</v>
      </c>
      <c r="L47" s="5">
        <f t="shared" si="0"/>
        <v>34.92</v>
      </c>
    </row>
    <row r="48" spans="1:12" x14ac:dyDescent="0.25">
      <c r="A48" s="1" t="s">
        <v>801</v>
      </c>
      <c r="B48" s="1">
        <v>2022</v>
      </c>
      <c r="C48" s="7">
        <v>44854</v>
      </c>
      <c r="D48" s="1" t="s">
        <v>98</v>
      </c>
      <c r="E48" s="1" t="s">
        <v>99</v>
      </c>
      <c r="F48" s="1" t="s">
        <v>39</v>
      </c>
      <c r="G48" s="1" t="s">
        <v>785</v>
      </c>
      <c r="H48" s="1" t="s">
        <v>100</v>
      </c>
      <c r="I48" s="1" t="s">
        <v>17</v>
      </c>
      <c r="J48" s="1">
        <v>211.96</v>
      </c>
      <c r="K48" s="1">
        <v>4</v>
      </c>
      <c r="L48" s="5">
        <f t="shared" si="0"/>
        <v>847.84</v>
      </c>
    </row>
    <row r="49" spans="1:12" x14ac:dyDescent="0.25">
      <c r="A49" s="1" t="s">
        <v>802</v>
      </c>
      <c r="B49" s="1">
        <v>2023</v>
      </c>
      <c r="C49" s="7">
        <v>45097</v>
      </c>
      <c r="D49" s="1" t="s">
        <v>101</v>
      </c>
      <c r="E49" s="1" t="s">
        <v>102</v>
      </c>
      <c r="F49" s="1" t="s">
        <v>59</v>
      </c>
      <c r="G49" s="1" t="s">
        <v>774</v>
      </c>
      <c r="H49" s="1" t="s">
        <v>103</v>
      </c>
      <c r="I49" s="1" t="s">
        <v>26</v>
      </c>
      <c r="J49" s="1">
        <v>45</v>
      </c>
      <c r="K49" s="1">
        <v>3</v>
      </c>
      <c r="L49" s="5">
        <f t="shared" si="0"/>
        <v>135</v>
      </c>
    </row>
    <row r="50" spans="1:12" x14ac:dyDescent="0.25">
      <c r="A50" s="1" t="s">
        <v>802</v>
      </c>
      <c r="B50" s="1">
        <v>2023</v>
      </c>
      <c r="C50" s="7">
        <v>45097</v>
      </c>
      <c r="D50" s="1" t="s">
        <v>101</v>
      </c>
      <c r="E50" s="1" t="s">
        <v>102</v>
      </c>
      <c r="F50" s="1" t="s">
        <v>59</v>
      </c>
      <c r="G50" s="1" t="s">
        <v>774</v>
      </c>
      <c r="H50" s="1" t="s">
        <v>104</v>
      </c>
      <c r="I50" s="1" t="s">
        <v>26</v>
      </c>
      <c r="J50" s="1">
        <v>21.8</v>
      </c>
      <c r="K50" s="1">
        <v>2</v>
      </c>
      <c r="L50" s="5">
        <f t="shared" si="0"/>
        <v>43.6</v>
      </c>
    </row>
    <row r="51" spans="1:12" x14ac:dyDescent="0.25">
      <c r="A51" s="1" t="s">
        <v>803</v>
      </c>
      <c r="B51" s="1">
        <v>2022</v>
      </c>
      <c r="C51" s="7">
        <v>44669</v>
      </c>
      <c r="D51" s="1" t="s">
        <v>105</v>
      </c>
      <c r="E51" s="1" t="s">
        <v>106</v>
      </c>
      <c r="F51" s="1" t="s">
        <v>39</v>
      </c>
      <c r="G51" s="1" t="s">
        <v>785</v>
      </c>
      <c r="H51" s="1" t="s">
        <v>107</v>
      </c>
      <c r="I51" s="1" t="s">
        <v>17</v>
      </c>
      <c r="J51" s="1">
        <v>38.22</v>
      </c>
      <c r="K51" s="1">
        <v>6</v>
      </c>
      <c r="L51" s="5">
        <f t="shared" si="0"/>
        <v>229.32</v>
      </c>
    </row>
    <row r="52" spans="1:12" x14ac:dyDescent="0.25">
      <c r="A52" s="1" t="s">
        <v>803</v>
      </c>
      <c r="B52" s="1">
        <v>2022</v>
      </c>
      <c r="C52" s="7">
        <v>44669</v>
      </c>
      <c r="D52" s="1" t="s">
        <v>105</v>
      </c>
      <c r="E52" s="1" t="s">
        <v>106</v>
      </c>
      <c r="F52" s="1" t="s">
        <v>39</v>
      </c>
      <c r="G52" s="1" t="s">
        <v>785</v>
      </c>
      <c r="H52" s="1" t="s">
        <v>108</v>
      </c>
      <c r="I52" s="1" t="s">
        <v>17</v>
      </c>
      <c r="J52" s="1">
        <v>75.179999999999993</v>
      </c>
      <c r="K52" s="1">
        <v>6</v>
      </c>
      <c r="L52" s="5">
        <f t="shared" si="0"/>
        <v>451.07999999999993</v>
      </c>
    </row>
    <row r="53" spans="1:12" x14ac:dyDescent="0.25">
      <c r="A53" s="1" t="s">
        <v>803</v>
      </c>
      <c r="B53" s="1">
        <v>2022</v>
      </c>
      <c r="C53" s="7">
        <v>44669</v>
      </c>
      <c r="D53" s="1" t="s">
        <v>105</v>
      </c>
      <c r="E53" s="1" t="s">
        <v>106</v>
      </c>
      <c r="F53" s="1" t="s">
        <v>39</v>
      </c>
      <c r="G53" s="1" t="s">
        <v>785</v>
      </c>
      <c r="H53" s="1" t="s">
        <v>109</v>
      </c>
      <c r="I53" s="1" t="s">
        <v>11</v>
      </c>
      <c r="J53" s="1">
        <v>6.16</v>
      </c>
      <c r="K53" s="1">
        <v>2</v>
      </c>
      <c r="L53" s="5">
        <f t="shared" si="0"/>
        <v>12.32</v>
      </c>
    </row>
    <row r="54" spans="1:12" x14ac:dyDescent="0.25">
      <c r="A54" s="1" t="s">
        <v>803</v>
      </c>
      <c r="B54" s="1">
        <v>2022</v>
      </c>
      <c r="C54" s="7">
        <v>44669</v>
      </c>
      <c r="D54" s="1" t="s">
        <v>105</v>
      </c>
      <c r="E54" s="1" t="s">
        <v>106</v>
      </c>
      <c r="F54" s="1" t="s">
        <v>39</v>
      </c>
      <c r="G54" s="1" t="s">
        <v>785</v>
      </c>
      <c r="H54" s="1" t="s">
        <v>110</v>
      </c>
      <c r="I54" s="1" t="s">
        <v>11</v>
      </c>
      <c r="J54" s="1">
        <v>89.99</v>
      </c>
      <c r="K54" s="1">
        <v>1</v>
      </c>
      <c r="L54" s="5">
        <f t="shared" si="0"/>
        <v>89.99</v>
      </c>
    </row>
    <row r="55" spans="1:12" x14ac:dyDescent="0.25">
      <c r="A55" s="1" t="s">
        <v>804</v>
      </c>
      <c r="B55" s="1">
        <v>2023</v>
      </c>
      <c r="C55" s="7">
        <v>45271</v>
      </c>
      <c r="D55" s="1" t="s">
        <v>111</v>
      </c>
      <c r="E55" s="1" t="s">
        <v>112</v>
      </c>
      <c r="F55" s="1" t="s">
        <v>59</v>
      </c>
      <c r="G55" s="1" t="s">
        <v>774</v>
      </c>
      <c r="H55" s="1" t="s">
        <v>113</v>
      </c>
      <c r="I55" s="1" t="s">
        <v>17</v>
      </c>
      <c r="J55" s="1">
        <v>15.260000000000002</v>
      </c>
      <c r="K55" s="1">
        <v>7</v>
      </c>
      <c r="L55" s="5">
        <f t="shared" si="0"/>
        <v>106.82000000000001</v>
      </c>
    </row>
    <row r="56" spans="1:12" x14ac:dyDescent="0.25">
      <c r="A56" s="1" t="s">
        <v>804</v>
      </c>
      <c r="B56" s="1">
        <v>2023</v>
      </c>
      <c r="C56" s="7">
        <v>45271</v>
      </c>
      <c r="D56" s="1" t="s">
        <v>111</v>
      </c>
      <c r="E56" s="1" t="s">
        <v>112</v>
      </c>
      <c r="F56" s="1" t="s">
        <v>59</v>
      </c>
      <c r="G56" s="1" t="s">
        <v>774</v>
      </c>
      <c r="H56" s="1" t="s">
        <v>114</v>
      </c>
      <c r="I56" s="1" t="s">
        <v>26</v>
      </c>
      <c r="J56" s="1">
        <v>1029.95</v>
      </c>
      <c r="K56" s="1">
        <v>5</v>
      </c>
      <c r="L56" s="5">
        <f t="shared" si="0"/>
        <v>5149.75</v>
      </c>
    </row>
    <row r="57" spans="1:12" x14ac:dyDescent="0.25">
      <c r="A57" s="1" t="s">
        <v>805</v>
      </c>
      <c r="B57" s="1">
        <v>2023</v>
      </c>
      <c r="C57" s="7">
        <v>45094</v>
      </c>
      <c r="D57" s="1" t="s">
        <v>115</v>
      </c>
      <c r="E57" s="1" t="s">
        <v>116</v>
      </c>
      <c r="F57" s="1" t="s">
        <v>59</v>
      </c>
      <c r="G57" s="1" t="s">
        <v>774</v>
      </c>
      <c r="H57" s="1" t="s">
        <v>117</v>
      </c>
      <c r="I57" s="1" t="s">
        <v>17</v>
      </c>
      <c r="J57" s="1">
        <v>208.56</v>
      </c>
      <c r="K57" s="1">
        <v>6</v>
      </c>
      <c r="L57" s="5">
        <f t="shared" si="0"/>
        <v>1251.3600000000001</v>
      </c>
    </row>
    <row r="58" spans="1:12" x14ac:dyDescent="0.25">
      <c r="A58" s="1" t="s">
        <v>805</v>
      </c>
      <c r="B58" s="1">
        <v>2023</v>
      </c>
      <c r="C58" s="7">
        <v>45094</v>
      </c>
      <c r="D58" s="1" t="s">
        <v>115</v>
      </c>
      <c r="E58" s="1" t="s">
        <v>116</v>
      </c>
      <c r="F58" s="1" t="s">
        <v>59</v>
      </c>
      <c r="G58" s="1" t="s">
        <v>774</v>
      </c>
      <c r="H58" s="1" t="s">
        <v>118</v>
      </c>
      <c r="I58" s="1" t="s">
        <v>17</v>
      </c>
      <c r="J58" s="1">
        <v>32.400000000000006</v>
      </c>
      <c r="K58" s="1">
        <v>5</v>
      </c>
      <c r="L58" s="5">
        <f t="shared" si="0"/>
        <v>162.00000000000003</v>
      </c>
    </row>
    <row r="59" spans="1:12" x14ac:dyDescent="0.25">
      <c r="A59" s="1" t="s">
        <v>805</v>
      </c>
      <c r="B59" s="1">
        <v>2023</v>
      </c>
      <c r="C59" s="7">
        <v>45094</v>
      </c>
      <c r="D59" s="1" t="s">
        <v>115</v>
      </c>
      <c r="E59" s="1" t="s">
        <v>116</v>
      </c>
      <c r="F59" s="1" t="s">
        <v>59</v>
      </c>
      <c r="G59" s="1" t="s">
        <v>774</v>
      </c>
      <c r="H59" s="1" t="s">
        <v>119</v>
      </c>
      <c r="I59" s="1" t="s">
        <v>11</v>
      </c>
      <c r="J59" s="1">
        <v>319.41000000000003</v>
      </c>
      <c r="K59" s="1">
        <v>5</v>
      </c>
      <c r="L59" s="5">
        <f t="shared" si="0"/>
        <v>1597.0500000000002</v>
      </c>
    </row>
    <row r="60" spans="1:12" x14ac:dyDescent="0.25">
      <c r="A60" s="1" t="s">
        <v>805</v>
      </c>
      <c r="B60" s="1">
        <v>2023</v>
      </c>
      <c r="C60" s="7">
        <v>45094</v>
      </c>
      <c r="D60" s="1" t="s">
        <v>115</v>
      </c>
      <c r="E60" s="1" t="s">
        <v>116</v>
      </c>
      <c r="F60" s="1" t="s">
        <v>59</v>
      </c>
      <c r="G60" s="1" t="s">
        <v>774</v>
      </c>
      <c r="H60" s="1" t="s">
        <v>120</v>
      </c>
      <c r="I60" s="1" t="s">
        <v>17</v>
      </c>
      <c r="J60" s="1">
        <v>14.56</v>
      </c>
      <c r="K60" s="1">
        <v>2</v>
      </c>
      <c r="L60" s="5">
        <f t="shared" si="0"/>
        <v>29.12</v>
      </c>
    </row>
    <row r="61" spans="1:12" x14ac:dyDescent="0.25">
      <c r="A61" s="1" t="s">
        <v>805</v>
      </c>
      <c r="B61" s="1">
        <v>2023</v>
      </c>
      <c r="C61" s="7">
        <v>45094</v>
      </c>
      <c r="D61" s="1" t="s">
        <v>115</v>
      </c>
      <c r="E61" s="1" t="s">
        <v>116</v>
      </c>
      <c r="F61" s="1" t="s">
        <v>59</v>
      </c>
      <c r="G61" s="1" t="s">
        <v>774</v>
      </c>
      <c r="H61" s="1" t="s">
        <v>103</v>
      </c>
      <c r="I61" s="1" t="s">
        <v>26</v>
      </c>
      <c r="J61" s="1">
        <v>30</v>
      </c>
      <c r="K61" s="1">
        <v>2</v>
      </c>
      <c r="L61" s="5">
        <f t="shared" si="0"/>
        <v>60</v>
      </c>
    </row>
    <row r="62" spans="1:12" x14ac:dyDescent="0.25">
      <c r="A62" s="1" t="s">
        <v>805</v>
      </c>
      <c r="B62" s="1">
        <v>2023</v>
      </c>
      <c r="C62" s="7">
        <v>45094</v>
      </c>
      <c r="D62" s="1" t="s">
        <v>115</v>
      </c>
      <c r="E62" s="1" t="s">
        <v>116</v>
      </c>
      <c r="F62" s="1" t="s">
        <v>59</v>
      </c>
      <c r="G62" s="1" t="s">
        <v>774</v>
      </c>
      <c r="H62" s="1" t="s">
        <v>121</v>
      </c>
      <c r="I62" s="1" t="s">
        <v>17</v>
      </c>
      <c r="J62" s="1">
        <v>48.480000000000004</v>
      </c>
      <c r="K62" s="1">
        <v>4</v>
      </c>
      <c r="L62" s="5">
        <f t="shared" si="0"/>
        <v>193.92000000000002</v>
      </c>
    </row>
    <row r="63" spans="1:12" x14ac:dyDescent="0.25">
      <c r="A63" s="1" t="s">
        <v>805</v>
      </c>
      <c r="B63" s="1">
        <v>2023</v>
      </c>
      <c r="C63" s="7">
        <v>45094</v>
      </c>
      <c r="D63" s="1" t="s">
        <v>115</v>
      </c>
      <c r="E63" s="1" t="s">
        <v>116</v>
      </c>
      <c r="F63" s="1" t="s">
        <v>59</v>
      </c>
      <c r="G63" s="1" t="s">
        <v>774</v>
      </c>
      <c r="H63" s="1" t="s">
        <v>122</v>
      </c>
      <c r="I63" s="1" t="s">
        <v>17</v>
      </c>
      <c r="J63" s="1">
        <v>1.68</v>
      </c>
      <c r="K63" s="1">
        <v>1</v>
      </c>
      <c r="L63" s="5">
        <f t="shared" si="0"/>
        <v>1.68</v>
      </c>
    </row>
    <row r="64" spans="1:12" x14ac:dyDescent="0.25">
      <c r="A64" s="1" t="s">
        <v>806</v>
      </c>
      <c r="B64" s="1">
        <v>2022</v>
      </c>
      <c r="C64" s="7">
        <v>44889</v>
      </c>
      <c r="D64" s="1" t="s">
        <v>123</v>
      </c>
      <c r="E64" s="1" t="s">
        <v>14</v>
      </c>
      <c r="F64" s="1" t="s">
        <v>15</v>
      </c>
      <c r="G64" s="1" t="s">
        <v>779</v>
      </c>
      <c r="H64" s="1" t="s">
        <v>124</v>
      </c>
      <c r="I64" s="1" t="s">
        <v>26</v>
      </c>
      <c r="J64" s="1">
        <v>13.98</v>
      </c>
      <c r="K64" s="1">
        <v>2</v>
      </c>
      <c r="L64" s="5">
        <f t="shared" si="0"/>
        <v>27.96</v>
      </c>
    </row>
    <row r="65" spans="1:12" x14ac:dyDescent="0.25">
      <c r="A65" s="1" t="s">
        <v>806</v>
      </c>
      <c r="B65" s="1">
        <v>2022</v>
      </c>
      <c r="C65" s="7">
        <v>44889</v>
      </c>
      <c r="D65" s="1" t="s">
        <v>123</v>
      </c>
      <c r="E65" s="1" t="s">
        <v>14</v>
      </c>
      <c r="F65" s="1" t="s">
        <v>15</v>
      </c>
      <c r="G65" s="1" t="s">
        <v>779</v>
      </c>
      <c r="H65" s="1" t="s">
        <v>125</v>
      </c>
      <c r="I65" s="1" t="s">
        <v>17</v>
      </c>
      <c r="J65" s="1">
        <v>25.824000000000002</v>
      </c>
      <c r="K65" s="1">
        <v>6</v>
      </c>
      <c r="L65" s="5">
        <f t="shared" si="0"/>
        <v>154.94400000000002</v>
      </c>
    </row>
    <row r="66" spans="1:12" x14ac:dyDescent="0.25">
      <c r="A66" s="1" t="s">
        <v>806</v>
      </c>
      <c r="B66" s="1">
        <v>2022</v>
      </c>
      <c r="C66" s="7">
        <v>44889</v>
      </c>
      <c r="D66" s="1" t="s">
        <v>123</v>
      </c>
      <c r="E66" s="1" t="s">
        <v>14</v>
      </c>
      <c r="F66" s="1" t="s">
        <v>15</v>
      </c>
      <c r="G66" s="1" t="s">
        <v>779</v>
      </c>
      <c r="H66" s="1" t="s">
        <v>126</v>
      </c>
      <c r="I66" s="1" t="s">
        <v>17</v>
      </c>
      <c r="J66" s="1">
        <v>146.72999999999999</v>
      </c>
      <c r="K66" s="1">
        <v>3</v>
      </c>
      <c r="L66" s="5">
        <f t="shared" si="0"/>
        <v>440.18999999999994</v>
      </c>
    </row>
    <row r="67" spans="1:12" x14ac:dyDescent="0.25">
      <c r="A67" s="1" t="s">
        <v>806</v>
      </c>
      <c r="B67" s="1">
        <v>2022</v>
      </c>
      <c r="C67" s="7">
        <v>44889</v>
      </c>
      <c r="D67" s="1" t="s">
        <v>123</v>
      </c>
      <c r="E67" s="1" t="s">
        <v>14</v>
      </c>
      <c r="F67" s="1" t="s">
        <v>15</v>
      </c>
      <c r="G67" s="1" t="s">
        <v>779</v>
      </c>
      <c r="H67" s="1" t="s">
        <v>127</v>
      </c>
      <c r="I67" s="1" t="s">
        <v>11</v>
      </c>
      <c r="J67" s="1">
        <v>79.760000000000005</v>
      </c>
      <c r="K67" s="1">
        <v>4</v>
      </c>
      <c r="L67" s="5">
        <f t="shared" ref="L67:L130" si="1">J67*K67</f>
        <v>319.04000000000002</v>
      </c>
    </row>
    <row r="68" spans="1:12" x14ac:dyDescent="0.25">
      <c r="A68" s="1" t="s">
        <v>807</v>
      </c>
      <c r="B68" s="1">
        <v>2022</v>
      </c>
      <c r="C68" s="7">
        <v>44681</v>
      </c>
      <c r="D68" s="1" t="s">
        <v>128</v>
      </c>
      <c r="E68" s="1" t="s">
        <v>129</v>
      </c>
      <c r="F68" s="1" t="s">
        <v>39</v>
      </c>
      <c r="G68" s="1" t="s">
        <v>785</v>
      </c>
      <c r="H68" s="1" t="s">
        <v>130</v>
      </c>
      <c r="I68" s="1" t="s">
        <v>11</v>
      </c>
      <c r="J68" s="1">
        <v>213.11499999999998</v>
      </c>
      <c r="K68" s="1">
        <v>5</v>
      </c>
      <c r="L68" s="5">
        <f t="shared" si="1"/>
        <v>1065.5749999999998</v>
      </c>
    </row>
    <row r="69" spans="1:12" x14ac:dyDescent="0.25">
      <c r="A69" s="1" t="s">
        <v>808</v>
      </c>
      <c r="B69" s="1">
        <v>2022</v>
      </c>
      <c r="C69" s="7">
        <v>44900</v>
      </c>
      <c r="D69" s="1" t="s">
        <v>131</v>
      </c>
      <c r="E69" s="1" t="s">
        <v>132</v>
      </c>
      <c r="F69" s="1" t="s">
        <v>15</v>
      </c>
      <c r="G69" s="1" t="s">
        <v>779</v>
      </c>
      <c r="H69" s="1" t="s">
        <v>133</v>
      </c>
      <c r="I69" s="1" t="s">
        <v>17</v>
      </c>
      <c r="J69" s="1">
        <v>1113.0240000000001</v>
      </c>
      <c r="K69" s="1">
        <v>8</v>
      </c>
      <c r="L69" s="5">
        <f t="shared" si="1"/>
        <v>8904.1920000000009</v>
      </c>
    </row>
    <row r="70" spans="1:12" x14ac:dyDescent="0.25">
      <c r="A70" s="1" t="s">
        <v>808</v>
      </c>
      <c r="B70" s="1">
        <v>2022</v>
      </c>
      <c r="C70" s="7">
        <v>44900</v>
      </c>
      <c r="D70" s="1" t="s">
        <v>131</v>
      </c>
      <c r="E70" s="1" t="s">
        <v>132</v>
      </c>
      <c r="F70" s="1" t="s">
        <v>15</v>
      </c>
      <c r="G70" s="1" t="s">
        <v>779</v>
      </c>
      <c r="H70" s="1" t="s">
        <v>134</v>
      </c>
      <c r="I70" s="1" t="s">
        <v>26</v>
      </c>
      <c r="J70" s="1">
        <v>167.96800000000002</v>
      </c>
      <c r="K70" s="1">
        <v>4</v>
      </c>
      <c r="L70" s="5">
        <f t="shared" si="1"/>
        <v>671.87200000000007</v>
      </c>
    </row>
    <row r="71" spans="1:12" x14ac:dyDescent="0.25">
      <c r="A71" s="1" t="s">
        <v>809</v>
      </c>
      <c r="B71" s="1">
        <v>2023</v>
      </c>
      <c r="C71" s="7">
        <v>45081</v>
      </c>
      <c r="D71" s="1" t="s">
        <v>135</v>
      </c>
      <c r="E71" s="1" t="s">
        <v>136</v>
      </c>
      <c r="F71" s="1" t="s">
        <v>9</v>
      </c>
      <c r="G71" s="1" t="s">
        <v>344</v>
      </c>
      <c r="H71" s="1" t="s">
        <v>137</v>
      </c>
      <c r="I71" s="1" t="s">
        <v>17</v>
      </c>
      <c r="J71" s="1">
        <v>75.88</v>
      </c>
      <c r="K71" s="1">
        <v>2</v>
      </c>
      <c r="L71" s="5">
        <f t="shared" si="1"/>
        <v>151.76</v>
      </c>
    </row>
    <row r="72" spans="1:12" x14ac:dyDescent="0.25">
      <c r="A72" s="1" t="s">
        <v>810</v>
      </c>
      <c r="B72" s="1">
        <v>2023</v>
      </c>
      <c r="C72" s="7">
        <v>45187</v>
      </c>
      <c r="D72" s="1" t="s">
        <v>138</v>
      </c>
      <c r="E72" s="1" t="s">
        <v>112</v>
      </c>
      <c r="F72" s="1" t="s">
        <v>59</v>
      </c>
      <c r="G72" s="1" t="s">
        <v>774</v>
      </c>
      <c r="H72" s="1" t="s">
        <v>139</v>
      </c>
      <c r="I72" s="1" t="s">
        <v>17</v>
      </c>
      <c r="J72" s="1">
        <v>4.6159999999999997</v>
      </c>
      <c r="K72" s="1">
        <v>1</v>
      </c>
      <c r="L72" s="5">
        <f t="shared" si="1"/>
        <v>4.6159999999999997</v>
      </c>
    </row>
    <row r="73" spans="1:12" x14ac:dyDescent="0.25">
      <c r="A73" s="1" t="s">
        <v>811</v>
      </c>
      <c r="B73" s="1">
        <v>2023</v>
      </c>
      <c r="C73" s="7">
        <v>45183</v>
      </c>
      <c r="D73" s="1" t="s">
        <v>66</v>
      </c>
      <c r="E73" s="1" t="s">
        <v>140</v>
      </c>
      <c r="F73" s="1" t="s">
        <v>39</v>
      </c>
      <c r="G73" s="1" t="s">
        <v>785</v>
      </c>
      <c r="H73" s="1" t="s">
        <v>141</v>
      </c>
      <c r="I73" s="1" t="s">
        <v>17</v>
      </c>
      <c r="J73" s="1">
        <v>19.049999999999997</v>
      </c>
      <c r="K73" s="1">
        <v>3</v>
      </c>
      <c r="L73" s="5">
        <f t="shared" si="1"/>
        <v>57.149999999999991</v>
      </c>
    </row>
    <row r="74" spans="1:12" x14ac:dyDescent="0.25">
      <c r="A74" s="1" t="s">
        <v>812</v>
      </c>
      <c r="B74" s="1">
        <v>2022</v>
      </c>
      <c r="C74" s="7">
        <v>44677</v>
      </c>
      <c r="D74" s="1" t="s">
        <v>142</v>
      </c>
      <c r="E74" s="1" t="s">
        <v>143</v>
      </c>
      <c r="F74" s="1" t="s">
        <v>9</v>
      </c>
      <c r="G74" s="1" t="s">
        <v>344</v>
      </c>
      <c r="H74" s="1" t="s">
        <v>144</v>
      </c>
      <c r="I74" s="1" t="s">
        <v>11</v>
      </c>
      <c r="J74" s="1">
        <v>831.93600000000015</v>
      </c>
      <c r="K74" s="1">
        <v>8</v>
      </c>
      <c r="L74" s="5">
        <f t="shared" si="1"/>
        <v>6655.4880000000012</v>
      </c>
    </row>
    <row r="75" spans="1:12" x14ac:dyDescent="0.25">
      <c r="A75" s="1" t="s">
        <v>812</v>
      </c>
      <c r="B75" s="1">
        <v>2022</v>
      </c>
      <c r="C75" s="7">
        <v>44677</v>
      </c>
      <c r="D75" s="1" t="s">
        <v>142</v>
      </c>
      <c r="E75" s="1" t="s">
        <v>143</v>
      </c>
      <c r="F75" s="1" t="s">
        <v>9</v>
      </c>
      <c r="G75" s="1" t="s">
        <v>344</v>
      </c>
      <c r="H75" s="1" t="s">
        <v>145</v>
      </c>
      <c r="I75" s="1" t="s">
        <v>11</v>
      </c>
      <c r="J75" s="1">
        <v>97.04</v>
      </c>
      <c r="K75" s="1">
        <v>2</v>
      </c>
      <c r="L75" s="5">
        <f t="shared" si="1"/>
        <v>194.08</v>
      </c>
    </row>
    <row r="76" spans="1:12" x14ac:dyDescent="0.25">
      <c r="A76" s="1" t="s">
        <v>812</v>
      </c>
      <c r="B76" s="1">
        <v>2022</v>
      </c>
      <c r="C76" s="7">
        <v>44677</v>
      </c>
      <c r="D76" s="1" t="s">
        <v>142</v>
      </c>
      <c r="E76" s="1" t="s">
        <v>143</v>
      </c>
      <c r="F76" s="1" t="s">
        <v>9</v>
      </c>
      <c r="G76" s="1" t="s">
        <v>344</v>
      </c>
      <c r="H76" s="1" t="s">
        <v>146</v>
      </c>
      <c r="I76" s="1" t="s">
        <v>17</v>
      </c>
      <c r="J76" s="1">
        <v>72.784000000000006</v>
      </c>
      <c r="K76" s="1">
        <v>1</v>
      </c>
      <c r="L76" s="5">
        <f t="shared" si="1"/>
        <v>72.784000000000006</v>
      </c>
    </row>
    <row r="77" spans="1:12" x14ac:dyDescent="0.25">
      <c r="A77" s="1" t="s">
        <v>813</v>
      </c>
      <c r="B77" s="1">
        <v>2023</v>
      </c>
      <c r="C77" s="7">
        <v>45269</v>
      </c>
      <c r="D77" s="1" t="s">
        <v>147</v>
      </c>
      <c r="E77" s="1" t="s">
        <v>75</v>
      </c>
      <c r="F77" s="1" t="s">
        <v>39</v>
      </c>
      <c r="G77" s="1" t="s">
        <v>785</v>
      </c>
      <c r="H77" s="1" t="s">
        <v>148</v>
      </c>
      <c r="I77" s="1" t="s">
        <v>17</v>
      </c>
      <c r="J77" s="1">
        <v>1.2479999999999998</v>
      </c>
      <c r="K77" s="1">
        <v>3</v>
      </c>
      <c r="L77" s="5">
        <f t="shared" si="1"/>
        <v>3.7439999999999993</v>
      </c>
    </row>
    <row r="78" spans="1:12" x14ac:dyDescent="0.25">
      <c r="A78" s="1" t="s">
        <v>813</v>
      </c>
      <c r="B78" s="1">
        <v>2023</v>
      </c>
      <c r="C78" s="7">
        <v>45269</v>
      </c>
      <c r="D78" s="1" t="s">
        <v>147</v>
      </c>
      <c r="E78" s="1" t="s">
        <v>75</v>
      </c>
      <c r="F78" s="1" t="s">
        <v>39</v>
      </c>
      <c r="G78" s="1" t="s">
        <v>785</v>
      </c>
      <c r="H78" s="1" t="s">
        <v>149</v>
      </c>
      <c r="I78" s="1" t="s">
        <v>11</v>
      </c>
      <c r="J78" s="1">
        <v>9.7080000000000002</v>
      </c>
      <c r="K78" s="1">
        <v>3</v>
      </c>
      <c r="L78" s="5">
        <f t="shared" si="1"/>
        <v>29.124000000000002</v>
      </c>
    </row>
    <row r="79" spans="1:12" x14ac:dyDescent="0.25">
      <c r="A79" s="1" t="s">
        <v>813</v>
      </c>
      <c r="B79" s="1">
        <v>2023</v>
      </c>
      <c r="C79" s="7">
        <v>45269</v>
      </c>
      <c r="D79" s="1" t="s">
        <v>147</v>
      </c>
      <c r="E79" s="1" t="s">
        <v>75</v>
      </c>
      <c r="F79" s="1" t="s">
        <v>39</v>
      </c>
      <c r="G79" s="1" t="s">
        <v>785</v>
      </c>
      <c r="H79" s="1" t="s">
        <v>150</v>
      </c>
      <c r="I79" s="1" t="s">
        <v>17</v>
      </c>
      <c r="J79" s="1">
        <v>27.240000000000002</v>
      </c>
      <c r="K79" s="1">
        <v>3</v>
      </c>
      <c r="L79" s="5">
        <f t="shared" si="1"/>
        <v>81.72</v>
      </c>
    </row>
    <row r="80" spans="1:12" x14ac:dyDescent="0.25">
      <c r="A80" s="1" t="s">
        <v>814</v>
      </c>
      <c r="B80" s="1">
        <v>2022</v>
      </c>
      <c r="C80" s="7">
        <v>44891</v>
      </c>
      <c r="D80" s="1" t="s">
        <v>142</v>
      </c>
      <c r="E80" s="1" t="s">
        <v>75</v>
      </c>
      <c r="F80" s="1" t="s">
        <v>39</v>
      </c>
      <c r="G80" s="1" t="s">
        <v>785</v>
      </c>
      <c r="H80" s="1" t="s">
        <v>151</v>
      </c>
      <c r="I80" s="1" t="s">
        <v>11</v>
      </c>
      <c r="J80" s="1">
        <v>19.3</v>
      </c>
      <c r="K80" s="1">
        <v>5</v>
      </c>
      <c r="L80" s="5">
        <f t="shared" si="1"/>
        <v>96.5</v>
      </c>
    </row>
    <row r="81" spans="1:12" x14ac:dyDescent="0.25">
      <c r="A81" s="1" t="s">
        <v>815</v>
      </c>
      <c r="B81" s="1">
        <v>2023</v>
      </c>
      <c r="C81" s="7">
        <v>45089</v>
      </c>
      <c r="D81" s="1" t="s">
        <v>152</v>
      </c>
      <c r="E81" s="1" t="s">
        <v>153</v>
      </c>
      <c r="F81" s="1" t="s">
        <v>9</v>
      </c>
      <c r="G81" s="1" t="s">
        <v>344</v>
      </c>
      <c r="H81" s="1" t="s">
        <v>154</v>
      </c>
      <c r="I81" s="1" t="s">
        <v>17</v>
      </c>
      <c r="J81" s="1">
        <v>208.16</v>
      </c>
      <c r="K81" s="1">
        <v>1</v>
      </c>
      <c r="L81" s="5">
        <f t="shared" si="1"/>
        <v>208.16</v>
      </c>
    </row>
    <row r="82" spans="1:12" x14ac:dyDescent="0.25">
      <c r="A82" s="1" t="s">
        <v>815</v>
      </c>
      <c r="B82" s="1">
        <v>2023</v>
      </c>
      <c r="C82" s="7">
        <v>45089</v>
      </c>
      <c r="D82" s="1" t="s">
        <v>152</v>
      </c>
      <c r="E82" s="1" t="s">
        <v>153</v>
      </c>
      <c r="F82" s="1" t="s">
        <v>9</v>
      </c>
      <c r="G82" s="1" t="s">
        <v>344</v>
      </c>
      <c r="H82" s="1" t="s">
        <v>155</v>
      </c>
      <c r="I82" s="1" t="s">
        <v>17</v>
      </c>
      <c r="J82" s="1">
        <v>16.740000000000002</v>
      </c>
      <c r="K82" s="1">
        <v>3</v>
      </c>
      <c r="L82" s="5">
        <f t="shared" si="1"/>
        <v>50.220000000000006</v>
      </c>
    </row>
    <row r="83" spans="1:12" x14ac:dyDescent="0.25">
      <c r="A83" s="1" t="s">
        <v>816</v>
      </c>
      <c r="B83" s="1">
        <v>2022</v>
      </c>
      <c r="C83" s="7">
        <v>44846</v>
      </c>
      <c r="D83" s="1" t="s">
        <v>156</v>
      </c>
      <c r="E83" s="1" t="s">
        <v>49</v>
      </c>
      <c r="F83" s="1" t="s">
        <v>15</v>
      </c>
      <c r="G83" s="1" t="s">
        <v>779</v>
      </c>
      <c r="H83" s="1" t="s">
        <v>157</v>
      </c>
      <c r="I83" s="1" t="s">
        <v>17</v>
      </c>
      <c r="J83" s="1">
        <v>14.9</v>
      </c>
      <c r="K83" s="1">
        <v>5</v>
      </c>
      <c r="L83" s="5">
        <f t="shared" si="1"/>
        <v>74.5</v>
      </c>
    </row>
    <row r="84" spans="1:12" x14ac:dyDescent="0.25">
      <c r="A84" s="1" t="s">
        <v>816</v>
      </c>
      <c r="B84" s="1">
        <v>2022</v>
      </c>
      <c r="C84" s="7">
        <v>44846</v>
      </c>
      <c r="D84" s="1" t="s">
        <v>156</v>
      </c>
      <c r="E84" s="1" t="s">
        <v>49</v>
      </c>
      <c r="F84" s="1" t="s">
        <v>15</v>
      </c>
      <c r="G84" s="1" t="s">
        <v>779</v>
      </c>
      <c r="H84" s="1" t="s">
        <v>158</v>
      </c>
      <c r="I84" s="1" t="s">
        <v>17</v>
      </c>
      <c r="J84" s="1">
        <v>21.39</v>
      </c>
      <c r="K84" s="1">
        <v>1</v>
      </c>
      <c r="L84" s="5">
        <f t="shared" si="1"/>
        <v>21.39</v>
      </c>
    </row>
    <row r="85" spans="1:12" x14ac:dyDescent="0.25">
      <c r="A85" s="1" t="s">
        <v>817</v>
      </c>
      <c r="B85" s="1">
        <v>2022</v>
      </c>
      <c r="C85" s="7">
        <v>44807</v>
      </c>
      <c r="D85" s="1" t="s">
        <v>159</v>
      </c>
      <c r="E85" s="1" t="s">
        <v>160</v>
      </c>
      <c r="F85" s="1" t="s">
        <v>9</v>
      </c>
      <c r="G85" s="1" t="s">
        <v>344</v>
      </c>
      <c r="H85" s="1" t="s">
        <v>161</v>
      </c>
      <c r="I85" s="1" t="s">
        <v>17</v>
      </c>
      <c r="J85" s="1">
        <v>200.98400000000004</v>
      </c>
      <c r="K85" s="1">
        <v>7</v>
      </c>
      <c r="L85" s="5">
        <f t="shared" si="1"/>
        <v>1406.8880000000004</v>
      </c>
    </row>
    <row r="86" spans="1:12" x14ac:dyDescent="0.25">
      <c r="A86" s="1" t="s">
        <v>818</v>
      </c>
      <c r="B86" s="1">
        <v>2023</v>
      </c>
      <c r="C86" s="7">
        <v>45243</v>
      </c>
      <c r="D86" s="1" t="s">
        <v>162</v>
      </c>
      <c r="E86" s="1" t="s">
        <v>129</v>
      </c>
      <c r="F86" s="1" t="s">
        <v>39</v>
      </c>
      <c r="G86" s="1" t="s">
        <v>785</v>
      </c>
      <c r="H86" s="1" t="s">
        <v>163</v>
      </c>
      <c r="I86" s="1" t="s">
        <v>17</v>
      </c>
      <c r="J86" s="1">
        <v>230.376</v>
      </c>
      <c r="K86" s="1">
        <v>3</v>
      </c>
      <c r="L86" s="5">
        <f t="shared" si="1"/>
        <v>691.12800000000004</v>
      </c>
    </row>
    <row r="87" spans="1:12" x14ac:dyDescent="0.25">
      <c r="A87" s="1" t="s">
        <v>819</v>
      </c>
      <c r="B87" s="1">
        <v>2023</v>
      </c>
      <c r="C87" s="7">
        <v>45074</v>
      </c>
      <c r="D87" s="1" t="s">
        <v>98</v>
      </c>
      <c r="E87" s="1" t="s">
        <v>164</v>
      </c>
      <c r="F87" s="1" t="s">
        <v>9</v>
      </c>
      <c r="G87" s="1" t="s">
        <v>344</v>
      </c>
      <c r="H87" s="1" t="s">
        <v>165</v>
      </c>
      <c r="I87" s="1" t="s">
        <v>11</v>
      </c>
      <c r="J87" s="1">
        <v>301.95999999999998</v>
      </c>
      <c r="K87" s="1">
        <v>2</v>
      </c>
      <c r="L87" s="5">
        <f t="shared" si="1"/>
        <v>603.91999999999996</v>
      </c>
    </row>
    <row r="88" spans="1:12" x14ac:dyDescent="0.25">
      <c r="A88" s="1" t="s">
        <v>820</v>
      </c>
      <c r="B88" s="1">
        <v>2023</v>
      </c>
      <c r="C88" s="7">
        <v>45225</v>
      </c>
      <c r="D88" s="1" t="s">
        <v>166</v>
      </c>
      <c r="E88" s="1" t="s">
        <v>167</v>
      </c>
      <c r="F88" s="1" t="s">
        <v>39</v>
      </c>
      <c r="G88" s="1" t="s">
        <v>785</v>
      </c>
      <c r="H88" s="1" t="s">
        <v>168</v>
      </c>
      <c r="I88" s="1" t="s">
        <v>26</v>
      </c>
      <c r="J88" s="1">
        <v>19.989999999999998</v>
      </c>
      <c r="K88" s="1">
        <v>1</v>
      </c>
      <c r="L88" s="5">
        <f t="shared" si="1"/>
        <v>19.989999999999998</v>
      </c>
    </row>
    <row r="89" spans="1:12" x14ac:dyDescent="0.25">
      <c r="A89" s="1" t="s">
        <v>820</v>
      </c>
      <c r="B89" s="1">
        <v>2023</v>
      </c>
      <c r="C89" s="7">
        <v>45225</v>
      </c>
      <c r="D89" s="1" t="s">
        <v>166</v>
      </c>
      <c r="E89" s="1" t="s">
        <v>167</v>
      </c>
      <c r="F89" s="1" t="s">
        <v>39</v>
      </c>
      <c r="G89" s="1" t="s">
        <v>785</v>
      </c>
      <c r="H89" s="1" t="s">
        <v>169</v>
      </c>
      <c r="I89" s="1" t="s">
        <v>17</v>
      </c>
      <c r="J89" s="1">
        <v>6.16</v>
      </c>
      <c r="K89" s="1">
        <v>2</v>
      </c>
      <c r="L89" s="5">
        <f t="shared" si="1"/>
        <v>12.32</v>
      </c>
    </row>
    <row r="90" spans="1:12" x14ac:dyDescent="0.25">
      <c r="A90" s="1" t="s">
        <v>821</v>
      </c>
      <c r="B90" s="1">
        <v>2023</v>
      </c>
      <c r="C90" s="7">
        <v>45021</v>
      </c>
      <c r="D90" s="1" t="s">
        <v>170</v>
      </c>
      <c r="E90" s="1" t="s">
        <v>75</v>
      </c>
      <c r="F90" s="1" t="s">
        <v>39</v>
      </c>
      <c r="G90" s="1" t="s">
        <v>785</v>
      </c>
      <c r="H90" s="1" t="s">
        <v>171</v>
      </c>
      <c r="I90" s="1" t="s">
        <v>17</v>
      </c>
      <c r="J90" s="1">
        <v>158.36800000000002</v>
      </c>
      <c r="K90" s="1">
        <v>7</v>
      </c>
      <c r="L90" s="5">
        <f t="shared" si="1"/>
        <v>1108.5760000000002</v>
      </c>
    </row>
    <row r="91" spans="1:12" x14ac:dyDescent="0.25">
      <c r="A91" s="1" t="s">
        <v>822</v>
      </c>
      <c r="B91" s="1">
        <v>2023</v>
      </c>
      <c r="C91" s="7">
        <v>45186</v>
      </c>
      <c r="D91" s="1" t="s">
        <v>172</v>
      </c>
      <c r="E91" s="1" t="s">
        <v>14</v>
      </c>
      <c r="F91" s="1" t="s">
        <v>15</v>
      </c>
      <c r="G91" s="1" t="s">
        <v>779</v>
      </c>
      <c r="H91" s="1" t="s">
        <v>173</v>
      </c>
      <c r="I91" s="1" t="s">
        <v>17</v>
      </c>
      <c r="J91" s="1">
        <v>20.100000000000001</v>
      </c>
      <c r="K91" s="1">
        <v>3</v>
      </c>
      <c r="L91" s="5">
        <f t="shared" si="1"/>
        <v>60.300000000000004</v>
      </c>
    </row>
    <row r="92" spans="1:12" x14ac:dyDescent="0.25">
      <c r="A92" s="1" t="s">
        <v>822</v>
      </c>
      <c r="B92" s="1">
        <v>2023</v>
      </c>
      <c r="C92" s="7">
        <v>45186</v>
      </c>
      <c r="D92" s="1" t="s">
        <v>172</v>
      </c>
      <c r="E92" s="1" t="s">
        <v>14</v>
      </c>
      <c r="F92" s="1" t="s">
        <v>15</v>
      </c>
      <c r="G92" s="1" t="s">
        <v>779</v>
      </c>
      <c r="H92" s="1" t="s">
        <v>88</v>
      </c>
      <c r="I92" s="1" t="s">
        <v>26</v>
      </c>
      <c r="J92" s="1">
        <v>73.584000000000003</v>
      </c>
      <c r="K92" s="1">
        <v>2</v>
      </c>
      <c r="L92" s="5">
        <f t="shared" si="1"/>
        <v>147.16800000000001</v>
      </c>
    </row>
    <row r="93" spans="1:12" x14ac:dyDescent="0.25">
      <c r="A93" s="1" t="s">
        <v>822</v>
      </c>
      <c r="B93" s="1">
        <v>2023</v>
      </c>
      <c r="C93" s="7">
        <v>45186</v>
      </c>
      <c r="D93" s="1" t="s">
        <v>172</v>
      </c>
      <c r="E93" s="1" t="s">
        <v>14</v>
      </c>
      <c r="F93" s="1" t="s">
        <v>15</v>
      </c>
      <c r="G93" s="1" t="s">
        <v>779</v>
      </c>
      <c r="H93" s="1" t="s">
        <v>174</v>
      </c>
      <c r="I93" s="1" t="s">
        <v>17</v>
      </c>
      <c r="J93" s="1">
        <v>6.48</v>
      </c>
      <c r="K93" s="1">
        <v>1</v>
      </c>
      <c r="L93" s="5">
        <f t="shared" si="1"/>
        <v>6.48</v>
      </c>
    </row>
    <row r="94" spans="1:12" x14ac:dyDescent="0.25">
      <c r="A94" s="1" t="s">
        <v>823</v>
      </c>
      <c r="B94" s="1">
        <v>2022</v>
      </c>
      <c r="C94" s="7">
        <v>44592</v>
      </c>
      <c r="D94" s="1" t="s">
        <v>175</v>
      </c>
      <c r="E94" s="1" t="s">
        <v>176</v>
      </c>
      <c r="F94" s="1" t="s">
        <v>39</v>
      </c>
      <c r="G94" s="1" t="s">
        <v>785</v>
      </c>
      <c r="H94" s="1" t="s">
        <v>177</v>
      </c>
      <c r="I94" s="1" t="s">
        <v>17</v>
      </c>
      <c r="J94" s="1">
        <v>12.96</v>
      </c>
      <c r="K94" s="1">
        <v>2</v>
      </c>
      <c r="L94" s="5">
        <f t="shared" si="1"/>
        <v>25.92</v>
      </c>
    </row>
    <row r="95" spans="1:12" x14ac:dyDescent="0.25">
      <c r="A95" s="1" t="s">
        <v>823</v>
      </c>
      <c r="B95" s="1">
        <v>2022</v>
      </c>
      <c r="C95" s="7">
        <v>44592</v>
      </c>
      <c r="D95" s="1" t="s">
        <v>175</v>
      </c>
      <c r="E95" s="1" t="s">
        <v>176</v>
      </c>
      <c r="F95" s="1" t="s">
        <v>39</v>
      </c>
      <c r="G95" s="1" t="s">
        <v>785</v>
      </c>
      <c r="H95" s="1" t="s">
        <v>178</v>
      </c>
      <c r="I95" s="1" t="s">
        <v>11</v>
      </c>
      <c r="J95" s="1">
        <v>53.34</v>
      </c>
      <c r="K95" s="1">
        <v>3</v>
      </c>
      <c r="L95" s="5">
        <f t="shared" si="1"/>
        <v>160.02000000000001</v>
      </c>
    </row>
    <row r="96" spans="1:12" x14ac:dyDescent="0.25">
      <c r="A96" s="1" t="s">
        <v>823</v>
      </c>
      <c r="B96" s="1">
        <v>2022</v>
      </c>
      <c r="C96" s="7">
        <v>44592</v>
      </c>
      <c r="D96" s="1" t="s">
        <v>175</v>
      </c>
      <c r="E96" s="1" t="s">
        <v>176</v>
      </c>
      <c r="F96" s="1" t="s">
        <v>39</v>
      </c>
      <c r="G96" s="1" t="s">
        <v>785</v>
      </c>
      <c r="H96" s="1" t="s">
        <v>179</v>
      </c>
      <c r="I96" s="1" t="s">
        <v>17</v>
      </c>
      <c r="J96" s="1">
        <v>32.96</v>
      </c>
      <c r="K96" s="1">
        <v>2</v>
      </c>
      <c r="L96" s="5">
        <f t="shared" si="1"/>
        <v>65.92</v>
      </c>
    </row>
    <row r="97" spans="1:12" x14ac:dyDescent="0.25">
      <c r="A97" s="1" t="s">
        <v>824</v>
      </c>
      <c r="B97" s="1">
        <v>2023</v>
      </c>
      <c r="C97" s="7">
        <v>45236</v>
      </c>
      <c r="D97" s="1" t="s">
        <v>180</v>
      </c>
      <c r="E97" s="1" t="s">
        <v>181</v>
      </c>
      <c r="F97" s="1" t="s">
        <v>15</v>
      </c>
      <c r="G97" s="1" t="s">
        <v>779</v>
      </c>
      <c r="H97" s="1" t="s">
        <v>182</v>
      </c>
      <c r="I97" s="1" t="s">
        <v>17</v>
      </c>
      <c r="J97" s="1">
        <v>5.6820000000000013</v>
      </c>
      <c r="K97" s="1">
        <v>1</v>
      </c>
      <c r="L97" s="5">
        <f t="shared" si="1"/>
        <v>5.6820000000000013</v>
      </c>
    </row>
    <row r="98" spans="1:12" x14ac:dyDescent="0.25">
      <c r="A98" s="1" t="s">
        <v>825</v>
      </c>
      <c r="B98" s="1">
        <v>2023</v>
      </c>
      <c r="C98" s="7">
        <v>45239</v>
      </c>
      <c r="D98" s="1" t="s">
        <v>183</v>
      </c>
      <c r="E98" s="1" t="s">
        <v>112</v>
      </c>
      <c r="F98" s="1" t="s">
        <v>59</v>
      </c>
      <c r="G98" s="1" t="s">
        <v>774</v>
      </c>
      <c r="H98" s="1" t="s">
        <v>184</v>
      </c>
      <c r="I98" s="1" t="s">
        <v>11</v>
      </c>
      <c r="J98" s="1">
        <v>96.53</v>
      </c>
      <c r="K98" s="1">
        <v>7</v>
      </c>
      <c r="L98" s="5">
        <f t="shared" si="1"/>
        <v>675.71</v>
      </c>
    </row>
    <row r="99" spans="1:12" x14ac:dyDescent="0.25">
      <c r="A99" s="1" t="s">
        <v>826</v>
      </c>
      <c r="B99" s="1">
        <v>2023</v>
      </c>
      <c r="C99" s="7">
        <v>45094</v>
      </c>
      <c r="D99" s="1" t="s">
        <v>185</v>
      </c>
      <c r="E99" s="1" t="s">
        <v>49</v>
      </c>
      <c r="F99" s="1" t="s">
        <v>15</v>
      </c>
      <c r="G99" s="1" t="s">
        <v>779</v>
      </c>
      <c r="H99" s="1" t="s">
        <v>186</v>
      </c>
      <c r="I99" s="1" t="s">
        <v>17</v>
      </c>
      <c r="J99" s="1">
        <v>51.311999999999998</v>
      </c>
      <c r="K99" s="1">
        <v>3</v>
      </c>
      <c r="L99" s="5">
        <f t="shared" si="1"/>
        <v>153.93599999999998</v>
      </c>
    </row>
    <row r="100" spans="1:12" x14ac:dyDescent="0.25">
      <c r="A100" s="1" t="s">
        <v>827</v>
      </c>
      <c r="B100" s="1">
        <v>2023</v>
      </c>
      <c r="C100" s="7">
        <v>45175</v>
      </c>
      <c r="D100" s="1" t="s">
        <v>187</v>
      </c>
      <c r="E100" s="1" t="s">
        <v>188</v>
      </c>
      <c r="F100" s="1" t="s">
        <v>39</v>
      </c>
      <c r="G100" s="1" t="s">
        <v>785</v>
      </c>
      <c r="H100" s="1" t="s">
        <v>189</v>
      </c>
      <c r="I100" s="1" t="s">
        <v>17</v>
      </c>
      <c r="J100" s="1">
        <v>77.88</v>
      </c>
      <c r="K100" s="1">
        <v>6</v>
      </c>
      <c r="L100" s="5">
        <f t="shared" si="1"/>
        <v>467.28</v>
      </c>
    </row>
    <row r="101" spans="1:12" x14ac:dyDescent="0.25">
      <c r="A101" s="1" t="s">
        <v>828</v>
      </c>
      <c r="B101" s="1">
        <v>2023</v>
      </c>
      <c r="C101" s="7">
        <v>45167</v>
      </c>
      <c r="D101" s="1" t="s">
        <v>190</v>
      </c>
      <c r="E101" s="1" t="s">
        <v>129</v>
      </c>
      <c r="F101" s="1" t="s">
        <v>39</v>
      </c>
      <c r="G101" s="1" t="s">
        <v>785</v>
      </c>
      <c r="H101" s="1" t="s">
        <v>191</v>
      </c>
      <c r="I101" s="1" t="s">
        <v>17</v>
      </c>
      <c r="J101" s="1">
        <v>64.623999999999995</v>
      </c>
      <c r="K101" s="1">
        <v>7</v>
      </c>
      <c r="L101" s="5">
        <f t="shared" si="1"/>
        <v>452.36799999999994</v>
      </c>
    </row>
    <row r="102" spans="1:12" x14ac:dyDescent="0.25">
      <c r="A102" s="1" t="s">
        <v>828</v>
      </c>
      <c r="B102" s="1">
        <v>2023</v>
      </c>
      <c r="C102" s="7">
        <v>45167</v>
      </c>
      <c r="D102" s="1" t="s">
        <v>190</v>
      </c>
      <c r="E102" s="1" t="s">
        <v>129</v>
      </c>
      <c r="F102" s="1" t="s">
        <v>39</v>
      </c>
      <c r="G102" s="1" t="s">
        <v>785</v>
      </c>
      <c r="H102" s="1" t="s">
        <v>192</v>
      </c>
      <c r="I102" s="1" t="s">
        <v>26</v>
      </c>
      <c r="J102" s="1">
        <v>95.976000000000013</v>
      </c>
      <c r="K102" s="1">
        <v>3</v>
      </c>
      <c r="L102" s="5">
        <f t="shared" si="1"/>
        <v>287.92800000000005</v>
      </c>
    </row>
    <row r="103" spans="1:12" x14ac:dyDescent="0.25">
      <c r="A103" s="1" t="s">
        <v>828</v>
      </c>
      <c r="B103" s="1">
        <v>2023</v>
      </c>
      <c r="C103" s="7">
        <v>45167</v>
      </c>
      <c r="D103" s="1" t="s">
        <v>190</v>
      </c>
      <c r="E103" s="1" t="s">
        <v>129</v>
      </c>
      <c r="F103" s="1" t="s">
        <v>39</v>
      </c>
      <c r="G103" s="1" t="s">
        <v>785</v>
      </c>
      <c r="H103" s="1" t="s">
        <v>193</v>
      </c>
      <c r="I103" s="1" t="s">
        <v>17</v>
      </c>
      <c r="J103" s="1">
        <v>1.7879999999999996</v>
      </c>
      <c r="K103" s="1">
        <v>3</v>
      </c>
      <c r="L103" s="5">
        <f t="shared" si="1"/>
        <v>5.363999999999999</v>
      </c>
    </row>
    <row r="104" spans="1:12" x14ac:dyDescent="0.25">
      <c r="A104" s="1" t="s">
        <v>829</v>
      </c>
      <c r="B104" s="1">
        <v>2023</v>
      </c>
      <c r="C104" s="7">
        <v>45261</v>
      </c>
      <c r="D104" s="1" t="s">
        <v>194</v>
      </c>
      <c r="E104" s="1" t="s">
        <v>167</v>
      </c>
      <c r="F104" s="1" t="s">
        <v>39</v>
      </c>
      <c r="G104" s="1" t="s">
        <v>785</v>
      </c>
      <c r="H104" s="1" t="s">
        <v>195</v>
      </c>
      <c r="I104" s="1" t="s">
        <v>17</v>
      </c>
      <c r="J104" s="1">
        <v>23.92</v>
      </c>
      <c r="K104" s="1">
        <v>4</v>
      </c>
      <c r="L104" s="5">
        <f t="shared" si="1"/>
        <v>95.68</v>
      </c>
    </row>
    <row r="105" spans="1:12" x14ac:dyDescent="0.25">
      <c r="A105" s="1" t="s">
        <v>830</v>
      </c>
      <c r="B105" s="1">
        <v>2022</v>
      </c>
      <c r="C105" s="7">
        <v>44878</v>
      </c>
      <c r="D105" s="1" t="s">
        <v>196</v>
      </c>
      <c r="E105" s="1" t="s">
        <v>197</v>
      </c>
      <c r="F105" s="1" t="s">
        <v>15</v>
      </c>
      <c r="G105" s="1" t="s">
        <v>779</v>
      </c>
      <c r="H105" s="1" t="s">
        <v>198</v>
      </c>
      <c r="I105" s="1" t="s">
        <v>26</v>
      </c>
      <c r="J105" s="1">
        <v>238.89600000000002</v>
      </c>
      <c r="K105" s="1">
        <v>6</v>
      </c>
      <c r="L105" s="5">
        <f t="shared" si="1"/>
        <v>1433.3760000000002</v>
      </c>
    </row>
    <row r="106" spans="1:12" x14ac:dyDescent="0.25">
      <c r="A106" s="1" t="s">
        <v>830</v>
      </c>
      <c r="B106" s="1">
        <v>2022</v>
      </c>
      <c r="C106" s="7">
        <v>44878</v>
      </c>
      <c r="D106" s="1" t="s">
        <v>196</v>
      </c>
      <c r="E106" s="1" t="s">
        <v>197</v>
      </c>
      <c r="F106" s="1" t="s">
        <v>15</v>
      </c>
      <c r="G106" s="1" t="s">
        <v>779</v>
      </c>
      <c r="H106" s="1" t="s">
        <v>199</v>
      </c>
      <c r="I106" s="1" t="s">
        <v>11</v>
      </c>
      <c r="J106" s="1">
        <v>102.35999999999999</v>
      </c>
      <c r="K106" s="1">
        <v>3</v>
      </c>
      <c r="L106" s="5">
        <f t="shared" si="1"/>
        <v>307.07999999999993</v>
      </c>
    </row>
    <row r="107" spans="1:12" x14ac:dyDescent="0.25">
      <c r="A107" s="1" t="s">
        <v>830</v>
      </c>
      <c r="B107" s="1">
        <v>2022</v>
      </c>
      <c r="C107" s="7">
        <v>44878</v>
      </c>
      <c r="D107" s="1" t="s">
        <v>196</v>
      </c>
      <c r="E107" s="1" t="s">
        <v>197</v>
      </c>
      <c r="F107" s="1" t="s">
        <v>15</v>
      </c>
      <c r="G107" s="1" t="s">
        <v>779</v>
      </c>
      <c r="H107" s="1" t="s">
        <v>200</v>
      </c>
      <c r="I107" s="1" t="s">
        <v>17</v>
      </c>
      <c r="J107" s="1">
        <v>36.882000000000005</v>
      </c>
      <c r="K107" s="1">
        <v>3</v>
      </c>
      <c r="L107" s="5">
        <f t="shared" si="1"/>
        <v>110.64600000000002</v>
      </c>
    </row>
    <row r="108" spans="1:12" x14ac:dyDescent="0.25">
      <c r="A108" s="1" t="s">
        <v>831</v>
      </c>
      <c r="B108" s="1">
        <v>2023</v>
      </c>
      <c r="C108" s="7">
        <v>45253</v>
      </c>
      <c r="D108" s="1" t="s">
        <v>201</v>
      </c>
      <c r="E108" s="1" t="s">
        <v>202</v>
      </c>
      <c r="F108" s="1" t="s">
        <v>9</v>
      </c>
      <c r="G108" s="1" t="s">
        <v>344</v>
      </c>
      <c r="H108" s="1" t="s">
        <v>203</v>
      </c>
      <c r="I108" s="1" t="s">
        <v>26</v>
      </c>
      <c r="J108" s="1">
        <v>74.112000000000009</v>
      </c>
      <c r="K108" s="1">
        <v>8</v>
      </c>
      <c r="L108" s="5">
        <f t="shared" si="1"/>
        <v>592.89600000000007</v>
      </c>
    </row>
    <row r="109" spans="1:12" x14ac:dyDescent="0.25">
      <c r="A109" s="1" t="s">
        <v>831</v>
      </c>
      <c r="B109" s="1">
        <v>2023</v>
      </c>
      <c r="C109" s="7">
        <v>45253</v>
      </c>
      <c r="D109" s="1" t="s">
        <v>201</v>
      </c>
      <c r="E109" s="1" t="s">
        <v>202</v>
      </c>
      <c r="F109" s="1" t="s">
        <v>9</v>
      </c>
      <c r="G109" s="1" t="s">
        <v>344</v>
      </c>
      <c r="H109" s="1" t="s">
        <v>204</v>
      </c>
      <c r="I109" s="1" t="s">
        <v>26</v>
      </c>
      <c r="J109" s="1">
        <v>27.992000000000004</v>
      </c>
      <c r="K109" s="1">
        <v>1</v>
      </c>
      <c r="L109" s="5">
        <f t="shared" si="1"/>
        <v>27.992000000000004</v>
      </c>
    </row>
    <row r="110" spans="1:12" x14ac:dyDescent="0.25">
      <c r="A110" s="1" t="s">
        <v>831</v>
      </c>
      <c r="B110" s="1">
        <v>2023</v>
      </c>
      <c r="C110" s="7">
        <v>45253</v>
      </c>
      <c r="D110" s="1" t="s">
        <v>201</v>
      </c>
      <c r="E110" s="1" t="s">
        <v>202</v>
      </c>
      <c r="F110" s="1" t="s">
        <v>9</v>
      </c>
      <c r="G110" s="1" t="s">
        <v>344</v>
      </c>
      <c r="H110" s="1" t="s">
        <v>205</v>
      </c>
      <c r="I110" s="1" t="s">
        <v>17</v>
      </c>
      <c r="J110" s="1">
        <v>3.3040000000000003</v>
      </c>
      <c r="K110" s="1">
        <v>1</v>
      </c>
      <c r="L110" s="5">
        <f t="shared" si="1"/>
        <v>3.3040000000000003</v>
      </c>
    </row>
    <row r="111" spans="1:12" x14ac:dyDescent="0.25">
      <c r="A111" s="1" t="s">
        <v>832</v>
      </c>
      <c r="B111" s="1">
        <v>2022</v>
      </c>
      <c r="C111" s="7">
        <v>44849</v>
      </c>
      <c r="D111" s="1" t="s">
        <v>206</v>
      </c>
      <c r="E111" s="1" t="s">
        <v>207</v>
      </c>
      <c r="F111" s="1" t="s">
        <v>39</v>
      </c>
      <c r="G111" s="1" t="s">
        <v>785</v>
      </c>
      <c r="H111" s="1" t="s">
        <v>208</v>
      </c>
      <c r="I111" s="1" t="s">
        <v>26</v>
      </c>
      <c r="J111" s="1">
        <v>339.96000000000004</v>
      </c>
      <c r="K111" s="1">
        <v>5</v>
      </c>
      <c r="L111" s="5">
        <f t="shared" si="1"/>
        <v>1699.8000000000002</v>
      </c>
    </row>
    <row r="112" spans="1:12" x14ac:dyDescent="0.25">
      <c r="A112" s="1" t="s">
        <v>833</v>
      </c>
      <c r="B112" s="1">
        <v>2023</v>
      </c>
      <c r="C112" s="7">
        <v>45285</v>
      </c>
      <c r="D112" s="1" t="s">
        <v>209</v>
      </c>
      <c r="E112" s="1" t="s">
        <v>112</v>
      </c>
      <c r="F112" s="1" t="s">
        <v>59</v>
      </c>
      <c r="G112" s="1" t="s">
        <v>774</v>
      </c>
      <c r="H112" s="1" t="s">
        <v>210</v>
      </c>
      <c r="I112" s="1" t="s">
        <v>11</v>
      </c>
      <c r="J112" s="1">
        <v>41.96</v>
      </c>
      <c r="K112" s="1">
        <v>2</v>
      </c>
      <c r="L112" s="5">
        <f t="shared" si="1"/>
        <v>83.92</v>
      </c>
    </row>
    <row r="113" spans="1:12" x14ac:dyDescent="0.25">
      <c r="A113" s="1" t="s">
        <v>834</v>
      </c>
      <c r="B113" s="1">
        <v>2023</v>
      </c>
      <c r="C113" s="7">
        <v>45233</v>
      </c>
      <c r="D113" s="1" t="s">
        <v>211</v>
      </c>
      <c r="E113" s="1" t="s">
        <v>212</v>
      </c>
      <c r="F113" s="1" t="s">
        <v>39</v>
      </c>
      <c r="G113" s="1" t="s">
        <v>785</v>
      </c>
      <c r="H113" s="1" t="s">
        <v>213</v>
      </c>
      <c r="I113" s="1" t="s">
        <v>17</v>
      </c>
      <c r="J113" s="1">
        <v>75.959999999999994</v>
      </c>
      <c r="K113" s="1">
        <v>2</v>
      </c>
      <c r="L113" s="5">
        <f t="shared" si="1"/>
        <v>151.91999999999999</v>
      </c>
    </row>
    <row r="114" spans="1:12" x14ac:dyDescent="0.25">
      <c r="A114" s="1" t="s">
        <v>834</v>
      </c>
      <c r="B114" s="1">
        <v>2023</v>
      </c>
      <c r="C114" s="7">
        <v>45233</v>
      </c>
      <c r="D114" s="1" t="s">
        <v>211</v>
      </c>
      <c r="E114" s="1" t="s">
        <v>212</v>
      </c>
      <c r="F114" s="1" t="s">
        <v>39</v>
      </c>
      <c r="G114" s="1" t="s">
        <v>785</v>
      </c>
      <c r="H114" s="1" t="s">
        <v>214</v>
      </c>
      <c r="I114" s="1" t="s">
        <v>17</v>
      </c>
      <c r="J114" s="1">
        <v>27.240000000000002</v>
      </c>
      <c r="K114" s="1">
        <v>6</v>
      </c>
      <c r="L114" s="5">
        <f t="shared" si="1"/>
        <v>163.44</v>
      </c>
    </row>
    <row r="115" spans="1:12" x14ac:dyDescent="0.25">
      <c r="A115" s="1" t="s">
        <v>835</v>
      </c>
      <c r="B115" s="1">
        <v>2022</v>
      </c>
      <c r="C115" s="7">
        <v>44798</v>
      </c>
      <c r="D115" s="1" t="s">
        <v>215</v>
      </c>
      <c r="E115" s="1" t="s">
        <v>216</v>
      </c>
      <c r="F115" s="1" t="s">
        <v>59</v>
      </c>
      <c r="G115" s="1" t="s">
        <v>774</v>
      </c>
      <c r="H115" s="1" t="s">
        <v>217</v>
      </c>
      <c r="I115" s="1" t="s">
        <v>17</v>
      </c>
      <c r="J115" s="1">
        <v>40.096000000000004</v>
      </c>
      <c r="K115" s="1">
        <v>14</v>
      </c>
      <c r="L115" s="5">
        <f t="shared" si="1"/>
        <v>561.34400000000005</v>
      </c>
    </row>
    <row r="116" spans="1:12" x14ac:dyDescent="0.25">
      <c r="A116" s="1" t="s">
        <v>835</v>
      </c>
      <c r="B116" s="1">
        <v>2022</v>
      </c>
      <c r="C116" s="7">
        <v>44798</v>
      </c>
      <c r="D116" s="1" t="s">
        <v>215</v>
      </c>
      <c r="E116" s="1" t="s">
        <v>216</v>
      </c>
      <c r="F116" s="1" t="s">
        <v>59</v>
      </c>
      <c r="G116" s="1" t="s">
        <v>774</v>
      </c>
      <c r="H116" s="1" t="s">
        <v>218</v>
      </c>
      <c r="I116" s="1" t="s">
        <v>17</v>
      </c>
      <c r="J116" s="1">
        <v>4.7200000000000006</v>
      </c>
      <c r="K116" s="1">
        <v>2</v>
      </c>
      <c r="L116" s="5">
        <f t="shared" si="1"/>
        <v>9.4400000000000013</v>
      </c>
    </row>
    <row r="117" spans="1:12" x14ac:dyDescent="0.25">
      <c r="A117" s="1" t="s">
        <v>835</v>
      </c>
      <c r="B117" s="1">
        <v>2022</v>
      </c>
      <c r="C117" s="7">
        <v>44798</v>
      </c>
      <c r="D117" s="1" t="s">
        <v>215</v>
      </c>
      <c r="E117" s="1" t="s">
        <v>216</v>
      </c>
      <c r="F117" s="1" t="s">
        <v>59</v>
      </c>
      <c r="G117" s="1" t="s">
        <v>774</v>
      </c>
      <c r="H117" s="1" t="s">
        <v>219</v>
      </c>
      <c r="I117" s="1" t="s">
        <v>17</v>
      </c>
      <c r="J117" s="1">
        <v>23.976000000000003</v>
      </c>
      <c r="K117" s="1">
        <v>3</v>
      </c>
      <c r="L117" s="5">
        <f t="shared" si="1"/>
        <v>71.928000000000011</v>
      </c>
    </row>
    <row r="118" spans="1:12" x14ac:dyDescent="0.25">
      <c r="A118" s="1" t="s">
        <v>835</v>
      </c>
      <c r="B118" s="1">
        <v>2022</v>
      </c>
      <c r="C118" s="7">
        <v>44798</v>
      </c>
      <c r="D118" s="1" t="s">
        <v>215</v>
      </c>
      <c r="E118" s="1" t="s">
        <v>216</v>
      </c>
      <c r="F118" s="1" t="s">
        <v>59</v>
      </c>
      <c r="G118" s="1" t="s">
        <v>774</v>
      </c>
      <c r="H118" s="1" t="s">
        <v>220</v>
      </c>
      <c r="I118" s="1" t="s">
        <v>17</v>
      </c>
      <c r="J118" s="1">
        <v>130.464</v>
      </c>
      <c r="K118" s="1">
        <v>6</v>
      </c>
      <c r="L118" s="5">
        <f t="shared" si="1"/>
        <v>782.78399999999999</v>
      </c>
    </row>
    <row r="119" spans="1:12" x14ac:dyDescent="0.25">
      <c r="A119" s="1" t="s">
        <v>836</v>
      </c>
      <c r="B119" s="1">
        <v>2022</v>
      </c>
      <c r="C119" s="7">
        <v>44622</v>
      </c>
      <c r="D119" s="1" t="s">
        <v>221</v>
      </c>
      <c r="E119" s="1" t="s">
        <v>35</v>
      </c>
      <c r="F119" s="1" t="s">
        <v>15</v>
      </c>
      <c r="G119" s="1" t="s">
        <v>779</v>
      </c>
      <c r="H119" s="1" t="s">
        <v>222</v>
      </c>
      <c r="I119" s="1" t="s">
        <v>11</v>
      </c>
      <c r="J119" s="1">
        <v>787.53</v>
      </c>
      <c r="K119" s="1">
        <v>3</v>
      </c>
      <c r="L119" s="5">
        <f t="shared" si="1"/>
        <v>2362.59</v>
      </c>
    </row>
    <row r="120" spans="1:12" x14ac:dyDescent="0.25">
      <c r="A120" s="1" t="s">
        <v>837</v>
      </c>
      <c r="B120" s="1">
        <v>2022</v>
      </c>
      <c r="C120" s="7">
        <v>44656</v>
      </c>
      <c r="D120" s="1" t="s">
        <v>223</v>
      </c>
      <c r="E120" s="1" t="s">
        <v>224</v>
      </c>
      <c r="F120" s="1" t="s">
        <v>9</v>
      </c>
      <c r="G120" s="1" t="s">
        <v>344</v>
      </c>
      <c r="H120" s="1" t="s">
        <v>225</v>
      </c>
      <c r="I120" s="1" t="s">
        <v>17</v>
      </c>
      <c r="J120" s="1">
        <v>157.79400000000004</v>
      </c>
      <c r="K120" s="1">
        <v>1</v>
      </c>
      <c r="L120" s="5">
        <f t="shared" si="1"/>
        <v>157.79400000000004</v>
      </c>
    </row>
    <row r="121" spans="1:12" x14ac:dyDescent="0.25">
      <c r="A121" s="1" t="s">
        <v>838</v>
      </c>
      <c r="B121" s="1">
        <v>2023</v>
      </c>
      <c r="C121" s="7">
        <v>45089</v>
      </c>
      <c r="D121" s="1" t="s">
        <v>226</v>
      </c>
      <c r="E121" s="1" t="s">
        <v>227</v>
      </c>
      <c r="F121" s="1" t="s">
        <v>59</v>
      </c>
      <c r="G121" s="1" t="s">
        <v>774</v>
      </c>
      <c r="H121" s="1" t="s">
        <v>228</v>
      </c>
      <c r="I121" s="1" t="s">
        <v>11</v>
      </c>
      <c r="J121" s="1">
        <v>47.04</v>
      </c>
      <c r="K121" s="1">
        <v>3</v>
      </c>
      <c r="L121" s="5">
        <f t="shared" si="1"/>
        <v>141.12</v>
      </c>
    </row>
    <row r="122" spans="1:12" x14ac:dyDescent="0.25">
      <c r="A122" s="1" t="s">
        <v>838</v>
      </c>
      <c r="B122" s="1">
        <v>2023</v>
      </c>
      <c r="C122" s="7">
        <v>45089</v>
      </c>
      <c r="D122" s="1" t="s">
        <v>226</v>
      </c>
      <c r="E122" s="1" t="s">
        <v>227</v>
      </c>
      <c r="F122" s="1" t="s">
        <v>59</v>
      </c>
      <c r="G122" s="1" t="s">
        <v>774</v>
      </c>
      <c r="H122" s="1" t="s">
        <v>27</v>
      </c>
      <c r="I122" s="1" t="s">
        <v>17</v>
      </c>
      <c r="J122" s="1">
        <v>30.84</v>
      </c>
      <c r="K122" s="1">
        <v>4</v>
      </c>
      <c r="L122" s="5">
        <f t="shared" si="1"/>
        <v>123.36</v>
      </c>
    </row>
    <row r="123" spans="1:12" x14ac:dyDescent="0.25">
      <c r="A123" s="1" t="s">
        <v>838</v>
      </c>
      <c r="B123" s="1">
        <v>2023</v>
      </c>
      <c r="C123" s="7">
        <v>45089</v>
      </c>
      <c r="D123" s="1" t="s">
        <v>226</v>
      </c>
      <c r="E123" s="1" t="s">
        <v>227</v>
      </c>
      <c r="F123" s="1" t="s">
        <v>59</v>
      </c>
      <c r="G123" s="1" t="s">
        <v>774</v>
      </c>
      <c r="H123" s="1" t="s">
        <v>229</v>
      </c>
      <c r="I123" s="1" t="s">
        <v>17</v>
      </c>
      <c r="J123" s="1">
        <v>226.56</v>
      </c>
      <c r="K123" s="1">
        <v>6</v>
      </c>
      <c r="L123" s="5">
        <f t="shared" si="1"/>
        <v>1359.3600000000001</v>
      </c>
    </row>
    <row r="124" spans="1:12" x14ac:dyDescent="0.25">
      <c r="A124" s="1" t="s">
        <v>838</v>
      </c>
      <c r="B124" s="1">
        <v>2023</v>
      </c>
      <c r="C124" s="7">
        <v>45089</v>
      </c>
      <c r="D124" s="1" t="s">
        <v>226</v>
      </c>
      <c r="E124" s="1" t="s">
        <v>227</v>
      </c>
      <c r="F124" s="1" t="s">
        <v>59</v>
      </c>
      <c r="G124" s="1" t="s">
        <v>774</v>
      </c>
      <c r="H124" s="1" t="s">
        <v>230</v>
      </c>
      <c r="I124" s="1" t="s">
        <v>17</v>
      </c>
      <c r="J124" s="1">
        <v>115.02</v>
      </c>
      <c r="K124" s="1">
        <v>9</v>
      </c>
      <c r="L124" s="5">
        <f t="shared" si="1"/>
        <v>1035.18</v>
      </c>
    </row>
    <row r="125" spans="1:12" x14ac:dyDescent="0.25">
      <c r="A125" s="1" t="s">
        <v>838</v>
      </c>
      <c r="B125" s="1">
        <v>2023</v>
      </c>
      <c r="C125" s="7">
        <v>45089</v>
      </c>
      <c r="D125" s="1" t="s">
        <v>226</v>
      </c>
      <c r="E125" s="1" t="s">
        <v>227</v>
      </c>
      <c r="F125" s="1" t="s">
        <v>59</v>
      </c>
      <c r="G125" s="1" t="s">
        <v>774</v>
      </c>
      <c r="H125" s="1" t="s">
        <v>231</v>
      </c>
      <c r="I125" s="1" t="s">
        <v>26</v>
      </c>
      <c r="J125" s="1">
        <v>68.040000000000006</v>
      </c>
      <c r="K125" s="1">
        <v>7</v>
      </c>
      <c r="L125" s="5">
        <f t="shared" si="1"/>
        <v>476.28000000000003</v>
      </c>
    </row>
    <row r="126" spans="1:12" x14ac:dyDescent="0.25">
      <c r="A126" s="1" t="s">
        <v>839</v>
      </c>
      <c r="B126" s="1">
        <v>2022</v>
      </c>
      <c r="C126" s="7">
        <v>44921</v>
      </c>
      <c r="D126" s="1" t="s">
        <v>232</v>
      </c>
      <c r="E126" s="1" t="s">
        <v>75</v>
      </c>
      <c r="F126" s="1" t="s">
        <v>39</v>
      </c>
      <c r="G126" s="1" t="s">
        <v>785</v>
      </c>
      <c r="H126" s="1" t="s">
        <v>233</v>
      </c>
      <c r="I126" s="1" t="s">
        <v>11</v>
      </c>
      <c r="J126" s="1">
        <v>600.55799999999999</v>
      </c>
      <c r="K126" s="1">
        <v>3</v>
      </c>
      <c r="L126" s="5">
        <f t="shared" si="1"/>
        <v>1801.674</v>
      </c>
    </row>
    <row r="127" spans="1:12" x14ac:dyDescent="0.25">
      <c r="A127" s="1" t="s">
        <v>840</v>
      </c>
      <c r="B127" s="1">
        <v>2022</v>
      </c>
      <c r="C127" s="7">
        <v>44824</v>
      </c>
      <c r="D127" s="1" t="s">
        <v>234</v>
      </c>
      <c r="E127" s="1" t="s">
        <v>235</v>
      </c>
      <c r="F127" s="1" t="s">
        <v>39</v>
      </c>
      <c r="G127" s="1" t="s">
        <v>785</v>
      </c>
      <c r="H127" s="1" t="s">
        <v>236</v>
      </c>
      <c r="I127" s="1" t="s">
        <v>11</v>
      </c>
      <c r="J127" s="1">
        <v>617.70000000000005</v>
      </c>
      <c r="K127" s="1">
        <v>6</v>
      </c>
      <c r="L127" s="5">
        <f t="shared" si="1"/>
        <v>3706.2000000000003</v>
      </c>
    </row>
    <row r="128" spans="1:12" x14ac:dyDescent="0.25">
      <c r="A128" s="1" t="s">
        <v>841</v>
      </c>
      <c r="B128" s="1">
        <v>2023</v>
      </c>
      <c r="C128" s="7">
        <v>45235</v>
      </c>
      <c r="D128" s="1" t="s">
        <v>237</v>
      </c>
      <c r="E128" s="1" t="s">
        <v>238</v>
      </c>
      <c r="F128" s="1" t="s">
        <v>15</v>
      </c>
      <c r="G128" s="1" t="s">
        <v>779</v>
      </c>
      <c r="H128" s="1" t="s">
        <v>239</v>
      </c>
      <c r="I128" s="1" t="s">
        <v>17</v>
      </c>
      <c r="J128" s="1">
        <v>2.3880000000000003</v>
      </c>
      <c r="K128" s="1">
        <v>2</v>
      </c>
      <c r="L128" s="5">
        <f t="shared" si="1"/>
        <v>4.7760000000000007</v>
      </c>
    </row>
    <row r="129" spans="1:12" x14ac:dyDescent="0.25">
      <c r="A129" s="1" t="s">
        <v>841</v>
      </c>
      <c r="B129" s="1">
        <v>2023</v>
      </c>
      <c r="C129" s="7">
        <v>45235</v>
      </c>
      <c r="D129" s="1" t="s">
        <v>237</v>
      </c>
      <c r="E129" s="1" t="s">
        <v>238</v>
      </c>
      <c r="F129" s="1" t="s">
        <v>15</v>
      </c>
      <c r="G129" s="1" t="s">
        <v>779</v>
      </c>
      <c r="H129" s="1" t="s">
        <v>240</v>
      </c>
      <c r="I129" s="1" t="s">
        <v>17</v>
      </c>
      <c r="J129" s="1">
        <v>243.99200000000002</v>
      </c>
      <c r="K129" s="1">
        <v>7</v>
      </c>
      <c r="L129" s="5">
        <f t="shared" si="1"/>
        <v>1707.9440000000002</v>
      </c>
    </row>
    <row r="130" spans="1:12" x14ac:dyDescent="0.25">
      <c r="A130" s="1" t="s">
        <v>842</v>
      </c>
      <c r="B130" s="1">
        <v>2023</v>
      </c>
      <c r="C130" s="7">
        <v>45236</v>
      </c>
      <c r="D130" s="1" t="s">
        <v>241</v>
      </c>
      <c r="E130" s="1" t="s">
        <v>14</v>
      </c>
      <c r="F130" s="1" t="s">
        <v>15</v>
      </c>
      <c r="G130" s="1" t="s">
        <v>779</v>
      </c>
      <c r="H130" s="1" t="s">
        <v>130</v>
      </c>
      <c r="I130" s="1" t="s">
        <v>11</v>
      </c>
      <c r="J130" s="1">
        <v>81.424000000000007</v>
      </c>
      <c r="K130" s="1">
        <v>2</v>
      </c>
      <c r="L130" s="5">
        <f t="shared" si="1"/>
        <v>162.84800000000001</v>
      </c>
    </row>
    <row r="131" spans="1:12" x14ac:dyDescent="0.25">
      <c r="A131" s="1" t="s">
        <v>842</v>
      </c>
      <c r="B131" s="1">
        <v>2023</v>
      </c>
      <c r="C131" s="7">
        <v>45236</v>
      </c>
      <c r="D131" s="1" t="s">
        <v>241</v>
      </c>
      <c r="E131" s="1" t="s">
        <v>14</v>
      </c>
      <c r="F131" s="1" t="s">
        <v>15</v>
      </c>
      <c r="G131" s="1" t="s">
        <v>779</v>
      </c>
      <c r="H131" s="1" t="s">
        <v>242</v>
      </c>
      <c r="I131" s="1" t="s">
        <v>11</v>
      </c>
      <c r="J131" s="1">
        <v>238.56</v>
      </c>
      <c r="K131" s="1">
        <v>3</v>
      </c>
      <c r="L131" s="5">
        <f t="shared" ref="L131:L194" si="2">J131*K131</f>
        <v>715.68000000000006</v>
      </c>
    </row>
    <row r="132" spans="1:12" x14ac:dyDescent="0.25">
      <c r="A132" s="1" t="s">
        <v>843</v>
      </c>
      <c r="B132" s="1">
        <v>2023</v>
      </c>
      <c r="C132" s="7">
        <v>44959</v>
      </c>
      <c r="D132" s="1" t="s">
        <v>243</v>
      </c>
      <c r="E132" s="1" t="s">
        <v>216</v>
      </c>
      <c r="F132" s="1" t="s">
        <v>59</v>
      </c>
      <c r="G132" s="1" t="s">
        <v>774</v>
      </c>
      <c r="H132" s="1" t="s">
        <v>244</v>
      </c>
      <c r="I132" s="1" t="s">
        <v>26</v>
      </c>
      <c r="J132" s="1">
        <v>59.969999999999992</v>
      </c>
      <c r="K132" s="1">
        <v>5</v>
      </c>
      <c r="L132" s="5">
        <f t="shared" si="2"/>
        <v>299.84999999999997</v>
      </c>
    </row>
    <row r="133" spans="1:12" x14ac:dyDescent="0.25">
      <c r="A133" s="1" t="s">
        <v>843</v>
      </c>
      <c r="B133" s="1">
        <v>2023</v>
      </c>
      <c r="C133" s="7">
        <v>44959</v>
      </c>
      <c r="D133" s="1" t="s">
        <v>243</v>
      </c>
      <c r="E133" s="1" t="s">
        <v>216</v>
      </c>
      <c r="F133" s="1" t="s">
        <v>59</v>
      </c>
      <c r="G133" s="1" t="s">
        <v>774</v>
      </c>
      <c r="H133" s="1" t="s">
        <v>245</v>
      </c>
      <c r="I133" s="1" t="s">
        <v>17</v>
      </c>
      <c r="J133" s="1">
        <v>78.304000000000002</v>
      </c>
      <c r="K133" s="1">
        <v>2</v>
      </c>
      <c r="L133" s="5">
        <f t="shared" si="2"/>
        <v>156.608</v>
      </c>
    </row>
    <row r="134" spans="1:12" x14ac:dyDescent="0.25">
      <c r="A134" s="1" t="s">
        <v>843</v>
      </c>
      <c r="B134" s="1">
        <v>2023</v>
      </c>
      <c r="C134" s="7">
        <v>44959</v>
      </c>
      <c r="D134" s="1" t="s">
        <v>243</v>
      </c>
      <c r="E134" s="1" t="s">
        <v>216</v>
      </c>
      <c r="F134" s="1" t="s">
        <v>59</v>
      </c>
      <c r="G134" s="1" t="s">
        <v>774</v>
      </c>
      <c r="H134" s="1" t="s">
        <v>246</v>
      </c>
      <c r="I134" s="1" t="s">
        <v>17</v>
      </c>
      <c r="J134" s="1">
        <v>21.456</v>
      </c>
      <c r="K134" s="1">
        <v>9</v>
      </c>
      <c r="L134" s="5">
        <f t="shared" si="2"/>
        <v>193.10399999999998</v>
      </c>
    </row>
    <row r="135" spans="1:12" x14ac:dyDescent="0.25">
      <c r="A135" s="1" t="s">
        <v>844</v>
      </c>
      <c r="B135" s="1">
        <v>2023</v>
      </c>
      <c r="C135" s="7">
        <v>45212</v>
      </c>
      <c r="D135" s="1" t="s">
        <v>247</v>
      </c>
      <c r="E135" s="1" t="s">
        <v>248</v>
      </c>
      <c r="F135" s="1" t="s">
        <v>15</v>
      </c>
      <c r="G135" s="1" t="s">
        <v>779</v>
      </c>
      <c r="H135" s="1" t="s">
        <v>249</v>
      </c>
      <c r="I135" s="1" t="s">
        <v>17</v>
      </c>
      <c r="J135" s="1">
        <v>20.04</v>
      </c>
      <c r="K135" s="1">
        <v>3</v>
      </c>
      <c r="L135" s="5">
        <f t="shared" si="2"/>
        <v>60.12</v>
      </c>
    </row>
    <row r="136" spans="1:12" x14ac:dyDescent="0.25">
      <c r="A136" s="1" t="s">
        <v>844</v>
      </c>
      <c r="B136" s="1">
        <v>2023</v>
      </c>
      <c r="C136" s="7">
        <v>45212</v>
      </c>
      <c r="D136" s="1" t="s">
        <v>247</v>
      </c>
      <c r="E136" s="1" t="s">
        <v>248</v>
      </c>
      <c r="F136" s="1" t="s">
        <v>15</v>
      </c>
      <c r="G136" s="1" t="s">
        <v>779</v>
      </c>
      <c r="H136" s="1" t="s">
        <v>250</v>
      </c>
      <c r="I136" s="1" t="s">
        <v>17</v>
      </c>
      <c r="J136" s="1">
        <v>35.44</v>
      </c>
      <c r="K136" s="1">
        <v>1</v>
      </c>
      <c r="L136" s="5">
        <f t="shared" si="2"/>
        <v>35.44</v>
      </c>
    </row>
    <row r="137" spans="1:12" x14ac:dyDescent="0.25">
      <c r="A137" s="1" t="s">
        <v>844</v>
      </c>
      <c r="B137" s="1">
        <v>2023</v>
      </c>
      <c r="C137" s="7">
        <v>45212</v>
      </c>
      <c r="D137" s="1" t="s">
        <v>247</v>
      </c>
      <c r="E137" s="1" t="s">
        <v>248</v>
      </c>
      <c r="F137" s="1" t="s">
        <v>15</v>
      </c>
      <c r="G137" s="1" t="s">
        <v>779</v>
      </c>
      <c r="H137" s="1" t="s">
        <v>251</v>
      </c>
      <c r="I137" s="1" t="s">
        <v>17</v>
      </c>
      <c r="J137" s="1">
        <v>11.52</v>
      </c>
      <c r="K137" s="1">
        <v>4</v>
      </c>
      <c r="L137" s="5">
        <f t="shared" si="2"/>
        <v>46.08</v>
      </c>
    </row>
    <row r="138" spans="1:12" x14ac:dyDescent="0.25">
      <c r="A138" s="1" t="s">
        <v>844</v>
      </c>
      <c r="B138" s="1">
        <v>2023</v>
      </c>
      <c r="C138" s="7">
        <v>45212</v>
      </c>
      <c r="D138" s="1" t="s">
        <v>247</v>
      </c>
      <c r="E138" s="1" t="s">
        <v>248</v>
      </c>
      <c r="F138" s="1" t="s">
        <v>15</v>
      </c>
      <c r="G138" s="1" t="s">
        <v>779</v>
      </c>
      <c r="H138" s="1" t="s">
        <v>252</v>
      </c>
      <c r="I138" s="1" t="s">
        <v>17</v>
      </c>
      <c r="J138" s="1">
        <v>4.0199999999999996</v>
      </c>
      <c r="K138" s="1">
        <v>2</v>
      </c>
      <c r="L138" s="5">
        <f t="shared" si="2"/>
        <v>8.0399999999999991</v>
      </c>
    </row>
    <row r="139" spans="1:12" x14ac:dyDescent="0.25">
      <c r="A139" s="1" t="s">
        <v>844</v>
      </c>
      <c r="B139" s="1">
        <v>2023</v>
      </c>
      <c r="C139" s="7">
        <v>45212</v>
      </c>
      <c r="D139" s="1" t="s">
        <v>247</v>
      </c>
      <c r="E139" s="1" t="s">
        <v>248</v>
      </c>
      <c r="F139" s="1" t="s">
        <v>15</v>
      </c>
      <c r="G139" s="1" t="s">
        <v>779</v>
      </c>
      <c r="H139" s="1" t="s">
        <v>253</v>
      </c>
      <c r="I139" s="1" t="s">
        <v>17</v>
      </c>
      <c r="J139" s="1">
        <v>76.176000000000002</v>
      </c>
      <c r="K139" s="1">
        <v>3</v>
      </c>
      <c r="L139" s="5">
        <f t="shared" si="2"/>
        <v>228.52800000000002</v>
      </c>
    </row>
    <row r="140" spans="1:12" x14ac:dyDescent="0.25">
      <c r="A140" s="1" t="s">
        <v>844</v>
      </c>
      <c r="B140" s="1">
        <v>2023</v>
      </c>
      <c r="C140" s="7">
        <v>45212</v>
      </c>
      <c r="D140" s="1" t="s">
        <v>247</v>
      </c>
      <c r="E140" s="1" t="s">
        <v>248</v>
      </c>
      <c r="F140" s="1" t="s">
        <v>15</v>
      </c>
      <c r="G140" s="1" t="s">
        <v>779</v>
      </c>
      <c r="H140" s="1" t="s">
        <v>254</v>
      </c>
      <c r="I140" s="1" t="s">
        <v>17</v>
      </c>
      <c r="J140" s="1">
        <v>65.88</v>
      </c>
      <c r="K140" s="1">
        <v>6</v>
      </c>
      <c r="L140" s="5">
        <f t="shared" si="2"/>
        <v>395.28</v>
      </c>
    </row>
    <row r="141" spans="1:12" x14ac:dyDescent="0.25">
      <c r="A141" s="1" t="s">
        <v>844</v>
      </c>
      <c r="B141" s="1">
        <v>2023</v>
      </c>
      <c r="C141" s="7">
        <v>45212</v>
      </c>
      <c r="D141" s="1" t="s">
        <v>247</v>
      </c>
      <c r="E141" s="1" t="s">
        <v>248</v>
      </c>
      <c r="F141" s="1" t="s">
        <v>15</v>
      </c>
      <c r="G141" s="1" t="s">
        <v>779</v>
      </c>
      <c r="H141" s="1" t="s">
        <v>109</v>
      </c>
      <c r="I141" s="1" t="s">
        <v>11</v>
      </c>
      <c r="J141" s="1">
        <v>43.120000000000005</v>
      </c>
      <c r="K141" s="1">
        <v>14</v>
      </c>
      <c r="L141" s="5">
        <f t="shared" si="2"/>
        <v>603.68000000000006</v>
      </c>
    </row>
    <row r="142" spans="1:12" x14ac:dyDescent="0.25">
      <c r="A142" s="1" t="s">
        <v>845</v>
      </c>
      <c r="B142" s="1">
        <v>2023</v>
      </c>
      <c r="C142" s="7">
        <v>45174</v>
      </c>
      <c r="D142" s="1" t="s">
        <v>255</v>
      </c>
      <c r="E142" s="1" t="s">
        <v>58</v>
      </c>
      <c r="F142" s="1" t="s">
        <v>59</v>
      </c>
      <c r="G142" s="1" t="s">
        <v>774</v>
      </c>
      <c r="H142" s="1" t="s">
        <v>69</v>
      </c>
      <c r="I142" s="1" t="s">
        <v>11</v>
      </c>
      <c r="J142" s="1">
        <v>82.800000000000011</v>
      </c>
      <c r="K142" s="1">
        <v>2</v>
      </c>
      <c r="L142" s="5">
        <f t="shared" si="2"/>
        <v>165.60000000000002</v>
      </c>
    </row>
    <row r="143" spans="1:12" x14ac:dyDescent="0.25">
      <c r="A143" s="1" t="s">
        <v>846</v>
      </c>
      <c r="B143" s="1">
        <v>2023</v>
      </c>
      <c r="C143" s="7">
        <v>45187</v>
      </c>
      <c r="D143" s="1" t="s">
        <v>256</v>
      </c>
      <c r="E143" s="1" t="s">
        <v>49</v>
      </c>
      <c r="F143" s="1" t="s">
        <v>15</v>
      </c>
      <c r="G143" s="1" t="s">
        <v>779</v>
      </c>
      <c r="H143" s="1" t="s">
        <v>257</v>
      </c>
      <c r="I143" s="1" t="s">
        <v>17</v>
      </c>
      <c r="J143" s="1">
        <v>8.82</v>
      </c>
      <c r="K143" s="1">
        <v>3</v>
      </c>
      <c r="L143" s="5">
        <f t="shared" si="2"/>
        <v>26.46</v>
      </c>
    </row>
    <row r="144" spans="1:12" x14ac:dyDescent="0.25">
      <c r="A144" s="1" t="s">
        <v>846</v>
      </c>
      <c r="B144" s="1">
        <v>2023</v>
      </c>
      <c r="C144" s="7">
        <v>45187</v>
      </c>
      <c r="D144" s="1" t="s">
        <v>256</v>
      </c>
      <c r="E144" s="1" t="s">
        <v>49</v>
      </c>
      <c r="F144" s="1" t="s">
        <v>15</v>
      </c>
      <c r="G144" s="1" t="s">
        <v>779</v>
      </c>
      <c r="H144" s="1" t="s">
        <v>258</v>
      </c>
      <c r="I144" s="1" t="s">
        <v>17</v>
      </c>
      <c r="J144" s="1">
        <v>10.86</v>
      </c>
      <c r="K144" s="1">
        <v>3</v>
      </c>
      <c r="L144" s="5">
        <f t="shared" si="2"/>
        <v>32.58</v>
      </c>
    </row>
    <row r="145" spans="1:12" x14ac:dyDescent="0.25">
      <c r="A145" s="1" t="s">
        <v>846</v>
      </c>
      <c r="B145" s="1">
        <v>2023</v>
      </c>
      <c r="C145" s="7">
        <v>45187</v>
      </c>
      <c r="D145" s="1" t="s">
        <v>256</v>
      </c>
      <c r="E145" s="1" t="s">
        <v>49</v>
      </c>
      <c r="F145" s="1" t="s">
        <v>15</v>
      </c>
      <c r="G145" s="1" t="s">
        <v>779</v>
      </c>
      <c r="H145" s="1" t="s">
        <v>259</v>
      </c>
      <c r="I145" s="1" t="s">
        <v>17</v>
      </c>
      <c r="J145" s="1">
        <v>143.69999999999999</v>
      </c>
      <c r="K145" s="1">
        <v>3</v>
      </c>
      <c r="L145" s="5">
        <f t="shared" si="2"/>
        <v>431.09999999999997</v>
      </c>
    </row>
    <row r="146" spans="1:12" x14ac:dyDescent="0.25">
      <c r="A146" s="1" t="s">
        <v>847</v>
      </c>
      <c r="B146" s="1">
        <v>2023</v>
      </c>
      <c r="C146" s="7">
        <v>45282</v>
      </c>
      <c r="D146" s="1" t="s">
        <v>260</v>
      </c>
      <c r="E146" s="1" t="s">
        <v>261</v>
      </c>
      <c r="F146" s="1" t="s">
        <v>39</v>
      </c>
      <c r="G146" s="1" t="s">
        <v>785</v>
      </c>
      <c r="H146" s="1" t="s">
        <v>262</v>
      </c>
      <c r="I146" s="1" t="s">
        <v>17</v>
      </c>
      <c r="J146" s="1">
        <v>839.43000000000006</v>
      </c>
      <c r="K146" s="1">
        <v>3</v>
      </c>
      <c r="L146" s="5">
        <f t="shared" si="2"/>
        <v>2518.29</v>
      </c>
    </row>
    <row r="147" spans="1:12" x14ac:dyDescent="0.25">
      <c r="A147" s="1" t="s">
        <v>848</v>
      </c>
      <c r="B147" s="1">
        <v>2022</v>
      </c>
      <c r="C147" s="7">
        <v>44811</v>
      </c>
      <c r="D147" s="1" t="s">
        <v>263</v>
      </c>
      <c r="E147" s="1" t="s">
        <v>264</v>
      </c>
      <c r="F147" s="1" t="s">
        <v>15</v>
      </c>
      <c r="G147" s="1" t="s">
        <v>779</v>
      </c>
      <c r="H147" s="1" t="s">
        <v>163</v>
      </c>
      <c r="I147" s="1" t="s">
        <v>17</v>
      </c>
      <c r="J147" s="1">
        <v>671.93</v>
      </c>
      <c r="K147" s="1">
        <v>7</v>
      </c>
      <c r="L147" s="5">
        <f t="shared" si="2"/>
        <v>4703.5099999999993</v>
      </c>
    </row>
    <row r="148" spans="1:12" x14ac:dyDescent="0.25">
      <c r="A148" s="1" t="s">
        <v>849</v>
      </c>
      <c r="B148" s="1">
        <v>2022</v>
      </c>
      <c r="C148" s="7">
        <v>44856</v>
      </c>
      <c r="D148" s="1" t="s">
        <v>265</v>
      </c>
      <c r="E148" s="1" t="s">
        <v>266</v>
      </c>
      <c r="F148" s="1" t="s">
        <v>59</v>
      </c>
      <c r="G148" s="1" t="s">
        <v>774</v>
      </c>
      <c r="H148" s="1" t="s">
        <v>267</v>
      </c>
      <c r="I148" s="1" t="s">
        <v>11</v>
      </c>
      <c r="J148" s="1">
        <v>93.888000000000005</v>
      </c>
      <c r="K148" s="1">
        <v>4</v>
      </c>
      <c r="L148" s="5">
        <f t="shared" si="2"/>
        <v>375.55200000000002</v>
      </c>
    </row>
    <row r="149" spans="1:12" x14ac:dyDescent="0.25">
      <c r="A149" s="1" t="s">
        <v>850</v>
      </c>
      <c r="B149" s="1">
        <v>2023</v>
      </c>
      <c r="C149" s="7">
        <v>45265</v>
      </c>
      <c r="D149" s="1" t="s">
        <v>268</v>
      </c>
      <c r="E149" s="1" t="s">
        <v>269</v>
      </c>
      <c r="F149" s="1" t="s">
        <v>39</v>
      </c>
      <c r="G149" s="1" t="s">
        <v>785</v>
      </c>
      <c r="H149" s="1" t="s">
        <v>270</v>
      </c>
      <c r="I149" s="1" t="s">
        <v>26</v>
      </c>
      <c r="J149" s="1">
        <v>384.45000000000005</v>
      </c>
      <c r="K149" s="1">
        <v>11</v>
      </c>
      <c r="L149" s="5">
        <f t="shared" si="2"/>
        <v>4228.9500000000007</v>
      </c>
    </row>
    <row r="150" spans="1:12" x14ac:dyDescent="0.25">
      <c r="A150" s="1" t="s">
        <v>850</v>
      </c>
      <c r="B150" s="1">
        <v>2023</v>
      </c>
      <c r="C150" s="7">
        <v>45265</v>
      </c>
      <c r="D150" s="1" t="s">
        <v>268</v>
      </c>
      <c r="E150" s="1" t="s">
        <v>269</v>
      </c>
      <c r="F150" s="1" t="s">
        <v>39</v>
      </c>
      <c r="G150" s="1" t="s">
        <v>785</v>
      </c>
      <c r="H150" s="1" t="s">
        <v>271</v>
      </c>
      <c r="I150" s="1" t="s">
        <v>26</v>
      </c>
      <c r="J150" s="1">
        <v>149.97</v>
      </c>
      <c r="K150" s="1">
        <v>3</v>
      </c>
      <c r="L150" s="5">
        <f t="shared" si="2"/>
        <v>449.90999999999997</v>
      </c>
    </row>
    <row r="151" spans="1:12" x14ac:dyDescent="0.25">
      <c r="A151" s="1" t="s">
        <v>850</v>
      </c>
      <c r="B151" s="1">
        <v>2023</v>
      </c>
      <c r="C151" s="7">
        <v>45265</v>
      </c>
      <c r="D151" s="1" t="s">
        <v>268</v>
      </c>
      <c r="E151" s="1" t="s">
        <v>269</v>
      </c>
      <c r="F151" s="1" t="s">
        <v>39</v>
      </c>
      <c r="G151" s="1" t="s">
        <v>785</v>
      </c>
      <c r="H151" s="1" t="s">
        <v>12</v>
      </c>
      <c r="I151" s="1" t="s">
        <v>11</v>
      </c>
      <c r="J151" s="1">
        <v>1951.84</v>
      </c>
      <c r="K151" s="1">
        <v>8</v>
      </c>
      <c r="L151" s="5">
        <f t="shared" si="2"/>
        <v>15614.72</v>
      </c>
    </row>
    <row r="152" spans="1:12" x14ac:dyDescent="0.25">
      <c r="A152" s="1" t="s">
        <v>850</v>
      </c>
      <c r="B152" s="1">
        <v>2023</v>
      </c>
      <c r="C152" s="7">
        <v>45265</v>
      </c>
      <c r="D152" s="1" t="s">
        <v>268</v>
      </c>
      <c r="E152" s="1" t="s">
        <v>269</v>
      </c>
      <c r="F152" s="1" t="s">
        <v>39</v>
      </c>
      <c r="G152" s="1" t="s">
        <v>785</v>
      </c>
      <c r="H152" s="1" t="s">
        <v>272</v>
      </c>
      <c r="I152" s="1" t="s">
        <v>17</v>
      </c>
      <c r="J152" s="1">
        <v>171.55</v>
      </c>
      <c r="K152" s="1">
        <v>5</v>
      </c>
      <c r="L152" s="5">
        <f t="shared" si="2"/>
        <v>857.75</v>
      </c>
    </row>
    <row r="153" spans="1:12" x14ac:dyDescent="0.25">
      <c r="A153" s="1" t="s">
        <v>851</v>
      </c>
      <c r="B153" s="1">
        <v>2023</v>
      </c>
      <c r="C153" s="7">
        <v>44998</v>
      </c>
      <c r="D153" s="1" t="s">
        <v>273</v>
      </c>
      <c r="E153" s="1" t="s">
        <v>274</v>
      </c>
      <c r="F153" s="1" t="s">
        <v>15</v>
      </c>
      <c r="G153" s="1" t="s">
        <v>779</v>
      </c>
      <c r="H153" s="1" t="s">
        <v>275</v>
      </c>
      <c r="I153" s="1" t="s">
        <v>17</v>
      </c>
      <c r="J153" s="1">
        <v>157.91999999999999</v>
      </c>
      <c r="K153" s="1">
        <v>5</v>
      </c>
      <c r="L153" s="5">
        <f t="shared" si="2"/>
        <v>789.59999999999991</v>
      </c>
    </row>
    <row r="154" spans="1:12" x14ac:dyDescent="0.25">
      <c r="A154" s="1" t="s">
        <v>851</v>
      </c>
      <c r="B154" s="1">
        <v>2023</v>
      </c>
      <c r="C154" s="7">
        <v>44998</v>
      </c>
      <c r="D154" s="1" t="s">
        <v>273</v>
      </c>
      <c r="E154" s="1" t="s">
        <v>274</v>
      </c>
      <c r="F154" s="1" t="s">
        <v>15</v>
      </c>
      <c r="G154" s="1" t="s">
        <v>779</v>
      </c>
      <c r="H154" s="1" t="s">
        <v>276</v>
      </c>
      <c r="I154" s="1" t="s">
        <v>26</v>
      </c>
      <c r="J154" s="1">
        <v>203.184</v>
      </c>
      <c r="K154" s="1">
        <v>2</v>
      </c>
      <c r="L154" s="5">
        <f t="shared" si="2"/>
        <v>406.36799999999999</v>
      </c>
    </row>
    <row r="155" spans="1:12" x14ac:dyDescent="0.25">
      <c r="A155" s="1" t="s">
        <v>852</v>
      </c>
      <c r="B155" s="1">
        <v>2022</v>
      </c>
      <c r="C155" s="7">
        <v>44712</v>
      </c>
      <c r="D155" s="1" t="s">
        <v>277</v>
      </c>
      <c r="E155" s="1" t="s">
        <v>278</v>
      </c>
      <c r="F155" s="1" t="s">
        <v>15</v>
      </c>
      <c r="G155" s="1" t="s">
        <v>779</v>
      </c>
      <c r="H155" s="1" t="s">
        <v>279</v>
      </c>
      <c r="I155" s="1" t="s">
        <v>17</v>
      </c>
      <c r="J155" s="1">
        <v>58.379999999999995</v>
      </c>
      <c r="K155" s="1">
        <v>7</v>
      </c>
      <c r="L155" s="5">
        <f t="shared" si="2"/>
        <v>408.65999999999997</v>
      </c>
    </row>
    <row r="156" spans="1:12" x14ac:dyDescent="0.25">
      <c r="A156" s="1" t="s">
        <v>852</v>
      </c>
      <c r="B156" s="1">
        <v>2022</v>
      </c>
      <c r="C156" s="7">
        <v>44712</v>
      </c>
      <c r="D156" s="1" t="s">
        <v>277</v>
      </c>
      <c r="E156" s="1" t="s">
        <v>278</v>
      </c>
      <c r="F156" s="1" t="s">
        <v>15</v>
      </c>
      <c r="G156" s="1" t="s">
        <v>779</v>
      </c>
      <c r="H156" s="1" t="s">
        <v>280</v>
      </c>
      <c r="I156" s="1" t="s">
        <v>17</v>
      </c>
      <c r="J156" s="1">
        <v>105.52</v>
      </c>
      <c r="K156" s="1">
        <v>4</v>
      </c>
      <c r="L156" s="5">
        <f t="shared" si="2"/>
        <v>422.08</v>
      </c>
    </row>
    <row r="157" spans="1:12" x14ac:dyDescent="0.25">
      <c r="A157" s="1" t="s">
        <v>852</v>
      </c>
      <c r="B157" s="1">
        <v>2022</v>
      </c>
      <c r="C157" s="7">
        <v>44712</v>
      </c>
      <c r="D157" s="1" t="s">
        <v>277</v>
      </c>
      <c r="E157" s="1" t="s">
        <v>278</v>
      </c>
      <c r="F157" s="1" t="s">
        <v>15</v>
      </c>
      <c r="G157" s="1" t="s">
        <v>779</v>
      </c>
      <c r="H157" s="1" t="s">
        <v>281</v>
      </c>
      <c r="I157" s="1" t="s">
        <v>17</v>
      </c>
      <c r="J157" s="1">
        <v>80.88</v>
      </c>
      <c r="K157" s="1">
        <v>6</v>
      </c>
      <c r="L157" s="5">
        <f t="shared" si="2"/>
        <v>485.28</v>
      </c>
    </row>
    <row r="158" spans="1:12" x14ac:dyDescent="0.25">
      <c r="A158" s="1" t="s">
        <v>853</v>
      </c>
      <c r="B158" s="1">
        <v>2022</v>
      </c>
      <c r="C158" s="7">
        <v>44709</v>
      </c>
      <c r="D158" s="1" t="s">
        <v>282</v>
      </c>
      <c r="E158" s="1" t="s">
        <v>35</v>
      </c>
      <c r="F158" s="1" t="s">
        <v>15</v>
      </c>
      <c r="G158" s="1" t="s">
        <v>779</v>
      </c>
      <c r="H158" s="1" t="s">
        <v>283</v>
      </c>
      <c r="I158" s="1" t="s">
        <v>17</v>
      </c>
      <c r="J158" s="1">
        <v>6.63</v>
      </c>
      <c r="K158" s="1">
        <v>3</v>
      </c>
      <c r="L158" s="5">
        <f t="shared" si="2"/>
        <v>19.89</v>
      </c>
    </row>
    <row r="159" spans="1:12" x14ac:dyDescent="0.25">
      <c r="A159" s="1" t="s">
        <v>854</v>
      </c>
      <c r="B159" s="1">
        <v>2022</v>
      </c>
      <c r="C159" s="7">
        <v>44621</v>
      </c>
      <c r="D159" s="1" t="s">
        <v>284</v>
      </c>
      <c r="E159" s="1" t="s">
        <v>35</v>
      </c>
      <c r="F159" s="1" t="s">
        <v>15</v>
      </c>
      <c r="G159" s="1" t="s">
        <v>779</v>
      </c>
      <c r="H159" s="1" t="s">
        <v>233</v>
      </c>
      <c r="I159" s="1" t="s">
        <v>11</v>
      </c>
      <c r="J159" s="1">
        <v>457.56800000000004</v>
      </c>
      <c r="K159" s="1">
        <v>2</v>
      </c>
      <c r="L159" s="5">
        <f t="shared" si="2"/>
        <v>915.13600000000008</v>
      </c>
    </row>
    <row r="160" spans="1:12" x14ac:dyDescent="0.25">
      <c r="A160" s="1" t="s">
        <v>855</v>
      </c>
      <c r="B160" s="1">
        <v>2023</v>
      </c>
      <c r="C160" s="7">
        <v>45250</v>
      </c>
      <c r="D160" s="1" t="s">
        <v>285</v>
      </c>
      <c r="E160" s="1" t="s">
        <v>286</v>
      </c>
      <c r="F160" s="1" t="s">
        <v>39</v>
      </c>
      <c r="G160" s="1" t="s">
        <v>785</v>
      </c>
      <c r="H160" s="1" t="s">
        <v>287</v>
      </c>
      <c r="I160" s="1" t="s">
        <v>17</v>
      </c>
      <c r="J160" s="1">
        <v>14.62</v>
      </c>
      <c r="K160" s="1">
        <v>2</v>
      </c>
      <c r="L160" s="5">
        <f t="shared" si="2"/>
        <v>29.24</v>
      </c>
    </row>
    <row r="161" spans="1:12" x14ac:dyDescent="0.25">
      <c r="A161" s="1" t="s">
        <v>855</v>
      </c>
      <c r="B161" s="1">
        <v>2023</v>
      </c>
      <c r="C161" s="7">
        <v>45250</v>
      </c>
      <c r="D161" s="1" t="s">
        <v>285</v>
      </c>
      <c r="E161" s="1" t="s">
        <v>286</v>
      </c>
      <c r="F161" s="1" t="s">
        <v>39</v>
      </c>
      <c r="G161" s="1" t="s">
        <v>785</v>
      </c>
      <c r="H161" s="1" t="s">
        <v>288</v>
      </c>
      <c r="I161" s="1" t="s">
        <v>26</v>
      </c>
      <c r="J161" s="1">
        <v>944.93000000000006</v>
      </c>
      <c r="K161" s="1">
        <v>7</v>
      </c>
      <c r="L161" s="5">
        <f t="shared" si="2"/>
        <v>6614.51</v>
      </c>
    </row>
    <row r="162" spans="1:12" x14ac:dyDescent="0.25">
      <c r="A162" s="1" t="s">
        <v>856</v>
      </c>
      <c r="B162" s="1">
        <v>2023</v>
      </c>
      <c r="C162" s="7">
        <v>45057</v>
      </c>
      <c r="D162" s="1" t="s">
        <v>289</v>
      </c>
      <c r="E162" s="1" t="s">
        <v>14</v>
      </c>
      <c r="F162" s="1" t="s">
        <v>15</v>
      </c>
      <c r="G162" s="1" t="s">
        <v>779</v>
      </c>
      <c r="H162" s="1" t="s">
        <v>290</v>
      </c>
      <c r="I162" s="1" t="s">
        <v>17</v>
      </c>
      <c r="J162" s="1">
        <v>5.98</v>
      </c>
      <c r="K162" s="1">
        <v>1</v>
      </c>
      <c r="L162" s="5">
        <f t="shared" si="2"/>
        <v>5.98</v>
      </c>
    </row>
    <row r="163" spans="1:12" x14ac:dyDescent="0.25">
      <c r="A163" s="1" t="s">
        <v>857</v>
      </c>
      <c r="B163" s="1">
        <v>2022</v>
      </c>
      <c r="C163" s="7">
        <v>44923</v>
      </c>
      <c r="D163" s="1" t="s">
        <v>291</v>
      </c>
      <c r="E163" s="1" t="s">
        <v>58</v>
      </c>
      <c r="F163" s="1" t="s">
        <v>59</v>
      </c>
      <c r="G163" s="1" t="s">
        <v>774</v>
      </c>
      <c r="H163" s="1" t="s">
        <v>292</v>
      </c>
      <c r="I163" s="1" t="s">
        <v>26</v>
      </c>
      <c r="J163" s="1">
        <v>54.384000000000007</v>
      </c>
      <c r="K163" s="1">
        <v>2</v>
      </c>
      <c r="L163" s="5">
        <f t="shared" si="2"/>
        <v>108.76800000000001</v>
      </c>
    </row>
    <row r="164" spans="1:12" x14ac:dyDescent="0.25">
      <c r="A164" s="1" t="s">
        <v>858</v>
      </c>
      <c r="B164" s="1">
        <v>2023</v>
      </c>
      <c r="C164" s="7">
        <v>45246</v>
      </c>
      <c r="D164" s="1" t="s">
        <v>293</v>
      </c>
      <c r="E164" s="1" t="s">
        <v>294</v>
      </c>
      <c r="F164" s="1" t="s">
        <v>15</v>
      </c>
      <c r="G164" s="1" t="s">
        <v>779</v>
      </c>
      <c r="H164" s="1" t="s">
        <v>295</v>
      </c>
      <c r="I164" s="1" t="s">
        <v>17</v>
      </c>
      <c r="J164" s="1">
        <v>28.4</v>
      </c>
      <c r="K164" s="1">
        <v>5</v>
      </c>
      <c r="L164" s="5">
        <f t="shared" si="2"/>
        <v>142</v>
      </c>
    </row>
    <row r="165" spans="1:12" x14ac:dyDescent="0.25">
      <c r="A165" s="1" t="s">
        <v>859</v>
      </c>
      <c r="B165" s="1">
        <v>2023</v>
      </c>
      <c r="C165" s="7">
        <v>45237</v>
      </c>
      <c r="D165" s="1" t="s">
        <v>296</v>
      </c>
      <c r="E165" s="1" t="s">
        <v>35</v>
      </c>
      <c r="F165" s="1" t="s">
        <v>15</v>
      </c>
      <c r="G165" s="1" t="s">
        <v>779</v>
      </c>
      <c r="H165" s="1" t="s">
        <v>297</v>
      </c>
      <c r="I165" s="1" t="s">
        <v>17</v>
      </c>
      <c r="J165" s="1">
        <v>27.680000000000003</v>
      </c>
      <c r="K165" s="1">
        <v>2</v>
      </c>
      <c r="L165" s="5">
        <f t="shared" si="2"/>
        <v>55.360000000000007</v>
      </c>
    </row>
    <row r="166" spans="1:12" x14ac:dyDescent="0.25">
      <c r="A166" s="1" t="s">
        <v>860</v>
      </c>
      <c r="B166" s="1">
        <v>2022</v>
      </c>
      <c r="C166" s="7">
        <v>44812</v>
      </c>
      <c r="D166" s="1" t="s">
        <v>298</v>
      </c>
      <c r="E166" s="1" t="s">
        <v>299</v>
      </c>
      <c r="F166" s="1" t="s">
        <v>39</v>
      </c>
      <c r="G166" s="1" t="s">
        <v>785</v>
      </c>
      <c r="H166" s="1" t="s">
        <v>300</v>
      </c>
      <c r="I166" s="1" t="s">
        <v>17</v>
      </c>
      <c r="J166" s="1">
        <v>9.9359999999999999</v>
      </c>
      <c r="K166" s="1">
        <v>3</v>
      </c>
      <c r="L166" s="5">
        <f t="shared" si="2"/>
        <v>29.808</v>
      </c>
    </row>
    <row r="167" spans="1:12" x14ac:dyDescent="0.25">
      <c r="A167" s="1" t="s">
        <v>860</v>
      </c>
      <c r="B167" s="1">
        <v>2022</v>
      </c>
      <c r="C167" s="7">
        <v>44812</v>
      </c>
      <c r="D167" s="1" t="s">
        <v>298</v>
      </c>
      <c r="E167" s="1" t="s">
        <v>299</v>
      </c>
      <c r="F167" s="1" t="s">
        <v>39</v>
      </c>
      <c r="G167" s="1" t="s">
        <v>785</v>
      </c>
      <c r="H167" s="1" t="s">
        <v>301</v>
      </c>
      <c r="I167" s="1" t="s">
        <v>26</v>
      </c>
      <c r="J167" s="1">
        <v>8159.9519999999993</v>
      </c>
      <c r="K167" s="1">
        <v>8</v>
      </c>
      <c r="L167" s="5">
        <f t="shared" si="2"/>
        <v>65279.615999999995</v>
      </c>
    </row>
    <row r="168" spans="1:12" x14ac:dyDescent="0.25">
      <c r="A168" s="1" t="s">
        <v>860</v>
      </c>
      <c r="B168" s="1">
        <v>2022</v>
      </c>
      <c r="C168" s="7">
        <v>44812</v>
      </c>
      <c r="D168" s="1" t="s">
        <v>298</v>
      </c>
      <c r="E168" s="1" t="s">
        <v>299</v>
      </c>
      <c r="F168" s="1" t="s">
        <v>39</v>
      </c>
      <c r="G168" s="1" t="s">
        <v>785</v>
      </c>
      <c r="H168" s="1" t="s">
        <v>302</v>
      </c>
      <c r="I168" s="1" t="s">
        <v>17</v>
      </c>
      <c r="J168" s="1">
        <v>275.928</v>
      </c>
      <c r="K168" s="1">
        <v>3</v>
      </c>
      <c r="L168" s="5">
        <f t="shared" si="2"/>
        <v>827.78399999999999</v>
      </c>
    </row>
    <row r="169" spans="1:12" x14ac:dyDescent="0.25">
      <c r="A169" s="1" t="s">
        <v>860</v>
      </c>
      <c r="B169" s="1">
        <v>2022</v>
      </c>
      <c r="C169" s="7">
        <v>44812</v>
      </c>
      <c r="D169" s="1" t="s">
        <v>298</v>
      </c>
      <c r="E169" s="1" t="s">
        <v>299</v>
      </c>
      <c r="F169" s="1" t="s">
        <v>39</v>
      </c>
      <c r="G169" s="1" t="s">
        <v>785</v>
      </c>
      <c r="H169" s="1" t="s">
        <v>303</v>
      </c>
      <c r="I169" s="1" t="s">
        <v>11</v>
      </c>
      <c r="J169" s="1">
        <v>1740.0599999999997</v>
      </c>
      <c r="K169" s="1">
        <v>9</v>
      </c>
      <c r="L169" s="5">
        <f t="shared" si="2"/>
        <v>15660.539999999997</v>
      </c>
    </row>
    <row r="170" spans="1:12" x14ac:dyDescent="0.25">
      <c r="A170" s="1" t="s">
        <v>860</v>
      </c>
      <c r="B170" s="1">
        <v>2022</v>
      </c>
      <c r="C170" s="7">
        <v>44812</v>
      </c>
      <c r="D170" s="1" t="s">
        <v>298</v>
      </c>
      <c r="E170" s="1" t="s">
        <v>299</v>
      </c>
      <c r="F170" s="1" t="s">
        <v>39</v>
      </c>
      <c r="G170" s="1" t="s">
        <v>785</v>
      </c>
      <c r="H170" s="1" t="s">
        <v>304</v>
      </c>
      <c r="I170" s="1" t="s">
        <v>17</v>
      </c>
      <c r="J170" s="1">
        <v>32.064</v>
      </c>
      <c r="K170" s="1">
        <v>6</v>
      </c>
      <c r="L170" s="5">
        <f t="shared" si="2"/>
        <v>192.38400000000001</v>
      </c>
    </row>
    <row r="171" spans="1:12" x14ac:dyDescent="0.25">
      <c r="A171" s="1" t="s">
        <v>860</v>
      </c>
      <c r="B171" s="1">
        <v>2022</v>
      </c>
      <c r="C171" s="7">
        <v>44812</v>
      </c>
      <c r="D171" s="1" t="s">
        <v>298</v>
      </c>
      <c r="E171" s="1" t="s">
        <v>299</v>
      </c>
      <c r="F171" s="1" t="s">
        <v>39</v>
      </c>
      <c r="G171" s="1" t="s">
        <v>785</v>
      </c>
      <c r="H171" s="1" t="s">
        <v>305</v>
      </c>
      <c r="I171" s="1" t="s">
        <v>17</v>
      </c>
      <c r="J171" s="1">
        <v>177.97999999999996</v>
      </c>
      <c r="K171" s="1">
        <v>5</v>
      </c>
      <c r="L171" s="5">
        <f t="shared" si="2"/>
        <v>889.89999999999986</v>
      </c>
    </row>
    <row r="172" spans="1:12" x14ac:dyDescent="0.25">
      <c r="A172" s="1" t="s">
        <v>860</v>
      </c>
      <c r="B172" s="1">
        <v>2022</v>
      </c>
      <c r="C172" s="7">
        <v>44812</v>
      </c>
      <c r="D172" s="1" t="s">
        <v>298</v>
      </c>
      <c r="E172" s="1" t="s">
        <v>299</v>
      </c>
      <c r="F172" s="1" t="s">
        <v>39</v>
      </c>
      <c r="G172" s="1" t="s">
        <v>785</v>
      </c>
      <c r="H172" s="1" t="s">
        <v>306</v>
      </c>
      <c r="I172" s="1" t="s">
        <v>26</v>
      </c>
      <c r="J172" s="1">
        <v>143.976</v>
      </c>
      <c r="K172" s="1">
        <v>3</v>
      </c>
      <c r="L172" s="5">
        <f t="shared" si="2"/>
        <v>431.928</v>
      </c>
    </row>
    <row r="173" spans="1:12" x14ac:dyDescent="0.25">
      <c r="A173" s="1" t="s">
        <v>861</v>
      </c>
      <c r="B173" s="1">
        <v>2022</v>
      </c>
      <c r="C173" s="7">
        <v>44778</v>
      </c>
      <c r="D173" s="1" t="s">
        <v>307</v>
      </c>
      <c r="E173" s="1" t="s">
        <v>14</v>
      </c>
      <c r="F173" s="1" t="s">
        <v>15</v>
      </c>
      <c r="G173" s="1" t="s">
        <v>779</v>
      </c>
      <c r="H173" s="1" t="s">
        <v>308</v>
      </c>
      <c r="I173" s="1" t="s">
        <v>17</v>
      </c>
      <c r="J173" s="1">
        <v>20.94</v>
      </c>
      <c r="K173" s="1">
        <v>3</v>
      </c>
      <c r="L173" s="5">
        <f t="shared" si="2"/>
        <v>62.820000000000007</v>
      </c>
    </row>
    <row r="174" spans="1:12" x14ac:dyDescent="0.25">
      <c r="A174" s="1" t="s">
        <v>861</v>
      </c>
      <c r="B174" s="1">
        <v>2022</v>
      </c>
      <c r="C174" s="7">
        <v>44778</v>
      </c>
      <c r="D174" s="1" t="s">
        <v>307</v>
      </c>
      <c r="E174" s="1" t="s">
        <v>14</v>
      </c>
      <c r="F174" s="1" t="s">
        <v>15</v>
      </c>
      <c r="G174" s="1" t="s">
        <v>779</v>
      </c>
      <c r="H174" s="1" t="s">
        <v>309</v>
      </c>
      <c r="I174" s="1" t="s">
        <v>17</v>
      </c>
      <c r="J174" s="1">
        <v>110.96</v>
      </c>
      <c r="K174" s="1">
        <v>2</v>
      </c>
      <c r="L174" s="5">
        <f t="shared" si="2"/>
        <v>221.92</v>
      </c>
    </row>
    <row r="175" spans="1:12" x14ac:dyDescent="0.25">
      <c r="A175" s="1" t="s">
        <v>861</v>
      </c>
      <c r="B175" s="1">
        <v>2022</v>
      </c>
      <c r="C175" s="7">
        <v>44778</v>
      </c>
      <c r="D175" s="1" t="s">
        <v>307</v>
      </c>
      <c r="E175" s="1" t="s">
        <v>14</v>
      </c>
      <c r="F175" s="1" t="s">
        <v>15</v>
      </c>
      <c r="G175" s="1" t="s">
        <v>779</v>
      </c>
      <c r="H175" s="1" t="s">
        <v>310</v>
      </c>
      <c r="I175" s="1" t="s">
        <v>11</v>
      </c>
      <c r="J175" s="1">
        <v>340.14400000000006</v>
      </c>
      <c r="K175" s="1">
        <v>7</v>
      </c>
      <c r="L175" s="5">
        <f t="shared" si="2"/>
        <v>2381.0080000000003</v>
      </c>
    </row>
    <row r="176" spans="1:12" x14ac:dyDescent="0.25">
      <c r="A176" s="1" t="s">
        <v>862</v>
      </c>
      <c r="B176" s="1">
        <v>2022</v>
      </c>
      <c r="C176" s="7">
        <v>44818</v>
      </c>
      <c r="D176" s="1" t="s">
        <v>311</v>
      </c>
      <c r="E176" s="1" t="s">
        <v>129</v>
      </c>
      <c r="F176" s="1" t="s">
        <v>39</v>
      </c>
      <c r="G176" s="1" t="s">
        <v>785</v>
      </c>
      <c r="H176" s="1" t="s">
        <v>312</v>
      </c>
      <c r="I176" s="1" t="s">
        <v>17</v>
      </c>
      <c r="J176" s="1">
        <v>52.447999999999993</v>
      </c>
      <c r="K176" s="1">
        <v>2</v>
      </c>
      <c r="L176" s="5">
        <f t="shared" si="2"/>
        <v>104.89599999999999</v>
      </c>
    </row>
    <row r="177" spans="1:12" x14ac:dyDescent="0.25">
      <c r="A177" s="1" t="s">
        <v>862</v>
      </c>
      <c r="B177" s="1">
        <v>2022</v>
      </c>
      <c r="C177" s="7">
        <v>44818</v>
      </c>
      <c r="D177" s="1" t="s">
        <v>311</v>
      </c>
      <c r="E177" s="1" t="s">
        <v>129</v>
      </c>
      <c r="F177" s="1" t="s">
        <v>39</v>
      </c>
      <c r="G177" s="1" t="s">
        <v>785</v>
      </c>
      <c r="H177" s="1" t="s">
        <v>313</v>
      </c>
      <c r="I177" s="1" t="s">
        <v>17</v>
      </c>
      <c r="J177" s="1">
        <v>20.16</v>
      </c>
      <c r="K177" s="1">
        <v>4</v>
      </c>
      <c r="L177" s="5">
        <f t="shared" si="2"/>
        <v>80.64</v>
      </c>
    </row>
    <row r="178" spans="1:12" x14ac:dyDescent="0.25">
      <c r="A178" s="1" t="s">
        <v>863</v>
      </c>
      <c r="B178" s="1">
        <v>2023</v>
      </c>
      <c r="C178" s="7">
        <v>45037</v>
      </c>
      <c r="D178" s="1" t="s">
        <v>314</v>
      </c>
      <c r="E178" s="1" t="s">
        <v>75</v>
      </c>
      <c r="F178" s="1" t="s">
        <v>39</v>
      </c>
      <c r="G178" s="1" t="s">
        <v>785</v>
      </c>
      <c r="H178" s="1" t="s">
        <v>315</v>
      </c>
      <c r="I178" s="1" t="s">
        <v>17</v>
      </c>
      <c r="J178" s="1">
        <v>97.263999999999982</v>
      </c>
      <c r="K178" s="1">
        <v>4</v>
      </c>
      <c r="L178" s="5">
        <f t="shared" si="2"/>
        <v>389.05599999999993</v>
      </c>
    </row>
    <row r="179" spans="1:12" x14ac:dyDescent="0.25">
      <c r="A179" s="1" t="s">
        <v>864</v>
      </c>
      <c r="B179" s="1">
        <v>2022</v>
      </c>
      <c r="C179" s="7">
        <v>44886</v>
      </c>
      <c r="D179" s="1" t="s">
        <v>142</v>
      </c>
      <c r="E179" s="1" t="s">
        <v>266</v>
      </c>
      <c r="F179" s="1" t="s">
        <v>59</v>
      </c>
      <c r="G179" s="1" t="s">
        <v>774</v>
      </c>
      <c r="H179" s="1" t="s">
        <v>316</v>
      </c>
      <c r="I179" s="1" t="s">
        <v>11</v>
      </c>
      <c r="J179" s="1">
        <v>396.80200000000002</v>
      </c>
      <c r="K179" s="1">
        <v>7</v>
      </c>
      <c r="L179" s="5">
        <f t="shared" si="2"/>
        <v>2777.614</v>
      </c>
    </row>
    <row r="180" spans="1:12" x14ac:dyDescent="0.25">
      <c r="A180" s="1" t="s">
        <v>864</v>
      </c>
      <c r="B180" s="1">
        <v>2022</v>
      </c>
      <c r="C180" s="7">
        <v>44886</v>
      </c>
      <c r="D180" s="1" t="s">
        <v>142</v>
      </c>
      <c r="E180" s="1" t="s">
        <v>266</v>
      </c>
      <c r="F180" s="1" t="s">
        <v>59</v>
      </c>
      <c r="G180" s="1" t="s">
        <v>774</v>
      </c>
      <c r="H180" s="1" t="s">
        <v>317</v>
      </c>
      <c r="I180" s="1" t="s">
        <v>17</v>
      </c>
      <c r="J180" s="1">
        <v>15.88</v>
      </c>
      <c r="K180" s="1">
        <v>5</v>
      </c>
      <c r="L180" s="5">
        <f t="shared" si="2"/>
        <v>79.400000000000006</v>
      </c>
    </row>
    <row r="181" spans="1:12" x14ac:dyDescent="0.25">
      <c r="A181" s="1" t="s">
        <v>865</v>
      </c>
      <c r="B181" s="1">
        <v>2022</v>
      </c>
      <c r="C181" s="7">
        <v>44910</v>
      </c>
      <c r="D181" s="1" t="s">
        <v>318</v>
      </c>
      <c r="E181" s="1" t="s">
        <v>112</v>
      </c>
      <c r="F181" s="1" t="s">
        <v>59</v>
      </c>
      <c r="G181" s="1" t="s">
        <v>774</v>
      </c>
      <c r="H181" s="1" t="s">
        <v>319</v>
      </c>
      <c r="I181" s="1" t="s">
        <v>17</v>
      </c>
      <c r="J181" s="1">
        <v>3.28</v>
      </c>
      <c r="K181" s="1">
        <v>1</v>
      </c>
      <c r="L181" s="5">
        <f t="shared" si="2"/>
        <v>3.28</v>
      </c>
    </row>
    <row r="182" spans="1:12" x14ac:dyDescent="0.25">
      <c r="A182" s="1" t="s">
        <v>866</v>
      </c>
      <c r="B182" s="1">
        <v>2022</v>
      </c>
      <c r="C182" s="7">
        <v>44900</v>
      </c>
      <c r="D182" s="1" t="s">
        <v>320</v>
      </c>
      <c r="E182" s="1" t="s">
        <v>153</v>
      </c>
      <c r="F182" s="1" t="s">
        <v>39</v>
      </c>
      <c r="G182" s="1" t="s">
        <v>785</v>
      </c>
      <c r="H182" s="1" t="s">
        <v>321</v>
      </c>
      <c r="I182" s="1" t="s">
        <v>17</v>
      </c>
      <c r="J182" s="1">
        <v>24.816000000000003</v>
      </c>
      <c r="K182" s="1">
        <v>2</v>
      </c>
      <c r="L182" s="5">
        <f t="shared" si="2"/>
        <v>49.632000000000005</v>
      </c>
    </row>
    <row r="183" spans="1:12" x14ac:dyDescent="0.25">
      <c r="A183" s="1" t="s">
        <v>866</v>
      </c>
      <c r="B183" s="1">
        <v>2022</v>
      </c>
      <c r="C183" s="7">
        <v>44900</v>
      </c>
      <c r="D183" s="1" t="s">
        <v>320</v>
      </c>
      <c r="E183" s="1" t="s">
        <v>153</v>
      </c>
      <c r="F183" s="1" t="s">
        <v>39</v>
      </c>
      <c r="G183" s="1" t="s">
        <v>785</v>
      </c>
      <c r="H183" s="1" t="s">
        <v>322</v>
      </c>
      <c r="I183" s="1" t="s">
        <v>26</v>
      </c>
      <c r="J183" s="1">
        <v>408.74399999999997</v>
      </c>
      <c r="K183" s="1">
        <v>7</v>
      </c>
      <c r="L183" s="5">
        <f t="shared" si="2"/>
        <v>2861.2079999999996</v>
      </c>
    </row>
    <row r="184" spans="1:12" x14ac:dyDescent="0.25">
      <c r="A184" s="1" t="s">
        <v>867</v>
      </c>
      <c r="B184" s="1">
        <v>2022</v>
      </c>
      <c r="C184" s="7">
        <v>44884</v>
      </c>
      <c r="D184" s="1" t="s">
        <v>323</v>
      </c>
      <c r="E184" s="1" t="s">
        <v>324</v>
      </c>
      <c r="F184" s="1" t="s">
        <v>9</v>
      </c>
      <c r="G184" s="1" t="s">
        <v>344</v>
      </c>
      <c r="H184" s="1" t="s">
        <v>325</v>
      </c>
      <c r="I184" s="1" t="s">
        <v>26</v>
      </c>
      <c r="J184" s="1">
        <v>503.96</v>
      </c>
      <c r="K184" s="1">
        <v>4</v>
      </c>
      <c r="L184" s="5">
        <f t="shared" si="2"/>
        <v>2015.84</v>
      </c>
    </row>
    <row r="185" spans="1:12" x14ac:dyDescent="0.25">
      <c r="A185" s="1" t="s">
        <v>867</v>
      </c>
      <c r="B185" s="1">
        <v>2022</v>
      </c>
      <c r="C185" s="7">
        <v>44884</v>
      </c>
      <c r="D185" s="1" t="s">
        <v>323</v>
      </c>
      <c r="E185" s="1" t="s">
        <v>324</v>
      </c>
      <c r="F185" s="1" t="s">
        <v>9</v>
      </c>
      <c r="G185" s="1" t="s">
        <v>344</v>
      </c>
      <c r="H185" s="1" t="s">
        <v>326</v>
      </c>
      <c r="I185" s="1" t="s">
        <v>26</v>
      </c>
      <c r="J185" s="1">
        <v>149.94999999999999</v>
      </c>
      <c r="K185" s="1">
        <v>5</v>
      </c>
      <c r="L185" s="5">
        <f t="shared" si="2"/>
        <v>749.75</v>
      </c>
    </row>
    <row r="186" spans="1:12" x14ac:dyDescent="0.25">
      <c r="A186" s="1" t="s">
        <v>867</v>
      </c>
      <c r="B186" s="1">
        <v>2022</v>
      </c>
      <c r="C186" s="7">
        <v>44884</v>
      </c>
      <c r="D186" s="1" t="s">
        <v>323</v>
      </c>
      <c r="E186" s="1" t="s">
        <v>324</v>
      </c>
      <c r="F186" s="1" t="s">
        <v>9</v>
      </c>
      <c r="G186" s="1" t="s">
        <v>344</v>
      </c>
      <c r="H186" s="1" t="s">
        <v>327</v>
      </c>
      <c r="I186" s="1" t="s">
        <v>26</v>
      </c>
      <c r="J186" s="1">
        <v>29</v>
      </c>
      <c r="K186" s="1">
        <v>2</v>
      </c>
      <c r="L186" s="5">
        <f t="shared" si="2"/>
        <v>58</v>
      </c>
    </row>
    <row r="187" spans="1:12" x14ac:dyDescent="0.25">
      <c r="A187" s="1" t="s">
        <v>868</v>
      </c>
      <c r="B187" s="1">
        <v>2023</v>
      </c>
      <c r="C187" s="7">
        <v>45258</v>
      </c>
      <c r="D187" s="1" t="s">
        <v>328</v>
      </c>
      <c r="E187" s="1" t="s">
        <v>329</v>
      </c>
      <c r="F187" s="1" t="s">
        <v>59</v>
      </c>
      <c r="G187" s="1" t="s">
        <v>774</v>
      </c>
      <c r="H187" s="1" t="s">
        <v>330</v>
      </c>
      <c r="I187" s="1" t="s">
        <v>17</v>
      </c>
      <c r="J187" s="1">
        <v>7.16</v>
      </c>
      <c r="K187" s="1">
        <v>2</v>
      </c>
      <c r="L187" s="5">
        <f t="shared" si="2"/>
        <v>14.32</v>
      </c>
    </row>
    <row r="188" spans="1:12" x14ac:dyDescent="0.25">
      <c r="A188" s="1" t="s">
        <v>869</v>
      </c>
      <c r="B188" s="1">
        <v>2022</v>
      </c>
      <c r="C188" s="7">
        <v>44799</v>
      </c>
      <c r="D188" s="1" t="s">
        <v>331</v>
      </c>
      <c r="E188" s="1" t="s">
        <v>14</v>
      </c>
      <c r="F188" s="1" t="s">
        <v>15</v>
      </c>
      <c r="G188" s="1" t="s">
        <v>779</v>
      </c>
      <c r="H188" s="1" t="s">
        <v>332</v>
      </c>
      <c r="I188" s="1" t="s">
        <v>26</v>
      </c>
      <c r="J188" s="1">
        <v>176.8</v>
      </c>
      <c r="K188" s="1">
        <v>8</v>
      </c>
      <c r="L188" s="5">
        <f t="shared" si="2"/>
        <v>1414.4</v>
      </c>
    </row>
    <row r="189" spans="1:12" x14ac:dyDescent="0.25">
      <c r="A189" s="1" t="s">
        <v>870</v>
      </c>
      <c r="B189" s="1">
        <v>2023</v>
      </c>
      <c r="C189" s="7">
        <v>45123</v>
      </c>
      <c r="D189" s="1" t="s">
        <v>333</v>
      </c>
      <c r="E189" s="1" t="s">
        <v>334</v>
      </c>
      <c r="F189" s="1" t="s">
        <v>39</v>
      </c>
      <c r="G189" s="1" t="s">
        <v>785</v>
      </c>
      <c r="H189" s="1" t="s">
        <v>335</v>
      </c>
      <c r="I189" s="1" t="s">
        <v>17</v>
      </c>
      <c r="J189" s="1">
        <v>37.224000000000004</v>
      </c>
      <c r="K189" s="1">
        <v>3</v>
      </c>
      <c r="L189" s="5">
        <f t="shared" si="2"/>
        <v>111.67200000000001</v>
      </c>
    </row>
    <row r="190" spans="1:12" x14ac:dyDescent="0.25">
      <c r="A190" s="1" t="s">
        <v>870</v>
      </c>
      <c r="B190" s="1">
        <v>2023</v>
      </c>
      <c r="C190" s="7">
        <v>45123</v>
      </c>
      <c r="D190" s="1" t="s">
        <v>333</v>
      </c>
      <c r="E190" s="1" t="s">
        <v>334</v>
      </c>
      <c r="F190" s="1" t="s">
        <v>39</v>
      </c>
      <c r="G190" s="1" t="s">
        <v>785</v>
      </c>
      <c r="H190" s="1" t="s">
        <v>279</v>
      </c>
      <c r="I190" s="1" t="s">
        <v>17</v>
      </c>
      <c r="J190" s="1">
        <v>20.016000000000002</v>
      </c>
      <c r="K190" s="1">
        <v>3</v>
      </c>
      <c r="L190" s="5">
        <f t="shared" si="2"/>
        <v>60.048000000000002</v>
      </c>
    </row>
    <row r="191" spans="1:12" x14ac:dyDescent="0.25">
      <c r="A191" s="1" t="s">
        <v>871</v>
      </c>
      <c r="B191" s="1">
        <v>2022</v>
      </c>
      <c r="C191" s="7">
        <v>44846</v>
      </c>
      <c r="D191" s="1" t="s">
        <v>336</v>
      </c>
      <c r="E191" s="1" t="s">
        <v>112</v>
      </c>
      <c r="F191" s="1" t="s">
        <v>59</v>
      </c>
      <c r="G191" s="1" t="s">
        <v>774</v>
      </c>
      <c r="H191" s="1" t="s">
        <v>337</v>
      </c>
      <c r="I191" s="1" t="s">
        <v>11</v>
      </c>
      <c r="J191" s="1">
        <v>899.13600000000008</v>
      </c>
      <c r="K191" s="1">
        <v>4</v>
      </c>
      <c r="L191" s="5">
        <f t="shared" si="2"/>
        <v>3596.5440000000003</v>
      </c>
    </row>
    <row r="192" spans="1:12" x14ac:dyDescent="0.25">
      <c r="A192" s="1" t="s">
        <v>871</v>
      </c>
      <c r="B192" s="1">
        <v>2022</v>
      </c>
      <c r="C192" s="7">
        <v>44846</v>
      </c>
      <c r="D192" s="1" t="s">
        <v>336</v>
      </c>
      <c r="E192" s="1" t="s">
        <v>112</v>
      </c>
      <c r="F192" s="1" t="s">
        <v>59</v>
      </c>
      <c r="G192" s="1" t="s">
        <v>774</v>
      </c>
      <c r="H192" s="1" t="s">
        <v>338</v>
      </c>
      <c r="I192" s="1" t="s">
        <v>26</v>
      </c>
      <c r="J192" s="1">
        <v>71.760000000000005</v>
      </c>
      <c r="K192" s="1">
        <v>6</v>
      </c>
      <c r="L192" s="5">
        <f t="shared" si="2"/>
        <v>430.56000000000006</v>
      </c>
    </row>
    <row r="193" spans="1:12" x14ac:dyDescent="0.25">
      <c r="A193" s="1" t="s">
        <v>871</v>
      </c>
      <c r="B193" s="1">
        <v>2022</v>
      </c>
      <c r="C193" s="7">
        <v>44846</v>
      </c>
      <c r="D193" s="1" t="s">
        <v>336</v>
      </c>
      <c r="E193" s="1" t="s">
        <v>112</v>
      </c>
      <c r="F193" s="1" t="s">
        <v>59</v>
      </c>
      <c r="G193" s="1" t="s">
        <v>774</v>
      </c>
      <c r="H193" s="1" t="s">
        <v>339</v>
      </c>
      <c r="I193" s="1" t="s">
        <v>17</v>
      </c>
      <c r="J193" s="1">
        <v>51.84</v>
      </c>
      <c r="K193" s="1">
        <v>8</v>
      </c>
      <c r="L193" s="5">
        <f t="shared" si="2"/>
        <v>414.72</v>
      </c>
    </row>
    <row r="194" spans="1:12" x14ac:dyDescent="0.25">
      <c r="A194" s="1" t="s">
        <v>871</v>
      </c>
      <c r="B194" s="1">
        <v>2022</v>
      </c>
      <c r="C194" s="7">
        <v>44846</v>
      </c>
      <c r="D194" s="1" t="s">
        <v>336</v>
      </c>
      <c r="E194" s="1" t="s">
        <v>112</v>
      </c>
      <c r="F194" s="1" t="s">
        <v>59</v>
      </c>
      <c r="G194" s="1" t="s">
        <v>774</v>
      </c>
      <c r="H194" s="1" t="s">
        <v>83</v>
      </c>
      <c r="I194" s="1" t="s">
        <v>11</v>
      </c>
      <c r="J194" s="1">
        <v>626.35200000000009</v>
      </c>
      <c r="K194" s="1">
        <v>3</v>
      </c>
      <c r="L194" s="5">
        <f t="shared" si="2"/>
        <v>1879.0560000000003</v>
      </c>
    </row>
    <row r="195" spans="1:12" x14ac:dyDescent="0.25">
      <c r="A195" s="1" t="s">
        <v>871</v>
      </c>
      <c r="B195" s="1">
        <v>2022</v>
      </c>
      <c r="C195" s="7">
        <v>44846</v>
      </c>
      <c r="D195" s="1" t="s">
        <v>336</v>
      </c>
      <c r="E195" s="1" t="s">
        <v>112</v>
      </c>
      <c r="F195" s="1" t="s">
        <v>59</v>
      </c>
      <c r="G195" s="1" t="s">
        <v>774</v>
      </c>
      <c r="H195" s="1" t="s">
        <v>340</v>
      </c>
      <c r="I195" s="1" t="s">
        <v>17</v>
      </c>
      <c r="J195" s="1">
        <v>19.899999999999999</v>
      </c>
      <c r="K195" s="1">
        <v>5</v>
      </c>
      <c r="L195" s="5">
        <f t="shared" ref="L195:L258" si="3">J195*K195</f>
        <v>99.5</v>
      </c>
    </row>
    <row r="196" spans="1:12" x14ac:dyDescent="0.25">
      <c r="A196" s="1" t="s">
        <v>872</v>
      </c>
      <c r="B196" s="1">
        <v>2022</v>
      </c>
      <c r="C196" s="7">
        <v>44865</v>
      </c>
      <c r="D196" s="1" t="s">
        <v>341</v>
      </c>
      <c r="E196" s="1" t="s">
        <v>342</v>
      </c>
      <c r="F196" s="1" t="s">
        <v>15</v>
      </c>
      <c r="G196" s="1" t="s">
        <v>779</v>
      </c>
      <c r="H196" s="1" t="s">
        <v>70</v>
      </c>
      <c r="I196" s="1" t="s">
        <v>17</v>
      </c>
      <c r="J196" s="1">
        <v>14.280000000000001</v>
      </c>
      <c r="K196" s="1">
        <v>7</v>
      </c>
      <c r="L196" s="5">
        <f t="shared" si="3"/>
        <v>99.960000000000008</v>
      </c>
    </row>
    <row r="197" spans="1:12" x14ac:dyDescent="0.25">
      <c r="A197" s="1" t="s">
        <v>873</v>
      </c>
      <c r="B197" s="1">
        <v>2022</v>
      </c>
      <c r="C197" s="7">
        <v>44641</v>
      </c>
      <c r="D197" s="1" t="s">
        <v>343</v>
      </c>
      <c r="E197" s="1" t="s">
        <v>345</v>
      </c>
      <c r="F197" s="1" t="s">
        <v>59</v>
      </c>
      <c r="G197" s="1" t="s">
        <v>774</v>
      </c>
      <c r="H197" s="1" t="s">
        <v>346</v>
      </c>
      <c r="I197" s="1" t="s">
        <v>17</v>
      </c>
      <c r="J197" s="1">
        <v>7.4080000000000004</v>
      </c>
      <c r="K197" s="1">
        <v>2</v>
      </c>
      <c r="L197" s="5">
        <f t="shared" si="3"/>
        <v>14.816000000000001</v>
      </c>
    </row>
    <row r="198" spans="1:12" x14ac:dyDescent="0.25">
      <c r="A198" s="1" t="s">
        <v>873</v>
      </c>
      <c r="B198" s="1">
        <v>2022</v>
      </c>
      <c r="C198" s="7">
        <v>44641</v>
      </c>
      <c r="D198" s="1" t="s">
        <v>343</v>
      </c>
      <c r="E198" s="1" t="s">
        <v>345</v>
      </c>
      <c r="F198" s="1" t="s">
        <v>59</v>
      </c>
      <c r="G198" s="1" t="s">
        <v>774</v>
      </c>
      <c r="H198" s="1" t="s">
        <v>347</v>
      </c>
      <c r="I198" s="1" t="s">
        <v>17</v>
      </c>
      <c r="J198" s="1">
        <v>6.048</v>
      </c>
      <c r="K198" s="1">
        <v>3</v>
      </c>
      <c r="L198" s="5">
        <f t="shared" si="3"/>
        <v>18.143999999999998</v>
      </c>
    </row>
    <row r="199" spans="1:12" x14ac:dyDescent="0.25">
      <c r="A199" s="1" t="s">
        <v>874</v>
      </c>
      <c r="B199" s="1">
        <v>2023</v>
      </c>
      <c r="C199" s="7">
        <v>45236</v>
      </c>
      <c r="D199" s="1" t="s">
        <v>348</v>
      </c>
      <c r="E199" s="1" t="s">
        <v>349</v>
      </c>
      <c r="F199" s="1" t="s">
        <v>59</v>
      </c>
      <c r="G199" s="1" t="s">
        <v>774</v>
      </c>
      <c r="H199" s="1" t="s">
        <v>350</v>
      </c>
      <c r="I199" s="1" t="s">
        <v>17</v>
      </c>
      <c r="J199" s="1">
        <v>46.26</v>
      </c>
      <c r="K199" s="1">
        <v>3</v>
      </c>
      <c r="L199" s="5">
        <f t="shared" si="3"/>
        <v>138.78</v>
      </c>
    </row>
    <row r="200" spans="1:12" x14ac:dyDescent="0.25">
      <c r="A200" s="1" t="s">
        <v>875</v>
      </c>
      <c r="B200" s="1">
        <v>2023</v>
      </c>
      <c r="C200" s="7">
        <v>45113</v>
      </c>
      <c r="D200" s="1" t="s">
        <v>351</v>
      </c>
      <c r="E200" s="1" t="s">
        <v>58</v>
      </c>
      <c r="F200" s="1" t="s">
        <v>59</v>
      </c>
      <c r="G200" s="1" t="s">
        <v>774</v>
      </c>
      <c r="H200" s="1" t="s">
        <v>352</v>
      </c>
      <c r="I200" s="1" t="s">
        <v>17</v>
      </c>
      <c r="J200" s="1">
        <v>2.9460000000000006</v>
      </c>
      <c r="K200" s="1">
        <v>2</v>
      </c>
      <c r="L200" s="5">
        <f t="shared" si="3"/>
        <v>5.8920000000000012</v>
      </c>
    </row>
    <row r="201" spans="1:12" x14ac:dyDescent="0.25">
      <c r="A201" s="1" t="s">
        <v>875</v>
      </c>
      <c r="B201" s="1">
        <v>2023</v>
      </c>
      <c r="C201" s="7">
        <v>45113</v>
      </c>
      <c r="D201" s="1" t="s">
        <v>351</v>
      </c>
      <c r="E201" s="1" t="s">
        <v>58</v>
      </c>
      <c r="F201" s="1" t="s">
        <v>59</v>
      </c>
      <c r="G201" s="1" t="s">
        <v>774</v>
      </c>
      <c r="H201" s="1" t="s">
        <v>353</v>
      </c>
      <c r="I201" s="1" t="s">
        <v>17</v>
      </c>
      <c r="J201" s="1">
        <v>16.056000000000001</v>
      </c>
      <c r="K201" s="1">
        <v>3</v>
      </c>
      <c r="L201" s="5">
        <f t="shared" si="3"/>
        <v>48.168000000000006</v>
      </c>
    </row>
    <row r="202" spans="1:12" x14ac:dyDescent="0.25">
      <c r="A202" s="1" t="s">
        <v>876</v>
      </c>
      <c r="B202" s="1">
        <v>2023</v>
      </c>
      <c r="C202" s="7">
        <v>45101</v>
      </c>
      <c r="D202" s="1" t="s">
        <v>354</v>
      </c>
      <c r="E202" s="1" t="s">
        <v>355</v>
      </c>
      <c r="F202" s="1" t="s">
        <v>59</v>
      </c>
      <c r="G202" s="1" t="s">
        <v>774</v>
      </c>
      <c r="H202" s="1" t="s">
        <v>356</v>
      </c>
      <c r="I202" s="1" t="s">
        <v>17</v>
      </c>
      <c r="J202" s="1">
        <v>21.744000000000003</v>
      </c>
      <c r="K202" s="1">
        <v>3</v>
      </c>
      <c r="L202" s="5">
        <f t="shared" si="3"/>
        <v>65.232000000000014</v>
      </c>
    </row>
    <row r="203" spans="1:12" x14ac:dyDescent="0.25">
      <c r="A203" s="1" t="s">
        <v>877</v>
      </c>
      <c r="B203" s="1">
        <v>2022</v>
      </c>
      <c r="C203" s="7">
        <v>44776</v>
      </c>
      <c r="D203" s="1" t="s">
        <v>357</v>
      </c>
      <c r="E203" s="1" t="s">
        <v>358</v>
      </c>
      <c r="F203" s="1" t="s">
        <v>15</v>
      </c>
      <c r="G203" s="1" t="s">
        <v>779</v>
      </c>
      <c r="H203" s="1" t="s">
        <v>359</v>
      </c>
      <c r="I203" s="1" t="s">
        <v>11</v>
      </c>
      <c r="J203" s="1">
        <v>218.75</v>
      </c>
      <c r="K203" s="1">
        <v>2</v>
      </c>
      <c r="L203" s="5">
        <f t="shared" si="3"/>
        <v>437.5</v>
      </c>
    </row>
    <row r="204" spans="1:12" x14ac:dyDescent="0.25">
      <c r="A204" s="1" t="s">
        <v>877</v>
      </c>
      <c r="B204" s="1">
        <v>2022</v>
      </c>
      <c r="C204" s="7">
        <v>44776</v>
      </c>
      <c r="D204" s="1" t="s">
        <v>357</v>
      </c>
      <c r="E204" s="1" t="s">
        <v>358</v>
      </c>
      <c r="F204" s="1" t="s">
        <v>15</v>
      </c>
      <c r="G204" s="1" t="s">
        <v>779</v>
      </c>
      <c r="H204" s="1" t="s">
        <v>360</v>
      </c>
      <c r="I204" s="1" t="s">
        <v>17</v>
      </c>
      <c r="J204" s="1">
        <v>2.6</v>
      </c>
      <c r="K204" s="1">
        <v>1</v>
      </c>
      <c r="L204" s="5">
        <f t="shared" si="3"/>
        <v>2.6</v>
      </c>
    </row>
    <row r="205" spans="1:12" x14ac:dyDescent="0.25">
      <c r="A205" s="1" t="s">
        <v>878</v>
      </c>
      <c r="B205" s="1">
        <v>2023</v>
      </c>
      <c r="C205" s="7">
        <v>45277</v>
      </c>
      <c r="D205" s="1" t="s">
        <v>361</v>
      </c>
      <c r="E205" s="1" t="s">
        <v>362</v>
      </c>
      <c r="F205" s="1" t="s">
        <v>39</v>
      </c>
      <c r="G205" s="1" t="s">
        <v>785</v>
      </c>
      <c r="H205" s="1" t="s">
        <v>363</v>
      </c>
      <c r="I205" s="1" t="s">
        <v>17</v>
      </c>
      <c r="J205" s="1">
        <v>66.283999999999992</v>
      </c>
      <c r="K205" s="1">
        <v>2</v>
      </c>
      <c r="L205" s="5">
        <f t="shared" si="3"/>
        <v>132.56799999999998</v>
      </c>
    </row>
    <row r="206" spans="1:12" x14ac:dyDescent="0.25">
      <c r="A206" s="1" t="s">
        <v>879</v>
      </c>
      <c r="B206" s="1">
        <v>2023</v>
      </c>
      <c r="C206" s="7">
        <v>45080</v>
      </c>
      <c r="D206" s="1" t="s">
        <v>364</v>
      </c>
      <c r="E206" s="1" t="s">
        <v>269</v>
      </c>
      <c r="F206" s="1" t="s">
        <v>9</v>
      </c>
      <c r="G206" s="1" t="s">
        <v>344</v>
      </c>
      <c r="H206" s="1" t="s">
        <v>365</v>
      </c>
      <c r="I206" s="1" t="s">
        <v>11</v>
      </c>
      <c r="J206" s="1">
        <v>35.168000000000006</v>
      </c>
      <c r="K206" s="1">
        <v>7</v>
      </c>
      <c r="L206" s="5">
        <f t="shared" si="3"/>
        <v>246.17600000000004</v>
      </c>
    </row>
    <row r="207" spans="1:12" x14ac:dyDescent="0.25">
      <c r="A207" s="1" t="s">
        <v>880</v>
      </c>
      <c r="B207" s="1">
        <v>2023</v>
      </c>
      <c r="C207" s="7">
        <v>45269</v>
      </c>
      <c r="D207" s="1" t="s">
        <v>366</v>
      </c>
      <c r="E207" s="1" t="s">
        <v>367</v>
      </c>
      <c r="F207" s="1" t="s">
        <v>15</v>
      </c>
      <c r="G207" s="1" t="s">
        <v>779</v>
      </c>
      <c r="H207" s="1" t="s">
        <v>368</v>
      </c>
      <c r="I207" s="1" t="s">
        <v>26</v>
      </c>
      <c r="J207" s="1">
        <v>444.76800000000003</v>
      </c>
      <c r="K207" s="1">
        <v>4</v>
      </c>
      <c r="L207" s="5">
        <f t="shared" si="3"/>
        <v>1779.0720000000001</v>
      </c>
    </row>
    <row r="208" spans="1:12" x14ac:dyDescent="0.25">
      <c r="A208" s="1" t="s">
        <v>881</v>
      </c>
      <c r="B208" s="1">
        <v>2023</v>
      </c>
      <c r="C208" s="7">
        <v>45261</v>
      </c>
      <c r="D208" s="1" t="s">
        <v>369</v>
      </c>
      <c r="E208" s="1" t="s">
        <v>370</v>
      </c>
      <c r="F208" s="1" t="s">
        <v>39</v>
      </c>
      <c r="G208" s="1" t="s">
        <v>785</v>
      </c>
      <c r="H208" s="1" t="s">
        <v>371</v>
      </c>
      <c r="I208" s="1" t="s">
        <v>17</v>
      </c>
      <c r="J208" s="1">
        <v>83.92</v>
      </c>
      <c r="K208" s="1">
        <v>4</v>
      </c>
      <c r="L208" s="5">
        <f t="shared" si="3"/>
        <v>335.68</v>
      </c>
    </row>
    <row r="209" spans="1:12" x14ac:dyDescent="0.25">
      <c r="A209" s="1" t="s">
        <v>881</v>
      </c>
      <c r="B209" s="1">
        <v>2023</v>
      </c>
      <c r="C209" s="7">
        <v>45261</v>
      </c>
      <c r="D209" s="1" t="s">
        <v>369</v>
      </c>
      <c r="E209" s="1" t="s">
        <v>370</v>
      </c>
      <c r="F209" s="1" t="s">
        <v>39</v>
      </c>
      <c r="G209" s="1" t="s">
        <v>785</v>
      </c>
      <c r="H209" s="1" t="s">
        <v>372</v>
      </c>
      <c r="I209" s="1" t="s">
        <v>26</v>
      </c>
      <c r="J209" s="1">
        <v>131.97999999999999</v>
      </c>
      <c r="K209" s="1">
        <v>2</v>
      </c>
      <c r="L209" s="5">
        <f t="shared" si="3"/>
        <v>263.95999999999998</v>
      </c>
    </row>
    <row r="210" spans="1:12" x14ac:dyDescent="0.25">
      <c r="A210" s="1" t="s">
        <v>881</v>
      </c>
      <c r="B210" s="1">
        <v>2023</v>
      </c>
      <c r="C210" s="7">
        <v>45261</v>
      </c>
      <c r="D210" s="1" t="s">
        <v>369</v>
      </c>
      <c r="E210" s="1" t="s">
        <v>370</v>
      </c>
      <c r="F210" s="1" t="s">
        <v>39</v>
      </c>
      <c r="G210" s="1" t="s">
        <v>785</v>
      </c>
      <c r="H210" s="1" t="s">
        <v>239</v>
      </c>
      <c r="I210" s="1" t="s">
        <v>17</v>
      </c>
      <c r="J210" s="1">
        <v>15.92</v>
      </c>
      <c r="K210" s="1">
        <v>4</v>
      </c>
      <c r="L210" s="5">
        <f t="shared" si="3"/>
        <v>63.68</v>
      </c>
    </row>
    <row r="211" spans="1:12" x14ac:dyDescent="0.25">
      <c r="A211" s="1" t="s">
        <v>881</v>
      </c>
      <c r="B211" s="1">
        <v>2023</v>
      </c>
      <c r="C211" s="7">
        <v>45261</v>
      </c>
      <c r="D211" s="1" t="s">
        <v>369</v>
      </c>
      <c r="E211" s="1" t="s">
        <v>370</v>
      </c>
      <c r="F211" s="1" t="s">
        <v>39</v>
      </c>
      <c r="G211" s="1" t="s">
        <v>785</v>
      </c>
      <c r="H211" s="1" t="s">
        <v>373</v>
      </c>
      <c r="I211" s="1" t="s">
        <v>17</v>
      </c>
      <c r="J211" s="1">
        <v>52.29</v>
      </c>
      <c r="K211" s="1">
        <v>9</v>
      </c>
      <c r="L211" s="5">
        <f t="shared" si="3"/>
        <v>470.61</v>
      </c>
    </row>
    <row r="212" spans="1:12" x14ac:dyDescent="0.25">
      <c r="A212" s="1" t="s">
        <v>881</v>
      </c>
      <c r="B212" s="1">
        <v>2023</v>
      </c>
      <c r="C212" s="7">
        <v>45261</v>
      </c>
      <c r="D212" s="1" t="s">
        <v>369</v>
      </c>
      <c r="E212" s="1" t="s">
        <v>370</v>
      </c>
      <c r="F212" s="1" t="s">
        <v>39</v>
      </c>
      <c r="G212" s="1" t="s">
        <v>785</v>
      </c>
      <c r="H212" s="1" t="s">
        <v>374</v>
      </c>
      <c r="I212" s="1" t="s">
        <v>17</v>
      </c>
      <c r="J212" s="1">
        <v>91.99</v>
      </c>
      <c r="K212" s="1">
        <v>1</v>
      </c>
      <c r="L212" s="5">
        <f t="shared" si="3"/>
        <v>91.99</v>
      </c>
    </row>
    <row r="213" spans="1:12" x14ac:dyDescent="0.25">
      <c r="A213" s="1" t="s">
        <v>882</v>
      </c>
      <c r="B213" s="1">
        <v>2022</v>
      </c>
      <c r="C213" s="7">
        <v>44601</v>
      </c>
      <c r="D213" s="1" t="s">
        <v>375</v>
      </c>
      <c r="E213" s="1" t="s">
        <v>362</v>
      </c>
      <c r="F213" s="1" t="s">
        <v>39</v>
      </c>
      <c r="G213" s="1" t="s">
        <v>785</v>
      </c>
      <c r="H213" s="1" t="s">
        <v>376</v>
      </c>
      <c r="I213" s="1" t="s">
        <v>26</v>
      </c>
      <c r="J213" s="1">
        <v>20.8</v>
      </c>
      <c r="K213" s="1">
        <v>2</v>
      </c>
      <c r="L213" s="5">
        <f t="shared" si="3"/>
        <v>41.6</v>
      </c>
    </row>
    <row r="214" spans="1:12" x14ac:dyDescent="0.25">
      <c r="A214" s="1" t="s">
        <v>883</v>
      </c>
      <c r="B214" s="1">
        <v>2022</v>
      </c>
      <c r="C214" s="7">
        <v>44563</v>
      </c>
      <c r="D214" s="1" t="s">
        <v>377</v>
      </c>
      <c r="E214" s="1" t="s">
        <v>378</v>
      </c>
      <c r="F214" s="1" t="s">
        <v>59</v>
      </c>
      <c r="G214" s="1" t="s">
        <v>774</v>
      </c>
      <c r="H214" s="1" t="s">
        <v>379</v>
      </c>
      <c r="I214" s="1" t="s">
        <v>17</v>
      </c>
      <c r="J214" s="1">
        <v>23.680000000000003</v>
      </c>
      <c r="K214" s="1">
        <v>2</v>
      </c>
      <c r="L214" s="5">
        <f t="shared" si="3"/>
        <v>47.360000000000007</v>
      </c>
    </row>
    <row r="215" spans="1:12" x14ac:dyDescent="0.25">
      <c r="A215" s="1" t="s">
        <v>883</v>
      </c>
      <c r="B215" s="1">
        <v>2022</v>
      </c>
      <c r="C215" s="7">
        <v>44563</v>
      </c>
      <c r="D215" s="1" t="s">
        <v>377</v>
      </c>
      <c r="E215" s="1" t="s">
        <v>378</v>
      </c>
      <c r="F215" s="1" t="s">
        <v>59</v>
      </c>
      <c r="G215" s="1" t="s">
        <v>774</v>
      </c>
      <c r="H215" s="1" t="s">
        <v>380</v>
      </c>
      <c r="I215" s="1" t="s">
        <v>11</v>
      </c>
      <c r="J215" s="1">
        <v>452.45</v>
      </c>
      <c r="K215" s="1">
        <v>5</v>
      </c>
      <c r="L215" s="5">
        <f t="shared" si="3"/>
        <v>2262.25</v>
      </c>
    </row>
    <row r="216" spans="1:12" x14ac:dyDescent="0.25">
      <c r="A216" s="1" t="s">
        <v>883</v>
      </c>
      <c r="B216" s="1">
        <v>2022</v>
      </c>
      <c r="C216" s="7">
        <v>44563</v>
      </c>
      <c r="D216" s="1" t="s">
        <v>377</v>
      </c>
      <c r="E216" s="1" t="s">
        <v>378</v>
      </c>
      <c r="F216" s="1" t="s">
        <v>59</v>
      </c>
      <c r="G216" s="1" t="s">
        <v>774</v>
      </c>
      <c r="H216" s="1" t="s">
        <v>204</v>
      </c>
      <c r="I216" s="1" t="s">
        <v>26</v>
      </c>
      <c r="J216" s="1">
        <v>62.981999999999999</v>
      </c>
      <c r="K216" s="1">
        <v>3</v>
      </c>
      <c r="L216" s="5">
        <f t="shared" si="3"/>
        <v>188.946</v>
      </c>
    </row>
    <row r="217" spans="1:12" x14ac:dyDescent="0.25">
      <c r="A217" s="1" t="s">
        <v>883</v>
      </c>
      <c r="B217" s="1">
        <v>2022</v>
      </c>
      <c r="C217" s="7">
        <v>44563</v>
      </c>
      <c r="D217" s="1" t="s">
        <v>377</v>
      </c>
      <c r="E217" s="1" t="s">
        <v>378</v>
      </c>
      <c r="F217" s="1" t="s">
        <v>59</v>
      </c>
      <c r="G217" s="1" t="s">
        <v>774</v>
      </c>
      <c r="H217" s="1" t="s">
        <v>381</v>
      </c>
      <c r="I217" s="1" t="s">
        <v>26</v>
      </c>
      <c r="J217" s="1">
        <v>1188.0000000000002</v>
      </c>
      <c r="K217" s="1">
        <v>9</v>
      </c>
      <c r="L217" s="5">
        <f t="shared" si="3"/>
        <v>10692.000000000002</v>
      </c>
    </row>
    <row r="218" spans="1:12" x14ac:dyDescent="0.25">
      <c r="A218" s="1" t="s">
        <v>883</v>
      </c>
      <c r="B218" s="1">
        <v>2022</v>
      </c>
      <c r="C218" s="7">
        <v>44563</v>
      </c>
      <c r="D218" s="1" t="s">
        <v>377</v>
      </c>
      <c r="E218" s="1" t="s">
        <v>378</v>
      </c>
      <c r="F218" s="1" t="s">
        <v>59</v>
      </c>
      <c r="G218" s="1" t="s">
        <v>774</v>
      </c>
      <c r="H218" s="1" t="s">
        <v>382</v>
      </c>
      <c r="I218" s="1" t="s">
        <v>26</v>
      </c>
      <c r="J218" s="1">
        <v>89.584000000000003</v>
      </c>
      <c r="K218" s="1">
        <v>2</v>
      </c>
      <c r="L218" s="5">
        <f t="shared" si="3"/>
        <v>179.16800000000001</v>
      </c>
    </row>
    <row r="219" spans="1:12" x14ac:dyDescent="0.25">
      <c r="A219" s="1" t="s">
        <v>884</v>
      </c>
      <c r="B219" s="1">
        <v>2023</v>
      </c>
      <c r="C219" s="7">
        <v>45227</v>
      </c>
      <c r="D219" s="1" t="s">
        <v>383</v>
      </c>
      <c r="E219" s="1" t="s">
        <v>14</v>
      </c>
      <c r="F219" s="1" t="s">
        <v>15</v>
      </c>
      <c r="G219" s="1" t="s">
        <v>779</v>
      </c>
      <c r="H219" s="1" t="s">
        <v>335</v>
      </c>
      <c r="I219" s="1" t="s">
        <v>17</v>
      </c>
      <c r="J219" s="1">
        <v>93.06</v>
      </c>
      <c r="K219" s="1">
        <v>6</v>
      </c>
      <c r="L219" s="5">
        <f t="shared" si="3"/>
        <v>558.36</v>
      </c>
    </row>
    <row r="220" spans="1:12" x14ac:dyDescent="0.25">
      <c r="A220" s="1" t="s">
        <v>884</v>
      </c>
      <c r="B220" s="1">
        <v>2023</v>
      </c>
      <c r="C220" s="7">
        <v>45227</v>
      </c>
      <c r="D220" s="1" t="s">
        <v>383</v>
      </c>
      <c r="E220" s="1" t="s">
        <v>14</v>
      </c>
      <c r="F220" s="1" t="s">
        <v>15</v>
      </c>
      <c r="G220" s="1" t="s">
        <v>779</v>
      </c>
      <c r="H220" s="1" t="s">
        <v>384</v>
      </c>
      <c r="I220" s="1" t="s">
        <v>26</v>
      </c>
      <c r="J220" s="1">
        <v>302.37599999999998</v>
      </c>
      <c r="K220" s="1">
        <v>3</v>
      </c>
      <c r="L220" s="5">
        <f t="shared" si="3"/>
        <v>907.12799999999993</v>
      </c>
    </row>
    <row r="221" spans="1:12" x14ac:dyDescent="0.25">
      <c r="A221" s="1" t="s">
        <v>885</v>
      </c>
      <c r="B221" s="1">
        <v>2022</v>
      </c>
      <c r="C221" s="7">
        <v>44919</v>
      </c>
      <c r="D221" s="1" t="s">
        <v>385</v>
      </c>
      <c r="E221" s="1" t="s">
        <v>386</v>
      </c>
      <c r="F221" s="1" t="s">
        <v>59</v>
      </c>
      <c r="G221" s="1" t="s">
        <v>774</v>
      </c>
      <c r="H221" s="1" t="s">
        <v>387</v>
      </c>
      <c r="I221" s="1" t="s">
        <v>17</v>
      </c>
      <c r="J221" s="1">
        <v>5.5840000000000005</v>
      </c>
      <c r="K221" s="1">
        <v>2</v>
      </c>
      <c r="L221" s="5">
        <f t="shared" si="3"/>
        <v>11.168000000000001</v>
      </c>
    </row>
    <row r="222" spans="1:12" x14ac:dyDescent="0.25">
      <c r="A222" s="1" t="s">
        <v>885</v>
      </c>
      <c r="B222" s="1">
        <v>2022</v>
      </c>
      <c r="C222" s="7">
        <v>44919</v>
      </c>
      <c r="D222" s="1" t="s">
        <v>385</v>
      </c>
      <c r="E222" s="1" t="s">
        <v>386</v>
      </c>
      <c r="F222" s="1" t="s">
        <v>59</v>
      </c>
      <c r="G222" s="1" t="s">
        <v>774</v>
      </c>
      <c r="H222" s="1" t="s">
        <v>388</v>
      </c>
      <c r="I222" s="1" t="s">
        <v>17</v>
      </c>
      <c r="J222" s="1">
        <v>22.704000000000004</v>
      </c>
      <c r="K222" s="1">
        <v>6</v>
      </c>
      <c r="L222" s="5">
        <f t="shared" si="3"/>
        <v>136.22400000000002</v>
      </c>
    </row>
    <row r="223" spans="1:12" x14ac:dyDescent="0.25">
      <c r="A223" s="1" t="s">
        <v>885</v>
      </c>
      <c r="B223" s="1">
        <v>2022</v>
      </c>
      <c r="C223" s="7">
        <v>44919</v>
      </c>
      <c r="D223" s="1" t="s">
        <v>385</v>
      </c>
      <c r="E223" s="1" t="s">
        <v>386</v>
      </c>
      <c r="F223" s="1" t="s">
        <v>59</v>
      </c>
      <c r="G223" s="1" t="s">
        <v>774</v>
      </c>
      <c r="H223" s="1" t="s">
        <v>179</v>
      </c>
      <c r="I223" s="1" t="s">
        <v>17</v>
      </c>
      <c r="J223" s="1">
        <v>19.776000000000003</v>
      </c>
      <c r="K223" s="1">
        <v>4</v>
      </c>
      <c r="L223" s="5">
        <f t="shared" si="3"/>
        <v>79.104000000000013</v>
      </c>
    </row>
    <row r="224" spans="1:12" x14ac:dyDescent="0.25">
      <c r="A224" s="1" t="s">
        <v>885</v>
      </c>
      <c r="B224" s="1">
        <v>2022</v>
      </c>
      <c r="C224" s="7">
        <v>44919</v>
      </c>
      <c r="D224" s="1" t="s">
        <v>385</v>
      </c>
      <c r="E224" s="1" t="s">
        <v>386</v>
      </c>
      <c r="F224" s="1" t="s">
        <v>59</v>
      </c>
      <c r="G224" s="1" t="s">
        <v>774</v>
      </c>
      <c r="H224" s="1" t="s">
        <v>389</v>
      </c>
      <c r="I224" s="1" t="s">
        <v>11</v>
      </c>
      <c r="J224" s="1">
        <v>72.703999999999994</v>
      </c>
      <c r="K224" s="1">
        <v>4</v>
      </c>
      <c r="L224" s="5">
        <f t="shared" si="3"/>
        <v>290.81599999999997</v>
      </c>
    </row>
    <row r="225" spans="1:12" x14ac:dyDescent="0.25">
      <c r="A225" s="1" t="s">
        <v>885</v>
      </c>
      <c r="B225" s="1">
        <v>2022</v>
      </c>
      <c r="C225" s="7">
        <v>44919</v>
      </c>
      <c r="D225" s="1" t="s">
        <v>385</v>
      </c>
      <c r="E225" s="1" t="s">
        <v>386</v>
      </c>
      <c r="F225" s="1" t="s">
        <v>59</v>
      </c>
      <c r="G225" s="1" t="s">
        <v>774</v>
      </c>
      <c r="H225" s="1" t="s">
        <v>390</v>
      </c>
      <c r="I225" s="1" t="s">
        <v>26</v>
      </c>
      <c r="J225" s="1">
        <v>479.98800000000006</v>
      </c>
      <c r="K225" s="1">
        <v>4</v>
      </c>
      <c r="L225" s="5">
        <f t="shared" si="3"/>
        <v>1919.9520000000002</v>
      </c>
    </row>
    <row r="226" spans="1:12" x14ac:dyDescent="0.25">
      <c r="A226" s="1" t="s">
        <v>885</v>
      </c>
      <c r="B226" s="1">
        <v>2022</v>
      </c>
      <c r="C226" s="7">
        <v>44919</v>
      </c>
      <c r="D226" s="1" t="s">
        <v>385</v>
      </c>
      <c r="E226" s="1" t="s">
        <v>386</v>
      </c>
      <c r="F226" s="1" t="s">
        <v>59</v>
      </c>
      <c r="G226" s="1" t="s">
        <v>774</v>
      </c>
      <c r="H226" s="1" t="s">
        <v>391</v>
      </c>
      <c r="I226" s="1" t="s">
        <v>17</v>
      </c>
      <c r="J226" s="1">
        <v>27.168000000000003</v>
      </c>
      <c r="K226" s="1">
        <v>2</v>
      </c>
      <c r="L226" s="5">
        <f t="shared" si="3"/>
        <v>54.336000000000006</v>
      </c>
    </row>
    <row r="227" spans="1:12" x14ac:dyDescent="0.25">
      <c r="A227" s="1" t="s">
        <v>886</v>
      </c>
      <c r="B227" s="1">
        <v>2022</v>
      </c>
      <c r="C227" s="7">
        <v>44782</v>
      </c>
      <c r="D227" s="1" t="s">
        <v>392</v>
      </c>
      <c r="E227" s="1" t="s">
        <v>393</v>
      </c>
      <c r="F227" s="1" t="s">
        <v>39</v>
      </c>
      <c r="G227" s="1" t="s">
        <v>785</v>
      </c>
      <c r="H227" s="1" t="s">
        <v>394</v>
      </c>
      <c r="I227" s="1" t="s">
        <v>17</v>
      </c>
      <c r="J227" s="1">
        <v>2.2000000000000002</v>
      </c>
      <c r="K227" s="1">
        <v>1</v>
      </c>
      <c r="L227" s="5">
        <f t="shared" si="3"/>
        <v>2.2000000000000002</v>
      </c>
    </row>
    <row r="228" spans="1:12" x14ac:dyDescent="0.25">
      <c r="A228" s="1" t="s">
        <v>886</v>
      </c>
      <c r="B228" s="1">
        <v>2022</v>
      </c>
      <c r="C228" s="7">
        <v>44782</v>
      </c>
      <c r="D228" s="1" t="s">
        <v>392</v>
      </c>
      <c r="E228" s="1" t="s">
        <v>393</v>
      </c>
      <c r="F228" s="1" t="s">
        <v>39</v>
      </c>
      <c r="G228" s="1" t="s">
        <v>785</v>
      </c>
      <c r="H228" s="1" t="s">
        <v>395</v>
      </c>
      <c r="I228" s="1" t="s">
        <v>11</v>
      </c>
      <c r="J228" s="1">
        <v>622.44999999999993</v>
      </c>
      <c r="K228" s="1">
        <v>5</v>
      </c>
      <c r="L228" s="5">
        <f t="shared" si="3"/>
        <v>3112.2499999999995</v>
      </c>
    </row>
    <row r="229" spans="1:12" x14ac:dyDescent="0.25">
      <c r="A229" s="1" t="s">
        <v>886</v>
      </c>
      <c r="B229" s="1">
        <v>2022</v>
      </c>
      <c r="C229" s="7">
        <v>44782</v>
      </c>
      <c r="D229" s="1" t="s">
        <v>392</v>
      </c>
      <c r="E229" s="1" t="s">
        <v>393</v>
      </c>
      <c r="F229" s="1" t="s">
        <v>39</v>
      </c>
      <c r="G229" s="1" t="s">
        <v>785</v>
      </c>
      <c r="H229" s="1" t="s">
        <v>396</v>
      </c>
      <c r="I229" s="1" t="s">
        <v>17</v>
      </c>
      <c r="J229" s="1">
        <v>21.98</v>
      </c>
      <c r="K229" s="1">
        <v>1</v>
      </c>
      <c r="L229" s="5">
        <f t="shared" si="3"/>
        <v>21.98</v>
      </c>
    </row>
    <row r="230" spans="1:12" x14ac:dyDescent="0.25">
      <c r="A230" s="1" t="s">
        <v>887</v>
      </c>
      <c r="B230" s="1">
        <v>2022</v>
      </c>
      <c r="C230" s="7">
        <v>44620</v>
      </c>
      <c r="D230" s="1" t="s">
        <v>397</v>
      </c>
      <c r="E230" s="1" t="s">
        <v>164</v>
      </c>
      <c r="F230" s="1" t="s">
        <v>9</v>
      </c>
      <c r="G230" s="1" t="s">
        <v>344</v>
      </c>
      <c r="H230" s="1" t="s">
        <v>398</v>
      </c>
      <c r="I230" s="1" t="s">
        <v>11</v>
      </c>
      <c r="J230" s="1">
        <v>161.56800000000001</v>
      </c>
      <c r="K230" s="1">
        <v>2</v>
      </c>
      <c r="L230" s="5">
        <f t="shared" si="3"/>
        <v>323.13600000000002</v>
      </c>
    </row>
    <row r="231" spans="1:12" x14ac:dyDescent="0.25">
      <c r="A231" s="1" t="s">
        <v>887</v>
      </c>
      <c r="B231" s="1">
        <v>2022</v>
      </c>
      <c r="C231" s="7">
        <v>44620</v>
      </c>
      <c r="D231" s="1" t="s">
        <v>397</v>
      </c>
      <c r="E231" s="1" t="s">
        <v>164</v>
      </c>
      <c r="F231" s="1" t="s">
        <v>9</v>
      </c>
      <c r="G231" s="1" t="s">
        <v>344</v>
      </c>
      <c r="H231" s="1" t="s">
        <v>399</v>
      </c>
      <c r="I231" s="1" t="s">
        <v>11</v>
      </c>
      <c r="J231" s="1">
        <v>389.69600000000003</v>
      </c>
      <c r="K231" s="1">
        <v>8</v>
      </c>
      <c r="L231" s="5">
        <f t="shared" si="3"/>
        <v>3117.5680000000002</v>
      </c>
    </row>
    <row r="232" spans="1:12" x14ac:dyDescent="0.25">
      <c r="A232" s="1" t="s">
        <v>888</v>
      </c>
      <c r="B232" s="1">
        <v>2022</v>
      </c>
      <c r="C232" s="7">
        <v>44817</v>
      </c>
      <c r="D232" s="1" t="s">
        <v>400</v>
      </c>
      <c r="E232" s="1" t="s">
        <v>202</v>
      </c>
      <c r="F232" s="1" t="s">
        <v>9</v>
      </c>
      <c r="G232" s="1" t="s">
        <v>344</v>
      </c>
      <c r="H232" s="1" t="s">
        <v>401</v>
      </c>
      <c r="I232" s="1" t="s">
        <v>17</v>
      </c>
      <c r="J232" s="1">
        <v>18.648000000000003</v>
      </c>
      <c r="K232" s="1">
        <v>7</v>
      </c>
      <c r="L232" s="5">
        <f t="shared" si="3"/>
        <v>130.53600000000003</v>
      </c>
    </row>
    <row r="233" spans="1:12" x14ac:dyDescent="0.25">
      <c r="A233" s="1" t="s">
        <v>889</v>
      </c>
      <c r="B233" s="1">
        <v>2023</v>
      </c>
      <c r="C233" s="7">
        <v>45023</v>
      </c>
      <c r="D233" s="1" t="s">
        <v>162</v>
      </c>
      <c r="E233" s="1" t="s">
        <v>402</v>
      </c>
      <c r="F233" s="1" t="s">
        <v>9</v>
      </c>
      <c r="G233" s="1" t="s">
        <v>344</v>
      </c>
      <c r="H233" s="1" t="s">
        <v>403</v>
      </c>
      <c r="I233" s="1" t="s">
        <v>11</v>
      </c>
      <c r="J233" s="1">
        <v>233.86</v>
      </c>
      <c r="K233" s="1">
        <v>2</v>
      </c>
      <c r="L233" s="5">
        <f t="shared" si="3"/>
        <v>467.72</v>
      </c>
    </row>
    <row r="234" spans="1:12" x14ac:dyDescent="0.25">
      <c r="A234" s="1" t="s">
        <v>889</v>
      </c>
      <c r="B234" s="1">
        <v>2023</v>
      </c>
      <c r="C234" s="7">
        <v>45023</v>
      </c>
      <c r="D234" s="1" t="s">
        <v>162</v>
      </c>
      <c r="E234" s="1" t="s">
        <v>402</v>
      </c>
      <c r="F234" s="1" t="s">
        <v>9</v>
      </c>
      <c r="G234" s="1" t="s">
        <v>344</v>
      </c>
      <c r="H234" s="1" t="s">
        <v>404</v>
      </c>
      <c r="I234" s="1" t="s">
        <v>11</v>
      </c>
      <c r="J234" s="1">
        <v>620.61450000000013</v>
      </c>
      <c r="K234" s="1">
        <v>3</v>
      </c>
      <c r="L234" s="5">
        <f t="shared" si="3"/>
        <v>1861.8435000000004</v>
      </c>
    </row>
    <row r="235" spans="1:12" x14ac:dyDescent="0.25">
      <c r="A235" s="1" t="s">
        <v>889</v>
      </c>
      <c r="B235" s="1">
        <v>2023</v>
      </c>
      <c r="C235" s="7">
        <v>45023</v>
      </c>
      <c r="D235" s="1" t="s">
        <v>162</v>
      </c>
      <c r="E235" s="1" t="s">
        <v>402</v>
      </c>
      <c r="F235" s="1" t="s">
        <v>9</v>
      </c>
      <c r="G235" s="1" t="s">
        <v>344</v>
      </c>
      <c r="H235" s="1" t="s">
        <v>401</v>
      </c>
      <c r="I235" s="1" t="s">
        <v>17</v>
      </c>
      <c r="J235" s="1">
        <v>5.3280000000000012</v>
      </c>
      <c r="K235" s="1">
        <v>2</v>
      </c>
      <c r="L235" s="5">
        <f t="shared" si="3"/>
        <v>10.656000000000002</v>
      </c>
    </row>
    <row r="236" spans="1:12" x14ac:dyDescent="0.25">
      <c r="A236" s="1" t="s">
        <v>889</v>
      </c>
      <c r="B236" s="1">
        <v>2023</v>
      </c>
      <c r="C236" s="7">
        <v>45023</v>
      </c>
      <c r="D236" s="1" t="s">
        <v>162</v>
      </c>
      <c r="E236" s="1" t="s">
        <v>402</v>
      </c>
      <c r="F236" s="1" t="s">
        <v>9</v>
      </c>
      <c r="G236" s="1" t="s">
        <v>344</v>
      </c>
      <c r="H236" s="1" t="s">
        <v>405</v>
      </c>
      <c r="I236" s="1" t="s">
        <v>11</v>
      </c>
      <c r="J236" s="1">
        <v>258.072</v>
      </c>
      <c r="K236" s="1">
        <v>3</v>
      </c>
      <c r="L236" s="5">
        <f t="shared" si="3"/>
        <v>774.21600000000001</v>
      </c>
    </row>
    <row r="237" spans="1:12" x14ac:dyDescent="0.25">
      <c r="A237" s="1" t="s">
        <v>889</v>
      </c>
      <c r="B237" s="1">
        <v>2023</v>
      </c>
      <c r="C237" s="7">
        <v>45023</v>
      </c>
      <c r="D237" s="1" t="s">
        <v>162</v>
      </c>
      <c r="E237" s="1" t="s">
        <v>402</v>
      </c>
      <c r="F237" s="1" t="s">
        <v>9</v>
      </c>
      <c r="G237" s="1" t="s">
        <v>344</v>
      </c>
      <c r="H237" s="1" t="s">
        <v>406</v>
      </c>
      <c r="I237" s="1" t="s">
        <v>26</v>
      </c>
      <c r="J237" s="1">
        <v>617.97600000000011</v>
      </c>
      <c r="K237" s="1">
        <v>3</v>
      </c>
      <c r="L237" s="5">
        <f t="shared" si="3"/>
        <v>1853.9280000000003</v>
      </c>
    </row>
    <row r="238" spans="1:12" x14ac:dyDescent="0.25">
      <c r="A238" s="1" t="s">
        <v>890</v>
      </c>
      <c r="B238" s="1">
        <v>2023</v>
      </c>
      <c r="C238" s="7">
        <v>45242</v>
      </c>
      <c r="D238" s="1" t="s">
        <v>407</v>
      </c>
      <c r="E238" s="1" t="s">
        <v>408</v>
      </c>
      <c r="F238" s="1" t="s">
        <v>15</v>
      </c>
      <c r="G238" s="1" t="s">
        <v>779</v>
      </c>
      <c r="H238" s="1" t="s">
        <v>409</v>
      </c>
      <c r="I238" s="1" t="s">
        <v>17</v>
      </c>
      <c r="J238" s="1">
        <v>10.56</v>
      </c>
      <c r="K238" s="1">
        <v>2</v>
      </c>
      <c r="L238" s="5">
        <f t="shared" si="3"/>
        <v>21.12</v>
      </c>
    </row>
    <row r="239" spans="1:12" x14ac:dyDescent="0.25">
      <c r="A239" s="1" t="s">
        <v>891</v>
      </c>
      <c r="B239" s="1">
        <v>2023</v>
      </c>
      <c r="C239" s="7">
        <v>45081</v>
      </c>
      <c r="D239" s="1" t="s">
        <v>410</v>
      </c>
      <c r="E239" s="1" t="s">
        <v>129</v>
      </c>
      <c r="F239" s="1" t="s">
        <v>39</v>
      </c>
      <c r="G239" s="1" t="s">
        <v>785</v>
      </c>
      <c r="H239" s="1" t="s">
        <v>411</v>
      </c>
      <c r="I239" s="1" t="s">
        <v>17</v>
      </c>
      <c r="J239" s="1">
        <v>25.920000000000005</v>
      </c>
      <c r="K239" s="1">
        <v>5</v>
      </c>
      <c r="L239" s="5">
        <f t="shared" si="3"/>
        <v>129.60000000000002</v>
      </c>
    </row>
    <row r="240" spans="1:12" x14ac:dyDescent="0.25">
      <c r="A240" s="1" t="s">
        <v>891</v>
      </c>
      <c r="B240" s="1">
        <v>2023</v>
      </c>
      <c r="C240" s="7">
        <v>45081</v>
      </c>
      <c r="D240" s="1" t="s">
        <v>410</v>
      </c>
      <c r="E240" s="1" t="s">
        <v>129</v>
      </c>
      <c r="F240" s="1" t="s">
        <v>39</v>
      </c>
      <c r="G240" s="1" t="s">
        <v>785</v>
      </c>
      <c r="H240" s="1" t="s">
        <v>412</v>
      </c>
      <c r="I240" s="1" t="s">
        <v>11</v>
      </c>
      <c r="J240" s="1">
        <v>419.68000000000006</v>
      </c>
      <c r="K240" s="1">
        <v>5</v>
      </c>
      <c r="L240" s="5">
        <f t="shared" si="3"/>
        <v>2098.4000000000005</v>
      </c>
    </row>
    <row r="241" spans="1:12" x14ac:dyDescent="0.25">
      <c r="A241" s="1" t="s">
        <v>891</v>
      </c>
      <c r="B241" s="1">
        <v>2023</v>
      </c>
      <c r="C241" s="7">
        <v>45081</v>
      </c>
      <c r="D241" s="1" t="s">
        <v>410</v>
      </c>
      <c r="E241" s="1" t="s">
        <v>129</v>
      </c>
      <c r="F241" s="1" t="s">
        <v>39</v>
      </c>
      <c r="G241" s="1" t="s">
        <v>785</v>
      </c>
      <c r="H241" s="1" t="s">
        <v>413</v>
      </c>
      <c r="I241" s="1" t="s">
        <v>11</v>
      </c>
      <c r="J241" s="1">
        <v>11.688000000000001</v>
      </c>
      <c r="K241" s="1">
        <v>3</v>
      </c>
      <c r="L241" s="5">
        <f t="shared" si="3"/>
        <v>35.064</v>
      </c>
    </row>
    <row r="242" spans="1:12" x14ac:dyDescent="0.25">
      <c r="A242" s="1" t="s">
        <v>891</v>
      </c>
      <c r="B242" s="1">
        <v>2023</v>
      </c>
      <c r="C242" s="7">
        <v>45081</v>
      </c>
      <c r="D242" s="1" t="s">
        <v>410</v>
      </c>
      <c r="E242" s="1" t="s">
        <v>129</v>
      </c>
      <c r="F242" s="1" t="s">
        <v>39</v>
      </c>
      <c r="G242" s="1" t="s">
        <v>785</v>
      </c>
      <c r="H242" s="1" t="s">
        <v>414</v>
      </c>
      <c r="I242" s="1" t="s">
        <v>26</v>
      </c>
      <c r="J242" s="1">
        <v>31.983999999999998</v>
      </c>
      <c r="K242" s="1">
        <v>2</v>
      </c>
      <c r="L242" s="5">
        <f t="shared" si="3"/>
        <v>63.967999999999996</v>
      </c>
    </row>
    <row r="243" spans="1:12" x14ac:dyDescent="0.25">
      <c r="A243" s="1" t="s">
        <v>891</v>
      </c>
      <c r="B243" s="1">
        <v>2023</v>
      </c>
      <c r="C243" s="7">
        <v>45081</v>
      </c>
      <c r="D243" s="1" t="s">
        <v>410</v>
      </c>
      <c r="E243" s="1" t="s">
        <v>129</v>
      </c>
      <c r="F243" s="1" t="s">
        <v>39</v>
      </c>
      <c r="G243" s="1" t="s">
        <v>785</v>
      </c>
      <c r="H243" s="1" t="s">
        <v>415</v>
      </c>
      <c r="I243" s="1" t="s">
        <v>11</v>
      </c>
      <c r="J243" s="1">
        <v>177.22499999999999</v>
      </c>
      <c r="K243" s="1">
        <v>5</v>
      </c>
      <c r="L243" s="5">
        <f t="shared" si="3"/>
        <v>886.125</v>
      </c>
    </row>
    <row r="244" spans="1:12" x14ac:dyDescent="0.25">
      <c r="A244" s="1" t="s">
        <v>891</v>
      </c>
      <c r="B244" s="1">
        <v>2023</v>
      </c>
      <c r="C244" s="7">
        <v>45081</v>
      </c>
      <c r="D244" s="1" t="s">
        <v>410</v>
      </c>
      <c r="E244" s="1" t="s">
        <v>129</v>
      </c>
      <c r="F244" s="1" t="s">
        <v>39</v>
      </c>
      <c r="G244" s="1" t="s">
        <v>785</v>
      </c>
      <c r="H244" s="1" t="s">
        <v>416</v>
      </c>
      <c r="I244" s="1" t="s">
        <v>11</v>
      </c>
      <c r="J244" s="1">
        <v>4.0440000000000005</v>
      </c>
      <c r="K244" s="1">
        <v>3</v>
      </c>
      <c r="L244" s="5">
        <f t="shared" si="3"/>
        <v>12.132000000000001</v>
      </c>
    </row>
    <row r="245" spans="1:12" x14ac:dyDescent="0.25">
      <c r="A245" s="1" t="s">
        <v>891</v>
      </c>
      <c r="B245" s="1">
        <v>2023</v>
      </c>
      <c r="C245" s="7">
        <v>45081</v>
      </c>
      <c r="D245" s="1" t="s">
        <v>410</v>
      </c>
      <c r="E245" s="1" t="s">
        <v>129</v>
      </c>
      <c r="F245" s="1" t="s">
        <v>39</v>
      </c>
      <c r="G245" s="1" t="s">
        <v>785</v>
      </c>
      <c r="H245" s="1" t="s">
        <v>346</v>
      </c>
      <c r="I245" s="1" t="s">
        <v>17</v>
      </c>
      <c r="J245" s="1">
        <v>7.4080000000000004</v>
      </c>
      <c r="K245" s="1">
        <v>2</v>
      </c>
      <c r="L245" s="5">
        <f t="shared" si="3"/>
        <v>14.816000000000001</v>
      </c>
    </row>
    <row r="246" spans="1:12" x14ac:dyDescent="0.25">
      <c r="A246" s="1" t="s">
        <v>892</v>
      </c>
      <c r="B246" s="1">
        <v>2022</v>
      </c>
      <c r="C246" s="7">
        <v>44713</v>
      </c>
      <c r="D246" s="1" t="s">
        <v>417</v>
      </c>
      <c r="E246" s="1" t="s">
        <v>418</v>
      </c>
      <c r="F246" s="1" t="s">
        <v>39</v>
      </c>
      <c r="G246" s="1" t="s">
        <v>785</v>
      </c>
      <c r="H246" s="1" t="s">
        <v>233</v>
      </c>
      <c r="I246" s="1" t="s">
        <v>11</v>
      </c>
      <c r="J246" s="1">
        <v>2001.8600000000001</v>
      </c>
      <c r="K246" s="1">
        <v>7</v>
      </c>
      <c r="L246" s="5">
        <f t="shared" si="3"/>
        <v>14013.02</v>
      </c>
    </row>
    <row r="247" spans="1:12" x14ac:dyDescent="0.25">
      <c r="A247" s="1" t="s">
        <v>892</v>
      </c>
      <c r="B247" s="1">
        <v>2022</v>
      </c>
      <c r="C247" s="7">
        <v>44713</v>
      </c>
      <c r="D247" s="1" t="s">
        <v>417</v>
      </c>
      <c r="E247" s="1" t="s">
        <v>418</v>
      </c>
      <c r="F247" s="1" t="s">
        <v>39</v>
      </c>
      <c r="G247" s="1" t="s">
        <v>785</v>
      </c>
      <c r="H247" s="1" t="s">
        <v>419</v>
      </c>
      <c r="I247" s="1" t="s">
        <v>17</v>
      </c>
      <c r="J247" s="1">
        <v>166.72</v>
      </c>
      <c r="K247" s="1">
        <v>2</v>
      </c>
      <c r="L247" s="5">
        <f t="shared" si="3"/>
        <v>333.44</v>
      </c>
    </row>
    <row r="248" spans="1:12" x14ac:dyDescent="0.25">
      <c r="A248" s="1" t="s">
        <v>892</v>
      </c>
      <c r="B248" s="1">
        <v>2022</v>
      </c>
      <c r="C248" s="7">
        <v>44713</v>
      </c>
      <c r="D248" s="1" t="s">
        <v>417</v>
      </c>
      <c r="E248" s="1" t="s">
        <v>418</v>
      </c>
      <c r="F248" s="1" t="s">
        <v>39</v>
      </c>
      <c r="G248" s="1" t="s">
        <v>785</v>
      </c>
      <c r="H248" s="1" t="s">
        <v>420</v>
      </c>
      <c r="I248" s="1" t="s">
        <v>17</v>
      </c>
      <c r="J248" s="1">
        <v>47.88</v>
      </c>
      <c r="K248" s="1">
        <v>6</v>
      </c>
      <c r="L248" s="5">
        <f t="shared" si="3"/>
        <v>287.28000000000003</v>
      </c>
    </row>
    <row r="249" spans="1:12" x14ac:dyDescent="0.25">
      <c r="A249" s="1" t="s">
        <v>892</v>
      </c>
      <c r="B249" s="1">
        <v>2022</v>
      </c>
      <c r="C249" s="7">
        <v>44713</v>
      </c>
      <c r="D249" s="1" t="s">
        <v>417</v>
      </c>
      <c r="E249" s="1" t="s">
        <v>418</v>
      </c>
      <c r="F249" s="1" t="s">
        <v>39</v>
      </c>
      <c r="G249" s="1" t="s">
        <v>785</v>
      </c>
      <c r="H249" s="1" t="s">
        <v>421</v>
      </c>
      <c r="I249" s="1" t="s">
        <v>17</v>
      </c>
      <c r="J249" s="1">
        <v>1503.25</v>
      </c>
      <c r="K249" s="1">
        <v>5</v>
      </c>
      <c r="L249" s="5">
        <f t="shared" si="3"/>
        <v>7516.25</v>
      </c>
    </row>
    <row r="250" spans="1:12" x14ac:dyDescent="0.25">
      <c r="A250" s="1" t="s">
        <v>892</v>
      </c>
      <c r="B250" s="1">
        <v>2022</v>
      </c>
      <c r="C250" s="7">
        <v>44713</v>
      </c>
      <c r="D250" s="1" t="s">
        <v>417</v>
      </c>
      <c r="E250" s="1" t="s">
        <v>418</v>
      </c>
      <c r="F250" s="1" t="s">
        <v>39</v>
      </c>
      <c r="G250" s="1" t="s">
        <v>785</v>
      </c>
      <c r="H250" s="1" t="s">
        <v>339</v>
      </c>
      <c r="I250" s="1" t="s">
        <v>17</v>
      </c>
      <c r="J250" s="1">
        <v>25.92</v>
      </c>
      <c r="K250" s="1">
        <v>4</v>
      </c>
      <c r="L250" s="5">
        <f t="shared" si="3"/>
        <v>103.68</v>
      </c>
    </row>
    <row r="251" spans="1:12" x14ac:dyDescent="0.25">
      <c r="A251" s="1" t="s">
        <v>893</v>
      </c>
      <c r="B251" s="1">
        <v>2023</v>
      </c>
      <c r="C251" s="7">
        <v>45270</v>
      </c>
      <c r="D251" s="1" t="s">
        <v>422</v>
      </c>
      <c r="E251" s="1" t="s">
        <v>49</v>
      </c>
      <c r="F251" s="1" t="s">
        <v>15</v>
      </c>
      <c r="G251" s="1" t="s">
        <v>779</v>
      </c>
      <c r="H251" s="1" t="s">
        <v>423</v>
      </c>
      <c r="I251" s="1" t="s">
        <v>11</v>
      </c>
      <c r="J251" s="1">
        <v>321.56799999999998</v>
      </c>
      <c r="K251" s="1">
        <v>2</v>
      </c>
      <c r="L251" s="5">
        <f t="shared" si="3"/>
        <v>643.13599999999997</v>
      </c>
    </row>
    <row r="252" spans="1:12" x14ac:dyDescent="0.25">
      <c r="A252" s="1" t="s">
        <v>894</v>
      </c>
      <c r="B252" s="1">
        <v>2023</v>
      </c>
      <c r="C252" s="7">
        <v>45180</v>
      </c>
      <c r="D252" s="1" t="s">
        <v>424</v>
      </c>
      <c r="E252" s="1" t="s">
        <v>425</v>
      </c>
      <c r="F252" s="1" t="s">
        <v>15</v>
      </c>
      <c r="G252" s="1" t="s">
        <v>779</v>
      </c>
      <c r="H252" s="1" t="s">
        <v>426</v>
      </c>
      <c r="I252" s="1" t="s">
        <v>17</v>
      </c>
      <c r="J252" s="1">
        <v>7.61</v>
      </c>
      <c r="K252" s="1">
        <v>1</v>
      </c>
      <c r="L252" s="5">
        <f t="shared" si="3"/>
        <v>7.61</v>
      </c>
    </row>
    <row r="253" spans="1:12" x14ac:dyDescent="0.25">
      <c r="A253" s="1" t="s">
        <v>894</v>
      </c>
      <c r="B253" s="1">
        <v>2023</v>
      </c>
      <c r="C253" s="7">
        <v>45180</v>
      </c>
      <c r="D253" s="1" t="s">
        <v>424</v>
      </c>
      <c r="E253" s="1" t="s">
        <v>425</v>
      </c>
      <c r="F253" s="1" t="s">
        <v>15</v>
      </c>
      <c r="G253" s="1" t="s">
        <v>779</v>
      </c>
      <c r="H253" s="1" t="s">
        <v>406</v>
      </c>
      <c r="I253" s="1" t="s">
        <v>26</v>
      </c>
      <c r="J253" s="1">
        <v>3347.37</v>
      </c>
      <c r="K253" s="1">
        <v>13</v>
      </c>
      <c r="L253" s="5">
        <f t="shared" si="3"/>
        <v>43515.81</v>
      </c>
    </row>
    <row r="254" spans="1:12" x14ac:dyDescent="0.25">
      <c r="A254" s="1" t="s">
        <v>895</v>
      </c>
      <c r="B254" s="1">
        <v>2023</v>
      </c>
      <c r="C254" s="7">
        <v>45270</v>
      </c>
      <c r="D254" s="1" t="s">
        <v>427</v>
      </c>
      <c r="E254" s="1" t="s">
        <v>112</v>
      </c>
      <c r="F254" s="1" t="s">
        <v>59</v>
      </c>
      <c r="G254" s="1" t="s">
        <v>774</v>
      </c>
      <c r="H254" s="1" t="s">
        <v>428</v>
      </c>
      <c r="I254" s="1" t="s">
        <v>17</v>
      </c>
      <c r="J254" s="1">
        <v>80.58</v>
      </c>
      <c r="K254" s="1">
        <v>6</v>
      </c>
      <c r="L254" s="5">
        <f t="shared" si="3"/>
        <v>483.48</v>
      </c>
    </row>
    <row r="255" spans="1:12" x14ac:dyDescent="0.25">
      <c r="A255" s="1" t="s">
        <v>895</v>
      </c>
      <c r="B255" s="1">
        <v>2023</v>
      </c>
      <c r="C255" s="7">
        <v>45270</v>
      </c>
      <c r="D255" s="1" t="s">
        <v>427</v>
      </c>
      <c r="E255" s="1" t="s">
        <v>112</v>
      </c>
      <c r="F255" s="1" t="s">
        <v>59</v>
      </c>
      <c r="G255" s="1" t="s">
        <v>774</v>
      </c>
      <c r="H255" s="1" t="s">
        <v>429</v>
      </c>
      <c r="I255" s="1" t="s">
        <v>17</v>
      </c>
      <c r="J255" s="1">
        <v>361.92</v>
      </c>
      <c r="K255" s="1">
        <v>4</v>
      </c>
      <c r="L255" s="5">
        <f t="shared" si="3"/>
        <v>1447.68</v>
      </c>
    </row>
    <row r="256" spans="1:12" x14ac:dyDescent="0.25">
      <c r="A256" s="1" t="s">
        <v>896</v>
      </c>
      <c r="B256" s="1">
        <v>2022</v>
      </c>
      <c r="C256" s="7">
        <v>44893</v>
      </c>
      <c r="D256" s="1" t="s">
        <v>430</v>
      </c>
      <c r="E256" s="1" t="s">
        <v>129</v>
      </c>
      <c r="F256" s="1" t="s">
        <v>39</v>
      </c>
      <c r="G256" s="1" t="s">
        <v>785</v>
      </c>
      <c r="H256" s="1" t="s">
        <v>416</v>
      </c>
      <c r="I256" s="1" t="s">
        <v>11</v>
      </c>
      <c r="J256" s="1">
        <v>12.132000000000001</v>
      </c>
      <c r="K256" s="1">
        <v>9</v>
      </c>
      <c r="L256" s="5">
        <f t="shared" si="3"/>
        <v>109.18800000000002</v>
      </c>
    </row>
    <row r="257" spans="1:12" x14ac:dyDescent="0.25">
      <c r="A257" s="1" t="s">
        <v>896</v>
      </c>
      <c r="B257" s="1">
        <v>2022</v>
      </c>
      <c r="C257" s="7">
        <v>44893</v>
      </c>
      <c r="D257" s="1" t="s">
        <v>430</v>
      </c>
      <c r="E257" s="1" t="s">
        <v>129</v>
      </c>
      <c r="F257" s="1" t="s">
        <v>39</v>
      </c>
      <c r="G257" s="1" t="s">
        <v>785</v>
      </c>
      <c r="H257" s="1" t="s">
        <v>431</v>
      </c>
      <c r="I257" s="1" t="s">
        <v>17</v>
      </c>
      <c r="J257" s="1">
        <v>82.367999999999995</v>
      </c>
      <c r="K257" s="1">
        <v>2</v>
      </c>
      <c r="L257" s="5">
        <f t="shared" si="3"/>
        <v>164.73599999999999</v>
      </c>
    </row>
    <row r="258" spans="1:12" x14ac:dyDescent="0.25">
      <c r="A258" s="1" t="s">
        <v>896</v>
      </c>
      <c r="B258" s="1">
        <v>2022</v>
      </c>
      <c r="C258" s="7">
        <v>44893</v>
      </c>
      <c r="D258" s="1" t="s">
        <v>430</v>
      </c>
      <c r="E258" s="1" t="s">
        <v>129</v>
      </c>
      <c r="F258" s="1" t="s">
        <v>39</v>
      </c>
      <c r="G258" s="1" t="s">
        <v>785</v>
      </c>
      <c r="H258" s="1" t="s">
        <v>281</v>
      </c>
      <c r="I258" s="1" t="s">
        <v>17</v>
      </c>
      <c r="J258" s="1">
        <v>53.92</v>
      </c>
      <c r="K258" s="1">
        <v>5</v>
      </c>
      <c r="L258" s="5">
        <f t="shared" si="3"/>
        <v>269.60000000000002</v>
      </c>
    </row>
    <row r="259" spans="1:12" x14ac:dyDescent="0.25">
      <c r="A259" s="1" t="s">
        <v>896</v>
      </c>
      <c r="B259" s="1">
        <v>2022</v>
      </c>
      <c r="C259" s="7">
        <v>44893</v>
      </c>
      <c r="D259" s="1" t="s">
        <v>430</v>
      </c>
      <c r="E259" s="1" t="s">
        <v>129</v>
      </c>
      <c r="F259" s="1" t="s">
        <v>39</v>
      </c>
      <c r="G259" s="1" t="s">
        <v>785</v>
      </c>
      <c r="H259" s="1" t="s">
        <v>432</v>
      </c>
      <c r="I259" s="1" t="s">
        <v>26</v>
      </c>
      <c r="J259" s="1">
        <v>647.904</v>
      </c>
      <c r="K259" s="1">
        <v>6</v>
      </c>
      <c r="L259" s="5">
        <f t="shared" ref="L259:L322" si="4">J259*K259</f>
        <v>3887.424</v>
      </c>
    </row>
    <row r="260" spans="1:12" x14ac:dyDescent="0.25">
      <c r="A260" s="1" t="s">
        <v>897</v>
      </c>
      <c r="B260" s="1">
        <v>2023</v>
      </c>
      <c r="C260" s="7">
        <v>45261</v>
      </c>
      <c r="D260" s="1" t="s">
        <v>433</v>
      </c>
      <c r="E260" s="1" t="s">
        <v>112</v>
      </c>
      <c r="F260" s="1" t="s">
        <v>59</v>
      </c>
      <c r="G260" s="1" t="s">
        <v>774</v>
      </c>
      <c r="H260" s="1" t="s">
        <v>434</v>
      </c>
      <c r="I260" s="1" t="s">
        <v>26</v>
      </c>
      <c r="J260" s="1">
        <v>20.37</v>
      </c>
      <c r="K260" s="1">
        <v>3</v>
      </c>
      <c r="L260" s="5">
        <f t="shared" si="4"/>
        <v>61.11</v>
      </c>
    </row>
    <row r="261" spans="1:12" x14ac:dyDescent="0.25">
      <c r="A261" s="1" t="s">
        <v>897</v>
      </c>
      <c r="B261" s="1">
        <v>2023</v>
      </c>
      <c r="C261" s="7">
        <v>45261</v>
      </c>
      <c r="D261" s="1" t="s">
        <v>433</v>
      </c>
      <c r="E261" s="1" t="s">
        <v>112</v>
      </c>
      <c r="F261" s="1" t="s">
        <v>59</v>
      </c>
      <c r="G261" s="1" t="s">
        <v>774</v>
      </c>
      <c r="H261" s="1" t="s">
        <v>435</v>
      </c>
      <c r="I261" s="1" t="s">
        <v>17</v>
      </c>
      <c r="J261" s="1">
        <v>221.54999999999998</v>
      </c>
      <c r="K261" s="1">
        <v>3</v>
      </c>
      <c r="L261" s="5">
        <f t="shared" si="4"/>
        <v>664.65</v>
      </c>
    </row>
    <row r="262" spans="1:12" x14ac:dyDescent="0.25">
      <c r="A262" s="1" t="s">
        <v>897</v>
      </c>
      <c r="B262" s="1">
        <v>2023</v>
      </c>
      <c r="C262" s="7">
        <v>45261</v>
      </c>
      <c r="D262" s="1" t="s">
        <v>433</v>
      </c>
      <c r="E262" s="1" t="s">
        <v>112</v>
      </c>
      <c r="F262" s="1" t="s">
        <v>59</v>
      </c>
      <c r="G262" s="1" t="s">
        <v>774</v>
      </c>
      <c r="H262" s="1" t="s">
        <v>436</v>
      </c>
      <c r="I262" s="1" t="s">
        <v>17</v>
      </c>
      <c r="J262" s="1">
        <v>17.52</v>
      </c>
      <c r="K262" s="1">
        <v>5</v>
      </c>
      <c r="L262" s="5">
        <f t="shared" si="4"/>
        <v>87.6</v>
      </c>
    </row>
    <row r="263" spans="1:12" x14ac:dyDescent="0.25">
      <c r="A263" s="1" t="s">
        <v>898</v>
      </c>
      <c r="B263" s="1">
        <v>2023</v>
      </c>
      <c r="C263" s="7">
        <v>45085</v>
      </c>
      <c r="D263" s="1" t="s">
        <v>437</v>
      </c>
      <c r="E263" s="1" t="s">
        <v>264</v>
      </c>
      <c r="F263" s="1" t="s">
        <v>39</v>
      </c>
      <c r="G263" s="1" t="s">
        <v>785</v>
      </c>
      <c r="H263" s="1" t="s">
        <v>438</v>
      </c>
      <c r="I263" s="1" t="s">
        <v>17</v>
      </c>
      <c r="J263" s="1">
        <v>1.6239999999999994</v>
      </c>
      <c r="K263" s="1">
        <v>2</v>
      </c>
      <c r="L263" s="5">
        <f t="shared" si="4"/>
        <v>3.2479999999999989</v>
      </c>
    </row>
    <row r="264" spans="1:12" x14ac:dyDescent="0.25">
      <c r="A264" s="1" t="s">
        <v>899</v>
      </c>
      <c r="B264" s="1">
        <v>2022</v>
      </c>
      <c r="C264" s="7">
        <v>44823</v>
      </c>
      <c r="D264" s="1" t="s">
        <v>439</v>
      </c>
      <c r="E264" s="1" t="s">
        <v>75</v>
      </c>
      <c r="F264" s="1" t="s">
        <v>39</v>
      </c>
      <c r="G264" s="1" t="s">
        <v>785</v>
      </c>
      <c r="H264" s="1" t="s">
        <v>301</v>
      </c>
      <c r="I264" s="1" t="s">
        <v>26</v>
      </c>
      <c r="J264" s="1">
        <v>3059.982</v>
      </c>
      <c r="K264" s="1">
        <v>3</v>
      </c>
      <c r="L264" s="5">
        <f t="shared" si="4"/>
        <v>9179.9459999999999</v>
      </c>
    </row>
    <row r="265" spans="1:12" x14ac:dyDescent="0.25">
      <c r="A265" s="1" t="s">
        <v>899</v>
      </c>
      <c r="B265" s="1">
        <v>2022</v>
      </c>
      <c r="C265" s="7">
        <v>44823</v>
      </c>
      <c r="D265" s="1" t="s">
        <v>439</v>
      </c>
      <c r="E265" s="1" t="s">
        <v>75</v>
      </c>
      <c r="F265" s="1" t="s">
        <v>39</v>
      </c>
      <c r="G265" s="1" t="s">
        <v>785</v>
      </c>
      <c r="H265" s="1" t="s">
        <v>440</v>
      </c>
      <c r="I265" s="1" t="s">
        <v>26</v>
      </c>
      <c r="J265" s="1">
        <v>2519.9579999999996</v>
      </c>
      <c r="K265" s="1">
        <v>7</v>
      </c>
      <c r="L265" s="5">
        <f t="shared" si="4"/>
        <v>17639.705999999998</v>
      </c>
    </row>
    <row r="266" spans="1:12" x14ac:dyDescent="0.25">
      <c r="A266" s="1" t="s">
        <v>900</v>
      </c>
      <c r="B266" s="1">
        <v>2023</v>
      </c>
      <c r="C266" s="7">
        <v>45083</v>
      </c>
      <c r="D266" s="1" t="s">
        <v>441</v>
      </c>
      <c r="E266" s="1" t="s">
        <v>129</v>
      </c>
      <c r="F266" s="1" t="s">
        <v>39</v>
      </c>
      <c r="G266" s="1" t="s">
        <v>785</v>
      </c>
      <c r="H266" s="1" t="s">
        <v>442</v>
      </c>
      <c r="I266" s="1" t="s">
        <v>26</v>
      </c>
      <c r="J266" s="1">
        <v>328.22399999999999</v>
      </c>
      <c r="K266" s="1">
        <v>4</v>
      </c>
      <c r="L266" s="5">
        <f t="shared" si="4"/>
        <v>1312.896</v>
      </c>
    </row>
    <row r="267" spans="1:12" x14ac:dyDescent="0.25">
      <c r="A267" s="1" t="s">
        <v>901</v>
      </c>
      <c r="B267" s="1">
        <v>2022</v>
      </c>
      <c r="C267" s="7">
        <v>44875</v>
      </c>
      <c r="D267" s="1" t="s">
        <v>443</v>
      </c>
      <c r="E267" s="1" t="s">
        <v>444</v>
      </c>
      <c r="F267" s="1" t="s">
        <v>15</v>
      </c>
      <c r="G267" s="1" t="s">
        <v>779</v>
      </c>
      <c r="H267" s="1" t="s">
        <v>445</v>
      </c>
      <c r="I267" s="1" t="s">
        <v>26</v>
      </c>
      <c r="J267" s="1">
        <v>79.900000000000006</v>
      </c>
      <c r="K267" s="1">
        <v>2</v>
      </c>
      <c r="L267" s="5">
        <f t="shared" si="4"/>
        <v>159.80000000000001</v>
      </c>
    </row>
    <row r="268" spans="1:12" x14ac:dyDescent="0.25">
      <c r="A268" s="1" t="s">
        <v>902</v>
      </c>
      <c r="B268" s="1">
        <v>2023</v>
      </c>
      <c r="C268" s="7">
        <v>45093</v>
      </c>
      <c r="D268" s="1" t="s">
        <v>446</v>
      </c>
      <c r="E268" s="1" t="s">
        <v>447</v>
      </c>
      <c r="F268" s="1" t="s">
        <v>9</v>
      </c>
      <c r="G268" s="1" t="s">
        <v>344</v>
      </c>
      <c r="H268" s="1" t="s">
        <v>448</v>
      </c>
      <c r="I268" s="1" t="s">
        <v>17</v>
      </c>
      <c r="J268" s="1">
        <v>14.015999999999998</v>
      </c>
      <c r="K268" s="1">
        <v>3</v>
      </c>
      <c r="L268" s="5">
        <f t="shared" si="4"/>
        <v>42.047999999999995</v>
      </c>
    </row>
    <row r="269" spans="1:12" x14ac:dyDescent="0.25">
      <c r="A269" s="1" t="s">
        <v>903</v>
      </c>
      <c r="B269" s="1">
        <v>2023</v>
      </c>
      <c r="C269" s="7">
        <v>44948</v>
      </c>
      <c r="D269" s="1" t="s">
        <v>166</v>
      </c>
      <c r="E269" s="1" t="s">
        <v>449</v>
      </c>
      <c r="F269" s="1" t="s">
        <v>59</v>
      </c>
      <c r="G269" s="1" t="s">
        <v>774</v>
      </c>
      <c r="H269" s="1" t="s">
        <v>450</v>
      </c>
      <c r="I269" s="1" t="s">
        <v>17</v>
      </c>
      <c r="J269" s="1">
        <v>7.5600000000000005</v>
      </c>
      <c r="K269" s="1">
        <v>6</v>
      </c>
      <c r="L269" s="5">
        <f t="shared" si="4"/>
        <v>45.36</v>
      </c>
    </row>
    <row r="270" spans="1:12" x14ac:dyDescent="0.25">
      <c r="A270" s="1" t="s">
        <v>904</v>
      </c>
      <c r="B270" s="1">
        <v>2023</v>
      </c>
      <c r="C270" s="7">
        <v>45269</v>
      </c>
      <c r="D270" s="1" t="s">
        <v>451</v>
      </c>
      <c r="E270" s="1" t="s">
        <v>452</v>
      </c>
      <c r="F270" s="1" t="s">
        <v>59</v>
      </c>
      <c r="G270" s="1" t="s">
        <v>774</v>
      </c>
      <c r="H270" s="1" t="s">
        <v>453</v>
      </c>
      <c r="I270" s="1" t="s">
        <v>17</v>
      </c>
      <c r="J270" s="1">
        <v>37.207999999999998</v>
      </c>
      <c r="K270" s="1">
        <v>1</v>
      </c>
      <c r="L270" s="5">
        <f t="shared" si="4"/>
        <v>37.207999999999998</v>
      </c>
    </row>
    <row r="271" spans="1:12" x14ac:dyDescent="0.25">
      <c r="A271" s="1" t="s">
        <v>904</v>
      </c>
      <c r="B271" s="1">
        <v>2023</v>
      </c>
      <c r="C271" s="7">
        <v>45269</v>
      </c>
      <c r="D271" s="1" t="s">
        <v>451</v>
      </c>
      <c r="E271" s="1" t="s">
        <v>452</v>
      </c>
      <c r="F271" s="1" t="s">
        <v>59</v>
      </c>
      <c r="G271" s="1" t="s">
        <v>774</v>
      </c>
      <c r="H271" s="1" t="s">
        <v>454</v>
      </c>
      <c r="I271" s="1" t="s">
        <v>17</v>
      </c>
      <c r="J271" s="1">
        <v>57.576000000000001</v>
      </c>
      <c r="K271" s="1">
        <v>3</v>
      </c>
      <c r="L271" s="5">
        <f t="shared" si="4"/>
        <v>172.72800000000001</v>
      </c>
    </row>
    <row r="272" spans="1:12" x14ac:dyDescent="0.25">
      <c r="A272" s="1" t="s">
        <v>905</v>
      </c>
      <c r="B272" s="1">
        <v>2023</v>
      </c>
      <c r="C272" s="7">
        <v>45288</v>
      </c>
      <c r="D272" s="1" t="s">
        <v>455</v>
      </c>
      <c r="E272" s="1" t="s">
        <v>49</v>
      </c>
      <c r="F272" s="1" t="s">
        <v>15</v>
      </c>
      <c r="G272" s="1" t="s">
        <v>779</v>
      </c>
      <c r="H272" s="1" t="s">
        <v>456</v>
      </c>
      <c r="I272" s="1" t="s">
        <v>17</v>
      </c>
      <c r="J272" s="1">
        <v>725.84</v>
      </c>
      <c r="K272" s="1">
        <v>4</v>
      </c>
      <c r="L272" s="5">
        <f t="shared" si="4"/>
        <v>2903.36</v>
      </c>
    </row>
    <row r="273" spans="1:12" x14ac:dyDescent="0.25">
      <c r="A273" s="1" t="s">
        <v>906</v>
      </c>
      <c r="B273" s="1">
        <v>2022</v>
      </c>
      <c r="C273" s="7">
        <v>44772</v>
      </c>
      <c r="D273" s="1" t="s">
        <v>263</v>
      </c>
      <c r="E273" s="1" t="s">
        <v>49</v>
      </c>
      <c r="F273" s="1" t="s">
        <v>15</v>
      </c>
      <c r="G273" s="1" t="s">
        <v>779</v>
      </c>
      <c r="H273" s="1" t="s">
        <v>457</v>
      </c>
      <c r="I273" s="1" t="s">
        <v>26</v>
      </c>
      <c r="J273" s="1">
        <v>209.92999999999998</v>
      </c>
      <c r="K273" s="1">
        <v>7</v>
      </c>
      <c r="L273" s="5">
        <f t="shared" si="4"/>
        <v>1469.5099999999998</v>
      </c>
    </row>
    <row r="274" spans="1:12" x14ac:dyDescent="0.25">
      <c r="A274" s="1" t="s">
        <v>906</v>
      </c>
      <c r="B274" s="1">
        <v>2022</v>
      </c>
      <c r="C274" s="7">
        <v>44772</v>
      </c>
      <c r="D274" s="1" t="s">
        <v>263</v>
      </c>
      <c r="E274" s="1" t="s">
        <v>49</v>
      </c>
      <c r="F274" s="1" t="s">
        <v>15</v>
      </c>
      <c r="G274" s="1" t="s">
        <v>779</v>
      </c>
      <c r="H274" s="1" t="s">
        <v>458</v>
      </c>
      <c r="I274" s="1" t="s">
        <v>11</v>
      </c>
      <c r="J274" s="1">
        <v>5.28</v>
      </c>
      <c r="K274" s="1">
        <v>3</v>
      </c>
      <c r="L274" s="5">
        <f t="shared" si="4"/>
        <v>15.84</v>
      </c>
    </row>
    <row r="275" spans="1:12" x14ac:dyDescent="0.25">
      <c r="A275" s="1" t="s">
        <v>906</v>
      </c>
      <c r="B275" s="1">
        <v>2022</v>
      </c>
      <c r="C275" s="7">
        <v>44772</v>
      </c>
      <c r="D275" s="1" t="s">
        <v>263</v>
      </c>
      <c r="E275" s="1" t="s">
        <v>49</v>
      </c>
      <c r="F275" s="1" t="s">
        <v>15</v>
      </c>
      <c r="G275" s="1" t="s">
        <v>779</v>
      </c>
      <c r="H275" s="1" t="s">
        <v>459</v>
      </c>
      <c r="I275" s="1" t="s">
        <v>17</v>
      </c>
      <c r="J275" s="1">
        <v>10.92</v>
      </c>
      <c r="K275" s="1">
        <v>3</v>
      </c>
      <c r="L275" s="5">
        <f t="shared" si="4"/>
        <v>32.76</v>
      </c>
    </row>
    <row r="276" spans="1:12" x14ac:dyDescent="0.25">
      <c r="A276" s="1" t="s">
        <v>907</v>
      </c>
      <c r="B276" s="1">
        <v>2023</v>
      </c>
      <c r="C276" s="7">
        <v>45185</v>
      </c>
      <c r="D276" s="1" t="s">
        <v>460</v>
      </c>
      <c r="E276" s="1" t="s">
        <v>461</v>
      </c>
      <c r="F276" s="1" t="s">
        <v>15</v>
      </c>
      <c r="G276" s="1" t="s">
        <v>779</v>
      </c>
      <c r="H276" s="1" t="s">
        <v>462</v>
      </c>
      <c r="I276" s="1" t="s">
        <v>17</v>
      </c>
      <c r="J276" s="1">
        <v>8.82</v>
      </c>
      <c r="K276" s="1">
        <v>2</v>
      </c>
      <c r="L276" s="5">
        <f t="shared" si="4"/>
        <v>17.64</v>
      </c>
    </row>
    <row r="277" spans="1:12" x14ac:dyDescent="0.25">
      <c r="A277" s="1" t="s">
        <v>907</v>
      </c>
      <c r="B277" s="1">
        <v>2023</v>
      </c>
      <c r="C277" s="7">
        <v>45185</v>
      </c>
      <c r="D277" s="1" t="s">
        <v>460</v>
      </c>
      <c r="E277" s="1" t="s">
        <v>461</v>
      </c>
      <c r="F277" s="1" t="s">
        <v>15</v>
      </c>
      <c r="G277" s="1" t="s">
        <v>779</v>
      </c>
      <c r="H277" s="1" t="s">
        <v>463</v>
      </c>
      <c r="I277" s="1" t="s">
        <v>17</v>
      </c>
      <c r="J277" s="1">
        <v>5.98</v>
      </c>
      <c r="K277" s="1">
        <v>1</v>
      </c>
      <c r="L277" s="5">
        <f t="shared" si="4"/>
        <v>5.98</v>
      </c>
    </row>
    <row r="278" spans="1:12" x14ac:dyDescent="0.25">
      <c r="A278" s="1" t="s">
        <v>908</v>
      </c>
      <c r="B278" s="1">
        <v>2023</v>
      </c>
      <c r="C278" s="7">
        <v>45212</v>
      </c>
      <c r="D278" s="1" t="s">
        <v>464</v>
      </c>
      <c r="E278" s="1" t="s">
        <v>58</v>
      </c>
      <c r="F278" s="1" t="s">
        <v>59</v>
      </c>
      <c r="G278" s="1" t="s">
        <v>774</v>
      </c>
      <c r="H278" s="1" t="s">
        <v>465</v>
      </c>
      <c r="I278" s="1" t="s">
        <v>17</v>
      </c>
      <c r="J278" s="1">
        <v>11.648000000000001</v>
      </c>
      <c r="K278" s="1">
        <v>2</v>
      </c>
      <c r="L278" s="5">
        <f t="shared" si="4"/>
        <v>23.296000000000003</v>
      </c>
    </row>
    <row r="279" spans="1:12" x14ac:dyDescent="0.25">
      <c r="A279" s="1" t="s">
        <v>908</v>
      </c>
      <c r="B279" s="1">
        <v>2023</v>
      </c>
      <c r="C279" s="7">
        <v>45212</v>
      </c>
      <c r="D279" s="1" t="s">
        <v>464</v>
      </c>
      <c r="E279" s="1" t="s">
        <v>58</v>
      </c>
      <c r="F279" s="1" t="s">
        <v>59</v>
      </c>
      <c r="G279" s="1" t="s">
        <v>774</v>
      </c>
      <c r="H279" s="1" t="s">
        <v>466</v>
      </c>
      <c r="I279" s="1" t="s">
        <v>17</v>
      </c>
      <c r="J279" s="1">
        <v>18.175999999999998</v>
      </c>
      <c r="K279" s="1">
        <v>4</v>
      </c>
      <c r="L279" s="5">
        <f t="shared" si="4"/>
        <v>72.703999999999994</v>
      </c>
    </row>
    <row r="280" spans="1:12" x14ac:dyDescent="0.25">
      <c r="A280" s="1" t="s">
        <v>908</v>
      </c>
      <c r="B280" s="1">
        <v>2023</v>
      </c>
      <c r="C280" s="7">
        <v>45212</v>
      </c>
      <c r="D280" s="1" t="s">
        <v>464</v>
      </c>
      <c r="E280" s="1" t="s">
        <v>58</v>
      </c>
      <c r="F280" s="1" t="s">
        <v>59</v>
      </c>
      <c r="G280" s="1" t="s">
        <v>774</v>
      </c>
      <c r="H280" s="1" t="s">
        <v>467</v>
      </c>
      <c r="I280" s="1" t="s">
        <v>17</v>
      </c>
      <c r="J280" s="1">
        <v>59.712000000000003</v>
      </c>
      <c r="K280" s="1">
        <v>6</v>
      </c>
      <c r="L280" s="5">
        <f t="shared" si="4"/>
        <v>358.27200000000005</v>
      </c>
    </row>
    <row r="281" spans="1:12" x14ac:dyDescent="0.25">
      <c r="A281" s="1" t="s">
        <v>908</v>
      </c>
      <c r="B281" s="1">
        <v>2023</v>
      </c>
      <c r="C281" s="7">
        <v>45212</v>
      </c>
      <c r="D281" s="1" t="s">
        <v>464</v>
      </c>
      <c r="E281" s="1" t="s">
        <v>58</v>
      </c>
      <c r="F281" s="1" t="s">
        <v>59</v>
      </c>
      <c r="G281" s="1" t="s">
        <v>774</v>
      </c>
      <c r="H281" s="1" t="s">
        <v>468</v>
      </c>
      <c r="I281" s="1" t="s">
        <v>17</v>
      </c>
      <c r="J281" s="1">
        <v>24.839999999999996</v>
      </c>
      <c r="K281" s="1">
        <v>3</v>
      </c>
      <c r="L281" s="5">
        <f t="shared" si="4"/>
        <v>74.519999999999982</v>
      </c>
    </row>
    <row r="282" spans="1:12" x14ac:dyDescent="0.25">
      <c r="A282" s="1" t="s">
        <v>909</v>
      </c>
      <c r="B282" s="1">
        <v>2022</v>
      </c>
      <c r="C282" s="7">
        <v>44830</v>
      </c>
      <c r="D282" s="1" t="s">
        <v>226</v>
      </c>
      <c r="E282" s="1" t="s">
        <v>75</v>
      </c>
      <c r="F282" s="1" t="s">
        <v>39</v>
      </c>
      <c r="G282" s="1" t="s">
        <v>785</v>
      </c>
      <c r="H282" s="1" t="s">
        <v>469</v>
      </c>
      <c r="I282" s="1" t="s">
        <v>17</v>
      </c>
      <c r="J282" s="1">
        <v>2.0799999999999996</v>
      </c>
      <c r="K282" s="1">
        <v>5</v>
      </c>
      <c r="L282" s="5">
        <f t="shared" si="4"/>
        <v>10.399999999999999</v>
      </c>
    </row>
    <row r="283" spans="1:12" x14ac:dyDescent="0.25">
      <c r="A283" s="1" t="s">
        <v>909</v>
      </c>
      <c r="B283" s="1">
        <v>2022</v>
      </c>
      <c r="C283" s="7">
        <v>44830</v>
      </c>
      <c r="D283" s="1" t="s">
        <v>226</v>
      </c>
      <c r="E283" s="1" t="s">
        <v>75</v>
      </c>
      <c r="F283" s="1" t="s">
        <v>39</v>
      </c>
      <c r="G283" s="1" t="s">
        <v>785</v>
      </c>
      <c r="H283" s="1" t="s">
        <v>470</v>
      </c>
      <c r="I283" s="1" t="s">
        <v>26</v>
      </c>
      <c r="J283" s="1">
        <v>1114.4000000000001</v>
      </c>
      <c r="K283" s="1">
        <v>7</v>
      </c>
      <c r="L283" s="5">
        <f t="shared" si="4"/>
        <v>7800.8000000000011</v>
      </c>
    </row>
    <row r="284" spans="1:12" x14ac:dyDescent="0.25">
      <c r="A284" s="1" t="s">
        <v>910</v>
      </c>
      <c r="B284" s="1">
        <v>2022</v>
      </c>
      <c r="C284" s="7">
        <v>44867</v>
      </c>
      <c r="D284" s="1" t="s">
        <v>471</v>
      </c>
      <c r="E284" s="1" t="s">
        <v>14</v>
      </c>
      <c r="F284" s="1" t="s">
        <v>15</v>
      </c>
      <c r="G284" s="1" t="s">
        <v>779</v>
      </c>
      <c r="H284" s="1" t="s">
        <v>472</v>
      </c>
      <c r="I284" s="1" t="s">
        <v>11</v>
      </c>
      <c r="J284" s="1">
        <v>1038.8399999999999</v>
      </c>
      <c r="K284" s="1">
        <v>5</v>
      </c>
      <c r="L284" s="5">
        <f t="shared" si="4"/>
        <v>5194.2</v>
      </c>
    </row>
    <row r="285" spans="1:12" x14ac:dyDescent="0.25">
      <c r="A285" s="1" t="s">
        <v>911</v>
      </c>
      <c r="B285" s="1">
        <v>2022</v>
      </c>
      <c r="C285" s="7">
        <v>44830</v>
      </c>
      <c r="D285" s="1" t="s">
        <v>66</v>
      </c>
      <c r="E285" s="1" t="s">
        <v>181</v>
      </c>
      <c r="F285" s="1" t="s">
        <v>15</v>
      </c>
      <c r="G285" s="1" t="s">
        <v>779</v>
      </c>
      <c r="H285" s="1" t="s">
        <v>473</v>
      </c>
      <c r="I285" s="1" t="s">
        <v>17</v>
      </c>
      <c r="J285" s="1">
        <v>141.76</v>
      </c>
      <c r="K285" s="1">
        <v>5</v>
      </c>
      <c r="L285" s="5">
        <f t="shared" si="4"/>
        <v>708.8</v>
      </c>
    </row>
    <row r="286" spans="1:12" x14ac:dyDescent="0.25">
      <c r="A286" s="1" t="s">
        <v>911</v>
      </c>
      <c r="B286" s="1">
        <v>2022</v>
      </c>
      <c r="C286" s="7">
        <v>44830</v>
      </c>
      <c r="D286" s="1" t="s">
        <v>66</v>
      </c>
      <c r="E286" s="1" t="s">
        <v>181</v>
      </c>
      <c r="F286" s="1" t="s">
        <v>15</v>
      </c>
      <c r="G286" s="1" t="s">
        <v>779</v>
      </c>
      <c r="H286" s="1" t="s">
        <v>474</v>
      </c>
      <c r="I286" s="1" t="s">
        <v>26</v>
      </c>
      <c r="J286" s="1">
        <v>239.80000000000004</v>
      </c>
      <c r="K286" s="1">
        <v>5</v>
      </c>
      <c r="L286" s="5">
        <f t="shared" si="4"/>
        <v>1199.0000000000002</v>
      </c>
    </row>
    <row r="287" spans="1:12" x14ac:dyDescent="0.25">
      <c r="A287" s="1" t="s">
        <v>911</v>
      </c>
      <c r="B287" s="1">
        <v>2022</v>
      </c>
      <c r="C287" s="7">
        <v>44830</v>
      </c>
      <c r="D287" s="1" t="s">
        <v>66</v>
      </c>
      <c r="E287" s="1" t="s">
        <v>181</v>
      </c>
      <c r="F287" s="1" t="s">
        <v>15</v>
      </c>
      <c r="G287" s="1" t="s">
        <v>779</v>
      </c>
      <c r="H287" s="1" t="s">
        <v>475</v>
      </c>
      <c r="I287" s="1" t="s">
        <v>17</v>
      </c>
      <c r="J287" s="1">
        <v>31.104000000000006</v>
      </c>
      <c r="K287" s="1">
        <v>6</v>
      </c>
      <c r="L287" s="5">
        <f t="shared" si="4"/>
        <v>186.62400000000002</v>
      </c>
    </row>
    <row r="288" spans="1:12" x14ac:dyDescent="0.25">
      <c r="A288" s="1" t="s">
        <v>912</v>
      </c>
      <c r="B288" s="1">
        <v>2023</v>
      </c>
      <c r="C288" s="7">
        <v>45278</v>
      </c>
      <c r="D288" s="1" t="s">
        <v>476</v>
      </c>
      <c r="E288" s="1" t="s">
        <v>477</v>
      </c>
      <c r="F288" s="1" t="s">
        <v>9</v>
      </c>
      <c r="G288" s="1" t="s">
        <v>344</v>
      </c>
      <c r="H288" s="1" t="s">
        <v>478</v>
      </c>
      <c r="I288" s="1" t="s">
        <v>17</v>
      </c>
      <c r="J288" s="1">
        <v>254.05800000000002</v>
      </c>
      <c r="K288" s="1">
        <v>7</v>
      </c>
      <c r="L288" s="5">
        <f t="shared" si="4"/>
        <v>1778.4060000000002</v>
      </c>
    </row>
    <row r="289" spans="1:12" x14ac:dyDescent="0.25">
      <c r="A289" s="1" t="s">
        <v>912</v>
      </c>
      <c r="B289" s="1">
        <v>2023</v>
      </c>
      <c r="C289" s="7">
        <v>45278</v>
      </c>
      <c r="D289" s="1" t="s">
        <v>476</v>
      </c>
      <c r="E289" s="1" t="s">
        <v>477</v>
      </c>
      <c r="F289" s="1" t="s">
        <v>9</v>
      </c>
      <c r="G289" s="1" t="s">
        <v>344</v>
      </c>
      <c r="H289" s="1" t="s">
        <v>315</v>
      </c>
      <c r="I289" s="1" t="s">
        <v>17</v>
      </c>
      <c r="J289" s="1">
        <v>194.52800000000002</v>
      </c>
      <c r="K289" s="1">
        <v>2</v>
      </c>
      <c r="L289" s="5">
        <f t="shared" si="4"/>
        <v>389.05600000000004</v>
      </c>
    </row>
    <row r="290" spans="1:12" x14ac:dyDescent="0.25">
      <c r="A290" s="1" t="s">
        <v>912</v>
      </c>
      <c r="B290" s="1">
        <v>2023</v>
      </c>
      <c r="C290" s="7">
        <v>45278</v>
      </c>
      <c r="D290" s="1" t="s">
        <v>476</v>
      </c>
      <c r="E290" s="1" t="s">
        <v>477</v>
      </c>
      <c r="F290" s="1" t="s">
        <v>9</v>
      </c>
      <c r="G290" s="1" t="s">
        <v>344</v>
      </c>
      <c r="H290" s="1" t="s">
        <v>479</v>
      </c>
      <c r="I290" s="1" t="s">
        <v>17</v>
      </c>
      <c r="J290" s="1">
        <v>961.48000000000013</v>
      </c>
      <c r="K290" s="1">
        <v>5</v>
      </c>
      <c r="L290" s="5">
        <f t="shared" si="4"/>
        <v>4807.4000000000005</v>
      </c>
    </row>
    <row r="291" spans="1:12" x14ac:dyDescent="0.25">
      <c r="A291" s="1" t="s">
        <v>913</v>
      </c>
      <c r="B291" s="1">
        <v>2023</v>
      </c>
      <c r="C291" s="7">
        <v>45250</v>
      </c>
      <c r="D291" s="1" t="s">
        <v>480</v>
      </c>
      <c r="E291" s="1" t="s">
        <v>216</v>
      </c>
      <c r="F291" s="1" t="s">
        <v>59</v>
      </c>
      <c r="G291" s="1" t="s">
        <v>774</v>
      </c>
      <c r="H291" s="1" t="s">
        <v>481</v>
      </c>
      <c r="I291" s="1" t="s">
        <v>17</v>
      </c>
      <c r="J291" s="1">
        <v>19.096</v>
      </c>
      <c r="K291" s="1">
        <v>7</v>
      </c>
      <c r="L291" s="5">
        <f t="shared" si="4"/>
        <v>133.672</v>
      </c>
    </row>
    <row r="292" spans="1:12" x14ac:dyDescent="0.25">
      <c r="A292" s="1" t="s">
        <v>913</v>
      </c>
      <c r="B292" s="1">
        <v>2023</v>
      </c>
      <c r="C292" s="7">
        <v>45250</v>
      </c>
      <c r="D292" s="1" t="s">
        <v>480</v>
      </c>
      <c r="E292" s="1" t="s">
        <v>216</v>
      </c>
      <c r="F292" s="1" t="s">
        <v>59</v>
      </c>
      <c r="G292" s="1" t="s">
        <v>774</v>
      </c>
      <c r="H292" s="1" t="s">
        <v>482</v>
      </c>
      <c r="I292" s="1" t="s">
        <v>17</v>
      </c>
      <c r="J292" s="1">
        <v>18.496000000000002</v>
      </c>
      <c r="K292" s="1">
        <v>8</v>
      </c>
      <c r="L292" s="5">
        <f t="shared" si="4"/>
        <v>147.96800000000002</v>
      </c>
    </row>
    <row r="293" spans="1:12" x14ac:dyDescent="0.25">
      <c r="A293" s="1" t="s">
        <v>913</v>
      </c>
      <c r="B293" s="1">
        <v>2023</v>
      </c>
      <c r="C293" s="7">
        <v>45250</v>
      </c>
      <c r="D293" s="1" t="s">
        <v>480</v>
      </c>
      <c r="E293" s="1" t="s">
        <v>216</v>
      </c>
      <c r="F293" s="1" t="s">
        <v>59</v>
      </c>
      <c r="G293" s="1" t="s">
        <v>774</v>
      </c>
      <c r="H293" s="1" t="s">
        <v>483</v>
      </c>
      <c r="I293" s="1" t="s">
        <v>26</v>
      </c>
      <c r="J293" s="1">
        <v>255.98400000000004</v>
      </c>
      <c r="K293" s="1">
        <v>2</v>
      </c>
      <c r="L293" s="5">
        <f t="shared" si="4"/>
        <v>511.96800000000007</v>
      </c>
    </row>
    <row r="294" spans="1:12" x14ac:dyDescent="0.25">
      <c r="A294" s="1" t="s">
        <v>913</v>
      </c>
      <c r="B294" s="1">
        <v>2023</v>
      </c>
      <c r="C294" s="7">
        <v>45250</v>
      </c>
      <c r="D294" s="1" t="s">
        <v>480</v>
      </c>
      <c r="E294" s="1" t="s">
        <v>216</v>
      </c>
      <c r="F294" s="1" t="s">
        <v>59</v>
      </c>
      <c r="G294" s="1" t="s">
        <v>774</v>
      </c>
      <c r="H294" s="1" t="s">
        <v>484</v>
      </c>
      <c r="I294" s="1" t="s">
        <v>11</v>
      </c>
      <c r="J294" s="1">
        <v>86.97</v>
      </c>
      <c r="K294" s="1">
        <v>3</v>
      </c>
      <c r="L294" s="5">
        <f t="shared" si="4"/>
        <v>260.90999999999997</v>
      </c>
    </row>
    <row r="295" spans="1:12" x14ac:dyDescent="0.25">
      <c r="A295" s="1" t="s">
        <v>914</v>
      </c>
      <c r="B295" s="1">
        <v>2022</v>
      </c>
      <c r="C295" s="7">
        <v>44921</v>
      </c>
      <c r="D295" s="1" t="s">
        <v>485</v>
      </c>
      <c r="E295" s="1" t="s">
        <v>486</v>
      </c>
      <c r="F295" s="1" t="s">
        <v>15</v>
      </c>
      <c r="G295" s="1" t="s">
        <v>779</v>
      </c>
      <c r="H295" s="1" t="s">
        <v>487</v>
      </c>
      <c r="I295" s="1" t="s">
        <v>11</v>
      </c>
      <c r="J295" s="1">
        <v>300.416</v>
      </c>
      <c r="K295" s="1">
        <v>8</v>
      </c>
      <c r="L295" s="5">
        <f t="shared" si="4"/>
        <v>2403.328</v>
      </c>
    </row>
    <row r="296" spans="1:12" x14ac:dyDescent="0.25">
      <c r="A296" s="1" t="s">
        <v>914</v>
      </c>
      <c r="B296" s="1">
        <v>2022</v>
      </c>
      <c r="C296" s="7">
        <v>44921</v>
      </c>
      <c r="D296" s="1" t="s">
        <v>485</v>
      </c>
      <c r="E296" s="1" t="s">
        <v>486</v>
      </c>
      <c r="F296" s="1" t="s">
        <v>15</v>
      </c>
      <c r="G296" s="1" t="s">
        <v>779</v>
      </c>
      <c r="H296" s="1" t="s">
        <v>488</v>
      </c>
      <c r="I296" s="1" t="s">
        <v>11</v>
      </c>
      <c r="J296" s="1">
        <v>230.35200000000003</v>
      </c>
      <c r="K296" s="1">
        <v>3</v>
      </c>
      <c r="L296" s="5">
        <f t="shared" si="4"/>
        <v>691.05600000000004</v>
      </c>
    </row>
    <row r="297" spans="1:12" x14ac:dyDescent="0.25">
      <c r="A297" s="1" t="s">
        <v>914</v>
      </c>
      <c r="B297" s="1">
        <v>2022</v>
      </c>
      <c r="C297" s="7">
        <v>44921</v>
      </c>
      <c r="D297" s="1" t="s">
        <v>485</v>
      </c>
      <c r="E297" s="1" t="s">
        <v>486</v>
      </c>
      <c r="F297" s="1" t="s">
        <v>15</v>
      </c>
      <c r="G297" s="1" t="s">
        <v>779</v>
      </c>
      <c r="H297" s="1" t="s">
        <v>489</v>
      </c>
      <c r="I297" s="1" t="s">
        <v>11</v>
      </c>
      <c r="J297" s="1">
        <v>218.35200000000003</v>
      </c>
      <c r="K297" s="1">
        <v>3</v>
      </c>
      <c r="L297" s="5">
        <f t="shared" si="4"/>
        <v>655.05600000000004</v>
      </c>
    </row>
    <row r="298" spans="1:12" x14ac:dyDescent="0.25">
      <c r="A298" s="1" t="s">
        <v>914</v>
      </c>
      <c r="B298" s="1">
        <v>2022</v>
      </c>
      <c r="C298" s="7">
        <v>44921</v>
      </c>
      <c r="D298" s="1" t="s">
        <v>485</v>
      </c>
      <c r="E298" s="1" t="s">
        <v>486</v>
      </c>
      <c r="F298" s="1" t="s">
        <v>15</v>
      </c>
      <c r="G298" s="1" t="s">
        <v>779</v>
      </c>
      <c r="H298" s="1" t="s">
        <v>490</v>
      </c>
      <c r="I298" s="1" t="s">
        <v>17</v>
      </c>
      <c r="J298" s="1">
        <v>78.600000000000009</v>
      </c>
      <c r="K298" s="1">
        <v>5</v>
      </c>
      <c r="L298" s="5">
        <f t="shared" si="4"/>
        <v>393.00000000000006</v>
      </c>
    </row>
    <row r="299" spans="1:12" x14ac:dyDescent="0.25">
      <c r="A299" s="1" t="s">
        <v>914</v>
      </c>
      <c r="B299" s="1">
        <v>2022</v>
      </c>
      <c r="C299" s="7">
        <v>44921</v>
      </c>
      <c r="D299" s="1" t="s">
        <v>485</v>
      </c>
      <c r="E299" s="1" t="s">
        <v>486</v>
      </c>
      <c r="F299" s="1" t="s">
        <v>15</v>
      </c>
      <c r="G299" s="1" t="s">
        <v>779</v>
      </c>
      <c r="H299" s="1" t="s">
        <v>491</v>
      </c>
      <c r="I299" s="1" t="s">
        <v>17</v>
      </c>
      <c r="J299" s="1">
        <v>27.552000000000003</v>
      </c>
      <c r="K299" s="1">
        <v>3</v>
      </c>
      <c r="L299" s="5">
        <f t="shared" si="4"/>
        <v>82.656000000000006</v>
      </c>
    </row>
    <row r="300" spans="1:12" x14ac:dyDescent="0.25">
      <c r="A300" s="1" t="s">
        <v>915</v>
      </c>
      <c r="B300" s="1">
        <v>2023</v>
      </c>
      <c r="C300" s="7">
        <v>45227</v>
      </c>
      <c r="D300" s="1" t="s">
        <v>255</v>
      </c>
      <c r="E300" s="1" t="s">
        <v>492</v>
      </c>
      <c r="F300" s="1" t="s">
        <v>59</v>
      </c>
      <c r="G300" s="1" t="s">
        <v>774</v>
      </c>
      <c r="H300" s="1" t="s">
        <v>493</v>
      </c>
      <c r="I300" s="1" t="s">
        <v>17</v>
      </c>
      <c r="J300" s="1">
        <v>32.400000000000006</v>
      </c>
      <c r="K300" s="1">
        <v>5</v>
      </c>
      <c r="L300" s="5">
        <f t="shared" si="4"/>
        <v>162.00000000000003</v>
      </c>
    </row>
    <row r="301" spans="1:12" x14ac:dyDescent="0.25">
      <c r="A301" s="1" t="s">
        <v>915</v>
      </c>
      <c r="B301" s="1">
        <v>2023</v>
      </c>
      <c r="C301" s="7">
        <v>45227</v>
      </c>
      <c r="D301" s="1" t="s">
        <v>255</v>
      </c>
      <c r="E301" s="1" t="s">
        <v>492</v>
      </c>
      <c r="F301" s="1" t="s">
        <v>59</v>
      </c>
      <c r="G301" s="1" t="s">
        <v>774</v>
      </c>
      <c r="H301" s="1" t="s">
        <v>494</v>
      </c>
      <c r="I301" s="1" t="s">
        <v>17</v>
      </c>
      <c r="J301" s="1">
        <v>1082.48</v>
      </c>
      <c r="K301" s="1">
        <v>8</v>
      </c>
      <c r="L301" s="5">
        <f t="shared" si="4"/>
        <v>8659.84</v>
      </c>
    </row>
    <row r="302" spans="1:12" x14ac:dyDescent="0.25">
      <c r="A302" s="1" t="s">
        <v>915</v>
      </c>
      <c r="B302" s="1">
        <v>2023</v>
      </c>
      <c r="C302" s="7">
        <v>45227</v>
      </c>
      <c r="D302" s="1" t="s">
        <v>255</v>
      </c>
      <c r="E302" s="1" t="s">
        <v>492</v>
      </c>
      <c r="F302" s="1" t="s">
        <v>59</v>
      </c>
      <c r="G302" s="1" t="s">
        <v>774</v>
      </c>
      <c r="H302" s="1" t="s">
        <v>495</v>
      </c>
      <c r="I302" s="1" t="s">
        <v>17</v>
      </c>
      <c r="J302" s="1">
        <v>56.91</v>
      </c>
      <c r="K302" s="1">
        <v>3</v>
      </c>
      <c r="L302" s="5">
        <f t="shared" si="4"/>
        <v>170.73</v>
      </c>
    </row>
    <row r="303" spans="1:12" x14ac:dyDescent="0.25">
      <c r="A303" s="1" t="s">
        <v>915</v>
      </c>
      <c r="B303" s="1">
        <v>2023</v>
      </c>
      <c r="C303" s="7">
        <v>45227</v>
      </c>
      <c r="D303" s="1" t="s">
        <v>255</v>
      </c>
      <c r="E303" s="1" t="s">
        <v>492</v>
      </c>
      <c r="F303" s="1" t="s">
        <v>59</v>
      </c>
      <c r="G303" s="1" t="s">
        <v>774</v>
      </c>
      <c r="H303" s="1" t="s">
        <v>496</v>
      </c>
      <c r="I303" s="1" t="s">
        <v>11</v>
      </c>
      <c r="J303" s="1">
        <v>77.599999999999994</v>
      </c>
      <c r="K303" s="1">
        <v>4</v>
      </c>
      <c r="L303" s="5">
        <f t="shared" si="4"/>
        <v>310.39999999999998</v>
      </c>
    </row>
    <row r="304" spans="1:12" x14ac:dyDescent="0.25">
      <c r="A304" s="1" t="s">
        <v>915</v>
      </c>
      <c r="B304" s="1">
        <v>2023</v>
      </c>
      <c r="C304" s="7">
        <v>45227</v>
      </c>
      <c r="D304" s="1" t="s">
        <v>255</v>
      </c>
      <c r="E304" s="1" t="s">
        <v>492</v>
      </c>
      <c r="F304" s="1" t="s">
        <v>59</v>
      </c>
      <c r="G304" s="1" t="s">
        <v>774</v>
      </c>
      <c r="H304" s="1" t="s">
        <v>497</v>
      </c>
      <c r="I304" s="1" t="s">
        <v>17</v>
      </c>
      <c r="J304" s="1">
        <v>14.28</v>
      </c>
      <c r="K304" s="1">
        <v>1</v>
      </c>
      <c r="L304" s="5">
        <f t="shared" si="4"/>
        <v>14.28</v>
      </c>
    </row>
    <row r="305" spans="1:12" x14ac:dyDescent="0.25">
      <c r="A305" s="1" t="s">
        <v>916</v>
      </c>
      <c r="B305" s="1">
        <v>2023</v>
      </c>
      <c r="C305" s="7">
        <v>45249</v>
      </c>
      <c r="D305" s="1" t="s">
        <v>383</v>
      </c>
      <c r="E305" s="1" t="s">
        <v>129</v>
      </c>
      <c r="F305" s="1" t="s">
        <v>39</v>
      </c>
      <c r="G305" s="1" t="s">
        <v>785</v>
      </c>
      <c r="H305" s="1" t="s">
        <v>498</v>
      </c>
      <c r="I305" s="1" t="s">
        <v>11</v>
      </c>
      <c r="J305" s="1">
        <v>219.07500000000002</v>
      </c>
      <c r="K305" s="1">
        <v>3</v>
      </c>
      <c r="L305" s="5">
        <f t="shared" si="4"/>
        <v>657.22500000000002</v>
      </c>
    </row>
    <row r="306" spans="1:12" x14ac:dyDescent="0.25">
      <c r="A306" s="1" t="s">
        <v>917</v>
      </c>
      <c r="B306" s="1">
        <v>2022</v>
      </c>
      <c r="C306" s="7">
        <v>44685</v>
      </c>
      <c r="D306" s="1" t="s">
        <v>499</v>
      </c>
      <c r="E306" s="1" t="s">
        <v>112</v>
      </c>
      <c r="F306" s="1" t="s">
        <v>59</v>
      </c>
      <c r="G306" s="1" t="s">
        <v>774</v>
      </c>
      <c r="H306" s="1" t="s">
        <v>500</v>
      </c>
      <c r="I306" s="1" t="s">
        <v>11</v>
      </c>
      <c r="J306" s="1">
        <v>26.8</v>
      </c>
      <c r="K306" s="1">
        <v>2</v>
      </c>
      <c r="L306" s="5">
        <f t="shared" si="4"/>
        <v>53.6</v>
      </c>
    </row>
    <row r="307" spans="1:12" x14ac:dyDescent="0.25">
      <c r="A307" s="1" t="s">
        <v>918</v>
      </c>
      <c r="B307" s="1">
        <v>2022</v>
      </c>
      <c r="C307" s="7">
        <v>44925</v>
      </c>
      <c r="D307" s="1" t="s">
        <v>147</v>
      </c>
      <c r="E307" s="1" t="s">
        <v>501</v>
      </c>
      <c r="F307" s="1" t="s">
        <v>39</v>
      </c>
      <c r="G307" s="1" t="s">
        <v>785</v>
      </c>
      <c r="H307" s="1" t="s">
        <v>502</v>
      </c>
      <c r="I307" s="1" t="s">
        <v>17</v>
      </c>
      <c r="J307" s="1">
        <v>9.84</v>
      </c>
      <c r="K307" s="1">
        <v>3</v>
      </c>
      <c r="L307" s="5">
        <f t="shared" si="4"/>
        <v>29.52</v>
      </c>
    </row>
    <row r="308" spans="1:12" x14ac:dyDescent="0.25">
      <c r="A308" s="1" t="s">
        <v>919</v>
      </c>
      <c r="B308" s="1">
        <v>2022</v>
      </c>
      <c r="C308" s="7">
        <v>44713</v>
      </c>
      <c r="D308" s="1" t="s">
        <v>503</v>
      </c>
      <c r="E308" s="1" t="s">
        <v>504</v>
      </c>
      <c r="F308" s="1" t="s">
        <v>59</v>
      </c>
      <c r="G308" s="1" t="s">
        <v>774</v>
      </c>
      <c r="H308" s="1" t="s">
        <v>505</v>
      </c>
      <c r="I308" s="1" t="s">
        <v>17</v>
      </c>
      <c r="J308" s="1">
        <v>45.480000000000004</v>
      </c>
      <c r="K308" s="1">
        <v>3</v>
      </c>
      <c r="L308" s="5">
        <f t="shared" si="4"/>
        <v>136.44</v>
      </c>
    </row>
    <row r="309" spans="1:12" x14ac:dyDescent="0.25">
      <c r="A309" s="1" t="s">
        <v>919</v>
      </c>
      <c r="B309" s="1">
        <v>2022</v>
      </c>
      <c r="C309" s="7">
        <v>44713</v>
      </c>
      <c r="D309" s="1" t="s">
        <v>503</v>
      </c>
      <c r="E309" s="1" t="s">
        <v>504</v>
      </c>
      <c r="F309" s="1" t="s">
        <v>59</v>
      </c>
      <c r="G309" s="1" t="s">
        <v>774</v>
      </c>
      <c r="H309" s="1" t="s">
        <v>506</v>
      </c>
      <c r="I309" s="1" t="s">
        <v>17</v>
      </c>
      <c r="J309" s="1">
        <v>289.20000000000005</v>
      </c>
      <c r="K309" s="1">
        <v>6</v>
      </c>
      <c r="L309" s="5">
        <f t="shared" si="4"/>
        <v>1735.2000000000003</v>
      </c>
    </row>
    <row r="310" spans="1:12" x14ac:dyDescent="0.25">
      <c r="A310" s="1" t="s">
        <v>920</v>
      </c>
      <c r="B310" s="1">
        <v>2023</v>
      </c>
      <c r="C310" s="7">
        <v>45031</v>
      </c>
      <c r="D310" s="1" t="s">
        <v>507</v>
      </c>
      <c r="E310" s="1" t="s">
        <v>508</v>
      </c>
      <c r="F310" s="1" t="s">
        <v>9</v>
      </c>
      <c r="G310" s="1" t="s">
        <v>344</v>
      </c>
      <c r="H310" s="1" t="s">
        <v>509</v>
      </c>
      <c r="I310" s="1" t="s">
        <v>17</v>
      </c>
      <c r="J310" s="1">
        <v>4.8899999999999997</v>
      </c>
      <c r="K310" s="1">
        <v>1</v>
      </c>
      <c r="L310" s="5">
        <f t="shared" si="4"/>
        <v>4.8899999999999997</v>
      </c>
    </row>
    <row r="311" spans="1:12" x14ac:dyDescent="0.25">
      <c r="A311" s="1" t="s">
        <v>921</v>
      </c>
      <c r="B311" s="1">
        <v>2023</v>
      </c>
      <c r="C311" s="7">
        <v>45181</v>
      </c>
      <c r="D311" s="1" t="s">
        <v>510</v>
      </c>
      <c r="E311" s="1" t="s">
        <v>511</v>
      </c>
      <c r="F311" s="1" t="s">
        <v>15</v>
      </c>
      <c r="G311" s="1" t="s">
        <v>779</v>
      </c>
      <c r="H311" s="1" t="s">
        <v>512</v>
      </c>
      <c r="I311" s="1" t="s">
        <v>11</v>
      </c>
      <c r="J311" s="1">
        <v>15.136000000000003</v>
      </c>
      <c r="K311" s="1">
        <v>4</v>
      </c>
      <c r="L311" s="5">
        <f t="shared" si="4"/>
        <v>60.544000000000011</v>
      </c>
    </row>
    <row r="312" spans="1:12" x14ac:dyDescent="0.25">
      <c r="A312" s="1" t="s">
        <v>921</v>
      </c>
      <c r="B312" s="1">
        <v>2023</v>
      </c>
      <c r="C312" s="7">
        <v>45181</v>
      </c>
      <c r="D312" s="1" t="s">
        <v>510</v>
      </c>
      <c r="E312" s="1" t="s">
        <v>511</v>
      </c>
      <c r="F312" s="1" t="s">
        <v>15</v>
      </c>
      <c r="G312" s="1" t="s">
        <v>779</v>
      </c>
      <c r="H312" s="1" t="s">
        <v>513</v>
      </c>
      <c r="I312" s="1" t="s">
        <v>11</v>
      </c>
      <c r="J312" s="1">
        <v>466.76800000000003</v>
      </c>
      <c r="K312" s="1">
        <v>2</v>
      </c>
      <c r="L312" s="5">
        <f t="shared" si="4"/>
        <v>933.53600000000006</v>
      </c>
    </row>
    <row r="313" spans="1:12" x14ac:dyDescent="0.25">
      <c r="A313" s="1" t="s">
        <v>921</v>
      </c>
      <c r="B313" s="1">
        <v>2023</v>
      </c>
      <c r="C313" s="7">
        <v>45181</v>
      </c>
      <c r="D313" s="1" t="s">
        <v>510</v>
      </c>
      <c r="E313" s="1" t="s">
        <v>511</v>
      </c>
      <c r="F313" s="1" t="s">
        <v>15</v>
      </c>
      <c r="G313" s="1" t="s">
        <v>779</v>
      </c>
      <c r="H313" s="1" t="s">
        <v>514</v>
      </c>
      <c r="I313" s="1" t="s">
        <v>11</v>
      </c>
      <c r="J313" s="1">
        <v>15.231999999999999</v>
      </c>
      <c r="K313" s="1">
        <v>1</v>
      </c>
      <c r="L313" s="5">
        <f t="shared" si="4"/>
        <v>15.231999999999999</v>
      </c>
    </row>
    <row r="314" spans="1:12" x14ac:dyDescent="0.25">
      <c r="A314" s="1" t="s">
        <v>921</v>
      </c>
      <c r="B314" s="1">
        <v>2023</v>
      </c>
      <c r="C314" s="7">
        <v>45181</v>
      </c>
      <c r="D314" s="1" t="s">
        <v>510</v>
      </c>
      <c r="E314" s="1" t="s">
        <v>511</v>
      </c>
      <c r="F314" s="1" t="s">
        <v>15</v>
      </c>
      <c r="G314" s="1" t="s">
        <v>779</v>
      </c>
      <c r="H314" s="1" t="s">
        <v>515</v>
      </c>
      <c r="I314" s="1" t="s">
        <v>17</v>
      </c>
      <c r="J314" s="1">
        <v>6.2640000000000002</v>
      </c>
      <c r="K314" s="1">
        <v>3</v>
      </c>
      <c r="L314" s="5">
        <f t="shared" si="4"/>
        <v>18.792000000000002</v>
      </c>
    </row>
    <row r="315" spans="1:12" x14ac:dyDescent="0.25">
      <c r="A315" s="1" t="s">
        <v>922</v>
      </c>
      <c r="B315" s="1">
        <v>2022</v>
      </c>
      <c r="C315" s="7">
        <v>44831</v>
      </c>
      <c r="D315" s="1" t="s">
        <v>516</v>
      </c>
      <c r="E315" s="1" t="s">
        <v>517</v>
      </c>
      <c r="F315" s="1" t="s">
        <v>59</v>
      </c>
      <c r="G315" s="1" t="s">
        <v>774</v>
      </c>
      <c r="H315" s="1" t="s">
        <v>518</v>
      </c>
      <c r="I315" s="1" t="s">
        <v>11</v>
      </c>
      <c r="J315" s="1">
        <v>87.539999999999992</v>
      </c>
      <c r="K315" s="1">
        <v>3</v>
      </c>
      <c r="L315" s="5">
        <f t="shared" si="4"/>
        <v>262.62</v>
      </c>
    </row>
    <row r="316" spans="1:12" x14ac:dyDescent="0.25">
      <c r="A316" s="1" t="s">
        <v>923</v>
      </c>
      <c r="B316" s="1">
        <v>2022</v>
      </c>
      <c r="C316" s="7">
        <v>44782</v>
      </c>
      <c r="D316" s="1" t="s">
        <v>519</v>
      </c>
      <c r="E316" s="1" t="s">
        <v>520</v>
      </c>
      <c r="F316" s="1" t="s">
        <v>9</v>
      </c>
      <c r="G316" s="1" t="s">
        <v>344</v>
      </c>
      <c r="H316" s="1" t="s">
        <v>521</v>
      </c>
      <c r="I316" s="1" t="s">
        <v>26</v>
      </c>
      <c r="J316" s="1">
        <v>178.38400000000001</v>
      </c>
      <c r="K316" s="1">
        <v>2</v>
      </c>
      <c r="L316" s="5">
        <f t="shared" si="4"/>
        <v>356.76800000000003</v>
      </c>
    </row>
    <row r="317" spans="1:12" x14ac:dyDescent="0.25">
      <c r="A317" s="1" t="s">
        <v>923</v>
      </c>
      <c r="B317" s="1">
        <v>2022</v>
      </c>
      <c r="C317" s="7">
        <v>44782</v>
      </c>
      <c r="D317" s="1" t="s">
        <v>519</v>
      </c>
      <c r="E317" s="1" t="s">
        <v>520</v>
      </c>
      <c r="F317" s="1" t="s">
        <v>9</v>
      </c>
      <c r="G317" s="1" t="s">
        <v>344</v>
      </c>
      <c r="H317" s="1" t="s">
        <v>522</v>
      </c>
      <c r="I317" s="1" t="s">
        <v>17</v>
      </c>
      <c r="J317" s="1">
        <v>15.552000000000003</v>
      </c>
      <c r="K317" s="1">
        <v>3</v>
      </c>
      <c r="L317" s="5">
        <f t="shared" si="4"/>
        <v>46.656000000000006</v>
      </c>
    </row>
    <row r="318" spans="1:12" x14ac:dyDescent="0.25">
      <c r="A318" s="1" t="s">
        <v>924</v>
      </c>
      <c r="B318" s="1">
        <v>2022</v>
      </c>
      <c r="C318" s="7">
        <v>44923</v>
      </c>
      <c r="D318" s="1" t="s">
        <v>523</v>
      </c>
      <c r="E318" s="1" t="s">
        <v>58</v>
      </c>
      <c r="F318" s="1" t="s">
        <v>59</v>
      </c>
      <c r="G318" s="1" t="s">
        <v>774</v>
      </c>
      <c r="H318" s="1" t="s">
        <v>524</v>
      </c>
      <c r="I318" s="1" t="s">
        <v>17</v>
      </c>
      <c r="J318" s="1">
        <v>99.13600000000001</v>
      </c>
      <c r="K318" s="1">
        <v>4</v>
      </c>
      <c r="L318" s="5">
        <f t="shared" si="4"/>
        <v>396.54400000000004</v>
      </c>
    </row>
    <row r="319" spans="1:12" x14ac:dyDescent="0.25">
      <c r="A319" s="1" t="s">
        <v>925</v>
      </c>
      <c r="B319" s="1">
        <v>2022</v>
      </c>
      <c r="C319" s="7">
        <v>44869</v>
      </c>
      <c r="D319" s="1" t="s">
        <v>525</v>
      </c>
      <c r="E319" s="1" t="s">
        <v>112</v>
      </c>
      <c r="F319" s="1" t="s">
        <v>59</v>
      </c>
      <c r="G319" s="1" t="s">
        <v>774</v>
      </c>
      <c r="H319" s="1" t="s">
        <v>526</v>
      </c>
      <c r="I319" s="1" t="s">
        <v>11</v>
      </c>
      <c r="J319" s="1">
        <v>135.88200000000001</v>
      </c>
      <c r="K319" s="1">
        <v>1</v>
      </c>
      <c r="L319" s="5">
        <f t="shared" si="4"/>
        <v>135.88200000000001</v>
      </c>
    </row>
    <row r="320" spans="1:12" x14ac:dyDescent="0.25">
      <c r="A320" s="1" t="s">
        <v>925</v>
      </c>
      <c r="B320" s="1">
        <v>2022</v>
      </c>
      <c r="C320" s="7">
        <v>44869</v>
      </c>
      <c r="D320" s="1" t="s">
        <v>525</v>
      </c>
      <c r="E320" s="1" t="s">
        <v>112</v>
      </c>
      <c r="F320" s="1" t="s">
        <v>59</v>
      </c>
      <c r="G320" s="1" t="s">
        <v>774</v>
      </c>
      <c r="H320" s="1" t="s">
        <v>527</v>
      </c>
      <c r="I320" s="1" t="s">
        <v>26</v>
      </c>
      <c r="J320" s="1">
        <v>3991.98</v>
      </c>
      <c r="K320" s="1">
        <v>2</v>
      </c>
      <c r="L320" s="5">
        <f t="shared" si="4"/>
        <v>7983.96</v>
      </c>
    </row>
    <row r="321" spans="1:12" x14ac:dyDescent="0.25">
      <c r="A321" s="1" t="s">
        <v>925</v>
      </c>
      <c r="B321" s="1">
        <v>2022</v>
      </c>
      <c r="C321" s="7">
        <v>44869</v>
      </c>
      <c r="D321" s="1" t="s">
        <v>525</v>
      </c>
      <c r="E321" s="1" t="s">
        <v>112</v>
      </c>
      <c r="F321" s="1" t="s">
        <v>59</v>
      </c>
      <c r="G321" s="1" t="s">
        <v>774</v>
      </c>
      <c r="H321" s="1" t="s">
        <v>88</v>
      </c>
      <c r="I321" s="1" t="s">
        <v>26</v>
      </c>
      <c r="J321" s="1">
        <v>275.94</v>
      </c>
      <c r="K321" s="1">
        <v>6</v>
      </c>
      <c r="L321" s="5">
        <f t="shared" si="4"/>
        <v>1655.6399999999999</v>
      </c>
    </row>
    <row r="322" spans="1:12" x14ac:dyDescent="0.25">
      <c r="A322" s="1" t="s">
        <v>925</v>
      </c>
      <c r="B322" s="1">
        <v>2022</v>
      </c>
      <c r="C322" s="7">
        <v>44869</v>
      </c>
      <c r="D322" s="1" t="s">
        <v>525</v>
      </c>
      <c r="E322" s="1" t="s">
        <v>112</v>
      </c>
      <c r="F322" s="1" t="s">
        <v>59</v>
      </c>
      <c r="G322" s="1" t="s">
        <v>774</v>
      </c>
      <c r="H322" s="1" t="s">
        <v>528</v>
      </c>
      <c r="I322" s="1" t="s">
        <v>26</v>
      </c>
      <c r="J322" s="1">
        <v>360</v>
      </c>
      <c r="K322" s="1">
        <v>4</v>
      </c>
      <c r="L322" s="5">
        <f t="shared" si="4"/>
        <v>1440</v>
      </c>
    </row>
    <row r="323" spans="1:12" x14ac:dyDescent="0.25">
      <c r="A323" s="1" t="s">
        <v>925</v>
      </c>
      <c r="B323" s="1">
        <v>2022</v>
      </c>
      <c r="C323" s="7">
        <v>44869</v>
      </c>
      <c r="D323" s="1" t="s">
        <v>525</v>
      </c>
      <c r="E323" s="1" t="s">
        <v>112</v>
      </c>
      <c r="F323" s="1" t="s">
        <v>59</v>
      </c>
      <c r="G323" s="1" t="s">
        <v>774</v>
      </c>
      <c r="H323" s="1" t="s">
        <v>240</v>
      </c>
      <c r="I323" s="1" t="s">
        <v>17</v>
      </c>
      <c r="J323" s="1">
        <v>43.57</v>
      </c>
      <c r="K323" s="1">
        <v>1</v>
      </c>
      <c r="L323" s="5">
        <f t="shared" ref="L323:L386" si="5">J323*K323</f>
        <v>43.57</v>
      </c>
    </row>
    <row r="324" spans="1:12" x14ac:dyDescent="0.25">
      <c r="A324" s="1" t="s">
        <v>926</v>
      </c>
      <c r="B324" s="1">
        <v>2022</v>
      </c>
      <c r="C324" s="7">
        <v>44823</v>
      </c>
      <c r="D324" s="1" t="s">
        <v>529</v>
      </c>
      <c r="E324" s="1" t="s">
        <v>530</v>
      </c>
      <c r="F324" s="1" t="s">
        <v>15</v>
      </c>
      <c r="G324" s="1" t="s">
        <v>779</v>
      </c>
      <c r="H324" s="1" t="s">
        <v>531</v>
      </c>
      <c r="I324" s="1" t="s">
        <v>17</v>
      </c>
      <c r="J324" s="1">
        <v>7.16</v>
      </c>
      <c r="K324" s="1">
        <v>2</v>
      </c>
      <c r="L324" s="5">
        <f t="shared" si="5"/>
        <v>14.32</v>
      </c>
    </row>
    <row r="325" spans="1:12" x14ac:dyDescent="0.25">
      <c r="A325" s="1" t="s">
        <v>927</v>
      </c>
      <c r="B325" s="1">
        <v>2023</v>
      </c>
      <c r="C325" s="7">
        <v>45039</v>
      </c>
      <c r="D325" s="1" t="s">
        <v>532</v>
      </c>
      <c r="E325" s="1" t="s">
        <v>533</v>
      </c>
      <c r="F325" s="1" t="s">
        <v>15</v>
      </c>
      <c r="G325" s="1" t="s">
        <v>779</v>
      </c>
      <c r="H325" s="1" t="s">
        <v>490</v>
      </c>
      <c r="I325" s="1" t="s">
        <v>17</v>
      </c>
      <c r="J325" s="1">
        <v>251.52</v>
      </c>
      <c r="K325" s="1">
        <v>6</v>
      </c>
      <c r="L325" s="5">
        <f t="shared" si="5"/>
        <v>1509.1200000000001</v>
      </c>
    </row>
    <row r="326" spans="1:12" x14ac:dyDescent="0.25">
      <c r="A326" s="1" t="s">
        <v>927</v>
      </c>
      <c r="B326" s="1">
        <v>2023</v>
      </c>
      <c r="C326" s="7">
        <v>45039</v>
      </c>
      <c r="D326" s="1" t="s">
        <v>532</v>
      </c>
      <c r="E326" s="1" t="s">
        <v>533</v>
      </c>
      <c r="F326" s="1" t="s">
        <v>15</v>
      </c>
      <c r="G326" s="1" t="s">
        <v>779</v>
      </c>
      <c r="H326" s="1" t="s">
        <v>534</v>
      </c>
      <c r="I326" s="1" t="s">
        <v>26</v>
      </c>
      <c r="J326" s="1">
        <v>99.99</v>
      </c>
      <c r="K326" s="1">
        <v>1</v>
      </c>
      <c r="L326" s="5">
        <f t="shared" si="5"/>
        <v>99.99</v>
      </c>
    </row>
    <row r="327" spans="1:12" x14ac:dyDescent="0.25">
      <c r="A327" s="1" t="s">
        <v>928</v>
      </c>
      <c r="B327" s="1">
        <v>2023</v>
      </c>
      <c r="C327" s="7">
        <v>45233</v>
      </c>
      <c r="D327" s="1" t="s">
        <v>535</v>
      </c>
      <c r="E327" s="1" t="s">
        <v>536</v>
      </c>
      <c r="F327" s="1" t="s">
        <v>9</v>
      </c>
      <c r="G327" s="1" t="s">
        <v>344</v>
      </c>
      <c r="H327" s="1" t="s">
        <v>537</v>
      </c>
      <c r="I327" s="1" t="s">
        <v>11</v>
      </c>
      <c r="J327" s="1">
        <v>15.991999999999999</v>
      </c>
      <c r="K327" s="1">
        <v>1</v>
      </c>
      <c r="L327" s="5">
        <f t="shared" si="5"/>
        <v>15.991999999999999</v>
      </c>
    </row>
    <row r="328" spans="1:12" x14ac:dyDescent="0.25">
      <c r="A328" s="1" t="s">
        <v>929</v>
      </c>
      <c r="B328" s="1">
        <v>2023</v>
      </c>
      <c r="C328" s="7">
        <v>45168</v>
      </c>
      <c r="D328" s="1" t="s">
        <v>538</v>
      </c>
      <c r="E328" s="1" t="s">
        <v>58</v>
      </c>
      <c r="F328" s="1" t="s">
        <v>59</v>
      </c>
      <c r="G328" s="1" t="s">
        <v>774</v>
      </c>
      <c r="H328" s="1" t="s">
        <v>539</v>
      </c>
      <c r="I328" s="1" t="s">
        <v>26</v>
      </c>
      <c r="J328" s="1">
        <v>290.89800000000002</v>
      </c>
      <c r="K328" s="1">
        <v>3</v>
      </c>
      <c r="L328" s="5">
        <f t="shared" si="5"/>
        <v>872.69400000000007</v>
      </c>
    </row>
    <row r="329" spans="1:12" x14ac:dyDescent="0.25">
      <c r="A329" s="1" t="s">
        <v>929</v>
      </c>
      <c r="B329" s="1">
        <v>2023</v>
      </c>
      <c r="C329" s="7">
        <v>45168</v>
      </c>
      <c r="D329" s="1" t="s">
        <v>538</v>
      </c>
      <c r="E329" s="1" t="s">
        <v>58</v>
      </c>
      <c r="F329" s="1" t="s">
        <v>59</v>
      </c>
      <c r="G329" s="1" t="s">
        <v>774</v>
      </c>
      <c r="H329" s="1" t="s">
        <v>540</v>
      </c>
      <c r="I329" s="1" t="s">
        <v>17</v>
      </c>
      <c r="J329" s="1">
        <v>54.224000000000004</v>
      </c>
      <c r="K329" s="1">
        <v>2</v>
      </c>
      <c r="L329" s="5">
        <f t="shared" si="5"/>
        <v>108.44800000000001</v>
      </c>
    </row>
    <row r="330" spans="1:12" x14ac:dyDescent="0.25">
      <c r="A330" s="1" t="s">
        <v>929</v>
      </c>
      <c r="B330" s="1">
        <v>2023</v>
      </c>
      <c r="C330" s="7">
        <v>45168</v>
      </c>
      <c r="D330" s="1" t="s">
        <v>538</v>
      </c>
      <c r="E330" s="1" t="s">
        <v>58</v>
      </c>
      <c r="F330" s="1" t="s">
        <v>59</v>
      </c>
      <c r="G330" s="1" t="s">
        <v>774</v>
      </c>
      <c r="H330" s="1" t="s">
        <v>541</v>
      </c>
      <c r="I330" s="1" t="s">
        <v>11</v>
      </c>
      <c r="J330" s="1">
        <v>786.74400000000003</v>
      </c>
      <c r="K330" s="1">
        <v>4</v>
      </c>
      <c r="L330" s="5">
        <f t="shared" si="5"/>
        <v>3146.9760000000001</v>
      </c>
    </row>
    <row r="331" spans="1:12" x14ac:dyDescent="0.25">
      <c r="A331" s="1" t="s">
        <v>929</v>
      </c>
      <c r="B331" s="1">
        <v>2023</v>
      </c>
      <c r="C331" s="7">
        <v>45168</v>
      </c>
      <c r="D331" s="1" t="s">
        <v>538</v>
      </c>
      <c r="E331" s="1" t="s">
        <v>58</v>
      </c>
      <c r="F331" s="1" t="s">
        <v>59</v>
      </c>
      <c r="G331" s="1" t="s">
        <v>774</v>
      </c>
      <c r="H331" s="1" t="s">
        <v>542</v>
      </c>
      <c r="I331" s="1" t="s">
        <v>17</v>
      </c>
      <c r="J331" s="1">
        <v>100.24000000000001</v>
      </c>
      <c r="K331" s="1">
        <v>10</v>
      </c>
      <c r="L331" s="5">
        <f t="shared" si="5"/>
        <v>1002.4000000000001</v>
      </c>
    </row>
    <row r="332" spans="1:12" x14ac:dyDescent="0.25">
      <c r="A332" s="1" t="s">
        <v>929</v>
      </c>
      <c r="B332" s="1">
        <v>2023</v>
      </c>
      <c r="C332" s="7">
        <v>45168</v>
      </c>
      <c r="D332" s="1" t="s">
        <v>538</v>
      </c>
      <c r="E332" s="1" t="s">
        <v>58</v>
      </c>
      <c r="F332" s="1" t="s">
        <v>59</v>
      </c>
      <c r="G332" s="1" t="s">
        <v>774</v>
      </c>
      <c r="H332" s="1" t="s">
        <v>543</v>
      </c>
      <c r="I332" s="1" t="s">
        <v>17</v>
      </c>
      <c r="J332" s="1">
        <v>37.76400000000001</v>
      </c>
      <c r="K332" s="1">
        <v>6</v>
      </c>
      <c r="L332" s="5">
        <f t="shared" si="5"/>
        <v>226.58400000000006</v>
      </c>
    </row>
    <row r="333" spans="1:12" x14ac:dyDescent="0.25">
      <c r="A333" s="1" t="s">
        <v>930</v>
      </c>
      <c r="B333" s="1">
        <v>2023</v>
      </c>
      <c r="C333" s="7">
        <v>45041</v>
      </c>
      <c r="D333" s="1" t="s">
        <v>544</v>
      </c>
      <c r="E333" s="1" t="s">
        <v>58</v>
      </c>
      <c r="F333" s="1" t="s">
        <v>59</v>
      </c>
      <c r="G333" s="1" t="s">
        <v>774</v>
      </c>
      <c r="H333" s="1" t="s">
        <v>545</v>
      </c>
      <c r="I333" s="1" t="s">
        <v>26</v>
      </c>
      <c r="J333" s="1">
        <v>82.8</v>
      </c>
      <c r="K333" s="1">
        <v>2</v>
      </c>
      <c r="L333" s="5">
        <f t="shared" si="5"/>
        <v>165.6</v>
      </c>
    </row>
    <row r="334" spans="1:12" x14ac:dyDescent="0.25">
      <c r="A334" s="1" t="s">
        <v>930</v>
      </c>
      <c r="B334" s="1">
        <v>2023</v>
      </c>
      <c r="C334" s="7">
        <v>45041</v>
      </c>
      <c r="D334" s="1" t="s">
        <v>544</v>
      </c>
      <c r="E334" s="1" t="s">
        <v>58</v>
      </c>
      <c r="F334" s="1" t="s">
        <v>59</v>
      </c>
      <c r="G334" s="1" t="s">
        <v>774</v>
      </c>
      <c r="H334" s="1" t="s">
        <v>546</v>
      </c>
      <c r="I334" s="1" t="s">
        <v>17</v>
      </c>
      <c r="J334" s="1">
        <v>20.724000000000004</v>
      </c>
      <c r="K334" s="1">
        <v>2</v>
      </c>
      <c r="L334" s="5">
        <f t="shared" si="5"/>
        <v>41.448000000000008</v>
      </c>
    </row>
    <row r="335" spans="1:12" x14ac:dyDescent="0.25">
      <c r="A335" s="1" t="s">
        <v>930</v>
      </c>
      <c r="B335" s="1">
        <v>2023</v>
      </c>
      <c r="C335" s="7">
        <v>45041</v>
      </c>
      <c r="D335" s="1" t="s">
        <v>544</v>
      </c>
      <c r="E335" s="1" t="s">
        <v>58</v>
      </c>
      <c r="F335" s="1" t="s">
        <v>59</v>
      </c>
      <c r="G335" s="1" t="s">
        <v>774</v>
      </c>
      <c r="H335" s="1" t="s">
        <v>547</v>
      </c>
      <c r="I335" s="1" t="s">
        <v>17</v>
      </c>
      <c r="J335" s="1">
        <v>4.8960000000000008</v>
      </c>
      <c r="K335" s="1">
        <v>3</v>
      </c>
      <c r="L335" s="5">
        <f t="shared" si="5"/>
        <v>14.688000000000002</v>
      </c>
    </row>
    <row r="336" spans="1:12" x14ac:dyDescent="0.25">
      <c r="A336" s="1" t="s">
        <v>931</v>
      </c>
      <c r="B336" s="1">
        <v>2022</v>
      </c>
      <c r="C336" s="7">
        <v>44805</v>
      </c>
      <c r="D336" s="1" t="s">
        <v>548</v>
      </c>
      <c r="E336" s="1" t="s">
        <v>14</v>
      </c>
      <c r="F336" s="1" t="s">
        <v>15</v>
      </c>
      <c r="G336" s="1" t="s">
        <v>779</v>
      </c>
      <c r="H336" s="1" t="s">
        <v>549</v>
      </c>
      <c r="I336" s="1" t="s">
        <v>17</v>
      </c>
      <c r="J336" s="1">
        <v>4.7520000000000007</v>
      </c>
      <c r="K336" s="1">
        <v>1</v>
      </c>
      <c r="L336" s="5">
        <f t="shared" si="5"/>
        <v>4.7520000000000007</v>
      </c>
    </row>
    <row r="337" spans="1:12" x14ac:dyDescent="0.25">
      <c r="A337" s="1" t="s">
        <v>931</v>
      </c>
      <c r="B337" s="1">
        <v>2022</v>
      </c>
      <c r="C337" s="7">
        <v>44805</v>
      </c>
      <c r="D337" s="1" t="s">
        <v>548</v>
      </c>
      <c r="E337" s="1" t="s">
        <v>14</v>
      </c>
      <c r="F337" s="1" t="s">
        <v>15</v>
      </c>
      <c r="G337" s="1" t="s">
        <v>779</v>
      </c>
      <c r="H337" s="1" t="s">
        <v>550</v>
      </c>
      <c r="I337" s="1" t="s">
        <v>26</v>
      </c>
      <c r="J337" s="1">
        <v>959.98400000000004</v>
      </c>
      <c r="K337" s="1">
        <v>2</v>
      </c>
      <c r="L337" s="5">
        <f t="shared" si="5"/>
        <v>1919.9680000000001</v>
      </c>
    </row>
    <row r="338" spans="1:12" x14ac:dyDescent="0.25">
      <c r="A338" s="1" t="s">
        <v>931</v>
      </c>
      <c r="B338" s="1">
        <v>2022</v>
      </c>
      <c r="C338" s="7">
        <v>44805</v>
      </c>
      <c r="D338" s="1" t="s">
        <v>548</v>
      </c>
      <c r="E338" s="1" t="s">
        <v>14</v>
      </c>
      <c r="F338" s="1" t="s">
        <v>15</v>
      </c>
      <c r="G338" s="1" t="s">
        <v>779</v>
      </c>
      <c r="H338" s="1" t="s">
        <v>551</v>
      </c>
      <c r="I338" s="1" t="s">
        <v>17</v>
      </c>
      <c r="J338" s="1">
        <v>14.368000000000002</v>
      </c>
      <c r="K338" s="1">
        <v>4</v>
      </c>
      <c r="L338" s="5">
        <f t="shared" si="5"/>
        <v>57.472000000000008</v>
      </c>
    </row>
    <row r="339" spans="1:12" x14ac:dyDescent="0.25">
      <c r="A339" s="1" t="s">
        <v>932</v>
      </c>
      <c r="B339" s="1">
        <v>2022</v>
      </c>
      <c r="C339" s="7">
        <v>44754</v>
      </c>
      <c r="D339" s="1" t="s">
        <v>552</v>
      </c>
      <c r="E339" s="1" t="s">
        <v>49</v>
      </c>
      <c r="F339" s="1" t="s">
        <v>15</v>
      </c>
      <c r="G339" s="1" t="s">
        <v>779</v>
      </c>
      <c r="H339" s="1" t="s">
        <v>553</v>
      </c>
      <c r="I339" s="1" t="s">
        <v>17</v>
      </c>
      <c r="J339" s="1">
        <v>7.7120000000000006</v>
      </c>
      <c r="K339" s="1">
        <v>2</v>
      </c>
      <c r="L339" s="5">
        <f t="shared" si="5"/>
        <v>15.424000000000001</v>
      </c>
    </row>
    <row r="340" spans="1:12" x14ac:dyDescent="0.25">
      <c r="A340" s="1" t="s">
        <v>932</v>
      </c>
      <c r="B340" s="1">
        <v>2022</v>
      </c>
      <c r="C340" s="7">
        <v>44754</v>
      </c>
      <c r="D340" s="1" t="s">
        <v>552</v>
      </c>
      <c r="E340" s="1" t="s">
        <v>49</v>
      </c>
      <c r="F340" s="1" t="s">
        <v>15</v>
      </c>
      <c r="G340" s="1" t="s">
        <v>779</v>
      </c>
      <c r="H340" s="1" t="s">
        <v>554</v>
      </c>
      <c r="I340" s="1" t="s">
        <v>11</v>
      </c>
      <c r="J340" s="1">
        <v>698.35200000000009</v>
      </c>
      <c r="K340" s="1">
        <v>3</v>
      </c>
      <c r="L340" s="5">
        <f t="shared" si="5"/>
        <v>2095.0560000000005</v>
      </c>
    </row>
    <row r="341" spans="1:12" x14ac:dyDescent="0.25">
      <c r="A341" s="1" t="s">
        <v>933</v>
      </c>
      <c r="B341" s="1">
        <v>2022</v>
      </c>
      <c r="C341" s="7">
        <v>44734</v>
      </c>
      <c r="D341" s="1" t="s">
        <v>410</v>
      </c>
      <c r="E341" s="1" t="s">
        <v>555</v>
      </c>
      <c r="F341" s="1" t="s">
        <v>15</v>
      </c>
      <c r="G341" s="1" t="s">
        <v>779</v>
      </c>
      <c r="H341" s="1" t="s">
        <v>556</v>
      </c>
      <c r="I341" s="1" t="s">
        <v>17</v>
      </c>
      <c r="J341" s="1">
        <v>4.96</v>
      </c>
      <c r="K341" s="1">
        <v>4</v>
      </c>
      <c r="L341" s="5">
        <f t="shared" si="5"/>
        <v>19.84</v>
      </c>
    </row>
    <row r="342" spans="1:12" x14ac:dyDescent="0.25">
      <c r="A342" s="1" t="s">
        <v>934</v>
      </c>
      <c r="B342" s="1">
        <v>2022</v>
      </c>
      <c r="C342" s="7">
        <v>44664</v>
      </c>
      <c r="D342" s="1" t="s">
        <v>255</v>
      </c>
      <c r="E342" s="1" t="s">
        <v>58</v>
      </c>
      <c r="F342" s="1" t="s">
        <v>59</v>
      </c>
      <c r="G342" s="1" t="s">
        <v>774</v>
      </c>
      <c r="H342" s="1" t="s">
        <v>557</v>
      </c>
      <c r="I342" s="1" t="s">
        <v>17</v>
      </c>
      <c r="J342" s="1">
        <v>17.856000000000002</v>
      </c>
      <c r="K342" s="1">
        <v>4</v>
      </c>
      <c r="L342" s="5">
        <f t="shared" si="5"/>
        <v>71.424000000000007</v>
      </c>
    </row>
    <row r="343" spans="1:12" x14ac:dyDescent="0.25">
      <c r="A343" s="1" t="s">
        <v>934</v>
      </c>
      <c r="B343" s="1">
        <v>2022</v>
      </c>
      <c r="C343" s="7">
        <v>44664</v>
      </c>
      <c r="D343" s="1" t="s">
        <v>255</v>
      </c>
      <c r="E343" s="1" t="s">
        <v>58</v>
      </c>
      <c r="F343" s="1" t="s">
        <v>59</v>
      </c>
      <c r="G343" s="1" t="s">
        <v>774</v>
      </c>
      <c r="H343" s="1" t="s">
        <v>36</v>
      </c>
      <c r="I343" s="1" t="s">
        <v>17</v>
      </c>
      <c r="J343" s="1">
        <v>509.97000000000008</v>
      </c>
      <c r="K343" s="1">
        <v>10</v>
      </c>
      <c r="L343" s="5">
        <f t="shared" si="5"/>
        <v>5099.7000000000007</v>
      </c>
    </row>
    <row r="344" spans="1:12" x14ac:dyDescent="0.25">
      <c r="A344" s="1" t="s">
        <v>934</v>
      </c>
      <c r="B344" s="1">
        <v>2022</v>
      </c>
      <c r="C344" s="7">
        <v>44664</v>
      </c>
      <c r="D344" s="1" t="s">
        <v>255</v>
      </c>
      <c r="E344" s="1" t="s">
        <v>58</v>
      </c>
      <c r="F344" s="1" t="s">
        <v>59</v>
      </c>
      <c r="G344" s="1" t="s">
        <v>774</v>
      </c>
      <c r="H344" s="1" t="s">
        <v>246</v>
      </c>
      <c r="I344" s="1" t="s">
        <v>17</v>
      </c>
      <c r="J344" s="1">
        <v>30.991999999999997</v>
      </c>
      <c r="K344" s="1">
        <v>13</v>
      </c>
      <c r="L344" s="5">
        <f t="shared" si="5"/>
        <v>402.89599999999996</v>
      </c>
    </row>
    <row r="345" spans="1:12" x14ac:dyDescent="0.25">
      <c r="A345" s="1" t="s">
        <v>934</v>
      </c>
      <c r="B345" s="1">
        <v>2022</v>
      </c>
      <c r="C345" s="7">
        <v>44664</v>
      </c>
      <c r="D345" s="1" t="s">
        <v>255</v>
      </c>
      <c r="E345" s="1" t="s">
        <v>58</v>
      </c>
      <c r="F345" s="1" t="s">
        <v>59</v>
      </c>
      <c r="G345" s="1" t="s">
        <v>774</v>
      </c>
      <c r="H345" s="1" t="s">
        <v>558</v>
      </c>
      <c r="I345" s="1" t="s">
        <v>26</v>
      </c>
      <c r="J345" s="1">
        <v>71.927999999999997</v>
      </c>
      <c r="K345" s="1">
        <v>12</v>
      </c>
      <c r="L345" s="5">
        <f t="shared" si="5"/>
        <v>863.13599999999997</v>
      </c>
    </row>
    <row r="346" spans="1:12" x14ac:dyDescent="0.25">
      <c r="A346" s="1" t="s">
        <v>935</v>
      </c>
      <c r="B346" s="1">
        <v>2022</v>
      </c>
      <c r="C346" s="7">
        <v>44915</v>
      </c>
      <c r="D346" s="1" t="s">
        <v>307</v>
      </c>
      <c r="E346" s="1" t="s">
        <v>559</v>
      </c>
      <c r="F346" s="1" t="s">
        <v>39</v>
      </c>
      <c r="G346" s="1" t="s">
        <v>785</v>
      </c>
      <c r="H346" s="1" t="s">
        <v>47</v>
      </c>
      <c r="I346" s="1" t="s">
        <v>17</v>
      </c>
      <c r="J346" s="1">
        <v>88.800000000000011</v>
      </c>
      <c r="K346" s="1">
        <v>4</v>
      </c>
      <c r="L346" s="5">
        <f t="shared" si="5"/>
        <v>355.20000000000005</v>
      </c>
    </row>
    <row r="347" spans="1:12" x14ac:dyDescent="0.25">
      <c r="A347" s="1" t="s">
        <v>936</v>
      </c>
      <c r="B347" s="1">
        <v>2023</v>
      </c>
      <c r="C347" s="7">
        <v>45092</v>
      </c>
      <c r="D347" s="1" t="s">
        <v>560</v>
      </c>
      <c r="E347" s="1" t="s">
        <v>49</v>
      </c>
      <c r="F347" s="1" t="s">
        <v>15</v>
      </c>
      <c r="G347" s="1" t="s">
        <v>779</v>
      </c>
      <c r="H347" s="1" t="s">
        <v>244</v>
      </c>
      <c r="I347" s="1" t="s">
        <v>26</v>
      </c>
      <c r="J347" s="1">
        <v>47.975999999999999</v>
      </c>
      <c r="K347" s="1">
        <v>3</v>
      </c>
      <c r="L347" s="5">
        <f t="shared" si="5"/>
        <v>143.928</v>
      </c>
    </row>
    <row r="348" spans="1:12" x14ac:dyDescent="0.25">
      <c r="A348" s="1" t="s">
        <v>937</v>
      </c>
      <c r="B348" s="1">
        <v>2023</v>
      </c>
      <c r="C348" s="7">
        <v>45115</v>
      </c>
      <c r="D348" s="1" t="s">
        <v>561</v>
      </c>
      <c r="E348" s="1" t="s">
        <v>562</v>
      </c>
      <c r="F348" s="1" t="s">
        <v>59</v>
      </c>
      <c r="G348" s="1" t="s">
        <v>774</v>
      </c>
      <c r="H348" s="1" t="s">
        <v>347</v>
      </c>
      <c r="I348" s="1" t="s">
        <v>17</v>
      </c>
      <c r="J348" s="1">
        <v>7.5600000000000005</v>
      </c>
      <c r="K348" s="1">
        <v>3</v>
      </c>
      <c r="L348" s="5">
        <f t="shared" si="5"/>
        <v>22.68</v>
      </c>
    </row>
    <row r="349" spans="1:12" x14ac:dyDescent="0.25">
      <c r="A349" s="1" t="s">
        <v>937</v>
      </c>
      <c r="B349" s="1">
        <v>2023</v>
      </c>
      <c r="C349" s="7">
        <v>45115</v>
      </c>
      <c r="D349" s="1" t="s">
        <v>561</v>
      </c>
      <c r="E349" s="1" t="s">
        <v>562</v>
      </c>
      <c r="F349" s="1" t="s">
        <v>59</v>
      </c>
      <c r="G349" s="1" t="s">
        <v>774</v>
      </c>
      <c r="H349" s="1" t="s">
        <v>76</v>
      </c>
      <c r="I349" s="1" t="s">
        <v>17</v>
      </c>
      <c r="J349" s="1">
        <v>24.56</v>
      </c>
      <c r="K349" s="1">
        <v>2</v>
      </c>
      <c r="L349" s="5">
        <f t="shared" si="5"/>
        <v>49.12</v>
      </c>
    </row>
    <row r="350" spans="1:12" x14ac:dyDescent="0.25">
      <c r="A350" s="1" t="s">
        <v>937</v>
      </c>
      <c r="B350" s="1">
        <v>2023</v>
      </c>
      <c r="C350" s="7">
        <v>45115</v>
      </c>
      <c r="D350" s="1" t="s">
        <v>561</v>
      </c>
      <c r="E350" s="1" t="s">
        <v>562</v>
      </c>
      <c r="F350" s="1" t="s">
        <v>59</v>
      </c>
      <c r="G350" s="1" t="s">
        <v>774</v>
      </c>
      <c r="H350" s="1" t="s">
        <v>563</v>
      </c>
      <c r="I350" s="1" t="s">
        <v>17</v>
      </c>
      <c r="J350" s="1">
        <v>12.96</v>
      </c>
      <c r="K350" s="1">
        <v>2</v>
      </c>
      <c r="L350" s="5">
        <f t="shared" si="5"/>
        <v>25.92</v>
      </c>
    </row>
    <row r="351" spans="1:12" x14ac:dyDescent="0.25">
      <c r="A351" s="1" t="s">
        <v>938</v>
      </c>
      <c r="B351" s="1">
        <v>2023</v>
      </c>
      <c r="C351" s="7">
        <v>45170</v>
      </c>
      <c r="D351" s="1" t="s">
        <v>564</v>
      </c>
      <c r="E351" s="1" t="s">
        <v>112</v>
      </c>
      <c r="F351" s="1" t="s">
        <v>59</v>
      </c>
      <c r="G351" s="1" t="s">
        <v>774</v>
      </c>
      <c r="H351" s="1" t="s">
        <v>434</v>
      </c>
      <c r="I351" s="1" t="s">
        <v>26</v>
      </c>
      <c r="J351" s="1">
        <v>6.79</v>
      </c>
      <c r="K351" s="1">
        <v>1</v>
      </c>
      <c r="L351" s="5">
        <f t="shared" si="5"/>
        <v>6.79</v>
      </c>
    </row>
    <row r="352" spans="1:12" x14ac:dyDescent="0.25">
      <c r="A352" s="1" t="s">
        <v>938</v>
      </c>
      <c r="B352" s="1">
        <v>2023</v>
      </c>
      <c r="C352" s="7">
        <v>45170</v>
      </c>
      <c r="D352" s="1" t="s">
        <v>564</v>
      </c>
      <c r="E352" s="1" t="s">
        <v>112</v>
      </c>
      <c r="F352" s="1" t="s">
        <v>59</v>
      </c>
      <c r="G352" s="1" t="s">
        <v>774</v>
      </c>
      <c r="H352" s="1" t="s">
        <v>565</v>
      </c>
      <c r="I352" s="1" t="s">
        <v>17</v>
      </c>
      <c r="J352" s="1">
        <v>24.56</v>
      </c>
      <c r="K352" s="1">
        <v>2</v>
      </c>
      <c r="L352" s="5">
        <f t="shared" si="5"/>
        <v>49.12</v>
      </c>
    </row>
    <row r="353" spans="1:12" x14ac:dyDescent="0.25">
      <c r="A353" s="1" t="s">
        <v>938</v>
      </c>
      <c r="B353" s="1">
        <v>2023</v>
      </c>
      <c r="C353" s="7">
        <v>45170</v>
      </c>
      <c r="D353" s="1" t="s">
        <v>564</v>
      </c>
      <c r="E353" s="1" t="s">
        <v>112</v>
      </c>
      <c r="F353" s="1" t="s">
        <v>59</v>
      </c>
      <c r="G353" s="1" t="s">
        <v>774</v>
      </c>
      <c r="H353" s="1" t="s">
        <v>566</v>
      </c>
      <c r="I353" s="1" t="s">
        <v>17</v>
      </c>
      <c r="J353" s="1">
        <v>3.048</v>
      </c>
      <c r="K353" s="1">
        <v>1</v>
      </c>
      <c r="L353" s="5">
        <f t="shared" si="5"/>
        <v>3.048</v>
      </c>
    </row>
    <row r="354" spans="1:12" x14ac:dyDescent="0.25">
      <c r="A354" s="1" t="s">
        <v>938</v>
      </c>
      <c r="B354" s="1">
        <v>2023</v>
      </c>
      <c r="C354" s="7">
        <v>45170</v>
      </c>
      <c r="D354" s="1" t="s">
        <v>564</v>
      </c>
      <c r="E354" s="1" t="s">
        <v>112</v>
      </c>
      <c r="F354" s="1" t="s">
        <v>59</v>
      </c>
      <c r="G354" s="1" t="s">
        <v>774</v>
      </c>
      <c r="H354" s="1" t="s">
        <v>565</v>
      </c>
      <c r="I354" s="1" t="s">
        <v>17</v>
      </c>
      <c r="J354" s="1">
        <v>49.12</v>
      </c>
      <c r="K354" s="1">
        <v>4</v>
      </c>
      <c r="L354" s="5">
        <f t="shared" si="5"/>
        <v>196.48</v>
      </c>
    </row>
    <row r="355" spans="1:12" x14ac:dyDescent="0.25">
      <c r="A355" s="1" t="s">
        <v>938</v>
      </c>
      <c r="B355" s="1">
        <v>2023</v>
      </c>
      <c r="C355" s="7">
        <v>45170</v>
      </c>
      <c r="D355" s="1" t="s">
        <v>564</v>
      </c>
      <c r="E355" s="1" t="s">
        <v>112</v>
      </c>
      <c r="F355" s="1" t="s">
        <v>59</v>
      </c>
      <c r="G355" s="1" t="s">
        <v>774</v>
      </c>
      <c r="H355" s="1" t="s">
        <v>567</v>
      </c>
      <c r="I355" s="1" t="s">
        <v>17</v>
      </c>
      <c r="J355" s="1">
        <v>4355.1680000000006</v>
      </c>
      <c r="K355" s="1">
        <v>4</v>
      </c>
      <c r="L355" s="5">
        <f t="shared" si="5"/>
        <v>17420.672000000002</v>
      </c>
    </row>
    <row r="356" spans="1:12" x14ac:dyDescent="0.25">
      <c r="A356" s="1" t="s">
        <v>939</v>
      </c>
      <c r="B356" s="1">
        <v>2023</v>
      </c>
      <c r="C356" s="7">
        <v>45024</v>
      </c>
      <c r="D356" s="1" t="s">
        <v>568</v>
      </c>
      <c r="E356" s="1" t="s">
        <v>112</v>
      </c>
      <c r="F356" s="1" t="s">
        <v>59</v>
      </c>
      <c r="G356" s="1" t="s">
        <v>774</v>
      </c>
      <c r="H356" s="1" t="s">
        <v>569</v>
      </c>
      <c r="I356" s="1" t="s">
        <v>11</v>
      </c>
      <c r="J356" s="1">
        <v>388.70400000000006</v>
      </c>
      <c r="K356" s="1">
        <v>6</v>
      </c>
      <c r="L356" s="5">
        <f t="shared" si="5"/>
        <v>2332.2240000000002</v>
      </c>
    </row>
    <row r="357" spans="1:12" x14ac:dyDescent="0.25">
      <c r="A357" s="1" t="s">
        <v>939</v>
      </c>
      <c r="B357" s="1">
        <v>2023</v>
      </c>
      <c r="C357" s="7">
        <v>45024</v>
      </c>
      <c r="D357" s="1" t="s">
        <v>568</v>
      </c>
      <c r="E357" s="1" t="s">
        <v>112</v>
      </c>
      <c r="F357" s="1" t="s">
        <v>59</v>
      </c>
      <c r="G357" s="1" t="s">
        <v>774</v>
      </c>
      <c r="H357" s="1" t="s">
        <v>570</v>
      </c>
      <c r="I357" s="1" t="s">
        <v>17</v>
      </c>
      <c r="J357" s="1">
        <v>8.26</v>
      </c>
      <c r="K357" s="1">
        <v>2</v>
      </c>
      <c r="L357" s="5">
        <f t="shared" si="5"/>
        <v>16.52</v>
      </c>
    </row>
    <row r="358" spans="1:12" x14ac:dyDescent="0.25">
      <c r="A358" s="1" t="s">
        <v>939</v>
      </c>
      <c r="B358" s="1">
        <v>2023</v>
      </c>
      <c r="C358" s="7">
        <v>45024</v>
      </c>
      <c r="D358" s="1" t="s">
        <v>568</v>
      </c>
      <c r="E358" s="1" t="s">
        <v>112</v>
      </c>
      <c r="F358" s="1" t="s">
        <v>59</v>
      </c>
      <c r="G358" s="1" t="s">
        <v>774</v>
      </c>
      <c r="H358" s="1" t="s">
        <v>571</v>
      </c>
      <c r="I358" s="1" t="s">
        <v>17</v>
      </c>
      <c r="J358" s="1">
        <v>17.04</v>
      </c>
      <c r="K358" s="1">
        <v>4</v>
      </c>
      <c r="L358" s="5">
        <f t="shared" si="5"/>
        <v>68.16</v>
      </c>
    </row>
    <row r="359" spans="1:12" x14ac:dyDescent="0.25">
      <c r="A359" s="1" t="s">
        <v>939</v>
      </c>
      <c r="B359" s="1">
        <v>2023</v>
      </c>
      <c r="C359" s="7">
        <v>45024</v>
      </c>
      <c r="D359" s="1" t="s">
        <v>568</v>
      </c>
      <c r="E359" s="1" t="s">
        <v>112</v>
      </c>
      <c r="F359" s="1" t="s">
        <v>59</v>
      </c>
      <c r="G359" s="1" t="s">
        <v>774</v>
      </c>
      <c r="H359" s="1" t="s">
        <v>572</v>
      </c>
      <c r="I359" s="1" t="s">
        <v>17</v>
      </c>
      <c r="J359" s="1">
        <v>34.4</v>
      </c>
      <c r="K359" s="1">
        <v>5</v>
      </c>
      <c r="L359" s="5">
        <f t="shared" si="5"/>
        <v>172</v>
      </c>
    </row>
    <row r="360" spans="1:12" x14ac:dyDescent="0.25">
      <c r="A360" s="1" t="s">
        <v>940</v>
      </c>
      <c r="B360" s="1">
        <v>2023</v>
      </c>
      <c r="C360" s="7">
        <v>45039</v>
      </c>
      <c r="D360" s="1" t="s">
        <v>364</v>
      </c>
      <c r="E360" s="1" t="s">
        <v>202</v>
      </c>
      <c r="F360" s="1" t="s">
        <v>9</v>
      </c>
      <c r="G360" s="1" t="s">
        <v>344</v>
      </c>
      <c r="H360" s="1" t="s">
        <v>356</v>
      </c>
      <c r="I360" s="1" t="s">
        <v>17</v>
      </c>
      <c r="J360" s="1">
        <v>36.240000000000009</v>
      </c>
      <c r="K360" s="1">
        <v>5</v>
      </c>
      <c r="L360" s="5">
        <f t="shared" si="5"/>
        <v>181.20000000000005</v>
      </c>
    </row>
    <row r="361" spans="1:12" x14ac:dyDescent="0.25">
      <c r="A361" s="1" t="s">
        <v>941</v>
      </c>
      <c r="B361" s="1">
        <v>2023</v>
      </c>
      <c r="C361" s="7">
        <v>44993</v>
      </c>
      <c r="D361" s="1" t="s">
        <v>573</v>
      </c>
      <c r="E361" s="1" t="s">
        <v>216</v>
      </c>
      <c r="F361" s="1" t="s">
        <v>9</v>
      </c>
      <c r="G361" s="1" t="s">
        <v>344</v>
      </c>
      <c r="H361" s="1" t="s">
        <v>574</v>
      </c>
      <c r="I361" s="1" t="s">
        <v>17</v>
      </c>
      <c r="J361" s="1">
        <v>647.84</v>
      </c>
      <c r="K361" s="1">
        <v>8</v>
      </c>
      <c r="L361" s="5">
        <f t="shared" si="5"/>
        <v>5182.72</v>
      </c>
    </row>
    <row r="362" spans="1:12" x14ac:dyDescent="0.25">
      <c r="A362" s="1" t="s">
        <v>941</v>
      </c>
      <c r="B362" s="1">
        <v>2023</v>
      </c>
      <c r="C362" s="7">
        <v>44993</v>
      </c>
      <c r="D362" s="1" t="s">
        <v>573</v>
      </c>
      <c r="E362" s="1" t="s">
        <v>216</v>
      </c>
      <c r="F362" s="1" t="s">
        <v>9</v>
      </c>
      <c r="G362" s="1" t="s">
        <v>344</v>
      </c>
      <c r="H362" s="1" t="s">
        <v>575</v>
      </c>
      <c r="I362" s="1" t="s">
        <v>17</v>
      </c>
      <c r="J362" s="1">
        <v>20.7</v>
      </c>
      <c r="K362" s="1">
        <v>2</v>
      </c>
      <c r="L362" s="5">
        <f t="shared" si="5"/>
        <v>41.4</v>
      </c>
    </row>
    <row r="363" spans="1:12" x14ac:dyDescent="0.25">
      <c r="A363" s="1" t="s">
        <v>942</v>
      </c>
      <c r="B363" s="1">
        <v>2023</v>
      </c>
      <c r="C363" s="7">
        <v>45194</v>
      </c>
      <c r="D363" s="1" t="s">
        <v>576</v>
      </c>
      <c r="E363" s="1" t="s">
        <v>112</v>
      </c>
      <c r="F363" s="1" t="s">
        <v>59</v>
      </c>
      <c r="G363" s="1" t="s">
        <v>774</v>
      </c>
      <c r="H363" s="1" t="s">
        <v>575</v>
      </c>
      <c r="I363" s="1" t="s">
        <v>17</v>
      </c>
      <c r="J363" s="1">
        <v>20.7</v>
      </c>
      <c r="K363" s="1">
        <v>2</v>
      </c>
      <c r="L363" s="5">
        <f t="shared" si="5"/>
        <v>41.4</v>
      </c>
    </row>
    <row r="364" spans="1:12" x14ac:dyDescent="0.25">
      <c r="A364" s="1" t="s">
        <v>942</v>
      </c>
      <c r="B364" s="1">
        <v>2023</v>
      </c>
      <c r="C364" s="7">
        <v>45194</v>
      </c>
      <c r="D364" s="1" t="s">
        <v>576</v>
      </c>
      <c r="E364" s="1" t="s">
        <v>112</v>
      </c>
      <c r="F364" s="1" t="s">
        <v>59</v>
      </c>
      <c r="G364" s="1" t="s">
        <v>774</v>
      </c>
      <c r="H364" s="1" t="s">
        <v>577</v>
      </c>
      <c r="I364" s="1" t="s">
        <v>11</v>
      </c>
      <c r="J364" s="1">
        <v>488.64600000000002</v>
      </c>
      <c r="K364" s="1">
        <v>3</v>
      </c>
      <c r="L364" s="5">
        <f t="shared" si="5"/>
        <v>1465.9380000000001</v>
      </c>
    </row>
    <row r="365" spans="1:12" x14ac:dyDescent="0.25">
      <c r="A365" s="1" t="s">
        <v>942</v>
      </c>
      <c r="B365" s="1">
        <v>2023</v>
      </c>
      <c r="C365" s="7">
        <v>45194</v>
      </c>
      <c r="D365" s="1" t="s">
        <v>576</v>
      </c>
      <c r="E365" s="1" t="s">
        <v>112</v>
      </c>
      <c r="F365" s="1" t="s">
        <v>59</v>
      </c>
      <c r="G365" s="1" t="s">
        <v>774</v>
      </c>
      <c r="H365" s="1" t="s">
        <v>578</v>
      </c>
      <c r="I365" s="1" t="s">
        <v>17</v>
      </c>
      <c r="J365" s="1">
        <v>5.56</v>
      </c>
      <c r="K365" s="1">
        <v>2</v>
      </c>
      <c r="L365" s="5">
        <f t="shared" si="5"/>
        <v>11.12</v>
      </c>
    </row>
    <row r="366" spans="1:12" x14ac:dyDescent="0.25">
      <c r="A366" s="1" t="s">
        <v>942</v>
      </c>
      <c r="B366" s="1">
        <v>2023</v>
      </c>
      <c r="C366" s="7">
        <v>45194</v>
      </c>
      <c r="D366" s="1" t="s">
        <v>576</v>
      </c>
      <c r="E366" s="1" t="s">
        <v>112</v>
      </c>
      <c r="F366" s="1" t="s">
        <v>59</v>
      </c>
      <c r="G366" s="1" t="s">
        <v>774</v>
      </c>
      <c r="H366" s="1" t="s">
        <v>579</v>
      </c>
      <c r="I366" s="1" t="s">
        <v>11</v>
      </c>
      <c r="J366" s="1">
        <v>47.12</v>
      </c>
      <c r="K366" s="1">
        <v>8</v>
      </c>
      <c r="L366" s="5">
        <f t="shared" si="5"/>
        <v>376.96</v>
      </c>
    </row>
    <row r="367" spans="1:12" x14ac:dyDescent="0.25">
      <c r="A367" s="1" t="s">
        <v>943</v>
      </c>
      <c r="B367" s="1">
        <v>2022</v>
      </c>
      <c r="C367" s="7">
        <v>44828</v>
      </c>
      <c r="D367" s="1" t="s">
        <v>580</v>
      </c>
      <c r="E367" s="1" t="s">
        <v>49</v>
      </c>
      <c r="F367" s="1" t="s">
        <v>15</v>
      </c>
      <c r="G367" s="1" t="s">
        <v>779</v>
      </c>
      <c r="H367" s="1" t="s">
        <v>100</v>
      </c>
      <c r="I367" s="1" t="s">
        <v>17</v>
      </c>
      <c r="J367" s="1">
        <v>211.96</v>
      </c>
      <c r="K367" s="1">
        <v>4</v>
      </c>
      <c r="L367" s="5">
        <f t="shared" si="5"/>
        <v>847.84</v>
      </c>
    </row>
    <row r="368" spans="1:12" x14ac:dyDescent="0.25">
      <c r="A368" s="1" t="s">
        <v>944</v>
      </c>
      <c r="B368" s="1">
        <v>2023</v>
      </c>
      <c r="C368" s="7">
        <v>45220</v>
      </c>
      <c r="D368" s="1" t="s">
        <v>581</v>
      </c>
      <c r="E368" s="1" t="s">
        <v>582</v>
      </c>
      <c r="F368" s="1" t="s">
        <v>59</v>
      </c>
      <c r="G368" s="1" t="s">
        <v>774</v>
      </c>
      <c r="H368" s="1" t="s">
        <v>583</v>
      </c>
      <c r="I368" s="1" t="s">
        <v>17</v>
      </c>
      <c r="J368" s="1">
        <v>23.2</v>
      </c>
      <c r="K368" s="1">
        <v>4</v>
      </c>
      <c r="L368" s="5">
        <f t="shared" si="5"/>
        <v>92.8</v>
      </c>
    </row>
    <row r="369" spans="1:12" x14ac:dyDescent="0.25">
      <c r="A369" s="1" t="s">
        <v>944</v>
      </c>
      <c r="B369" s="1">
        <v>2023</v>
      </c>
      <c r="C369" s="7">
        <v>45220</v>
      </c>
      <c r="D369" s="1" t="s">
        <v>581</v>
      </c>
      <c r="E369" s="1" t="s">
        <v>582</v>
      </c>
      <c r="F369" s="1" t="s">
        <v>59</v>
      </c>
      <c r="G369" s="1" t="s">
        <v>774</v>
      </c>
      <c r="H369" s="1" t="s">
        <v>584</v>
      </c>
      <c r="I369" s="1" t="s">
        <v>17</v>
      </c>
      <c r="J369" s="1">
        <v>7.36</v>
      </c>
      <c r="K369" s="1">
        <v>2</v>
      </c>
      <c r="L369" s="5">
        <f t="shared" si="5"/>
        <v>14.72</v>
      </c>
    </row>
    <row r="370" spans="1:12" x14ac:dyDescent="0.25">
      <c r="A370" s="1" t="s">
        <v>944</v>
      </c>
      <c r="B370" s="1">
        <v>2023</v>
      </c>
      <c r="C370" s="7">
        <v>45220</v>
      </c>
      <c r="D370" s="1" t="s">
        <v>581</v>
      </c>
      <c r="E370" s="1" t="s">
        <v>582</v>
      </c>
      <c r="F370" s="1" t="s">
        <v>59</v>
      </c>
      <c r="G370" s="1" t="s">
        <v>774</v>
      </c>
      <c r="H370" s="1" t="s">
        <v>585</v>
      </c>
      <c r="I370" s="1" t="s">
        <v>17</v>
      </c>
      <c r="J370" s="1">
        <v>104.79</v>
      </c>
      <c r="K370" s="1">
        <v>7</v>
      </c>
      <c r="L370" s="5">
        <f t="shared" si="5"/>
        <v>733.53000000000009</v>
      </c>
    </row>
    <row r="371" spans="1:12" x14ac:dyDescent="0.25">
      <c r="A371" s="1" t="s">
        <v>944</v>
      </c>
      <c r="B371" s="1">
        <v>2023</v>
      </c>
      <c r="C371" s="7">
        <v>45220</v>
      </c>
      <c r="D371" s="1" t="s">
        <v>581</v>
      </c>
      <c r="E371" s="1" t="s">
        <v>582</v>
      </c>
      <c r="F371" s="1" t="s">
        <v>59</v>
      </c>
      <c r="G371" s="1" t="s">
        <v>774</v>
      </c>
      <c r="H371" s="1" t="s">
        <v>83</v>
      </c>
      <c r="I371" s="1" t="s">
        <v>11</v>
      </c>
      <c r="J371" s="1">
        <v>1043.92</v>
      </c>
      <c r="K371" s="1">
        <v>4</v>
      </c>
      <c r="L371" s="5">
        <f t="shared" si="5"/>
        <v>4175.68</v>
      </c>
    </row>
    <row r="372" spans="1:12" x14ac:dyDescent="0.25">
      <c r="A372" s="1" t="s">
        <v>945</v>
      </c>
      <c r="B372" s="1">
        <v>2023</v>
      </c>
      <c r="C372" s="7">
        <v>45075</v>
      </c>
      <c r="D372" s="1" t="s">
        <v>586</v>
      </c>
      <c r="E372" s="1" t="s">
        <v>587</v>
      </c>
      <c r="F372" s="1" t="s">
        <v>39</v>
      </c>
      <c r="G372" s="1" t="s">
        <v>785</v>
      </c>
      <c r="H372" s="1" t="s">
        <v>588</v>
      </c>
      <c r="I372" s="1" t="s">
        <v>17</v>
      </c>
      <c r="J372" s="1">
        <v>25.920000000000005</v>
      </c>
      <c r="K372" s="1">
        <v>5</v>
      </c>
      <c r="L372" s="5">
        <f t="shared" si="5"/>
        <v>129.60000000000002</v>
      </c>
    </row>
    <row r="373" spans="1:12" x14ac:dyDescent="0.25">
      <c r="A373" s="1" t="s">
        <v>945</v>
      </c>
      <c r="B373" s="1">
        <v>2023</v>
      </c>
      <c r="C373" s="7">
        <v>45075</v>
      </c>
      <c r="D373" s="1" t="s">
        <v>586</v>
      </c>
      <c r="E373" s="1" t="s">
        <v>587</v>
      </c>
      <c r="F373" s="1" t="s">
        <v>39</v>
      </c>
      <c r="G373" s="1" t="s">
        <v>785</v>
      </c>
      <c r="H373" s="1" t="s">
        <v>589</v>
      </c>
      <c r="I373" s="1" t="s">
        <v>17</v>
      </c>
      <c r="J373" s="1">
        <v>53.424000000000007</v>
      </c>
      <c r="K373" s="1">
        <v>3</v>
      </c>
      <c r="L373" s="5">
        <f t="shared" si="5"/>
        <v>160.27200000000002</v>
      </c>
    </row>
    <row r="374" spans="1:12" x14ac:dyDescent="0.25">
      <c r="A374" s="1" t="s">
        <v>946</v>
      </c>
      <c r="B374" s="1">
        <v>2022</v>
      </c>
      <c r="C374" s="7">
        <v>44765</v>
      </c>
      <c r="D374" s="1" t="s">
        <v>590</v>
      </c>
      <c r="E374" s="1" t="s">
        <v>591</v>
      </c>
      <c r="F374" s="1" t="s">
        <v>15</v>
      </c>
      <c r="G374" s="1" t="s">
        <v>779</v>
      </c>
      <c r="H374" s="1" t="s">
        <v>547</v>
      </c>
      <c r="I374" s="1" t="s">
        <v>17</v>
      </c>
      <c r="J374" s="1">
        <v>8.1600000000000019</v>
      </c>
      <c r="K374" s="1">
        <v>5</v>
      </c>
      <c r="L374" s="5">
        <f t="shared" si="5"/>
        <v>40.800000000000011</v>
      </c>
    </row>
    <row r="375" spans="1:12" x14ac:dyDescent="0.25">
      <c r="A375" s="1" t="s">
        <v>946</v>
      </c>
      <c r="B375" s="1">
        <v>2022</v>
      </c>
      <c r="C375" s="7">
        <v>44765</v>
      </c>
      <c r="D375" s="1" t="s">
        <v>590</v>
      </c>
      <c r="E375" s="1" t="s">
        <v>591</v>
      </c>
      <c r="F375" s="1" t="s">
        <v>15</v>
      </c>
      <c r="G375" s="1" t="s">
        <v>779</v>
      </c>
      <c r="H375" s="1" t="s">
        <v>592</v>
      </c>
      <c r="I375" s="1" t="s">
        <v>26</v>
      </c>
      <c r="J375" s="1">
        <v>1023.9360000000001</v>
      </c>
      <c r="K375" s="1">
        <v>8</v>
      </c>
      <c r="L375" s="5">
        <f t="shared" si="5"/>
        <v>8191.4880000000012</v>
      </c>
    </row>
    <row r="376" spans="1:12" x14ac:dyDescent="0.25">
      <c r="A376" s="1" t="s">
        <v>946</v>
      </c>
      <c r="B376" s="1">
        <v>2022</v>
      </c>
      <c r="C376" s="7">
        <v>44765</v>
      </c>
      <c r="D376" s="1" t="s">
        <v>590</v>
      </c>
      <c r="E376" s="1" t="s">
        <v>591</v>
      </c>
      <c r="F376" s="1" t="s">
        <v>15</v>
      </c>
      <c r="G376" s="1" t="s">
        <v>779</v>
      </c>
      <c r="H376" s="1" t="s">
        <v>593</v>
      </c>
      <c r="I376" s="1" t="s">
        <v>17</v>
      </c>
      <c r="J376" s="1">
        <v>9.24</v>
      </c>
      <c r="K376" s="1">
        <v>1</v>
      </c>
      <c r="L376" s="5">
        <f t="shared" si="5"/>
        <v>9.24</v>
      </c>
    </row>
    <row r="377" spans="1:12" x14ac:dyDescent="0.25">
      <c r="A377" s="1" t="s">
        <v>946</v>
      </c>
      <c r="B377" s="1">
        <v>2022</v>
      </c>
      <c r="C377" s="7">
        <v>44765</v>
      </c>
      <c r="D377" s="1" t="s">
        <v>590</v>
      </c>
      <c r="E377" s="1" t="s">
        <v>591</v>
      </c>
      <c r="F377" s="1" t="s">
        <v>15</v>
      </c>
      <c r="G377" s="1" t="s">
        <v>779</v>
      </c>
      <c r="H377" s="1" t="s">
        <v>594</v>
      </c>
      <c r="I377" s="1" t="s">
        <v>26</v>
      </c>
      <c r="J377" s="1">
        <v>479.04</v>
      </c>
      <c r="K377" s="1">
        <v>10</v>
      </c>
      <c r="L377" s="5">
        <f t="shared" si="5"/>
        <v>4790.4000000000005</v>
      </c>
    </row>
    <row r="378" spans="1:12" x14ac:dyDescent="0.25">
      <c r="A378" s="1" t="s">
        <v>947</v>
      </c>
      <c r="B378" s="1">
        <v>2023</v>
      </c>
      <c r="C378" s="7">
        <v>45197</v>
      </c>
      <c r="D378" s="1" t="s">
        <v>595</v>
      </c>
      <c r="E378" s="1" t="s">
        <v>596</v>
      </c>
      <c r="F378" s="1" t="s">
        <v>39</v>
      </c>
      <c r="G378" s="1" t="s">
        <v>785</v>
      </c>
      <c r="H378" s="1" t="s">
        <v>597</v>
      </c>
      <c r="I378" s="1" t="s">
        <v>17</v>
      </c>
      <c r="J378" s="1">
        <v>99.13600000000001</v>
      </c>
      <c r="K378" s="1">
        <v>4</v>
      </c>
      <c r="L378" s="5">
        <f t="shared" si="5"/>
        <v>396.54400000000004</v>
      </c>
    </row>
    <row r="379" spans="1:12" x14ac:dyDescent="0.25">
      <c r="A379" s="1" t="s">
        <v>948</v>
      </c>
      <c r="B379" s="1">
        <v>2023</v>
      </c>
      <c r="C379" s="7">
        <v>45165</v>
      </c>
      <c r="D379" s="1" t="s">
        <v>598</v>
      </c>
      <c r="E379" s="1" t="s">
        <v>269</v>
      </c>
      <c r="F379" s="1" t="s">
        <v>59</v>
      </c>
      <c r="G379" s="1" t="s">
        <v>774</v>
      </c>
      <c r="H379" s="1" t="s">
        <v>599</v>
      </c>
      <c r="I379" s="1" t="s">
        <v>11</v>
      </c>
      <c r="J379" s="1">
        <v>1488.4239999999998</v>
      </c>
      <c r="K379" s="1">
        <v>7</v>
      </c>
      <c r="L379" s="5">
        <f t="shared" si="5"/>
        <v>10418.967999999999</v>
      </c>
    </row>
    <row r="380" spans="1:12" x14ac:dyDescent="0.25">
      <c r="A380" s="1" t="s">
        <v>949</v>
      </c>
      <c r="B380" s="1">
        <v>2022</v>
      </c>
      <c r="C380" s="7">
        <v>44679</v>
      </c>
      <c r="D380" s="1" t="s">
        <v>600</v>
      </c>
      <c r="E380" s="1" t="s">
        <v>75</v>
      </c>
      <c r="F380" s="1" t="s">
        <v>39</v>
      </c>
      <c r="G380" s="1" t="s">
        <v>785</v>
      </c>
      <c r="H380" s="1" t="s">
        <v>601</v>
      </c>
      <c r="I380" s="1" t="s">
        <v>17</v>
      </c>
      <c r="J380" s="1">
        <v>8.6519999999999975</v>
      </c>
      <c r="K380" s="1">
        <v>3</v>
      </c>
      <c r="L380" s="5">
        <f t="shared" si="5"/>
        <v>25.955999999999992</v>
      </c>
    </row>
    <row r="381" spans="1:12" x14ac:dyDescent="0.25">
      <c r="A381" s="1" t="s">
        <v>949</v>
      </c>
      <c r="B381" s="1">
        <v>2022</v>
      </c>
      <c r="C381" s="7">
        <v>44679</v>
      </c>
      <c r="D381" s="1" t="s">
        <v>600</v>
      </c>
      <c r="E381" s="1" t="s">
        <v>75</v>
      </c>
      <c r="F381" s="1" t="s">
        <v>39</v>
      </c>
      <c r="G381" s="1" t="s">
        <v>785</v>
      </c>
      <c r="H381" s="1" t="s">
        <v>602</v>
      </c>
      <c r="I381" s="1" t="s">
        <v>17</v>
      </c>
      <c r="J381" s="1">
        <v>23.832000000000001</v>
      </c>
      <c r="K381" s="1">
        <v>3</v>
      </c>
      <c r="L381" s="5">
        <f t="shared" si="5"/>
        <v>71.496000000000009</v>
      </c>
    </row>
    <row r="382" spans="1:12" x14ac:dyDescent="0.25">
      <c r="A382" s="1" t="s">
        <v>949</v>
      </c>
      <c r="B382" s="1">
        <v>2022</v>
      </c>
      <c r="C382" s="7">
        <v>44679</v>
      </c>
      <c r="D382" s="1" t="s">
        <v>600</v>
      </c>
      <c r="E382" s="1" t="s">
        <v>75</v>
      </c>
      <c r="F382" s="1" t="s">
        <v>39</v>
      </c>
      <c r="G382" s="1" t="s">
        <v>785</v>
      </c>
      <c r="H382" s="1" t="s">
        <v>603</v>
      </c>
      <c r="I382" s="1" t="s">
        <v>17</v>
      </c>
      <c r="J382" s="1">
        <v>12.175999999999998</v>
      </c>
      <c r="K382" s="1">
        <v>4</v>
      </c>
      <c r="L382" s="5">
        <f t="shared" si="5"/>
        <v>48.703999999999994</v>
      </c>
    </row>
    <row r="383" spans="1:12" x14ac:dyDescent="0.25">
      <c r="A383" s="1" t="s">
        <v>950</v>
      </c>
      <c r="B383" s="1">
        <v>2023</v>
      </c>
      <c r="C383" s="7">
        <v>45227</v>
      </c>
      <c r="D383" s="1" t="s">
        <v>604</v>
      </c>
      <c r="E383" s="1" t="s">
        <v>49</v>
      </c>
      <c r="F383" s="1" t="s">
        <v>15</v>
      </c>
      <c r="G383" s="1" t="s">
        <v>779</v>
      </c>
      <c r="H383" s="1" t="s">
        <v>605</v>
      </c>
      <c r="I383" s="1" t="s">
        <v>17</v>
      </c>
      <c r="J383" s="1">
        <v>50.96</v>
      </c>
      <c r="K383" s="1">
        <v>7</v>
      </c>
      <c r="L383" s="5">
        <f t="shared" si="5"/>
        <v>356.72</v>
      </c>
    </row>
    <row r="384" spans="1:12" x14ac:dyDescent="0.25">
      <c r="A384" s="1" t="s">
        <v>950</v>
      </c>
      <c r="B384" s="1">
        <v>2023</v>
      </c>
      <c r="C384" s="7">
        <v>45227</v>
      </c>
      <c r="D384" s="1" t="s">
        <v>604</v>
      </c>
      <c r="E384" s="1" t="s">
        <v>49</v>
      </c>
      <c r="F384" s="1" t="s">
        <v>15</v>
      </c>
      <c r="G384" s="1" t="s">
        <v>779</v>
      </c>
      <c r="H384" s="1" t="s">
        <v>606</v>
      </c>
      <c r="I384" s="1" t="s">
        <v>17</v>
      </c>
      <c r="J384" s="1">
        <v>49.536000000000001</v>
      </c>
      <c r="K384" s="1">
        <v>3</v>
      </c>
      <c r="L384" s="5">
        <f t="shared" si="5"/>
        <v>148.608</v>
      </c>
    </row>
    <row r="385" spans="1:12" x14ac:dyDescent="0.25">
      <c r="A385" s="1" t="s">
        <v>951</v>
      </c>
      <c r="B385" s="1">
        <v>2022</v>
      </c>
      <c r="C385" s="7">
        <v>44738</v>
      </c>
      <c r="D385" s="1" t="s">
        <v>607</v>
      </c>
      <c r="E385" s="1" t="s">
        <v>501</v>
      </c>
      <c r="F385" s="1" t="s">
        <v>39</v>
      </c>
      <c r="G385" s="1" t="s">
        <v>785</v>
      </c>
      <c r="H385" s="1" t="s">
        <v>608</v>
      </c>
      <c r="I385" s="1" t="s">
        <v>26</v>
      </c>
      <c r="J385" s="1">
        <v>41.9</v>
      </c>
      <c r="K385" s="1">
        <v>2</v>
      </c>
      <c r="L385" s="5">
        <f t="shared" si="5"/>
        <v>83.8</v>
      </c>
    </row>
    <row r="386" spans="1:12" x14ac:dyDescent="0.25">
      <c r="A386" s="1" t="s">
        <v>952</v>
      </c>
      <c r="B386" s="1">
        <v>2022</v>
      </c>
      <c r="C386" s="7">
        <v>44892</v>
      </c>
      <c r="D386" s="1" t="s">
        <v>609</v>
      </c>
      <c r="E386" s="1" t="s">
        <v>610</v>
      </c>
      <c r="F386" s="1" t="s">
        <v>9</v>
      </c>
      <c r="G386" s="1" t="s">
        <v>344</v>
      </c>
      <c r="H386" s="1" t="s">
        <v>611</v>
      </c>
      <c r="I386" s="1" t="s">
        <v>11</v>
      </c>
      <c r="J386" s="1">
        <v>375.45750000000004</v>
      </c>
      <c r="K386" s="1">
        <v>3</v>
      </c>
      <c r="L386" s="5">
        <f t="shared" si="5"/>
        <v>1126.3725000000002</v>
      </c>
    </row>
    <row r="387" spans="1:12" x14ac:dyDescent="0.25">
      <c r="A387" s="1" t="s">
        <v>952</v>
      </c>
      <c r="B387" s="1">
        <v>2022</v>
      </c>
      <c r="C387" s="7">
        <v>44892</v>
      </c>
      <c r="D387" s="1" t="s">
        <v>609</v>
      </c>
      <c r="E387" s="1" t="s">
        <v>610</v>
      </c>
      <c r="F387" s="1" t="s">
        <v>9</v>
      </c>
      <c r="G387" s="1" t="s">
        <v>344</v>
      </c>
      <c r="H387" s="1" t="s">
        <v>612</v>
      </c>
      <c r="I387" s="1" t="s">
        <v>26</v>
      </c>
      <c r="J387" s="1">
        <v>83.976000000000013</v>
      </c>
      <c r="K387" s="1">
        <v>3</v>
      </c>
      <c r="L387" s="5">
        <f t="shared" ref="L387:L450" si="6">J387*K387</f>
        <v>251.92800000000005</v>
      </c>
    </row>
    <row r="388" spans="1:12" x14ac:dyDescent="0.25">
      <c r="A388" s="1" t="s">
        <v>953</v>
      </c>
      <c r="B388" s="1">
        <v>2022</v>
      </c>
      <c r="C388" s="7">
        <v>44898</v>
      </c>
      <c r="D388" s="1" t="s">
        <v>613</v>
      </c>
      <c r="E388" s="1" t="s">
        <v>58</v>
      </c>
      <c r="F388" s="1" t="s">
        <v>59</v>
      </c>
      <c r="G388" s="1" t="s">
        <v>774</v>
      </c>
      <c r="H388" s="1" t="s">
        <v>614</v>
      </c>
      <c r="I388" s="1" t="s">
        <v>26</v>
      </c>
      <c r="J388" s="1">
        <v>482.34000000000003</v>
      </c>
      <c r="K388" s="1">
        <v>4</v>
      </c>
      <c r="L388" s="5">
        <f t="shared" si="6"/>
        <v>1929.3600000000001</v>
      </c>
    </row>
    <row r="389" spans="1:12" x14ac:dyDescent="0.25">
      <c r="A389" s="1" t="s">
        <v>953</v>
      </c>
      <c r="B389" s="1">
        <v>2022</v>
      </c>
      <c r="C389" s="7">
        <v>44898</v>
      </c>
      <c r="D389" s="1" t="s">
        <v>613</v>
      </c>
      <c r="E389" s="1" t="s">
        <v>58</v>
      </c>
      <c r="F389" s="1" t="s">
        <v>59</v>
      </c>
      <c r="G389" s="1" t="s">
        <v>774</v>
      </c>
      <c r="H389" s="1" t="s">
        <v>615</v>
      </c>
      <c r="I389" s="1" t="s">
        <v>11</v>
      </c>
      <c r="J389" s="1">
        <v>2.9600000000000004</v>
      </c>
      <c r="K389" s="1">
        <v>1</v>
      </c>
      <c r="L389" s="5">
        <f t="shared" si="6"/>
        <v>2.9600000000000004</v>
      </c>
    </row>
    <row r="390" spans="1:12" x14ac:dyDescent="0.25">
      <c r="A390" s="1" t="s">
        <v>954</v>
      </c>
      <c r="B390" s="1">
        <v>2022</v>
      </c>
      <c r="C390" s="7">
        <v>44889</v>
      </c>
      <c r="D390" s="1" t="s">
        <v>616</v>
      </c>
      <c r="E390" s="1" t="s">
        <v>452</v>
      </c>
      <c r="F390" s="1" t="s">
        <v>59</v>
      </c>
      <c r="G390" s="1" t="s">
        <v>774</v>
      </c>
      <c r="H390" s="1" t="s">
        <v>617</v>
      </c>
      <c r="I390" s="1" t="s">
        <v>17</v>
      </c>
      <c r="J390" s="1">
        <v>2.6240000000000001</v>
      </c>
      <c r="K390" s="1">
        <v>1</v>
      </c>
      <c r="L390" s="5">
        <f t="shared" si="6"/>
        <v>2.6240000000000001</v>
      </c>
    </row>
    <row r="391" spans="1:12" x14ac:dyDescent="0.25">
      <c r="A391" s="1" t="s">
        <v>955</v>
      </c>
      <c r="B391" s="1">
        <v>2023</v>
      </c>
      <c r="C391" s="7">
        <v>45271</v>
      </c>
      <c r="D391" s="1" t="s">
        <v>618</v>
      </c>
      <c r="E391" s="1" t="s">
        <v>112</v>
      </c>
      <c r="F391" s="1" t="s">
        <v>59</v>
      </c>
      <c r="G391" s="1" t="s">
        <v>774</v>
      </c>
      <c r="H391" s="1" t="s">
        <v>619</v>
      </c>
      <c r="I391" s="1" t="s">
        <v>17</v>
      </c>
      <c r="J391" s="1">
        <v>23.36</v>
      </c>
      <c r="K391" s="1">
        <v>4</v>
      </c>
      <c r="L391" s="5">
        <f t="shared" si="6"/>
        <v>93.44</v>
      </c>
    </row>
    <row r="392" spans="1:12" x14ac:dyDescent="0.25">
      <c r="A392" s="1" t="s">
        <v>955</v>
      </c>
      <c r="B392" s="1">
        <v>2023</v>
      </c>
      <c r="C392" s="7">
        <v>45271</v>
      </c>
      <c r="D392" s="1" t="s">
        <v>618</v>
      </c>
      <c r="E392" s="1" t="s">
        <v>112</v>
      </c>
      <c r="F392" s="1" t="s">
        <v>59</v>
      </c>
      <c r="G392" s="1" t="s">
        <v>774</v>
      </c>
      <c r="H392" s="1" t="s">
        <v>168</v>
      </c>
      <c r="I392" s="1" t="s">
        <v>26</v>
      </c>
      <c r="J392" s="1">
        <v>39.979999999999997</v>
      </c>
      <c r="K392" s="1">
        <v>2</v>
      </c>
      <c r="L392" s="5">
        <f t="shared" si="6"/>
        <v>79.959999999999994</v>
      </c>
    </row>
    <row r="393" spans="1:12" x14ac:dyDescent="0.25">
      <c r="A393" s="1" t="s">
        <v>956</v>
      </c>
      <c r="B393" s="1">
        <v>2022</v>
      </c>
      <c r="C393" s="7">
        <v>44825</v>
      </c>
      <c r="D393" s="1" t="s">
        <v>620</v>
      </c>
      <c r="E393" s="1" t="s">
        <v>621</v>
      </c>
      <c r="F393" s="1" t="s">
        <v>15</v>
      </c>
      <c r="G393" s="1" t="s">
        <v>779</v>
      </c>
      <c r="H393" s="1" t="s">
        <v>622</v>
      </c>
      <c r="I393" s="1" t="s">
        <v>26</v>
      </c>
      <c r="J393" s="1">
        <v>246.38400000000001</v>
      </c>
      <c r="K393" s="1">
        <v>2</v>
      </c>
      <c r="L393" s="5">
        <f t="shared" si="6"/>
        <v>492.76800000000003</v>
      </c>
    </row>
    <row r="394" spans="1:12" x14ac:dyDescent="0.25">
      <c r="A394" s="1" t="s">
        <v>956</v>
      </c>
      <c r="B394" s="1">
        <v>2022</v>
      </c>
      <c r="C394" s="7">
        <v>44825</v>
      </c>
      <c r="D394" s="1" t="s">
        <v>620</v>
      </c>
      <c r="E394" s="1" t="s">
        <v>621</v>
      </c>
      <c r="F394" s="1" t="s">
        <v>15</v>
      </c>
      <c r="G394" s="1" t="s">
        <v>779</v>
      </c>
      <c r="H394" s="1" t="s">
        <v>623</v>
      </c>
      <c r="I394" s="1" t="s">
        <v>26</v>
      </c>
      <c r="J394" s="1">
        <v>1799.97</v>
      </c>
      <c r="K394" s="1">
        <v>3</v>
      </c>
      <c r="L394" s="5">
        <f t="shared" si="6"/>
        <v>5399.91</v>
      </c>
    </row>
    <row r="395" spans="1:12" x14ac:dyDescent="0.25">
      <c r="A395" s="1" t="s">
        <v>957</v>
      </c>
      <c r="B395" s="1">
        <v>2022</v>
      </c>
      <c r="C395" s="7">
        <v>44719</v>
      </c>
      <c r="D395" s="1" t="s">
        <v>624</v>
      </c>
      <c r="E395" s="1" t="s">
        <v>625</v>
      </c>
      <c r="F395" s="1" t="s">
        <v>39</v>
      </c>
      <c r="G395" s="1" t="s">
        <v>785</v>
      </c>
      <c r="H395" s="1" t="s">
        <v>626</v>
      </c>
      <c r="I395" s="1" t="s">
        <v>17</v>
      </c>
      <c r="J395" s="1">
        <v>12.461999999999996</v>
      </c>
      <c r="K395" s="1">
        <v>3</v>
      </c>
      <c r="L395" s="5">
        <f t="shared" si="6"/>
        <v>37.385999999999989</v>
      </c>
    </row>
    <row r="396" spans="1:12" x14ac:dyDescent="0.25">
      <c r="A396" s="1" t="s">
        <v>958</v>
      </c>
      <c r="B396" s="1">
        <v>2023</v>
      </c>
      <c r="C396" s="7">
        <v>45107</v>
      </c>
      <c r="D396" s="1" t="s">
        <v>627</v>
      </c>
      <c r="E396" s="1" t="s">
        <v>628</v>
      </c>
      <c r="F396" s="1" t="s">
        <v>15</v>
      </c>
      <c r="G396" s="1" t="s">
        <v>779</v>
      </c>
      <c r="H396" s="1" t="s">
        <v>629</v>
      </c>
      <c r="I396" s="1" t="s">
        <v>17</v>
      </c>
      <c r="J396" s="1">
        <v>75.792000000000002</v>
      </c>
      <c r="K396" s="1">
        <v>3</v>
      </c>
      <c r="L396" s="5">
        <f t="shared" si="6"/>
        <v>227.376</v>
      </c>
    </row>
    <row r="397" spans="1:12" x14ac:dyDescent="0.25">
      <c r="A397" s="1" t="s">
        <v>959</v>
      </c>
      <c r="B397" s="1">
        <v>2023</v>
      </c>
      <c r="C397" s="7">
        <v>45216</v>
      </c>
      <c r="D397" s="1" t="s">
        <v>630</v>
      </c>
      <c r="E397" s="1" t="s">
        <v>631</v>
      </c>
      <c r="F397" s="1" t="s">
        <v>59</v>
      </c>
      <c r="G397" s="1" t="s">
        <v>774</v>
      </c>
      <c r="H397" s="1" t="s">
        <v>632</v>
      </c>
      <c r="I397" s="1" t="s">
        <v>17</v>
      </c>
      <c r="J397" s="1">
        <v>49.96</v>
      </c>
      <c r="K397" s="1">
        <v>2</v>
      </c>
      <c r="L397" s="5">
        <f t="shared" si="6"/>
        <v>99.92</v>
      </c>
    </row>
    <row r="398" spans="1:12" x14ac:dyDescent="0.25">
      <c r="A398" s="1" t="s">
        <v>959</v>
      </c>
      <c r="B398" s="1">
        <v>2023</v>
      </c>
      <c r="C398" s="7">
        <v>45216</v>
      </c>
      <c r="D398" s="1" t="s">
        <v>630</v>
      </c>
      <c r="E398" s="1" t="s">
        <v>631</v>
      </c>
      <c r="F398" s="1" t="s">
        <v>59</v>
      </c>
      <c r="G398" s="1" t="s">
        <v>774</v>
      </c>
      <c r="H398" s="1" t="s">
        <v>633</v>
      </c>
      <c r="I398" s="1" t="s">
        <v>17</v>
      </c>
      <c r="J398" s="1">
        <v>12.96</v>
      </c>
      <c r="K398" s="1">
        <v>2</v>
      </c>
      <c r="L398" s="5">
        <f t="shared" si="6"/>
        <v>25.92</v>
      </c>
    </row>
    <row r="399" spans="1:12" x14ac:dyDescent="0.25">
      <c r="A399" s="1" t="s">
        <v>960</v>
      </c>
      <c r="B399" s="1">
        <v>2022</v>
      </c>
      <c r="C399" s="7">
        <v>44865</v>
      </c>
      <c r="D399" s="1" t="s">
        <v>37</v>
      </c>
      <c r="E399" s="1" t="s">
        <v>140</v>
      </c>
      <c r="F399" s="1" t="s">
        <v>39</v>
      </c>
      <c r="G399" s="1" t="s">
        <v>785</v>
      </c>
      <c r="H399" s="1" t="s">
        <v>634</v>
      </c>
      <c r="I399" s="1" t="s">
        <v>17</v>
      </c>
      <c r="J399" s="1">
        <v>70.12</v>
      </c>
      <c r="K399" s="1">
        <v>4</v>
      </c>
      <c r="L399" s="5">
        <f t="shared" si="6"/>
        <v>280.48</v>
      </c>
    </row>
    <row r="400" spans="1:12" x14ac:dyDescent="0.25">
      <c r="A400" s="1" t="s">
        <v>961</v>
      </c>
      <c r="B400" s="1">
        <v>2023</v>
      </c>
      <c r="C400" s="7">
        <v>45177</v>
      </c>
      <c r="D400" s="1" t="s">
        <v>635</v>
      </c>
      <c r="E400" s="1" t="s">
        <v>75</v>
      </c>
      <c r="F400" s="1" t="s">
        <v>39</v>
      </c>
      <c r="G400" s="1" t="s">
        <v>785</v>
      </c>
      <c r="H400" s="1" t="s">
        <v>636</v>
      </c>
      <c r="I400" s="1" t="s">
        <v>17</v>
      </c>
      <c r="J400" s="1">
        <v>35.952000000000005</v>
      </c>
      <c r="K400" s="1">
        <v>3</v>
      </c>
      <c r="L400" s="5">
        <f t="shared" si="6"/>
        <v>107.85600000000002</v>
      </c>
    </row>
    <row r="401" spans="1:12" x14ac:dyDescent="0.25">
      <c r="A401" s="1" t="s">
        <v>961</v>
      </c>
      <c r="B401" s="1">
        <v>2023</v>
      </c>
      <c r="C401" s="7">
        <v>45177</v>
      </c>
      <c r="D401" s="1" t="s">
        <v>635</v>
      </c>
      <c r="E401" s="1" t="s">
        <v>75</v>
      </c>
      <c r="F401" s="1" t="s">
        <v>39</v>
      </c>
      <c r="G401" s="1" t="s">
        <v>785</v>
      </c>
      <c r="H401" s="1" t="s">
        <v>67</v>
      </c>
      <c r="I401" s="1" t="s">
        <v>11</v>
      </c>
      <c r="J401" s="1">
        <v>2396.2655999999997</v>
      </c>
      <c r="K401" s="1">
        <v>4</v>
      </c>
      <c r="L401" s="5">
        <f t="shared" si="6"/>
        <v>9585.0623999999989</v>
      </c>
    </row>
    <row r="402" spans="1:12" x14ac:dyDescent="0.25">
      <c r="A402" s="1" t="s">
        <v>961</v>
      </c>
      <c r="B402" s="1">
        <v>2023</v>
      </c>
      <c r="C402" s="7">
        <v>45177</v>
      </c>
      <c r="D402" s="1" t="s">
        <v>635</v>
      </c>
      <c r="E402" s="1" t="s">
        <v>75</v>
      </c>
      <c r="F402" s="1" t="s">
        <v>39</v>
      </c>
      <c r="G402" s="1" t="s">
        <v>785</v>
      </c>
      <c r="H402" s="1" t="s">
        <v>637</v>
      </c>
      <c r="I402" s="1" t="s">
        <v>17</v>
      </c>
      <c r="J402" s="1">
        <v>131.136</v>
      </c>
      <c r="K402" s="1">
        <v>4</v>
      </c>
      <c r="L402" s="5">
        <f t="shared" si="6"/>
        <v>524.54399999999998</v>
      </c>
    </row>
    <row r="403" spans="1:12" x14ac:dyDescent="0.25">
      <c r="A403" s="1" t="s">
        <v>961</v>
      </c>
      <c r="B403" s="1">
        <v>2023</v>
      </c>
      <c r="C403" s="7">
        <v>45177</v>
      </c>
      <c r="D403" s="1" t="s">
        <v>635</v>
      </c>
      <c r="E403" s="1" t="s">
        <v>75</v>
      </c>
      <c r="F403" s="1" t="s">
        <v>39</v>
      </c>
      <c r="G403" s="1" t="s">
        <v>785</v>
      </c>
      <c r="H403" s="1" t="s">
        <v>638</v>
      </c>
      <c r="I403" s="1" t="s">
        <v>26</v>
      </c>
      <c r="J403" s="1">
        <v>57.584000000000003</v>
      </c>
      <c r="K403" s="1">
        <v>2</v>
      </c>
      <c r="L403" s="5">
        <f t="shared" si="6"/>
        <v>115.16800000000001</v>
      </c>
    </row>
    <row r="404" spans="1:12" x14ac:dyDescent="0.25">
      <c r="A404" s="1" t="s">
        <v>962</v>
      </c>
      <c r="B404" s="1">
        <v>2022</v>
      </c>
      <c r="C404" s="7">
        <v>44919</v>
      </c>
      <c r="D404" s="1" t="s">
        <v>639</v>
      </c>
      <c r="E404" s="1" t="s">
        <v>640</v>
      </c>
      <c r="F404" s="1" t="s">
        <v>9</v>
      </c>
      <c r="G404" s="1" t="s">
        <v>344</v>
      </c>
      <c r="H404" s="1" t="s">
        <v>641</v>
      </c>
      <c r="I404" s="1" t="s">
        <v>17</v>
      </c>
      <c r="J404" s="1">
        <v>9.5680000000000014</v>
      </c>
      <c r="K404" s="1">
        <v>2</v>
      </c>
      <c r="L404" s="5">
        <f t="shared" si="6"/>
        <v>19.136000000000003</v>
      </c>
    </row>
    <row r="405" spans="1:12" x14ac:dyDescent="0.25">
      <c r="A405" s="1" t="s">
        <v>963</v>
      </c>
      <c r="B405" s="1">
        <v>2022</v>
      </c>
      <c r="C405" s="7">
        <v>44667</v>
      </c>
      <c r="D405" s="1" t="s">
        <v>277</v>
      </c>
      <c r="E405" s="1" t="s">
        <v>227</v>
      </c>
      <c r="F405" s="1" t="s">
        <v>9</v>
      </c>
      <c r="G405" s="1" t="s">
        <v>344</v>
      </c>
      <c r="H405" s="1" t="s">
        <v>642</v>
      </c>
      <c r="I405" s="1" t="s">
        <v>17</v>
      </c>
      <c r="J405" s="1">
        <v>39.072000000000003</v>
      </c>
      <c r="K405" s="1">
        <v>6</v>
      </c>
      <c r="L405" s="5">
        <f t="shared" si="6"/>
        <v>234.43200000000002</v>
      </c>
    </row>
    <row r="406" spans="1:12" x14ac:dyDescent="0.25">
      <c r="A406" s="1" t="s">
        <v>964</v>
      </c>
      <c r="B406" s="1">
        <v>2023</v>
      </c>
      <c r="C406" s="7">
        <v>45284</v>
      </c>
      <c r="D406" s="1" t="s">
        <v>643</v>
      </c>
      <c r="E406" s="1" t="s">
        <v>112</v>
      </c>
      <c r="F406" s="1" t="s">
        <v>59</v>
      </c>
      <c r="G406" s="1" t="s">
        <v>774</v>
      </c>
      <c r="H406" s="1" t="s">
        <v>644</v>
      </c>
      <c r="I406" s="1" t="s">
        <v>17</v>
      </c>
      <c r="J406" s="1">
        <v>35.910000000000004</v>
      </c>
      <c r="K406" s="1">
        <v>3</v>
      </c>
      <c r="L406" s="5">
        <f t="shared" si="6"/>
        <v>107.73000000000002</v>
      </c>
    </row>
    <row r="407" spans="1:12" x14ac:dyDescent="0.25">
      <c r="A407" s="1" t="s">
        <v>965</v>
      </c>
      <c r="B407" s="1">
        <v>2023</v>
      </c>
      <c r="C407" s="7">
        <v>45268</v>
      </c>
      <c r="D407" s="1" t="s">
        <v>645</v>
      </c>
      <c r="E407" s="1" t="s">
        <v>49</v>
      </c>
      <c r="F407" s="1" t="s">
        <v>15</v>
      </c>
      <c r="G407" s="1" t="s">
        <v>779</v>
      </c>
      <c r="H407" s="1" t="s">
        <v>638</v>
      </c>
      <c r="I407" s="1" t="s">
        <v>26</v>
      </c>
      <c r="J407" s="1">
        <v>179.95000000000002</v>
      </c>
      <c r="K407" s="1">
        <v>5</v>
      </c>
      <c r="L407" s="5">
        <f t="shared" si="6"/>
        <v>899.75000000000011</v>
      </c>
    </row>
    <row r="408" spans="1:12" x14ac:dyDescent="0.25">
      <c r="A408" s="1" t="s">
        <v>965</v>
      </c>
      <c r="B408" s="1">
        <v>2023</v>
      </c>
      <c r="C408" s="7">
        <v>45268</v>
      </c>
      <c r="D408" s="1" t="s">
        <v>645</v>
      </c>
      <c r="E408" s="1" t="s">
        <v>49</v>
      </c>
      <c r="F408" s="1" t="s">
        <v>15</v>
      </c>
      <c r="G408" s="1" t="s">
        <v>779</v>
      </c>
      <c r="H408" s="1" t="s">
        <v>646</v>
      </c>
      <c r="I408" s="1" t="s">
        <v>26</v>
      </c>
      <c r="J408" s="1">
        <v>1199.9760000000001</v>
      </c>
      <c r="K408" s="1">
        <v>3</v>
      </c>
      <c r="L408" s="5">
        <f t="shared" si="6"/>
        <v>3599.9280000000003</v>
      </c>
    </row>
    <row r="409" spans="1:12" x14ac:dyDescent="0.25">
      <c r="A409" s="1" t="s">
        <v>965</v>
      </c>
      <c r="B409" s="1">
        <v>2023</v>
      </c>
      <c r="C409" s="7">
        <v>45268</v>
      </c>
      <c r="D409" s="1" t="s">
        <v>645</v>
      </c>
      <c r="E409" s="1" t="s">
        <v>49</v>
      </c>
      <c r="F409" s="1" t="s">
        <v>15</v>
      </c>
      <c r="G409" s="1" t="s">
        <v>779</v>
      </c>
      <c r="H409" s="1" t="s">
        <v>647</v>
      </c>
      <c r="I409" s="1" t="s">
        <v>17</v>
      </c>
      <c r="J409" s="1">
        <v>27.15</v>
      </c>
      <c r="K409" s="1">
        <v>5</v>
      </c>
      <c r="L409" s="5">
        <f t="shared" si="6"/>
        <v>135.75</v>
      </c>
    </row>
    <row r="410" spans="1:12" x14ac:dyDescent="0.25">
      <c r="A410" s="1" t="s">
        <v>965</v>
      </c>
      <c r="B410" s="1">
        <v>2023</v>
      </c>
      <c r="C410" s="7">
        <v>45268</v>
      </c>
      <c r="D410" s="1" t="s">
        <v>645</v>
      </c>
      <c r="E410" s="1" t="s">
        <v>49</v>
      </c>
      <c r="F410" s="1" t="s">
        <v>15</v>
      </c>
      <c r="G410" s="1" t="s">
        <v>779</v>
      </c>
      <c r="H410" s="1" t="s">
        <v>648</v>
      </c>
      <c r="I410" s="1" t="s">
        <v>11</v>
      </c>
      <c r="J410" s="1">
        <v>1004.0239999999999</v>
      </c>
      <c r="K410" s="1">
        <v>7</v>
      </c>
      <c r="L410" s="5">
        <f t="shared" si="6"/>
        <v>7028.1679999999997</v>
      </c>
    </row>
    <row r="411" spans="1:12" x14ac:dyDescent="0.25">
      <c r="A411" s="1" t="s">
        <v>965</v>
      </c>
      <c r="B411" s="1">
        <v>2023</v>
      </c>
      <c r="C411" s="7">
        <v>45268</v>
      </c>
      <c r="D411" s="1" t="s">
        <v>645</v>
      </c>
      <c r="E411" s="1" t="s">
        <v>49</v>
      </c>
      <c r="F411" s="1" t="s">
        <v>15</v>
      </c>
      <c r="G411" s="1" t="s">
        <v>779</v>
      </c>
      <c r="H411" s="1" t="s">
        <v>649</v>
      </c>
      <c r="I411" s="1" t="s">
        <v>17</v>
      </c>
      <c r="J411" s="1">
        <v>9.68</v>
      </c>
      <c r="K411" s="1">
        <v>1</v>
      </c>
      <c r="L411" s="5">
        <f t="shared" si="6"/>
        <v>9.68</v>
      </c>
    </row>
    <row r="412" spans="1:12" x14ac:dyDescent="0.25">
      <c r="A412" s="1" t="s">
        <v>965</v>
      </c>
      <c r="B412" s="1">
        <v>2023</v>
      </c>
      <c r="C412" s="7">
        <v>45268</v>
      </c>
      <c r="D412" s="1" t="s">
        <v>645</v>
      </c>
      <c r="E412" s="1" t="s">
        <v>49</v>
      </c>
      <c r="F412" s="1" t="s">
        <v>15</v>
      </c>
      <c r="G412" s="1" t="s">
        <v>779</v>
      </c>
      <c r="H412" s="1" t="s">
        <v>650</v>
      </c>
      <c r="I412" s="1" t="s">
        <v>17</v>
      </c>
      <c r="J412" s="1">
        <v>28.349999999999998</v>
      </c>
      <c r="K412" s="1">
        <v>9</v>
      </c>
      <c r="L412" s="5">
        <f t="shared" si="6"/>
        <v>255.14999999999998</v>
      </c>
    </row>
    <row r="413" spans="1:12" x14ac:dyDescent="0.25">
      <c r="A413" s="1" t="s">
        <v>965</v>
      </c>
      <c r="B413" s="1">
        <v>2023</v>
      </c>
      <c r="C413" s="7">
        <v>45268</v>
      </c>
      <c r="D413" s="1" t="s">
        <v>645</v>
      </c>
      <c r="E413" s="1" t="s">
        <v>49</v>
      </c>
      <c r="F413" s="1" t="s">
        <v>15</v>
      </c>
      <c r="G413" s="1" t="s">
        <v>779</v>
      </c>
      <c r="H413" s="1" t="s">
        <v>565</v>
      </c>
      <c r="I413" s="1" t="s">
        <v>17</v>
      </c>
      <c r="J413" s="1">
        <v>55.98</v>
      </c>
      <c r="K413" s="1">
        <v>1</v>
      </c>
      <c r="L413" s="5">
        <f t="shared" si="6"/>
        <v>55.98</v>
      </c>
    </row>
    <row r="414" spans="1:12" x14ac:dyDescent="0.25">
      <c r="A414" s="1" t="s">
        <v>965</v>
      </c>
      <c r="B414" s="1">
        <v>2023</v>
      </c>
      <c r="C414" s="7">
        <v>45268</v>
      </c>
      <c r="D414" s="1" t="s">
        <v>645</v>
      </c>
      <c r="E414" s="1" t="s">
        <v>49</v>
      </c>
      <c r="F414" s="1" t="s">
        <v>15</v>
      </c>
      <c r="G414" s="1" t="s">
        <v>779</v>
      </c>
      <c r="H414" s="1" t="s">
        <v>651</v>
      </c>
      <c r="I414" s="1" t="s">
        <v>11</v>
      </c>
      <c r="J414" s="1">
        <v>1336.829</v>
      </c>
      <c r="K414" s="1">
        <v>13</v>
      </c>
      <c r="L414" s="5">
        <f t="shared" si="6"/>
        <v>17378.776999999998</v>
      </c>
    </row>
    <row r="415" spans="1:12" x14ac:dyDescent="0.25">
      <c r="A415" s="1" t="s">
        <v>965</v>
      </c>
      <c r="B415" s="1">
        <v>2023</v>
      </c>
      <c r="C415" s="7">
        <v>45268</v>
      </c>
      <c r="D415" s="1" t="s">
        <v>645</v>
      </c>
      <c r="E415" s="1" t="s">
        <v>49</v>
      </c>
      <c r="F415" s="1" t="s">
        <v>15</v>
      </c>
      <c r="G415" s="1" t="s">
        <v>779</v>
      </c>
      <c r="H415" s="1" t="s">
        <v>652</v>
      </c>
      <c r="I415" s="1" t="s">
        <v>11</v>
      </c>
      <c r="J415" s="1">
        <v>113.56800000000001</v>
      </c>
      <c r="K415" s="1">
        <v>2</v>
      </c>
      <c r="L415" s="5">
        <f t="shared" si="6"/>
        <v>227.13600000000002</v>
      </c>
    </row>
    <row r="416" spans="1:12" x14ac:dyDescent="0.25">
      <c r="A416" s="1" t="s">
        <v>966</v>
      </c>
      <c r="B416" s="1">
        <v>2023</v>
      </c>
      <c r="C416" s="7">
        <v>45233</v>
      </c>
      <c r="D416" s="1" t="s">
        <v>653</v>
      </c>
      <c r="E416" s="1" t="s">
        <v>35</v>
      </c>
      <c r="F416" s="1" t="s">
        <v>15</v>
      </c>
      <c r="G416" s="1" t="s">
        <v>779</v>
      </c>
      <c r="H416" s="1" t="s">
        <v>654</v>
      </c>
      <c r="I416" s="1" t="s">
        <v>17</v>
      </c>
      <c r="J416" s="1">
        <v>139.86000000000001</v>
      </c>
      <c r="K416" s="1">
        <v>7</v>
      </c>
      <c r="L416" s="5">
        <f t="shared" si="6"/>
        <v>979.0200000000001</v>
      </c>
    </row>
    <row r="417" spans="1:12" x14ac:dyDescent="0.25">
      <c r="A417" s="1" t="s">
        <v>966</v>
      </c>
      <c r="B417" s="1">
        <v>2023</v>
      </c>
      <c r="C417" s="7">
        <v>45233</v>
      </c>
      <c r="D417" s="1" t="s">
        <v>653</v>
      </c>
      <c r="E417" s="1" t="s">
        <v>35</v>
      </c>
      <c r="F417" s="1" t="s">
        <v>15</v>
      </c>
      <c r="G417" s="1" t="s">
        <v>779</v>
      </c>
      <c r="H417" s="1" t="s">
        <v>488</v>
      </c>
      <c r="I417" s="1" t="s">
        <v>11</v>
      </c>
      <c r="J417" s="1">
        <v>307.13600000000002</v>
      </c>
      <c r="K417" s="1">
        <v>4</v>
      </c>
      <c r="L417" s="5">
        <f t="shared" si="6"/>
        <v>1228.5440000000001</v>
      </c>
    </row>
    <row r="418" spans="1:12" x14ac:dyDescent="0.25">
      <c r="A418" s="1" t="s">
        <v>967</v>
      </c>
      <c r="B418" s="1">
        <v>2023</v>
      </c>
      <c r="C418" s="7">
        <v>45101</v>
      </c>
      <c r="D418" s="1" t="s">
        <v>655</v>
      </c>
      <c r="E418" s="1" t="s">
        <v>656</v>
      </c>
      <c r="F418" s="1" t="s">
        <v>15</v>
      </c>
      <c r="G418" s="1" t="s">
        <v>779</v>
      </c>
      <c r="H418" s="1" t="s">
        <v>657</v>
      </c>
      <c r="I418" s="1" t="s">
        <v>17</v>
      </c>
      <c r="J418" s="1">
        <v>95.92</v>
      </c>
      <c r="K418" s="1">
        <v>8</v>
      </c>
      <c r="L418" s="5">
        <f t="shared" si="6"/>
        <v>767.36</v>
      </c>
    </row>
    <row r="419" spans="1:12" x14ac:dyDescent="0.25">
      <c r="A419" s="1" t="s">
        <v>968</v>
      </c>
      <c r="B419" s="1">
        <v>2023</v>
      </c>
      <c r="C419" s="7">
        <v>45030</v>
      </c>
      <c r="D419" s="1" t="s">
        <v>658</v>
      </c>
      <c r="E419" s="1" t="s">
        <v>14</v>
      </c>
      <c r="F419" s="1" t="s">
        <v>15</v>
      </c>
      <c r="G419" s="1" t="s">
        <v>779</v>
      </c>
      <c r="H419" s="1" t="s">
        <v>659</v>
      </c>
      <c r="I419" s="1" t="s">
        <v>11</v>
      </c>
      <c r="J419" s="1">
        <v>383.8</v>
      </c>
      <c r="K419" s="1">
        <v>5</v>
      </c>
      <c r="L419" s="5">
        <f t="shared" si="6"/>
        <v>1919</v>
      </c>
    </row>
    <row r="420" spans="1:12" x14ac:dyDescent="0.25">
      <c r="A420" s="1" t="s">
        <v>969</v>
      </c>
      <c r="B420" s="1">
        <v>2023</v>
      </c>
      <c r="C420" s="7">
        <v>45236</v>
      </c>
      <c r="D420" s="1" t="s">
        <v>573</v>
      </c>
      <c r="E420" s="1" t="s">
        <v>660</v>
      </c>
      <c r="F420" s="1" t="s">
        <v>9</v>
      </c>
      <c r="G420" s="1" t="s">
        <v>344</v>
      </c>
      <c r="H420" s="1" t="s">
        <v>661</v>
      </c>
      <c r="I420" s="1" t="s">
        <v>17</v>
      </c>
      <c r="J420" s="1">
        <v>5.78</v>
      </c>
      <c r="K420" s="1">
        <v>1</v>
      </c>
      <c r="L420" s="5">
        <f t="shared" si="6"/>
        <v>5.78</v>
      </c>
    </row>
    <row r="421" spans="1:12" x14ac:dyDescent="0.25">
      <c r="A421" s="1" t="s">
        <v>970</v>
      </c>
      <c r="B421" s="1">
        <v>2023</v>
      </c>
      <c r="C421" s="7">
        <v>44989</v>
      </c>
      <c r="D421" s="1" t="s">
        <v>523</v>
      </c>
      <c r="E421" s="1" t="s">
        <v>14</v>
      </c>
      <c r="F421" s="1" t="s">
        <v>15</v>
      </c>
      <c r="G421" s="1" t="s">
        <v>779</v>
      </c>
      <c r="H421" s="1" t="s">
        <v>662</v>
      </c>
      <c r="I421" s="1" t="s">
        <v>17</v>
      </c>
      <c r="J421" s="1">
        <v>9.32</v>
      </c>
      <c r="K421" s="1">
        <v>4</v>
      </c>
      <c r="L421" s="5">
        <f t="shared" si="6"/>
        <v>37.28</v>
      </c>
    </row>
    <row r="422" spans="1:12" x14ac:dyDescent="0.25">
      <c r="A422" s="1" t="s">
        <v>970</v>
      </c>
      <c r="B422" s="1">
        <v>2023</v>
      </c>
      <c r="C422" s="7">
        <v>44989</v>
      </c>
      <c r="D422" s="1" t="s">
        <v>523</v>
      </c>
      <c r="E422" s="1" t="s">
        <v>14</v>
      </c>
      <c r="F422" s="1" t="s">
        <v>15</v>
      </c>
      <c r="G422" s="1" t="s">
        <v>779</v>
      </c>
      <c r="H422" s="1" t="s">
        <v>663</v>
      </c>
      <c r="I422" s="1" t="s">
        <v>17</v>
      </c>
      <c r="J422" s="1">
        <v>15.25</v>
      </c>
      <c r="K422" s="1">
        <v>1</v>
      </c>
      <c r="L422" s="5">
        <f t="shared" si="6"/>
        <v>15.25</v>
      </c>
    </row>
    <row r="423" spans="1:12" x14ac:dyDescent="0.25">
      <c r="A423" s="1" t="s">
        <v>971</v>
      </c>
      <c r="B423" s="1">
        <v>2022</v>
      </c>
      <c r="C423" s="7">
        <v>44734</v>
      </c>
      <c r="D423" s="1" t="s">
        <v>142</v>
      </c>
      <c r="E423" s="1" t="s">
        <v>664</v>
      </c>
      <c r="F423" s="1" t="s">
        <v>15</v>
      </c>
      <c r="G423" s="1" t="s">
        <v>779</v>
      </c>
      <c r="H423" s="1" t="s">
        <v>665</v>
      </c>
      <c r="I423" s="1" t="s">
        <v>26</v>
      </c>
      <c r="J423" s="1">
        <v>196.75200000000001</v>
      </c>
      <c r="K423" s="1">
        <v>6</v>
      </c>
      <c r="L423" s="5">
        <f t="shared" si="6"/>
        <v>1180.5120000000002</v>
      </c>
    </row>
    <row r="424" spans="1:12" x14ac:dyDescent="0.25">
      <c r="A424" s="1" t="s">
        <v>972</v>
      </c>
      <c r="B424" s="1">
        <v>2023</v>
      </c>
      <c r="C424" s="7">
        <v>45218</v>
      </c>
      <c r="D424" s="1" t="s">
        <v>666</v>
      </c>
      <c r="E424" s="1" t="s">
        <v>667</v>
      </c>
      <c r="F424" s="1" t="s">
        <v>59</v>
      </c>
      <c r="G424" s="1" t="s">
        <v>774</v>
      </c>
      <c r="H424" s="1" t="s">
        <v>668</v>
      </c>
      <c r="I424" s="1" t="s">
        <v>11</v>
      </c>
      <c r="J424" s="1">
        <v>56.56</v>
      </c>
      <c r="K424" s="1">
        <v>4</v>
      </c>
      <c r="L424" s="5">
        <f t="shared" si="6"/>
        <v>226.24</v>
      </c>
    </row>
    <row r="425" spans="1:12" x14ac:dyDescent="0.25">
      <c r="A425" s="1" t="s">
        <v>972</v>
      </c>
      <c r="B425" s="1">
        <v>2023</v>
      </c>
      <c r="C425" s="7">
        <v>45218</v>
      </c>
      <c r="D425" s="1" t="s">
        <v>666</v>
      </c>
      <c r="E425" s="1" t="s">
        <v>667</v>
      </c>
      <c r="F425" s="1" t="s">
        <v>59</v>
      </c>
      <c r="G425" s="1" t="s">
        <v>774</v>
      </c>
      <c r="H425" s="1" t="s">
        <v>669</v>
      </c>
      <c r="I425" s="1" t="s">
        <v>17</v>
      </c>
      <c r="J425" s="1">
        <v>32.700000000000003</v>
      </c>
      <c r="K425" s="1">
        <v>3</v>
      </c>
      <c r="L425" s="5">
        <f t="shared" si="6"/>
        <v>98.100000000000009</v>
      </c>
    </row>
    <row r="426" spans="1:12" x14ac:dyDescent="0.25">
      <c r="A426" s="1" t="s">
        <v>973</v>
      </c>
      <c r="B426" s="1">
        <v>2023</v>
      </c>
      <c r="C426" s="7">
        <v>45159</v>
      </c>
      <c r="D426" s="1" t="s">
        <v>670</v>
      </c>
      <c r="E426" s="1" t="s">
        <v>140</v>
      </c>
      <c r="F426" s="1" t="s">
        <v>9</v>
      </c>
      <c r="G426" s="1" t="s">
        <v>344</v>
      </c>
      <c r="H426" s="1" t="s">
        <v>671</v>
      </c>
      <c r="I426" s="1" t="s">
        <v>11</v>
      </c>
      <c r="J426" s="1">
        <v>866.4</v>
      </c>
      <c r="K426" s="1">
        <v>4</v>
      </c>
      <c r="L426" s="5">
        <f t="shared" si="6"/>
        <v>3465.6</v>
      </c>
    </row>
    <row r="427" spans="1:12" x14ac:dyDescent="0.25">
      <c r="A427" s="1" t="s">
        <v>974</v>
      </c>
      <c r="B427" s="1">
        <v>2023</v>
      </c>
      <c r="C427" s="7">
        <v>45253</v>
      </c>
      <c r="D427" s="1" t="s">
        <v>111</v>
      </c>
      <c r="E427" s="1" t="s">
        <v>672</v>
      </c>
      <c r="F427" s="1" t="s">
        <v>39</v>
      </c>
      <c r="G427" s="1" t="s">
        <v>785</v>
      </c>
      <c r="H427" s="1" t="s">
        <v>673</v>
      </c>
      <c r="I427" s="1" t="s">
        <v>11</v>
      </c>
      <c r="J427" s="1">
        <v>28.4</v>
      </c>
      <c r="K427" s="1">
        <v>2</v>
      </c>
      <c r="L427" s="5">
        <f t="shared" si="6"/>
        <v>56.8</v>
      </c>
    </row>
    <row r="428" spans="1:12" x14ac:dyDescent="0.25">
      <c r="A428" s="1" t="s">
        <v>974</v>
      </c>
      <c r="B428" s="1">
        <v>2023</v>
      </c>
      <c r="C428" s="7">
        <v>45253</v>
      </c>
      <c r="D428" s="1" t="s">
        <v>111</v>
      </c>
      <c r="E428" s="1" t="s">
        <v>672</v>
      </c>
      <c r="F428" s="1" t="s">
        <v>39</v>
      </c>
      <c r="G428" s="1" t="s">
        <v>785</v>
      </c>
      <c r="H428" s="1" t="s">
        <v>674</v>
      </c>
      <c r="I428" s="1" t="s">
        <v>17</v>
      </c>
      <c r="J428" s="1">
        <v>287.92</v>
      </c>
      <c r="K428" s="1">
        <v>8</v>
      </c>
      <c r="L428" s="5">
        <f t="shared" si="6"/>
        <v>2303.36</v>
      </c>
    </row>
    <row r="429" spans="1:12" x14ac:dyDescent="0.25">
      <c r="A429" s="1" t="s">
        <v>975</v>
      </c>
      <c r="B429" s="1">
        <v>2022</v>
      </c>
      <c r="C429" s="7">
        <v>44816</v>
      </c>
      <c r="D429" s="1" t="s">
        <v>675</v>
      </c>
      <c r="E429" s="1" t="s">
        <v>676</v>
      </c>
      <c r="F429" s="1" t="s">
        <v>59</v>
      </c>
      <c r="G429" s="1" t="s">
        <v>774</v>
      </c>
      <c r="H429" s="1" t="s">
        <v>677</v>
      </c>
      <c r="I429" s="1" t="s">
        <v>26</v>
      </c>
      <c r="J429" s="1">
        <v>69.989999999999995</v>
      </c>
      <c r="K429" s="1">
        <v>1</v>
      </c>
      <c r="L429" s="5">
        <f t="shared" si="6"/>
        <v>69.989999999999995</v>
      </c>
    </row>
    <row r="430" spans="1:12" x14ac:dyDescent="0.25">
      <c r="A430" s="1" t="s">
        <v>976</v>
      </c>
      <c r="B430" s="1">
        <v>2023</v>
      </c>
      <c r="C430" s="7">
        <v>45200</v>
      </c>
      <c r="D430" s="1" t="s">
        <v>678</v>
      </c>
      <c r="E430" s="1" t="s">
        <v>299</v>
      </c>
      <c r="F430" s="1" t="s">
        <v>39</v>
      </c>
      <c r="G430" s="1" t="s">
        <v>785</v>
      </c>
      <c r="H430" s="1" t="s">
        <v>679</v>
      </c>
      <c r="I430" s="1" t="s">
        <v>17</v>
      </c>
      <c r="J430" s="1">
        <v>6.6719999999999988</v>
      </c>
      <c r="K430" s="1">
        <v>6</v>
      </c>
      <c r="L430" s="5">
        <f t="shared" si="6"/>
        <v>40.031999999999996</v>
      </c>
    </row>
    <row r="431" spans="1:12" x14ac:dyDescent="0.25">
      <c r="A431" s="1" t="s">
        <v>977</v>
      </c>
      <c r="B431" s="1">
        <v>2023</v>
      </c>
      <c r="C431" s="7">
        <v>45031</v>
      </c>
      <c r="D431" s="1" t="s">
        <v>680</v>
      </c>
      <c r="E431" s="1" t="s">
        <v>681</v>
      </c>
      <c r="F431" s="1" t="s">
        <v>9</v>
      </c>
      <c r="G431" s="1" t="s">
        <v>344</v>
      </c>
      <c r="H431" s="1" t="s">
        <v>682</v>
      </c>
      <c r="I431" s="1" t="s">
        <v>17</v>
      </c>
      <c r="J431" s="1">
        <v>189.58800000000005</v>
      </c>
      <c r="K431" s="1">
        <v>2</v>
      </c>
      <c r="L431" s="5">
        <f t="shared" si="6"/>
        <v>379.1760000000001</v>
      </c>
    </row>
    <row r="432" spans="1:12" x14ac:dyDescent="0.25">
      <c r="A432" s="1" t="s">
        <v>977</v>
      </c>
      <c r="B432" s="1">
        <v>2023</v>
      </c>
      <c r="C432" s="7">
        <v>45031</v>
      </c>
      <c r="D432" s="1" t="s">
        <v>680</v>
      </c>
      <c r="E432" s="1" t="s">
        <v>681</v>
      </c>
      <c r="F432" s="1" t="s">
        <v>9</v>
      </c>
      <c r="G432" s="1" t="s">
        <v>344</v>
      </c>
      <c r="H432" s="1" t="s">
        <v>322</v>
      </c>
      <c r="I432" s="1" t="s">
        <v>26</v>
      </c>
      <c r="J432" s="1">
        <v>408.74399999999997</v>
      </c>
      <c r="K432" s="1">
        <v>7</v>
      </c>
      <c r="L432" s="5">
        <f t="shared" si="6"/>
        <v>2861.2079999999996</v>
      </c>
    </row>
    <row r="433" spans="1:12" x14ac:dyDescent="0.25">
      <c r="A433" s="1" t="s">
        <v>977</v>
      </c>
      <c r="B433" s="1">
        <v>2023</v>
      </c>
      <c r="C433" s="7">
        <v>45031</v>
      </c>
      <c r="D433" s="1" t="s">
        <v>680</v>
      </c>
      <c r="E433" s="1" t="s">
        <v>681</v>
      </c>
      <c r="F433" s="1" t="s">
        <v>9</v>
      </c>
      <c r="G433" s="1" t="s">
        <v>344</v>
      </c>
      <c r="H433" s="1" t="s">
        <v>322</v>
      </c>
      <c r="I433" s="1" t="s">
        <v>26</v>
      </c>
      <c r="J433" s="1">
        <v>291.95999999999998</v>
      </c>
      <c r="K433" s="1">
        <v>5</v>
      </c>
      <c r="L433" s="5">
        <f t="shared" si="6"/>
        <v>1459.8</v>
      </c>
    </row>
    <row r="434" spans="1:12" x14ac:dyDescent="0.25">
      <c r="A434" s="1" t="s">
        <v>977</v>
      </c>
      <c r="B434" s="1">
        <v>2023</v>
      </c>
      <c r="C434" s="7">
        <v>45031</v>
      </c>
      <c r="D434" s="1" t="s">
        <v>680</v>
      </c>
      <c r="E434" s="1" t="s">
        <v>681</v>
      </c>
      <c r="F434" s="1" t="s">
        <v>9</v>
      </c>
      <c r="G434" s="1" t="s">
        <v>344</v>
      </c>
      <c r="H434" s="1" t="s">
        <v>683</v>
      </c>
      <c r="I434" s="1" t="s">
        <v>17</v>
      </c>
      <c r="J434" s="1">
        <v>4.7679999999999998</v>
      </c>
      <c r="K434" s="1">
        <v>2</v>
      </c>
      <c r="L434" s="5">
        <f t="shared" si="6"/>
        <v>9.5359999999999996</v>
      </c>
    </row>
    <row r="435" spans="1:12" x14ac:dyDescent="0.25">
      <c r="A435" s="1" t="s">
        <v>978</v>
      </c>
      <c r="B435" s="1">
        <v>2023</v>
      </c>
      <c r="C435" s="7">
        <v>45083</v>
      </c>
      <c r="D435" s="1" t="s">
        <v>284</v>
      </c>
      <c r="E435" s="1" t="s">
        <v>562</v>
      </c>
      <c r="F435" s="1" t="s">
        <v>59</v>
      </c>
      <c r="G435" s="1" t="s">
        <v>774</v>
      </c>
      <c r="H435" s="1" t="s">
        <v>684</v>
      </c>
      <c r="I435" s="1" t="s">
        <v>17</v>
      </c>
      <c r="J435" s="1">
        <v>714.30000000000007</v>
      </c>
      <c r="K435" s="1">
        <v>5</v>
      </c>
      <c r="L435" s="5">
        <f t="shared" si="6"/>
        <v>3571.5000000000005</v>
      </c>
    </row>
    <row r="436" spans="1:12" x14ac:dyDescent="0.25">
      <c r="A436" s="1" t="s">
        <v>979</v>
      </c>
      <c r="B436" s="1">
        <v>2022</v>
      </c>
      <c r="C436" s="7">
        <v>44914</v>
      </c>
      <c r="D436" s="1" t="s">
        <v>685</v>
      </c>
      <c r="E436" s="1" t="s">
        <v>686</v>
      </c>
      <c r="F436" s="1" t="s">
        <v>9</v>
      </c>
      <c r="G436" s="1" t="s">
        <v>344</v>
      </c>
      <c r="H436" s="1" t="s">
        <v>687</v>
      </c>
      <c r="I436" s="1" t="s">
        <v>17</v>
      </c>
      <c r="J436" s="1">
        <v>4.8120000000000003</v>
      </c>
      <c r="K436" s="1">
        <v>2</v>
      </c>
      <c r="L436" s="5">
        <f t="shared" si="6"/>
        <v>9.6240000000000006</v>
      </c>
    </row>
    <row r="437" spans="1:12" x14ac:dyDescent="0.25">
      <c r="A437" s="1" t="s">
        <v>979</v>
      </c>
      <c r="B437" s="1">
        <v>2022</v>
      </c>
      <c r="C437" s="7">
        <v>44914</v>
      </c>
      <c r="D437" s="1" t="s">
        <v>685</v>
      </c>
      <c r="E437" s="1" t="s">
        <v>686</v>
      </c>
      <c r="F437" s="1" t="s">
        <v>9</v>
      </c>
      <c r="G437" s="1" t="s">
        <v>344</v>
      </c>
      <c r="H437" s="1" t="s">
        <v>688</v>
      </c>
      <c r="I437" s="1" t="s">
        <v>26</v>
      </c>
      <c r="J437" s="1">
        <v>247.8</v>
      </c>
      <c r="K437" s="1">
        <v>5</v>
      </c>
      <c r="L437" s="5">
        <f t="shared" si="6"/>
        <v>1239</v>
      </c>
    </row>
    <row r="438" spans="1:12" x14ac:dyDescent="0.25">
      <c r="A438" s="1" t="s">
        <v>980</v>
      </c>
      <c r="B438" s="1">
        <v>2023</v>
      </c>
      <c r="C438" s="7">
        <v>45089</v>
      </c>
      <c r="D438" s="1" t="s">
        <v>689</v>
      </c>
      <c r="E438" s="1" t="s">
        <v>129</v>
      </c>
      <c r="F438" s="1" t="s">
        <v>39</v>
      </c>
      <c r="G438" s="1" t="s">
        <v>785</v>
      </c>
      <c r="H438" s="1" t="s">
        <v>690</v>
      </c>
      <c r="I438" s="1" t="s">
        <v>26</v>
      </c>
      <c r="J438" s="1">
        <v>1007.979</v>
      </c>
      <c r="K438" s="1">
        <v>3</v>
      </c>
      <c r="L438" s="5">
        <f t="shared" si="6"/>
        <v>3023.9369999999999</v>
      </c>
    </row>
    <row r="439" spans="1:12" x14ac:dyDescent="0.25">
      <c r="A439" s="1" t="s">
        <v>980</v>
      </c>
      <c r="B439" s="1">
        <v>2023</v>
      </c>
      <c r="C439" s="7">
        <v>45089</v>
      </c>
      <c r="D439" s="1" t="s">
        <v>689</v>
      </c>
      <c r="E439" s="1" t="s">
        <v>129</v>
      </c>
      <c r="F439" s="1" t="s">
        <v>39</v>
      </c>
      <c r="G439" s="1" t="s">
        <v>785</v>
      </c>
      <c r="H439" s="1" t="s">
        <v>565</v>
      </c>
      <c r="I439" s="1" t="s">
        <v>17</v>
      </c>
      <c r="J439" s="1">
        <v>313.488</v>
      </c>
      <c r="K439" s="1">
        <v>7</v>
      </c>
      <c r="L439" s="5">
        <f t="shared" si="6"/>
        <v>2194.4160000000002</v>
      </c>
    </row>
    <row r="440" spans="1:12" x14ac:dyDescent="0.25">
      <c r="A440" s="1" t="s">
        <v>981</v>
      </c>
      <c r="B440" s="1">
        <v>2023</v>
      </c>
      <c r="C440" s="7">
        <v>45184</v>
      </c>
      <c r="D440" s="1" t="s">
        <v>691</v>
      </c>
      <c r="E440" s="1" t="s">
        <v>75</v>
      </c>
      <c r="F440" s="1" t="s">
        <v>39</v>
      </c>
      <c r="G440" s="1" t="s">
        <v>785</v>
      </c>
      <c r="H440" s="1" t="s">
        <v>692</v>
      </c>
      <c r="I440" s="1" t="s">
        <v>17</v>
      </c>
      <c r="J440" s="1">
        <v>31.872000000000003</v>
      </c>
      <c r="K440" s="1">
        <v>8</v>
      </c>
      <c r="L440" s="5">
        <f t="shared" si="6"/>
        <v>254.97600000000003</v>
      </c>
    </row>
    <row r="441" spans="1:12" x14ac:dyDescent="0.25">
      <c r="A441" s="1" t="s">
        <v>982</v>
      </c>
      <c r="B441" s="1">
        <v>2023</v>
      </c>
      <c r="C441" s="7">
        <v>44946</v>
      </c>
      <c r="D441" s="1" t="s">
        <v>209</v>
      </c>
      <c r="E441" s="1" t="s">
        <v>112</v>
      </c>
      <c r="F441" s="1" t="s">
        <v>59</v>
      </c>
      <c r="G441" s="1" t="s">
        <v>774</v>
      </c>
      <c r="H441" s="1" t="s">
        <v>693</v>
      </c>
      <c r="I441" s="1" t="s">
        <v>11</v>
      </c>
      <c r="J441" s="1">
        <v>207.84600000000003</v>
      </c>
      <c r="K441" s="1">
        <v>3</v>
      </c>
      <c r="L441" s="5">
        <f t="shared" si="6"/>
        <v>623.53800000000012</v>
      </c>
    </row>
    <row r="442" spans="1:12" x14ac:dyDescent="0.25">
      <c r="A442" s="1" t="s">
        <v>983</v>
      </c>
      <c r="B442" s="1">
        <v>2023</v>
      </c>
      <c r="C442" s="7">
        <v>45174</v>
      </c>
      <c r="D442" s="1" t="s">
        <v>42</v>
      </c>
      <c r="E442" s="1" t="s">
        <v>393</v>
      </c>
      <c r="F442" s="1" t="s">
        <v>39</v>
      </c>
      <c r="G442" s="1" t="s">
        <v>785</v>
      </c>
      <c r="H442" s="1" t="s">
        <v>694</v>
      </c>
      <c r="I442" s="1" t="s">
        <v>11</v>
      </c>
      <c r="J442" s="1">
        <v>12.22</v>
      </c>
      <c r="K442" s="1">
        <v>1</v>
      </c>
      <c r="L442" s="5">
        <f t="shared" si="6"/>
        <v>12.22</v>
      </c>
    </row>
    <row r="443" spans="1:12" x14ac:dyDescent="0.25">
      <c r="A443" s="1" t="s">
        <v>983</v>
      </c>
      <c r="B443" s="1">
        <v>2023</v>
      </c>
      <c r="C443" s="7">
        <v>45174</v>
      </c>
      <c r="D443" s="1" t="s">
        <v>42</v>
      </c>
      <c r="E443" s="1" t="s">
        <v>393</v>
      </c>
      <c r="F443" s="1" t="s">
        <v>39</v>
      </c>
      <c r="G443" s="1" t="s">
        <v>785</v>
      </c>
      <c r="H443" s="1" t="s">
        <v>695</v>
      </c>
      <c r="I443" s="1" t="s">
        <v>17</v>
      </c>
      <c r="J443" s="1">
        <v>194.94</v>
      </c>
      <c r="K443" s="1">
        <v>3</v>
      </c>
      <c r="L443" s="5">
        <f t="shared" si="6"/>
        <v>584.81999999999994</v>
      </c>
    </row>
    <row r="444" spans="1:12" x14ac:dyDescent="0.25">
      <c r="A444" s="1" t="s">
        <v>983</v>
      </c>
      <c r="B444" s="1">
        <v>2023</v>
      </c>
      <c r="C444" s="7">
        <v>45174</v>
      </c>
      <c r="D444" s="1" t="s">
        <v>42</v>
      </c>
      <c r="E444" s="1" t="s">
        <v>393</v>
      </c>
      <c r="F444" s="1" t="s">
        <v>39</v>
      </c>
      <c r="G444" s="1" t="s">
        <v>785</v>
      </c>
      <c r="H444" s="1" t="s">
        <v>696</v>
      </c>
      <c r="I444" s="1" t="s">
        <v>17</v>
      </c>
      <c r="J444" s="1">
        <v>70.949999999999989</v>
      </c>
      <c r="K444" s="1">
        <v>3</v>
      </c>
      <c r="L444" s="5">
        <f t="shared" si="6"/>
        <v>212.84999999999997</v>
      </c>
    </row>
    <row r="445" spans="1:12" x14ac:dyDescent="0.25">
      <c r="A445" s="1" t="s">
        <v>983</v>
      </c>
      <c r="B445" s="1">
        <v>2023</v>
      </c>
      <c r="C445" s="7">
        <v>45174</v>
      </c>
      <c r="D445" s="1" t="s">
        <v>42</v>
      </c>
      <c r="E445" s="1" t="s">
        <v>393</v>
      </c>
      <c r="F445" s="1" t="s">
        <v>39</v>
      </c>
      <c r="G445" s="1" t="s">
        <v>785</v>
      </c>
      <c r="H445" s="1" t="s">
        <v>697</v>
      </c>
      <c r="I445" s="1" t="s">
        <v>17</v>
      </c>
      <c r="J445" s="1">
        <v>91.36</v>
      </c>
      <c r="K445" s="1">
        <v>4</v>
      </c>
      <c r="L445" s="5">
        <f t="shared" si="6"/>
        <v>365.44</v>
      </c>
    </row>
    <row r="446" spans="1:12" x14ac:dyDescent="0.25">
      <c r="A446" s="1" t="s">
        <v>983</v>
      </c>
      <c r="B446" s="1">
        <v>2023</v>
      </c>
      <c r="C446" s="7">
        <v>45174</v>
      </c>
      <c r="D446" s="1" t="s">
        <v>42</v>
      </c>
      <c r="E446" s="1" t="s">
        <v>393</v>
      </c>
      <c r="F446" s="1" t="s">
        <v>39</v>
      </c>
      <c r="G446" s="1" t="s">
        <v>785</v>
      </c>
      <c r="H446" s="1" t="s">
        <v>698</v>
      </c>
      <c r="I446" s="1" t="s">
        <v>11</v>
      </c>
      <c r="J446" s="1">
        <v>242.94</v>
      </c>
      <c r="K446" s="1">
        <v>3</v>
      </c>
      <c r="L446" s="5">
        <f t="shared" si="6"/>
        <v>728.81999999999994</v>
      </c>
    </row>
    <row r="447" spans="1:12" x14ac:dyDescent="0.25">
      <c r="A447" s="1" t="s">
        <v>983</v>
      </c>
      <c r="B447" s="1">
        <v>2023</v>
      </c>
      <c r="C447" s="7">
        <v>45174</v>
      </c>
      <c r="D447" s="1" t="s">
        <v>42</v>
      </c>
      <c r="E447" s="1" t="s">
        <v>393</v>
      </c>
      <c r="F447" s="1" t="s">
        <v>39</v>
      </c>
      <c r="G447" s="1" t="s">
        <v>785</v>
      </c>
      <c r="H447" s="1" t="s">
        <v>699</v>
      </c>
      <c r="I447" s="1" t="s">
        <v>17</v>
      </c>
      <c r="J447" s="1">
        <v>22.05</v>
      </c>
      <c r="K447" s="1">
        <v>7</v>
      </c>
      <c r="L447" s="5">
        <f t="shared" si="6"/>
        <v>154.35</v>
      </c>
    </row>
    <row r="448" spans="1:12" x14ac:dyDescent="0.25">
      <c r="A448" s="1" t="s">
        <v>984</v>
      </c>
      <c r="B448" s="1">
        <v>2023</v>
      </c>
      <c r="C448" s="7">
        <v>45005</v>
      </c>
      <c r="D448" s="1" t="s">
        <v>700</v>
      </c>
      <c r="E448" s="1" t="s">
        <v>216</v>
      </c>
      <c r="F448" s="1" t="s">
        <v>39</v>
      </c>
      <c r="G448" s="1" t="s">
        <v>785</v>
      </c>
      <c r="H448" s="1" t="s">
        <v>701</v>
      </c>
      <c r="I448" s="1" t="s">
        <v>11</v>
      </c>
      <c r="J448" s="1">
        <v>2.91</v>
      </c>
      <c r="K448" s="1">
        <v>1</v>
      </c>
      <c r="L448" s="5">
        <f t="shared" si="6"/>
        <v>2.91</v>
      </c>
    </row>
    <row r="449" spans="1:12" x14ac:dyDescent="0.25">
      <c r="A449" s="1" t="s">
        <v>985</v>
      </c>
      <c r="B449" s="1">
        <v>2023</v>
      </c>
      <c r="C449" s="7">
        <v>45017</v>
      </c>
      <c r="D449" s="1" t="s">
        <v>702</v>
      </c>
      <c r="E449" s="1" t="s">
        <v>703</v>
      </c>
      <c r="F449" s="1" t="s">
        <v>59</v>
      </c>
      <c r="G449" s="1" t="s">
        <v>774</v>
      </c>
      <c r="H449" s="1" t="s">
        <v>704</v>
      </c>
      <c r="I449" s="1" t="s">
        <v>17</v>
      </c>
      <c r="J449" s="1">
        <v>59.519999999999996</v>
      </c>
      <c r="K449" s="1">
        <v>3</v>
      </c>
      <c r="L449" s="5">
        <f t="shared" si="6"/>
        <v>178.56</v>
      </c>
    </row>
    <row r="450" spans="1:12" x14ac:dyDescent="0.25">
      <c r="A450" s="1" t="s">
        <v>985</v>
      </c>
      <c r="B450" s="1">
        <v>2023</v>
      </c>
      <c r="C450" s="7">
        <v>45017</v>
      </c>
      <c r="D450" s="1" t="s">
        <v>702</v>
      </c>
      <c r="E450" s="1" t="s">
        <v>703</v>
      </c>
      <c r="F450" s="1" t="s">
        <v>59</v>
      </c>
      <c r="G450" s="1" t="s">
        <v>774</v>
      </c>
      <c r="H450" s="1" t="s">
        <v>705</v>
      </c>
      <c r="I450" s="1" t="s">
        <v>17</v>
      </c>
      <c r="J450" s="1">
        <v>161.94</v>
      </c>
      <c r="K450" s="1">
        <v>3</v>
      </c>
      <c r="L450" s="5">
        <f t="shared" si="6"/>
        <v>485.82</v>
      </c>
    </row>
    <row r="451" spans="1:12" x14ac:dyDescent="0.25">
      <c r="A451" s="1" t="s">
        <v>985</v>
      </c>
      <c r="B451" s="1">
        <v>2023</v>
      </c>
      <c r="C451" s="7">
        <v>45017</v>
      </c>
      <c r="D451" s="1" t="s">
        <v>702</v>
      </c>
      <c r="E451" s="1" t="s">
        <v>703</v>
      </c>
      <c r="F451" s="1" t="s">
        <v>59</v>
      </c>
      <c r="G451" s="1" t="s">
        <v>774</v>
      </c>
      <c r="H451" s="1" t="s">
        <v>706</v>
      </c>
      <c r="I451" s="1" t="s">
        <v>17</v>
      </c>
      <c r="J451" s="1">
        <v>263.88</v>
      </c>
      <c r="K451" s="1">
        <v>6</v>
      </c>
      <c r="L451" s="5">
        <f t="shared" ref="L451:L502" si="7">J451*K451</f>
        <v>1583.28</v>
      </c>
    </row>
    <row r="452" spans="1:12" x14ac:dyDescent="0.25">
      <c r="A452" s="1" t="s">
        <v>985</v>
      </c>
      <c r="B452" s="1">
        <v>2023</v>
      </c>
      <c r="C452" s="7">
        <v>45017</v>
      </c>
      <c r="D452" s="1" t="s">
        <v>702</v>
      </c>
      <c r="E452" s="1" t="s">
        <v>703</v>
      </c>
      <c r="F452" s="1" t="s">
        <v>59</v>
      </c>
      <c r="G452" s="1" t="s">
        <v>774</v>
      </c>
      <c r="H452" s="1" t="s">
        <v>707</v>
      </c>
      <c r="I452" s="1" t="s">
        <v>17</v>
      </c>
      <c r="J452" s="1">
        <v>30.48</v>
      </c>
      <c r="K452" s="1">
        <v>3</v>
      </c>
      <c r="L452" s="5">
        <f t="shared" si="7"/>
        <v>91.44</v>
      </c>
    </row>
    <row r="453" spans="1:12" x14ac:dyDescent="0.25">
      <c r="A453" s="1" t="s">
        <v>985</v>
      </c>
      <c r="B453" s="1">
        <v>2023</v>
      </c>
      <c r="C453" s="7">
        <v>45017</v>
      </c>
      <c r="D453" s="1" t="s">
        <v>702</v>
      </c>
      <c r="E453" s="1" t="s">
        <v>703</v>
      </c>
      <c r="F453" s="1" t="s">
        <v>59</v>
      </c>
      <c r="G453" s="1" t="s">
        <v>774</v>
      </c>
      <c r="H453" s="1" t="s">
        <v>708</v>
      </c>
      <c r="I453" s="1" t="s">
        <v>17</v>
      </c>
      <c r="J453" s="1">
        <v>9.84</v>
      </c>
      <c r="K453" s="1">
        <v>3</v>
      </c>
      <c r="L453" s="5">
        <f t="shared" si="7"/>
        <v>29.52</v>
      </c>
    </row>
    <row r="454" spans="1:12" x14ac:dyDescent="0.25">
      <c r="A454" s="1" t="s">
        <v>985</v>
      </c>
      <c r="B454" s="1">
        <v>2023</v>
      </c>
      <c r="C454" s="7">
        <v>45017</v>
      </c>
      <c r="D454" s="1" t="s">
        <v>702</v>
      </c>
      <c r="E454" s="1" t="s">
        <v>703</v>
      </c>
      <c r="F454" s="1" t="s">
        <v>59</v>
      </c>
      <c r="G454" s="1" t="s">
        <v>774</v>
      </c>
      <c r="H454" s="1" t="s">
        <v>709</v>
      </c>
      <c r="I454" s="1" t="s">
        <v>26</v>
      </c>
      <c r="J454" s="1">
        <v>35.119999999999997</v>
      </c>
      <c r="K454" s="1">
        <v>4</v>
      </c>
      <c r="L454" s="5">
        <f t="shared" si="7"/>
        <v>140.47999999999999</v>
      </c>
    </row>
    <row r="455" spans="1:12" x14ac:dyDescent="0.25">
      <c r="A455" s="1" t="s">
        <v>986</v>
      </c>
      <c r="B455" s="1">
        <v>2023</v>
      </c>
      <c r="C455" s="7">
        <v>45219</v>
      </c>
      <c r="D455" s="1" t="s">
        <v>710</v>
      </c>
      <c r="E455" s="1" t="s">
        <v>355</v>
      </c>
      <c r="F455" s="1" t="s">
        <v>59</v>
      </c>
      <c r="G455" s="1" t="s">
        <v>774</v>
      </c>
      <c r="H455" s="1" t="s">
        <v>29</v>
      </c>
      <c r="I455" s="1" t="s">
        <v>11</v>
      </c>
      <c r="J455" s="1">
        <v>284.36399999999998</v>
      </c>
      <c r="K455" s="1">
        <v>2</v>
      </c>
      <c r="L455" s="5">
        <f t="shared" si="7"/>
        <v>568.72799999999995</v>
      </c>
    </row>
    <row r="456" spans="1:12" x14ac:dyDescent="0.25">
      <c r="A456" s="1" t="s">
        <v>986</v>
      </c>
      <c r="B456" s="1">
        <v>2023</v>
      </c>
      <c r="C456" s="7">
        <v>45219</v>
      </c>
      <c r="D456" s="1" t="s">
        <v>710</v>
      </c>
      <c r="E456" s="1" t="s">
        <v>355</v>
      </c>
      <c r="F456" s="1" t="s">
        <v>59</v>
      </c>
      <c r="G456" s="1" t="s">
        <v>774</v>
      </c>
      <c r="H456" s="1" t="s">
        <v>711</v>
      </c>
      <c r="I456" s="1" t="s">
        <v>17</v>
      </c>
      <c r="J456" s="1">
        <v>665.40800000000002</v>
      </c>
      <c r="K456" s="1">
        <v>2</v>
      </c>
      <c r="L456" s="5">
        <f t="shared" si="7"/>
        <v>1330.816</v>
      </c>
    </row>
    <row r="457" spans="1:12" x14ac:dyDescent="0.25">
      <c r="A457" s="1" t="s">
        <v>987</v>
      </c>
      <c r="B457" s="1">
        <v>2023</v>
      </c>
      <c r="C457" s="7">
        <v>45273</v>
      </c>
      <c r="D457" s="1" t="s">
        <v>678</v>
      </c>
      <c r="E457" s="1" t="s">
        <v>712</v>
      </c>
      <c r="F457" s="1" t="s">
        <v>39</v>
      </c>
      <c r="G457" s="1" t="s">
        <v>785</v>
      </c>
      <c r="H457" s="1" t="s">
        <v>713</v>
      </c>
      <c r="I457" s="1" t="s">
        <v>26</v>
      </c>
      <c r="J457" s="1">
        <v>63.88</v>
      </c>
      <c r="K457" s="1">
        <v>4</v>
      </c>
      <c r="L457" s="5">
        <f t="shared" si="7"/>
        <v>255.52</v>
      </c>
    </row>
    <row r="458" spans="1:12" x14ac:dyDescent="0.25">
      <c r="A458" s="1" t="s">
        <v>988</v>
      </c>
      <c r="B458" s="1">
        <v>2022</v>
      </c>
      <c r="C458" s="7">
        <v>44604</v>
      </c>
      <c r="D458" s="1" t="s">
        <v>714</v>
      </c>
      <c r="E458" s="1" t="s">
        <v>32</v>
      </c>
      <c r="F458" s="1" t="s">
        <v>15</v>
      </c>
      <c r="G458" s="1" t="s">
        <v>779</v>
      </c>
      <c r="H458" s="1" t="s">
        <v>715</v>
      </c>
      <c r="I458" s="1" t="s">
        <v>11</v>
      </c>
      <c r="J458" s="1">
        <v>129.56800000000001</v>
      </c>
      <c r="K458" s="1">
        <v>2</v>
      </c>
      <c r="L458" s="5">
        <f t="shared" si="7"/>
        <v>259.13600000000002</v>
      </c>
    </row>
    <row r="459" spans="1:12" x14ac:dyDescent="0.25">
      <c r="A459" s="1" t="s">
        <v>989</v>
      </c>
      <c r="B459" s="1">
        <v>2023</v>
      </c>
      <c r="C459" s="7">
        <v>45195</v>
      </c>
      <c r="D459" s="1" t="s">
        <v>670</v>
      </c>
      <c r="E459" s="1" t="s">
        <v>153</v>
      </c>
      <c r="F459" s="1" t="s">
        <v>39</v>
      </c>
      <c r="G459" s="1" t="s">
        <v>785</v>
      </c>
      <c r="H459" s="1" t="s">
        <v>716</v>
      </c>
      <c r="I459" s="1" t="s">
        <v>11</v>
      </c>
      <c r="J459" s="1">
        <v>747.55799999999999</v>
      </c>
      <c r="K459" s="1">
        <v>3</v>
      </c>
      <c r="L459" s="5">
        <f t="shared" si="7"/>
        <v>2242.674</v>
      </c>
    </row>
    <row r="460" spans="1:12" x14ac:dyDescent="0.25">
      <c r="A460" s="1" t="s">
        <v>989</v>
      </c>
      <c r="B460" s="1">
        <v>2023</v>
      </c>
      <c r="C460" s="7">
        <v>45195</v>
      </c>
      <c r="D460" s="1" t="s">
        <v>670</v>
      </c>
      <c r="E460" s="1" t="s">
        <v>153</v>
      </c>
      <c r="F460" s="1" t="s">
        <v>39</v>
      </c>
      <c r="G460" s="1" t="s">
        <v>785</v>
      </c>
      <c r="H460" s="1" t="s">
        <v>717</v>
      </c>
      <c r="I460" s="1" t="s">
        <v>17</v>
      </c>
      <c r="J460" s="1">
        <v>8.9280000000000008</v>
      </c>
      <c r="K460" s="1">
        <v>2</v>
      </c>
      <c r="L460" s="5">
        <f t="shared" si="7"/>
        <v>17.856000000000002</v>
      </c>
    </row>
    <row r="461" spans="1:12" x14ac:dyDescent="0.25">
      <c r="A461" s="1" t="s">
        <v>990</v>
      </c>
      <c r="B461" s="1">
        <v>2022</v>
      </c>
      <c r="C461" s="7">
        <v>44910</v>
      </c>
      <c r="D461" s="1" t="s">
        <v>369</v>
      </c>
      <c r="E461" s="1" t="s">
        <v>35</v>
      </c>
      <c r="F461" s="1" t="s">
        <v>15</v>
      </c>
      <c r="G461" s="1" t="s">
        <v>779</v>
      </c>
      <c r="H461" s="1" t="s">
        <v>718</v>
      </c>
      <c r="I461" s="1" t="s">
        <v>17</v>
      </c>
      <c r="J461" s="1">
        <v>103.92</v>
      </c>
      <c r="K461" s="1">
        <v>4</v>
      </c>
      <c r="L461" s="5">
        <f t="shared" si="7"/>
        <v>415.68</v>
      </c>
    </row>
    <row r="462" spans="1:12" x14ac:dyDescent="0.25">
      <c r="A462" s="1" t="s">
        <v>990</v>
      </c>
      <c r="B462" s="1">
        <v>2022</v>
      </c>
      <c r="C462" s="7">
        <v>44910</v>
      </c>
      <c r="D462" s="1" t="s">
        <v>369</v>
      </c>
      <c r="E462" s="1" t="s">
        <v>35</v>
      </c>
      <c r="F462" s="1" t="s">
        <v>15</v>
      </c>
      <c r="G462" s="1" t="s">
        <v>779</v>
      </c>
      <c r="H462" s="1" t="s">
        <v>719</v>
      </c>
      <c r="I462" s="1" t="s">
        <v>26</v>
      </c>
      <c r="J462" s="1">
        <v>899.91</v>
      </c>
      <c r="K462" s="1">
        <v>9</v>
      </c>
      <c r="L462" s="5">
        <f t="shared" si="7"/>
        <v>8099.19</v>
      </c>
    </row>
    <row r="463" spans="1:12" x14ac:dyDescent="0.25">
      <c r="A463" s="1" t="s">
        <v>990</v>
      </c>
      <c r="B463" s="1">
        <v>2022</v>
      </c>
      <c r="C463" s="7">
        <v>44910</v>
      </c>
      <c r="D463" s="1" t="s">
        <v>369</v>
      </c>
      <c r="E463" s="1" t="s">
        <v>35</v>
      </c>
      <c r="F463" s="1" t="s">
        <v>15</v>
      </c>
      <c r="G463" s="1" t="s">
        <v>779</v>
      </c>
      <c r="H463" s="1" t="s">
        <v>720</v>
      </c>
      <c r="I463" s="1" t="s">
        <v>17</v>
      </c>
      <c r="J463" s="1">
        <v>51.311999999999998</v>
      </c>
      <c r="K463" s="1">
        <v>3</v>
      </c>
      <c r="L463" s="5">
        <f t="shared" si="7"/>
        <v>153.93599999999998</v>
      </c>
    </row>
    <row r="464" spans="1:12" x14ac:dyDescent="0.25">
      <c r="A464" s="1" t="s">
        <v>991</v>
      </c>
      <c r="B464" s="1">
        <v>2023</v>
      </c>
      <c r="C464" s="7">
        <v>45038</v>
      </c>
      <c r="D464" s="1" t="s">
        <v>721</v>
      </c>
      <c r="E464" s="1" t="s">
        <v>238</v>
      </c>
      <c r="F464" s="1" t="s">
        <v>15</v>
      </c>
      <c r="G464" s="1" t="s">
        <v>779</v>
      </c>
      <c r="H464" s="1" t="s">
        <v>579</v>
      </c>
      <c r="I464" s="1" t="s">
        <v>11</v>
      </c>
      <c r="J464" s="1">
        <v>23.56</v>
      </c>
      <c r="K464" s="1">
        <v>5</v>
      </c>
      <c r="L464" s="5">
        <f t="shared" si="7"/>
        <v>117.8</v>
      </c>
    </row>
    <row r="465" spans="1:12" x14ac:dyDescent="0.25">
      <c r="A465" s="1" t="s">
        <v>991</v>
      </c>
      <c r="B465" s="1">
        <v>2023</v>
      </c>
      <c r="C465" s="7">
        <v>45038</v>
      </c>
      <c r="D465" s="1" t="s">
        <v>721</v>
      </c>
      <c r="E465" s="1" t="s">
        <v>238</v>
      </c>
      <c r="F465" s="1" t="s">
        <v>15</v>
      </c>
      <c r="G465" s="1" t="s">
        <v>779</v>
      </c>
      <c r="H465" s="1" t="s">
        <v>722</v>
      </c>
      <c r="I465" s="1" t="s">
        <v>11</v>
      </c>
      <c r="J465" s="1">
        <v>1272.6299999999999</v>
      </c>
      <c r="K465" s="1">
        <v>6</v>
      </c>
      <c r="L465" s="5">
        <f t="shared" si="7"/>
        <v>7635.7799999999988</v>
      </c>
    </row>
    <row r="466" spans="1:12" x14ac:dyDescent="0.25">
      <c r="A466" s="1" t="s">
        <v>991</v>
      </c>
      <c r="B466" s="1">
        <v>2023</v>
      </c>
      <c r="C466" s="7">
        <v>45038</v>
      </c>
      <c r="D466" s="1" t="s">
        <v>721</v>
      </c>
      <c r="E466" s="1" t="s">
        <v>238</v>
      </c>
      <c r="F466" s="1" t="s">
        <v>15</v>
      </c>
      <c r="G466" s="1" t="s">
        <v>779</v>
      </c>
      <c r="H466" s="1" t="s">
        <v>723</v>
      </c>
      <c r="I466" s="1" t="s">
        <v>17</v>
      </c>
      <c r="J466" s="1">
        <v>28.484999999999999</v>
      </c>
      <c r="K466" s="1">
        <v>5</v>
      </c>
      <c r="L466" s="5">
        <f t="shared" si="7"/>
        <v>142.42500000000001</v>
      </c>
    </row>
    <row r="467" spans="1:12" x14ac:dyDescent="0.25">
      <c r="A467" s="1" t="s">
        <v>991</v>
      </c>
      <c r="B467" s="1">
        <v>2023</v>
      </c>
      <c r="C467" s="7">
        <v>45038</v>
      </c>
      <c r="D467" s="1" t="s">
        <v>721</v>
      </c>
      <c r="E467" s="1" t="s">
        <v>238</v>
      </c>
      <c r="F467" s="1" t="s">
        <v>15</v>
      </c>
      <c r="G467" s="1" t="s">
        <v>779</v>
      </c>
      <c r="H467" s="1" t="s">
        <v>724</v>
      </c>
      <c r="I467" s="1" t="s">
        <v>17</v>
      </c>
      <c r="J467" s="1">
        <v>185.376</v>
      </c>
      <c r="K467" s="1">
        <v>2</v>
      </c>
      <c r="L467" s="5">
        <f t="shared" si="7"/>
        <v>370.75200000000001</v>
      </c>
    </row>
    <row r="468" spans="1:12" x14ac:dyDescent="0.25">
      <c r="A468" s="1" t="s">
        <v>991</v>
      </c>
      <c r="B468" s="1">
        <v>2023</v>
      </c>
      <c r="C468" s="7">
        <v>45038</v>
      </c>
      <c r="D468" s="1" t="s">
        <v>721</v>
      </c>
      <c r="E468" s="1" t="s">
        <v>238</v>
      </c>
      <c r="F468" s="1" t="s">
        <v>15</v>
      </c>
      <c r="G468" s="1" t="s">
        <v>779</v>
      </c>
      <c r="H468" s="1" t="s">
        <v>725</v>
      </c>
      <c r="I468" s="1" t="s">
        <v>17</v>
      </c>
      <c r="J468" s="1">
        <v>78.272000000000006</v>
      </c>
      <c r="K468" s="1">
        <v>2</v>
      </c>
      <c r="L468" s="5">
        <f t="shared" si="7"/>
        <v>156.54400000000001</v>
      </c>
    </row>
    <row r="469" spans="1:12" x14ac:dyDescent="0.25">
      <c r="A469" s="1" t="s">
        <v>992</v>
      </c>
      <c r="B469" s="1">
        <v>2022</v>
      </c>
      <c r="C469" s="7">
        <v>44578</v>
      </c>
      <c r="D469" s="1" t="s">
        <v>726</v>
      </c>
      <c r="E469" s="1" t="s">
        <v>727</v>
      </c>
      <c r="F469" s="1" t="s">
        <v>39</v>
      </c>
      <c r="G469" s="1" t="s">
        <v>785</v>
      </c>
      <c r="H469" s="1" t="s">
        <v>489</v>
      </c>
      <c r="I469" s="1" t="s">
        <v>11</v>
      </c>
      <c r="J469" s="1">
        <v>254.74400000000003</v>
      </c>
      <c r="K469" s="1">
        <v>7</v>
      </c>
      <c r="L469" s="5">
        <f t="shared" si="7"/>
        <v>1783.2080000000001</v>
      </c>
    </row>
    <row r="470" spans="1:12" x14ac:dyDescent="0.25">
      <c r="A470" s="1" t="s">
        <v>993</v>
      </c>
      <c r="B470" s="1">
        <v>2023</v>
      </c>
      <c r="C470" s="7">
        <v>45016</v>
      </c>
      <c r="D470" s="1" t="s">
        <v>392</v>
      </c>
      <c r="E470" s="1" t="s">
        <v>728</v>
      </c>
      <c r="F470" s="1" t="s">
        <v>39</v>
      </c>
      <c r="G470" s="1" t="s">
        <v>785</v>
      </c>
      <c r="H470" s="1" t="s">
        <v>729</v>
      </c>
      <c r="I470" s="1" t="s">
        <v>11</v>
      </c>
      <c r="J470" s="1">
        <v>205.33279999999996</v>
      </c>
      <c r="K470" s="1">
        <v>2</v>
      </c>
      <c r="L470" s="5">
        <f t="shared" si="7"/>
        <v>410.66559999999993</v>
      </c>
    </row>
    <row r="471" spans="1:12" x14ac:dyDescent="0.25">
      <c r="A471" s="1" t="s">
        <v>994</v>
      </c>
      <c r="B471" s="1">
        <v>2023</v>
      </c>
      <c r="C471" s="7">
        <v>45276</v>
      </c>
      <c r="D471" s="1" t="s">
        <v>433</v>
      </c>
      <c r="E471" s="1" t="s">
        <v>129</v>
      </c>
      <c r="F471" s="1" t="s">
        <v>39</v>
      </c>
      <c r="G471" s="1" t="s">
        <v>785</v>
      </c>
      <c r="H471" s="1" t="s">
        <v>730</v>
      </c>
      <c r="I471" s="1" t="s">
        <v>17</v>
      </c>
      <c r="J471" s="1">
        <v>4.7879999999999985</v>
      </c>
      <c r="K471" s="1">
        <v>3</v>
      </c>
      <c r="L471" s="5">
        <f t="shared" si="7"/>
        <v>14.363999999999995</v>
      </c>
    </row>
    <row r="472" spans="1:12" x14ac:dyDescent="0.25">
      <c r="A472" s="1" t="s">
        <v>995</v>
      </c>
      <c r="B472" s="1">
        <v>2022</v>
      </c>
      <c r="C472" s="7">
        <v>44915</v>
      </c>
      <c r="D472" s="1" t="s">
        <v>731</v>
      </c>
      <c r="E472" s="1" t="s">
        <v>732</v>
      </c>
      <c r="F472" s="1" t="s">
        <v>59</v>
      </c>
      <c r="G472" s="1" t="s">
        <v>774</v>
      </c>
      <c r="H472" s="1" t="s">
        <v>733</v>
      </c>
      <c r="I472" s="1" t="s">
        <v>17</v>
      </c>
      <c r="J472" s="1">
        <v>55.48</v>
      </c>
      <c r="K472" s="1">
        <v>1</v>
      </c>
      <c r="L472" s="5">
        <f t="shared" si="7"/>
        <v>55.48</v>
      </c>
    </row>
    <row r="473" spans="1:12" x14ac:dyDescent="0.25">
      <c r="A473" s="1" t="s">
        <v>996</v>
      </c>
      <c r="B473" s="1">
        <v>2022</v>
      </c>
      <c r="C473" s="7">
        <v>44874</v>
      </c>
      <c r="D473" s="1" t="s">
        <v>734</v>
      </c>
      <c r="E473" s="1" t="s">
        <v>49</v>
      </c>
      <c r="F473" s="1" t="s">
        <v>15</v>
      </c>
      <c r="G473" s="1" t="s">
        <v>779</v>
      </c>
      <c r="H473" s="1" t="s">
        <v>735</v>
      </c>
      <c r="I473" s="1" t="s">
        <v>17</v>
      </c>
      <c r="J473" s="1">
        <v>340.92</v>
      </c>
      <c r="K473" s="1">
        <v>3</v>
      </c>
      <c r="L473" s="5">
        <f t="shared" si="7"/>
        <v>1022.76</v>
      </c>
    </row>
    <row r="474" spans="1:12" x14ac:dyDescent="0.25">
      <c r="A474" s="1" t="s">
        <v>996</v>
      </c>
      <c r="B474" s="1">
        <v>2022</v>
      </c>
      <c r="C474" s="7">
        <v>44874</v>
      </c>
      <c r="D474" s="1" t="s">
        <v>734</v>
      </c>
      <c r="E474" s="1" t="s">
        <v>49</v>
      </c>
      <c r="F474" s="1" t="s">
        <v>15</v>
      </c>
      <c r="G474" s="1" t="s">
        <v>779</v>
      </c>
      <c r="H474" s="1" t="s">
        <v>736</v>
      </c>
      <c r="I474" s="1" t="s">
        <v>11</v>
      </c>
      <c r="J474" s="1">
        <v>222.66599999999997</v>
      </c>
      <c r="K474" s="1">
        <v>2</v>
      </c>
      <c r="L474" s="5">
        <f t="shared" si="7"/>
        <v>445.33199999999994</v>
      </c>
    </row>
    <row r="475" spans="1:12" x14ac:dyDescent="0.25">
      <c r="A475" s="1" t="s">
        <v>996</v>
      </c>
      <c r="B475" s="1">
        <v>2022</v>
      </c>
      <c r="C475" s="7">
        <v>44874</v>
      </c>
      <c r="D475" s="1" t="s">
        <v>734</v>
      </c>
      <c r="E475" s="1" t="s">
        <v>49</v>
      </c>
      <c r="F475" s="1" t="s">
        <v>15</v>
      </c>
      <c r="G475" s="1" t="s">
        <v>779</v>
      </c>
      <c r="H475" s="1" t="s">
        <v>737</v>
      </c>
      <c r="I475" s="1" t="s">
        <v>26</v>
      </c>
      <c r="J475" s="1">
        <v>703.96800000000007</v>
      </c>
      <c r="K475" s="1">
        <v>4</v>
      </c>
      <c r="L475" s="5">
        <f t="shared" si="7"/>
        <v>2815.8720000000003</v>
      </c>
    </row>
    <row r="476" spans="1:12" x14ac:dyDescent="0.25">
      <c r="A476" s="1" t="s">
        <v>996</v>
      </c>
      <c r="B476" s="1">
        <v>2022</v>
      </c>
      <c r="C476" s="7">
        <v>44874</v>
      </c>
      <c r="D476" s="1" t="s">
        <v>734</v>
      </c>
      <c r="E476" s="1" t="s">
        <v>49</v>
      </c>
      <c r="F476" s="1" t="s">
        <v>15</v>
      </c>
      <c r="G476" s="1" t="s">
        <v>779</v>
      </c>
      <c r="H476" s="1" t="s">
        <v>738</v>
      </c>
      <c r="I476" s="1" t="s">
        <v>17</v>
      </c>
      <c r="J476" s="1">
        <v>92.52</v>
      </c>
      <c r="K476" s="1">
        <v>6</v>
      </c>
      <c r="L476" s="5">
        <f t="shared" si="7"/>
        <v>555.12</v>
      </c>
    </row>
    <row r="477" spans="1:12" x14ac:dyDescent="0.25">
      <c r="A477" s="1" t="s">
        <v>996</v>
      </c>
      <c r="B477" s="1">
        <v>2022</v>
      </c>
      <c r="C477" s="7">
        <v>44874</v>
      </c>
      <c r="D477" s="1" t="s">
        <v>734</v>
      </c>
      <c r="E477" s="1" t="s">
        <v>49</v>
      </c>
      <c r="F477" s="1" t="s">
        <v>15</v>
      </c>
      <c r="G477" s="1" t="s">
        <v>779</v>
      </c>
      <c r="H477" s="1" t="s">
        <v>739</v>
      </c>
      <c r="I477" s="1" t="s">
        <v>17</v>
      </c>
      <c r="J477" s="1">
        <v>62.649999999999991</v>
      </c>
      <c r="K477" s="1">
        <v>7</v>
      </c>
      <c r="L477" s="5">
        <f t="shared" si="7"/>
        <v>438.54999999999995</v>
      </c>
    </row>
    <row r="478" spans="1:12" x14ac:dyDescent="0.25">
      <c r="A478" s="1" t="s">
        <v>996</v>
      </c>
      <c r="B478" s="1">
        <v>2022</v>
      </c>
      <c r="C478" s="7">
        <v>44874</v>
      </c>
      <c r="D478" s="1" t="s">
        <v>734</v>
      </c>
      <c r="E478" s="1" t="s">
        <v>49</v>
      </c>
      <c r="F478" s="1" t="s">
        <v>15</v>
      </c>
      <c r="G478" s="1" t="s">
        <v>779</v>
      </c>
      <c r="H478" s="1" t="s">
        <v>740</v>
      </c>
      <c r="I478" s="1" t="s">
        <v>17</v>
      </c>
      <c r="J478" s="1">
        <v>94.85</v>
      </c>
      <c r="K478" s="1">
        <v>5</v>
      </c>
      <c r="L478" s="5">
        <f t="shared" si="7"/>
        <v>474.25</v>
      </c>
    </row>
    <row r="479" spans="1:12" x14ac:dyDescent="0.25">
      <c r="A479" s="1" t="s">
        <v>997</v>
      </c>
      <c r="B479" s="1">
        <v>2023</v>
      </c>
      <c r="C479" s="7">
        <v>45119</v>
      </c>
      <c r="D479" s="1" t="s">
        <v>455</v>
      </c>
      <c r="E479" s="1" t="s">
        <v>14</v>
      </c>
      <c r="F479" s="1" t="s">
        <v>15</v>
      </c>
      <c r="G479" s="1" t="s">
        <v>779</v>
      </c>
      <c r="H479" s="1" t="s">
        <v>741</v>
      </c>
      <c r="I479" s="1" t="s">
        <v>26</v>
      </c>
      <c r="J479" s="1">
        <v>95.76</v>
      </c>
      <c r="K479" s="1">
        <v>6</v>
      </c>
      <c r="L479" s="5">
        <f t="shared" si="7"/>
        <v>574.56000000000006</v>
      </c>
    </row>
    <row r="480" spans="1:12" x14ac:dyDescent="0.25">
      <c r="A480" s="1" t="s">
        <v>998</v>
      </c>
      <c r="B480" s="1">
        <v>2023</v>
      </c>
      <c r="C480" s="7">
        <v>45226</v>
      </c>
      <c r="D480" s="1" t="s">
        <v>742</v>
      </c>
      <c r="E480" s="1" t="s">
        <v>116</v>
      </c>
      <c r="F480" s="1" t="s">
        <v>59</v>
      </c>
      <c r="G480" s="1" t="s">
        <v>774</v>
      </c>
      <c r="H480" s="1" t="s">
        <v>500</v>
      </c>
      <c r="I480" s="1" t="s">
        <v>11</v>
      </c>
      <c r="J480" s="1">
        <v>40.200000000000003</v>
      </c>
      <c r="K480" s="1">
        <v>3</v>
      </c>
      <c r="L480" s="5">
        <f t="shared" si="7"/>
        <v>120.60000000000001</v>
      </c>
    </row>
    <row r="481" spans="1:12" x14ac:dyDescent="0.25">
      <c r="A481" s="1" t="s">
        <v>999</v>
      </c>
      <c r="B481" s="1">
        <v>2023</v>
      </c>
      <c r="C481" s="7">
        <v>45103</v>
      </c>
      <c r="D481" s="1" t="s">
        <v>743</v>
      </c>
      <c r="E481" s="1" t="s">
        <v>112</v>
      </c>
      <c r="F481" s="1" t="s">
        <v>59</v>
      </c>
      <c r="G481" s="1" t="s">
        <v>774</v>
      </c>
      <c r="H481" s="1" t="s">
        <v>744</v>
      </c>
      <c r="I481" s="1" t="s">
        <v>17</v>
      </c>
      <c r="J481" s="1">
        <v>14.7</v>
      </c>
      <c r="K481" s="1">
        <v>5</v>
      </c>
      <c r="L481" s="5">
        <f t="shared" si="7"/>
        <v>73.5</v>
      </c>
    </row>
    <row r="482" spans="1:12" x14ac:dyDescent="0.25">
      <c r="A482" s="1" t="s">
        <v>999</v>
      </c>
      <c r="B482" s="1">
        <v>2023</v>
      </c>
      <c r="C482" s="7">
        <v>45103</v>
      </c>
      <c r="D482" s="1" t="s">
        <v>743</v>
      </c>
      <c r="E482" s="1" t="s">
        <v>112</v>
      </c>
      <c r="F482" s="1" t="s">
        <v>59</v>
      </c>
      <c r="G482" s="1" t="s">
        <v>774</v>
      </c>
      <c r="H482" s="1" t="s">
        <v>745</v>
      </c>
      <c r="I482" s="1" t="s">
        <v>17</v>
      </c>
      <c r="J482" s="1">
        <v>704.25</v>
      </c>
      <c r="K482" s="1">
        <v>5</v>
      </c>
      <c r="L482" s="5">
        <f t="shared" si="7"/>
        <v>3521.25</v>
      </c>
    </row>
    <row r="483" spans="1:12" x14ac:dyDescent="0.25">
      <c r="A483" s="1" t="s">
        <v>1000</v>
      </c>
      <c r="B483" s="1">
        <v>2022</v>
      </c>
      <c r="C483" s="7">
        <v>44840</v>
      </c>
      <c r="D483" s="1" t="s">
        <v>746</v>
      </c>
      <c r="E483" s="1" t="s">
        <v>425</v>
      </c>
      <c r="F483" s="1" t="s">
        <v>15</v>
      </c>
      <c r="G483" s="1" t="s">
        <v>779</v>
      </c>
      <c r="H483" s="1" t="s">
        <v>747</v>
      </c>
      <c r="I483" s="1" t="s">
        <v>26</v>
      </c>
      <c r="J483" s="1">
        <v>9.09</v>
      </c>
      <c r="K483" s="1">
        <v>3</v>
      </c>
      <c r="L483" s="5">
        <f t="shared" si="7"/>
        <v>27.27</v>
      </c>
    </row>
    <row r="484" spans="1:12" x14ac:dyDescent="0.25">
      <c r="A484" s="1" t="s">
        <v>1001</v>
      </c>
      <c r="B484" s="1">
        <v>2022</v>
      </c>
      <c r="C484" s="7">
        <v>44764</v>
      </c>
      <c r="D484" s="1" t="s">
        <v>748</v>
      </c>
      <c r="E484" s="1" t="s">
        <v>112</v>
      </c>
      <c r="F484" s="1" t="s">
        <v>59</v>
      </c>
      <c r="G484" s="1" t="s">
        <v>774</v>
      </c>
      <c r="H484" s="1" t="s">
        <v>157</v>
      </c>
      <c r="I484" s="1" t="s">
        <v>17</v>
      </c>
      <c r="J484" s="1">
        <v>5.96</v>
      </c>
      <c r="K484" s="1">
        <v>2</v>
      </c>
      <c r="L484" s="5">
        <f t="shared" si="7"/>
        <v>11.92</v>
      </c>
    </row>
    <row r="485" spans="1:12" x14ac:dyDescent="0.25">
      <c r="A485" s="1" t="s">
        <v>1001</v>
      </c>
      <c r="B485" s="1">
        <v>2022</v>
      </c>
      <c r="C485" s="7">
        <v>44764</v>
      </c>
      <c r="D485" s="1" t="s">
        <v>748</v>
      </c>
      <c r="E485" s="1" t="s">
        <v>112</v>
      </c>
      <c r="F485" s="1" t="s">
        <v>59</v>
      </c>
      <c r="G485" s="1" t="s">
        <v>774</v>
      </c>
      <c r="H485" s="1" t="s">
        <v>749</v>
      </c>
      <c r="I485" s="1" t="s">
        <v>26</v>
      </c>
      <c r="J485" s="1">
        <v>159.97999999999999</v>
      </c>
      <c r="K485" s="1">
        <v>2</v>
      </c>
      <c r="L485" s="5">
        <f t="shared" si="7"/>
        <v>319.95999999999998</v>
      </c>
    </row>
    <row r="486" spans="1:12" x14ac:dyDescent="0.25">
      <c r="A486" s="1" t="s">
        <v>1002</v>
      </c>
      <c r="B486" s="1">
        <v>2023</v>
      </c>
      <c r="C486" s="7">
        <v>45087</v>
      </c>
      <c r="D486" s="1" t="s">
        <v>750</v>
      </c>
      <c r="E486" s="1" t="s">
        <v>14</v>
      </c>
      <c r="F486" s="1" t="s">
        <v>15</v>
      </c>
      <c r="G486" s="1" t="s">
        <v>779</v>
      </c>
      <c r="H486" s="1" t="s">
        <v>751</v>
      </c>
      <c r="I486" s="1" t="s">
        <v>17</v>
      </c>
      <c r="J486" s="1">
        <v>29.6</v>
      </c>
      <c r="K486" s="1">
        <v>2</v>
      </c>
      <c r="L486" s="5">
        <f t="shared" si="7"/>
        <v>59.2</v>
      </c>
    </row>
    <row r="487" spans="1:12" x14ac:dyDescent="0.25">
      <c r="A487" s="1" t="s">
        <v>1002</v>
      </c>
      <c r="B487" s="1">
        <v>2023</v>
      </c>
      <c r="C487" s="7">
        <v>45087</v>
      </c>
      <c r="D487" s="1" t="s">
        <v>750</v>
      </c>
      <c r="E487" s="1" t="s">
        <v>14</v>
      </c>
      <c r="F487" s="1" t="s">
        <v>15</v>
      </c>
      <c r="G487" s="1" t="s">
        <v>779</v>
      </c>
      <c r="H487" s="1" t="s">
        <v>752</v>
      </c>
      <c r="I487" s="1" t="s">
        <v>11</v>
      </c>
      <c r="J487" s="1">
        <v>514.16499999999996</v>
      </c>
      <c r="K487" s="1">
        <v>5</v>
      </c>
      <c r="L487" s="5">
        <f t="shared" si="7"/>
        <v>2570.8249999999998</v>
      </c>
    </row>
    <row r="488" spans="1:12" x14ac:dyDescent="0.25">
      <c r="A488" s="1" t="s">
        <v>1002</v>
      </c>
      <c r="B488" s="1">
        <v>2023</v>
      </c>
      <c r="C488" s="7">
        <v>45087</v>
      </c>
      <c r="D488" s="1" t="s">
        <v>750</v>
      </c>
      <c r="E488" s="1" t="s">
        <v>14</v>
      </c>
      <c r="F488" s="1" t="s">
        <v>15</v>
      </c>
      <c r="G488" s="1" t="s">
        <v>779</v>
      </c>
      <c r="H488" s="1" t="s">
        <v>753</v>
      </c>
      <c r="I488" s="1" t="s">
        <v>26</v>
      </c>
      <c r="J488" s="1">
        <v>279.95999999999998</v>
      </c>
      <c r="K488" s="1">
        <v>5</v>
      </c>
      <c r="L488" s="5">
        <f t="shared" si="7"/>
        <v>1399.8</v>
      </c>
    </row>
    <row r="489" spans="1:12" x14ac:dyDescent="0.25">
      <c r="A489" s="1" t="s">
        <v>1003</v>
      </c>
      <c r="B489" s="1">
        <v>2022</v>
      </c>
      <c r="C489" s="7">
        <v>44863</v>
      </c>
      <c r="D489" s="1" t="s">
        <v>754</v>
      </c>
      <c r="E489" s="1" t="s">
        <v>129</v>
      </c>
      <c r="F489" s="1" t="s">
        <v>39</v>
      </c>
      <c r="G489" s="1" t="s">
        <v>785</v>
      </c>
      <c r="H489" s="1" t="s">
        <v>755</v>
      </c>
      <c r="I489" s="1" t="s">
        <v>26</v>
      </c>
      <c r="J489" s="1">
        <v>2735.9520000000002</v>
      </c>
      <c r="K489" s="1">
        <v>6</v>
      </c>
      <c r="L489" s="5">
        <f t="shared" si="7"/>
        <v>16415.712</v>
      </c>
    </row>
    <row r="490" spans="1:12" x14ac:dyDescent="0.25">
      <c r="A490" s="1" t="s">
        <v>1004</v>
      </c>
      <c r="B490" s="1">
        <v>2022</v>
      </c>
      <c r="C490" s="7">
        <v>44721</v>
      </c>
      <c r="D490" s="1" t="s">
        <v>756</v>
      </c>
      <c r="E490" s="1" t="s">
        <v>757</v>
      </c>
      <c r="F490" s="1" t="s">
        <v>39</v>
      </c>
      <c r="G490" s="1" t="s">
        <v>785</v>
      </c>
      <c r="H490" s="1" t="s">
        <v>758</v>
      </c>
      <c r="I490" s="1" t="s">
        <v>26</v>
      </c>
      <c r="J490" s="1">
        <v>7.9920000000000009</v>
      </c>
      <c r="K490" s="1">
        <v>1</v>
      </c>
      <c r="L490" s="5">
        <f t="shared" si="7"/>
        <v>7.9920000000000009</v>
      </c>
    </row>
    <row r="491" spans="1:12" x14ac:dyDescent="0.25">
      <c r="A491" s="1" t="s">
        <v>1004</v>
      </c>
      <c r="B491" s="1">
        <v>2022</v>
      </c>
      <c r="C491" s="7">
        <v>44721</v>
      </c>
      <c r="D491" s="1" t="s">
        <v>756</v>
      </c>
      <c r="E491" s="1" t="s">
        <v>757</v>
      </c>
      <c r="F491" s="1" t="s">
        <v>39</v>
      </c>
      <c r="G491" s="1" t="s">
        <v>785</v>
      </c>
      <c r="H491" s="1" t="s">
        <v>759</v>
      </c>
      <c r="I491" s="1" t="s">
        <v>26</v>
      </c>
      <c r="J491" s="1">
        <v>63.984000000000009</v>
      </c>
      <c r="K491" s="1">
        <v>2</v>
      </c>
      <c r="L491" s="5">
        <f t="shared" si="7"/>
        <v>127.96800000000002</v>
      </c>
    </row>
    <row r="492" spans="1:12" x14ac:dyDescent="0.25">
      <c r="A492" s="1" t="s">
        <v>1004</v>
      </c>
      <c r="B492" s="1">
        <v>2022</v>
      </c>
      <c r="C492" s="7">
        <v>44721</v>
      </c>
      <c r="D492" s="1" t="s">
        <v>756</v>
      </c>
      <c r="E492" s="1" t="s">
        <v>757</v>
      </c>
      <c r="F492" s="1" t="s">
        <v>39</v>
      </c>
      <c r="G492" s="1" t="s">
        <v>785</v>
      </c>
      <c r="H492" s="1" t="s">
        <v>706</v>
      </c>
      <c r="I492" s="1" t="s">
        <v>17</v>
      </c>
      <c r="J492" s="1">
        <v>70.367999999999995</v>
      </c>
      <c r="K492" s="1">
        <v>2</v>
      </c>
      <c r="L492" s="5">
        <f t="shared" si="7"/>
        <v>140.73599999999999</v>
      </c>
    </row>
    <row r="493" spans="1:12" x14ac:dyDescent="0.25">
      <c r="A493" s="1" t="s">
        <v>1005</v>
      </c>
      <c r="B493" s="1">
        <v>2022</v>
      </c>
      <c r="C493" s="7">
        <v>44818</v>
      </c>
      <c r="D493" s="1" t="s">
        <v>760</v>
      </c>
      <c r="E493" s="1" t="s">
        <v>167</v>
      </c>
      <c r="F493" s="1" t="s">
        <v>59</v>
      </c>
      <c r="G493" s="1" t="s">
        <v>774</v>
      </c>
      <c r="H493" s="1" t="s">
        <v>761</v>
      </c>
      <c r="I493" s="1" t="s">
        <v>17</v>
      </c>
      <c r="J493" s="1">
        <v>449.15</v>
      </c>
      <c r="K493" s="1">
        <v>5</v>
      </c>
      <c r="L493" s="5">
        <f t="shared" si="7"/>
        <v>2245.75</v>
      </c>
    </row>
    <row r="494" spans="1:12" x14ac:dyDescent="0.25">
      <c r="A494" s="1" t="s">
        <v>1005</v>
      </c>
      <c r="B494" s="1">
        <v>2022</v>
      </c>
      <c r="C494" s="7">
        <v>44818</v>
      </c>
      <c r="D494" s="1" t="s">
        <v>760</v>
      </c>
      <c r="E494" s="1" t="s">
        <v>167</v>
      </c>
      <c r="F494" s="1" t="s">
        <v>59</v>
      </c>
      <c r="G494" s="1" t="s">
        <v>774</v>
      </c>
      <c r="H494" s="1" t="s">
        <v>762</v>
      </c>
      <c r="I494" s="1" t="s">
        <v>17</v>
      </c>
      <c r="J494" s="1">
        <v>11.07</v>
      </c>
      <c r="K494" s="1">
        <v>3</v>
      </c>
      <c r="L494" s="5">
        <f t="shared" si="7"/>
        <v>33.21</v>
      </c>
    </row>
    <row r="495" spans="1:12" x14ac:dyDescent="0.25">
      <c r="A495" s="1" t="s">
        <v>1006</v>
      </c>
      <c r="B495" s="1">
        <v>2023</v>
      </c>
      <c r="C495" s="7">
        <v>45055</v>
      </c>
      <c r="D495" s="1" t="s">
        <v>763</v>
      </c>
      <c r="E495" s="1" t="s">
        <v>35</v>
      </c>
      <c r="F495" s="1" t="s">
        <v>15</v>
      </c>
      <c r="G495" s="1" t="s">
        <v>779</v>
      </c>
      <c r="H495" s="1" t="s">
        <v>764</v>
      </c>
      <c r="I495" s="1" t="s">
        <v>26</v>
      </c>
      <c r="J495" s="1">
        <v>93.98</v>
      </c>
      <c r="K495" s="1">
        <v>2</v>
      </c>
      <c r="L495" s="5">
        <f t="shared" si="7"/>
        <v>187.96</v>
      </c>
    </row>
    <row r="496" spans="1:12" x14ac:dyDescent="0.25">
      <c r="A496" s="1" t="s">
        <v>1007</v>
      </c>
      <c r="B496" s="1">
        <v>2023</v>
      </c>
      <c r="C496" s="7">
        <v>45003</v>
      </c>
      <c r="D496" s="1" t="s">
        <v>765</v>
      </c>
      <c r="E496" s="1" t="s">
        <v>143</v>
      </c>
      <c r="F496" s="1" t="s">
        <v>9</v>
      </c>
      <c r="G496" s="1" t="s">
        <v>344</v>
      </c>
      <c r="H496" s="1" t="s">
        <v>766</v>
      </c>
      <c r="I496" s="1" t="s">
        <v>11</v>
      </c>
      <c r="J496" s="1">
        <v>189.88200000000001</v>
      </c>
      <c r="K496" s="1">
        <v>3</v>
      </c>
      <c r="L496" s="5">
        <f t="shared" si="7"/>
        <v>569.64599999999996</v>
      </c>
    </row>
    <row r="497" spans="1:12" x14ac:dyDescent="0.25">
      <c r="A497" s="1" t="s">
        <v>1008</v>
      </c>
      <c r="B497" s="1">
        <v>2022</v>
      </c>
      <c r="C497" s="7">
        <v>44922</v>
      </c>
      <c r="D497" s="1" t="s">
        <v>767</v>
      </c>
      <c r="E497" s="1" t="s">
        <v>768</v>
      </c>
      <c r="F497" s="1" t="s">
        <v>9</v>
      </c>
      <c r="G497" s="1" t="s">
        <v>344</v>
      </c>
      <c r="H497" s="1" t="s">
        <v>769</v>
      </c>
      <c r="I497" s="1" t="s">
        <v>17</v>
      </c>
      <c r="J497" s="1">
        <v>105.42</v>
      </c>
      <c r="K497" s="1">
        <v>2</v>
      </c>
      <c r="L497" s="5">
        <f t="shared" si="7"/>
        <v>210.84</v>
      </c>
    </row>
    <row r="498" spans="1:12" x14ac:dyDescent="0.25">
      <c r="A498" s="1" t="s">
        <v>1009</v>
      </c>
      <c r="B498" s="1">
        <v>2023</v>
      </c>
      <c r="C498" s="7">
        <v>45132</v>
      </c>
      <c r="D498" s="1" t="s">
        <v>714</v>
      </c>
      <c r="E498" s="1" t="s">
        <v>770</v>
      </c>
      <c r="F498" s="1" t="s">
        <v>15</v>
      </c>
      <c r="G498" s="1" t="s">
        <v>779</v>
      </c>
      <c r="H498" s="1" t="s">
        <v>771</v>
      </c>
      <c r="I498" s="1" t="s">
        <v>17</v>
      </c>
      <c r="J498" s="1">
        <v>119.61600000000001</v>
      </c>
      <c r="K498" s="1">
        <v>8</v>
      </c>
      <c r="L498" s="5">
        <f t="shared" si="7"/>
        <v>956.92800000000011</v>
      </c>
    </row>
    <row r="499" spans="1:12" x14ac:dyDescent="0.25">
      <c r="A499" s="1" t="s">
        <v>1009</v>
      </c>
      <c r="B499" s="1">
        <v>2023</v>
      </c>
      <c r="C499" s="7">
        <v>45132</v>
      </c>
      <c r="D499" s="1" t="s">
        <v>714</v>
      </c>
      <c r="E499" s="1" t="s">
        <v>770</v>
      </c>
      <c r="F499" s="1" t="s">
        <v>15</v>
      </c>
      <c r="G499" s="1" t="s">
        <v>779</v>
      </c>
      <c r="H499" s="1" t="s">
        <v>772</v>
      </c>
      <c r="I499" s="1" t="s">
        <v>11</v>
      </c>
      <c r="J499" s="1">
        <v>255.76</v>
      </c>
      <c r="K499" s="1">
        <v>4</v>
      </c>
      <c r="L499" s="5">
        <f t="shared" si="7"/>
        <v>1023.04</v>
      </c>
    </row>
    <row r="500" spans="1:12" x14ac:dyDescent="0.25">
      <c r="A500" s="1" t="s">
        <v>1009</v>
      </c>
      <c r="B500" s="1">
        <v>2023</v>
      </c>
      <c r="C500" s="7">
        <v>45132</v>
      </c>
      <c r="D500" s="1" t="s">
        <v>714</v>
      </c>
      <c r="E500" s="1" t="s">
        <v>770</v>
      </c>
      <c r="F500" s="1" t="s">
        <v>15</v>
      </c>
      <c r="G500" s="1" t="s">
        <v>779</v>
      </c>
      <c r="H500" s="1" t="s">
        <v>526</v>
      </c>
      <c r="I500" s="1" t="s">
        <v>11</v>
      </c>
      <c r="J500" s="1">
        <v>241.56799999999998</v>
      </c>
      <c r="K500" s="1">
        <v>2</v>
      </c>
      <c r="L500" s="5">
        <f t="shared" si="7"/>
        <v>483.13599999999997</v>
      </c>
    </row>
    <row r="501" spans="1:12" x14ac:dyDescent="0.25">
      <c r="A501" s="1" t="s">
        <v>1009</v>
      </c>
      <c r="B501" s="1">
        <v>2023</v>
      </c>
      <c r="C501" s="7">
        <v>45132</v>
      </c>
      <c r="D501" s="1" t="s">
        <v>714</v>
      </c>
      <c r="E501" s="1" t="s">
        <v>770</v>
      </c>
      <c r="F501" s="1" t="s">
        <v>15</v>
      </c>
      <c r="G501" s="1" t="s">
        <v>779</v>
      </c>
      <c r="H501" s="1" t="s">
        <v>773</v>
      </c>
      <c r="I501" s="1" t="s">
        <v>11</v>
      </c>
      <c r="J501" s="1">
        <v>69.3</v>
      </c>
      <c r="K501" s="1">
        <v>9</v>
      </c>
      <c r="L501" s="5">
        <f t="shared" si="7"/>
        <v>623.69999999999993</v>
      </c>
    </row>
    <row r="502" spans="1:12" x14ac:dyDescent="0.25">
      <c r="L502" s="5">
        <f t="shared" si="7"/>
        <v>0</v>
      </c>
    </row>
    <row r="504" spans="1:12" x14ac:dyDescent="0.25">
      <c r="J504" s="1">
        <f>AVERAGE(J311:J314)</f>
        <v>125.85000000000002</v>
      </c>
    </row>
  </sheetData>
  <autoFilter ref="E1:E502" xr:uid="{EB11F2B8-D670-4EDA-A086-4CB30F7826A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5AB5-2DEB-4352-A709-0FA3516B615B}">
  <dimension ref="A7:N9"/>
  <sheetViews>
    <sheetView showGridLines="0" workbookViewId="0">
      <selection activeCell="G21" sqref="G21"/>
    </sheetView>
  </sheetViews>
  <sheetFormatPr defaultRowHeight="15" x14ac:dyDescent="0.25"/>
  <cols>
    <col min="1" max="1" width="3.375" style="3" customWidth="1"/>
    <col min="2" max="2" width="5.125" style="3" customWidth="1"/>
    <col min="3" max="3" width="9.375" customWidth="1"/>
  </cols>
  <sheetData>
    <row r="7" spans="4:14" x14ac:dyDescent="0.25">
      <c r="D7" s="4" t="s">
        <v>1013</v>
      </c>
      <c r="E7" s="4"/>
      <c r="F7" s="4"/>
      <c r="G7" s="4"/>
      <c r="H7" s="4"/>
      <c r="I7" s="4"/>
      <c r="J7" s="4"/>
      <c r="K7" s="4"/>
      <c r="L7" s="4"/>
      <c r="M7" s="4"/>
      <c r="N7" s="4"/>
    </row>
    <row r="9" spans="4:14" x14ac:dyDescent="0.25">
      <c r="D9" s="4" t="s">
        <v>0</v>
      </c>
      <c r="E9" s="4"/>
      <c r="F9" s="4"/>
    </row>
  </sheetData>
  <hyperlinks>
    <hyperlink ref="D7" r:id="rId1" display="Синтаксис и применение функций ссылок и массивов из официального источника" xr:uid="{D17CFD40-8FB7-4BBD-8461-660396C6CE0A}"/>
    <hyperlink ref="D9" r:id="rId2" xr:uid="{BEEB1948-575C-4E08-B388-C5A65CF3B161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7693B-4ABE-4C86-A927-EB6D336652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Тема урока</vt:lpstr>
      <vt:lpstr>Выполнить</vt:lpstr>
      <vt:lpstr>Sales</vt:lpstr>
      <vt:lpstr>Справка</vt:lpstr>
      <vt:lpstr>Выполнить!Извлечь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2026-03-31T07:32:20Z</dcterms:modified>
</cp:coreProperties>
</file>