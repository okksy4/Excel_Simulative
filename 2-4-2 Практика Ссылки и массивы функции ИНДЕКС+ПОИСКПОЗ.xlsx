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я\учеба\Simulative\Simulative BI\Excel\"/>
    </mc:Choice>
  </mc:AlternateContent>
  <xr:revisionPtr revIDLastSave="0" documentId="13_ncr:1_{132407FA-A934-44FA-BA72-7D0D1EEC0BD2}" xr6:coauthVersionLast="37" xr6:coauthVersionMax="47" xr10:uidLastSave="{00000000-0000-0000-0000-000000000000}"/>
  <bookViews>
    <workbookView xWindow="0" yWindow="0" windowWidth="28800" windowHeight="11910" tabRatio="737" activeTab="1" xr2:uid="{BE275577-B430-4DCB-AA1E-9DF443D9D709}"/>
  </bookViews>
  <sheets>
    <sheet name="Тема урока" sheetId="16" r:id="rId1"/>
    <sheet name="Выполнить" sheetId="17" r:id="rId2"/>
    <sheet name="Отчет" sheetId="21" r:id="rId3"/>
    <sheet name="Справка" sheetId="3" r:id="rId4"/>
  </sheets>
  <definedNames>
    <definedName name="_xlnm._FilterDatabase" localSheetId="2" hidden="1">Отчет!$E$3:$K$603</definedName>
    <definedName name="Срез_Месяц">#N/A</definedName>
  </definedNames>
  <calcPr calcId="179021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7" l="1"/>
  <c r="H9" i="17"/>
  <c r="I9" i="17"/>
  <c r="H10" i="17"/>
  <c r="I10" i="17"/>
  <c r="H11" i="17"/>
  <c r="I11" i="17"/>
  <c r="H12" i="17"/>
  <c r="I12" i="17"/>
  <c r="H13" i="17"/>
  <c r="I13" i="17"/>
  <c r="H14" i="17"/>
  <c r="I14" i="17"/>
  <c r="H15" i="17"/>
  <c r="I15" i="17"/>
  <c r="H16" i="17"/>
  <c r="I16" i="17"/>
  <c r="H17" i="17"/>
  <c r="I17" i="17"/>
  <c r="H18" i="17"/>
  <c r="I18" i="17"/>
  <c r="H19" i="17"/>
  <c r="I19" i="17"/>
  <c r="H20" i="17"/>
  <c r="I20" i="17"/>
  <c r="G10" i="17"/>
  <c r="G11" i="17"/>
  <c r="G12" i="17"/>
  <c r="G13" i="17"/>
  <c r="G14" i="17"/>
  <c r="G15" i="17"/>
  <c r="G16" i="17"/>
  <c r="G17" i="17"/>
  <c r="G18" i="17"/>
  <c r="G19" i="17"/>
  <c r="G20" i="17"/>
  <c r="G9" i="17"/>
  <c r="AJ613" i="21" l="1"/>
  <c r="AK4" i="21" s="1"/>
  <c r="AI613" i="21"/>
  <c r="AJ4" i="21" s="1"/>
  <c r="AK613" i="21"/>
  <c r="AL4" i="21" s="1"/>
  <c r="BI7" i="17"/>
  <c r="BJ7" i="17"/>
  <c r="BI8" i="17"/>
  <c r="BJ8" i="17"/>
  <c r="BI9" i="17"/>
  <c r="BJ9" i="17"/>
  <c r="BI10" i="17"/>
  <c r="BJ10" i="17"/>
  <c r="BI11" i="17"/>
  <c r="BJ11" i="17"/>
  <c r="BI12" i="17"/>
  <c r="BJ12" i="17"/>
  <c r="BI13" i="17"/>
  <c r="BJ13" i="17"/>
  <c r="BI14" i="17"/>
  <c r="BJ14" i="17"/>
  <c r="BI15" i="17"/>
  <c r="BJ15" i="17"/>
  <c r="BI16" i="17"/>
  <c r="BJ16" i="17"/>
  <c r="BI17" i="17"/>
  <c r="BJ17" i="17"/>
  <c r="BI18" i="17"/>
  <c r="BJ18" i="17"/>
  <c r="BH8" i="17"/>
  <c r="BH9" i="17"/>
  <c r="BH10" i="17"/>
  <c r="BH11" i="17"/>
  <c r="BH12" i="17"/>
  <c r="BH13" i="17"/>
  <c r="BH14" i="17"/>
  <c r="BH15" i="17"/>
  <c r="BH16" i="17"/>
  <c r="BH17" i="17"/>
  <c r="BH18" i="17"/>
  <c r="BH7" i="17"/>
  <c r="AH10" i="17"/>
  <c r="BN11" i="17" l="1"/>
</calcChain>
</file>

<file path=xl/sharedStrings.xml><?xml version="1.0" encoding="utf-8"?>
<sst xmlns="http://schemas.openxmlformats.org/spreadsheetml/2006/main" count="3673" uniqueCount="669">
  <si>
    <t>Синтаксис и применение функций ссылок и массивов из официального источника</t>
  </si>
  <si>
    <t>prtrjg8mf</t>
  </si>
  <si>
    <t>prtr9jqee</t>
  </si>
  <si>
    <t>prtr5veu2</t>
  </si>
  <si>
    <t>prtrczb25</t>
  </si>
  <si>
    <t>prtrmec8l</t>
  </si>
  <si>
    <t>prtrjzevz</t>
  </si>
  <si>
    <t>prtrw46hw</t>
  </si>
  <si>
    <t>prtrx3a6r</t>
  </si>
  <si>
    <t>prtr2fs62</t>
  </si>
  <si>
    <t>prtrvgnnm</t>
  </si>
  <si>
    <t>prtrpfaf0</t>
  </si>
  <si>
    <t>prtr99kmo</t>
  </si>
  <si>
    <t>prtri0a5u</t>
  </si>
  <si>
    <t>prtrijxhk</t>
  </si>
  <si>
    <t>prtru1gpg</t>
  </si>
  <si>
    <t>prtr7q54o</t>
  </si>
  <si>
    <t>prtrbndgy</t>
  </si>
  <si>
    <t>prtrgokwu</t>
  </si>
  <si>
    <t>prtrap61y</t>
  </si>
  <si>
    <t>prtr6is7y</t>
  </si>
  <si>
    <t>prtr5li23</t>
  </si>
  <si>
    <t>prtrq48d6</t>
  </si>
  <si>
    <t>prtrsyyx1</t>
  </si>
  <si>
    <t>prtrhmrcl</t>
  </si>
  <si>
    <t>prtrkvy0u</t>
  </si>
  <si>
    <t>prtrbmh6t</t>
  </si>
  <si>
    <t>prtrv9tw5</t>
  </si>
  <si>
    <t>prtr3r0ii</t>
  </si>
  <si>
    <t>prtr17gzd</t>
  </si>
  <si>
    <t>prtryfr9r</t>
  </si>
  <si>
    <t>prtrzv8wc</t>
  </si>
  <si>
    <t>prtr18c9h</t>
  </si>
  <si>
    <t>prtrt39ag</t>
  </si>
  <si>
    <t>prtrxtdf1</t>
  </si>
  <si>
    <t>prtr6jph3</t>
  </si>
  <si>
    <t>prtr00z3s</t>
  </si>
  <si>
    <t>prtrx2dwv</t>
  </si>
  <si>
    <t>prtr701wd</t>
  </si>
  <si>
    <t>prtrxih4w</t>
  </si>
  <si>
    <t>prtrb4y7e</t>
  </si>
  <si>
    <t>prtr22ttc</t>
  </si>
  <si>
    <t>prtriraoa</t>
  </si>
  <si>
    <t>prtrq3b31</t>
  </si>
  <si>
    <t>prtrxa7nc</t>
  </si>
  <si>
    <t>prtrjnlt5</t>
  </si>
  <si>
    <t>prtr5kls8</t>
  </si>
  <si>
    <t>prtrvfqdh</t>
  </si>
  <si>
    <t>prtru0tfb</t>
  </si>
  <si>
    <t>prtrcbe4z</t>
  </si>
  <si>
    <t>prtr4p7x8</t>
  </si>
  <si>
    <t>id_prtr</t>
  </si>
  <si>
    <t>id_cmpgn</t>
  </si>
  <si>
    <t>7536deca309a</t>
  </si>
  <si>
    <t>d1aaa9bf0482</t>
  </si>
  <si>
    <t>96afc95efd12</t>
  </si>
  <si>
    <t>e9833306f49b</t>
  </si>
  <si>
    <t>f3df42649379</t>
  </si>
  <si>
    <t>fea36b22c7f4</t>
  </si>
  <si>
    <t>39fe9812bfb2</t>
  </si>
  <si>
    <t>26b9f2986f37</t>
  </si>
  <si>
    <t>7cfcb4c3115e</t>
  </si>
  <si>
    <t>81e231fccb15</t>
  </si>
  <si>
    <t>44026375c796</t>
  </si>
  <si>
    <t>5fe6b74bb508</t>
  </si>
  <si>
    <t>615eaaebbc6c</t>
  </si>
  <si>
    <t>ff9070b12c6f</t>
  </si>
  <si>
    <t>b27746d730de</t>
  </si>
  <si>
    <t>078d4fa15ab6</t>
  </si>
  <si>
    <t>8814b359d5d8</t>
  </si>
  <si>
    <t>bd5855a49924</t>
  </si>
  <si>
    <t>2e36ca7b21d3</t>
  </si>
  <si>
    <t>29778b3d3839</t>
  </si>
  <si>
    <t>b90884d71b53</t>
  </si>
  <si>
    <t>8a61836557d9</t>
  </si>
  <si>
    <t>c8014b4f1a4d</t>
  </si>
  <si>
    <t>4edd3bb04344</t>
  </si>
  <si>
    <t>0e69aa187afb</t>
  </si>
  <si>
    <t>8c78acd1d0fc</t>
  </si>
  <si>
    <t>2a7897292d54</t>
  </si>
  <si>
    <t>43154a7caf30</t>
  </si>
  <si>
    <t>fe78c0249032</t>
  </si>
  <si>
    <t>af82fca66ddf</t>
  </si>
  <si>
    <t>7d2bfb3b8ccd</t>
  </si>
  <si>
    <t>8f47cc8df66d</t>
  </si>
  <si>
    <t>e513e5acc113</t>
  </si>
  <si>
    <t>c0d5d5e67bfb</t>
  </si>
  <si>
    <t>e206f447810e</t>
  </si>
  <si>
    <t>51d7eac6f56d</t>
  </si>
  <si>
    <t>f1d4ef483c1e</t>
  </si>
  <si>
    <t>102bec00f3e6</t>
  </si>
  <si>
    <t>3a3aaea5785b</t>
  </si>
  <si>
    <t>60300685f57f</t>
  </si>
  <si>
    <t>22a59c15203c</t>
  </si>
  <si>
    <t>3584a972f778</t>
  </si>
  <si>
    <t>3e8608162ef9</t>
  </si>
  <si>
    <t>74f65e7a3067</t>
  </si>
  <si>
    <t>080d7120925d</t>
  </si>
  <si>
    <t>2824ceee7676</t>
  </si>
  <si>
    <t>1def4230810c</t>
  </si>
  <si>
    <t>f3256f08f62e</t>
  </si>
  <si>
    <t>b943a404d9f8</t>
  </si>
  <si>
    <t>663ff4f63e3b</t>
  </si>
  <si>
    <t>572b13a37d6b</t>
  </si>
  <si>
    <t>3d798328e02d</t>
  </si>
  <si>
    <t>9dae15b5e6dd</t>
  </si>
  <si>
    <t>b561baccc615</t>
  </si>
  <si>
    <t>b3bc3b8f8942</t>
  </si>
  <si>
    <t>5141e4064325</t>
  </si>
  <si>
    <t>0fd0ea99bbbc</t>
  </si>
  <si>
    <t>49a842905d3c</t>
  </si>
  <si>
    <t>5fbde9d79df2</t>
  </si>
  <si>
    <t>ad7eb5be4332</t>
  </si>
  <si>
    <t>940788a3e0bc</t>
  </si>
  <si>
    <t>7343e3387885</t>
  </si>
  <si>
    <t>bc49b04a1bb9</t>
  </si>
  <si>
    <t>7d572fc74a7d</t>
  </si>
  <si>
    <t>822c90091447</t>
  </si>
  <si>
    <t>7ac6b6f28d46</t>
  </si>
  <si>
    <t>efcddbb82344</t>
  </si>
  <si>
    <t>2a0267b70c61</t>
  </si>
  <si>
    <t>bac83115f44b</t>
  </si>
  <si>
    <t>7521bb3e25e4</t>
  </si>
  <si>
    <t>66488b96032a</t>
  </si>
  <si>
    <t>d7d3f3e6dd25</t>
  </si>
  <si>
    <t>6e5af29a6ca5</t>
  </si>
  <si>
    <t>959c35000d39</t>
  </si>
  <si>
    <t>3515817bb3da</t>
  </si>
  <si>
    <t>de43c8b27051</t>
  </si>
  <si>
    <t>a5df8232aadc</t>
  </si>
  <si>
    <t>cd7e58cf0e36</t>
  </si>
  <si>
    <t>df11e30f20d9</t>
  </si>
  <si>
    <t>63e7cad482e1</t>
  </si>
  <si>
    <t>c74d4d0edd20</t>
  </si>
  <si>
    <t>a8b1a25cd7c2</t>
  </si>
  <si>
    <t>15d2b7e6d03e</t>
  </si>
  <si>
    <t>72c70ac6159e</t>
  </si>
  <si>
    <t>e52b88b3fa3c</t>
  </si>
  <si>
    <t>0b948b4c9e2a</t>
  </si>
  <si>
    <t>a632d563c5f7</t>
  </si>
  <si>
    <t>836921e8c234</t>
  </si>
  <si>
    <t>c8e65cf0b4c2</t>
  </si>
  <si>
    <t>7016bb84012b</t>
  </si>
  <si>
    <t>f2d0a792280d</t>
  </si>
  <si>
    <t>f1e2c2f8e3de</t>
  </si>
  <si>
    <t>48c0f63e9c3b</t>
  </si>
  <si>
    <t>dd3f7691b695</t>
  </si>
  <si>
    <t>f040038e80cf</t>
  </si>
  <si>
    <t>48c493b28756</t>
  </si>
  <si>
    <t>0d918d3477e0</t>
  </si>
  <si>
    <t>e78d5b35cec2</t>
  </si>
  <si>
    <t>b2065b997df0</t>
  </si>
  <si>
    <t>c626413290cc</t>
  </si>
  <si>
    <t>7feca5f8c5bd</t>
  </si>
  <si>
    <t>158eb29c43a8</t>
  </si>
  <si>
    <t>cd445e9c5b9c</t>
  </si>
  <si>
    <t>1cbde09c7567</t>
  </si>
  <si>
    <t>fe498115909f</t>
  </si>
  <si>
    <t>9a808c55a887</t>
  </si>
  <si>
    <t>7ca197e7a378</t>
  </si>
  <si>
    <t>6991305c5e23</t>
  </si>
  <si>
    <t>7b05290e950d</t>
  </si>
  <si>
    <t>dac11287d6d8</t>
  </si>
  <si>
    <t>741f5b90384e</t>
  </si>
  <si>
    <t>6f9cb8315a52</t>
  </si>
  <si>
    <t>1217251bc71d</t>
  </si>
  <si>
    <t>965473dafe87</t>
  </si>
  <si>
    <t>0fc1be80ae9e</t>
  </si>
  <si>
    <t>1a8f1a79a010</t>
  </si>
  <si>
    <t>423097d88d57</t>
  </si>
  <si>
    <t>502365b0ca06</t>
  </si>
  <si>
    <t>d80c5d3c92aa</t>
  </si>
  <si>
    <t>45e5a9e51539</t>
  </si>
  <si>
    <t>ddab8b7c5650</t>
  </si>
  <si>
    <t>0981a5024f2e</t>
  </si>
  <si>
    <t>41e5a5dd773f</t>
  </si>
  <si>
    <t>3c37b5f1fdd4</t>
  </si>
  <si>
    <t>94b8ad164d8b</t>
  </si>
  <si>
    <t>6127f59ea692</t>
  </si>
  <si>
    <t>68dd7769e6da</t>
  </si>
  <si>
    <t>512e957f7a55</t>
  </si>
  <si>
    <t>c53418043ee7</t>
  </si>
  <si>
    <t>9895cf860a44</t>
  </si>
  <si>
    <t>ff0d212eddce</t>
  </si>
  <si>
    <t>bdaa9db4eee2</t>
  </si>
  <si>
    <t>95a3b2ea1842</t>
  </si>
  <si>
    <t>b14d351598ee</t>
  </si>
  <si>
    <t>668524dde044</t>
  </si>
  <si>
    <t>22213a75566e</t>
  </si>
  <si>
    <t>c2aa257f866e</t>
  </si>
  <si>
    <t>662b5a9315cb</t>
  </si>
  <si>
    <t>12b5c6d80a97</t>
  </si>
  <si>
    <t>e0ea514c91b7</t>
  </si>
  <si>
    <t>60726b8f3905</t>
  </si>
  <si>
    <t>e02b48f33173</t>
  </si>
  <si>
    <t>5cbecbafa7a0</t>
  </si>
  <si>
    <t>69d3f00ee89c</t>
  </si>
  <si>
    <t>20b5ccda09fd</t>
  </si>
  <si>
    <t>9fe33e4bffd2</t>
  </si>
  <si>
    <t>00a009c7d1e4</t>
  </si>
  <si>
    <t>5fd99f3944da</t>
  </si>
  <si>
    <t>186d2c602254</t>
  </si>
  <si>
    <t>ea16e35bf453</t>
  </si>
  <si>
    <t>b3576c46278a</t>
  </si>
  <si>
    <t>75e0585dbf7d</t>
  </si>
  <si>
    <t>eccac943b7e5</t>
  </si>
  <si>
    <t>c273c3ce4eb4</t>
  </si>
  <si>
    <t>c9a61df5037c</t>
  </si>
  <si>
    <t>11ce03e0d401</t>
  </si>
  <si>
    <t>61398c0c8723</t>
  </si>
  <si>
    <t>eb85330a4b1b</t>
  </si>
  <si>
    <t>71b8e5e08b49</t>
  </si>
  <si>
    <t>08b68ebb9a91</t>
  </si>
  <si>
    <t>d9e41d12d504</t>
  </si>
  <si>
    <t>9c764cc7e1c0</t>
  </si>
  <si>
    <t>61bd4a923f2f</t>
  </si>
  <si>
    <t>76defd8e213f</t>
  </si>
  <si>
    <t>68b9244b4cbb</t>
  </si>
  <si>
    <t>e58f257e01c0</t>
  </si>
  <si>
    <t>c85e9a43d743</t>
  </si>
  <si>
    <t>4c097108a796</t>
  </si>
  <si>
    <t>f0a06d2cefd5</t>
  </si>
  <si>
    <t>c817a8749a98</t>
  </si>
  <si>
    <t>e982121404ec</t>
  </si>
  <si>
    <t>fe34f80ee61c</t>
  </si>
  <si>
    <t>ec4475943453</t>
  </si>
  <si>
    <t>a4464414018a</t>
  </si>
  <si>
    <t>fc0bd9585f57</t>
  </si>
  <si>
    <t>c85ef8afd7f8</t>
  </si>
  <si>
    <t>4388c619eec9</t>
  </si>
  <si>
    <t>79ca41e5c6d8</t>
  </si>
  <si>
    <t>aaede34f0689</t>
  </si>
  <si>
    <t>824818c49b4d</t>
  </si>
  <si>
    <t>32e1345abda2</t>
  </si>
  <si>
    <t>87b6fb80d932</t>
  </si>
  <si>
    <t>44a3f15b2ed8</t>
  </si>
  <si>
    <t>849064feaa1a</t>
  </si>
  <si>
    <t>d870d66ed71d</t>
  </si>
  <si>
    <t>9ecbee996123</t>
  </si>
  <si>
    <t>34d4ffef7541</t>
  </si>
  <si>
    <t>5a63aa8baaf9</t>
  </si>
  <si>
    <t>682709bbe651</t>
  </si>
  <si>
    <t>01dbf8bf5b72</t>
  </si>
  <si>
    <t>22d92c327199</t>
  </si>
  <si>
    <t>87f6deaae2d1</t>
  </si>
  <si>
    <t>55c99ff58c1c</t>
  </si>
  <si>
    <t>1c409e7247d5</t>
  </si>
  <si>
    <t>f8fd2fa0c6ec</t>
  </si>
  <si>
    <t>56417ca60549</t>
  </si>
  <si>
    <t>333bbe897839</t>
  </si>
  <si>
    <t>0cd06cf5c4b3</t>
  </si>
  <si>
    <t>47301272efda</t>
  </si>
  <si>
    <t>91e1132d9e4f</t>
  </si>
  <si>
    <t>85fdeee8746a</t>
  </si>
  <si>
    <t>9d3b7027d4e5</t>
  </si>
  <si>
    <t>798f0c5e5bd9</t>
  </si>
  <si>
    <t>dfa6bc773676</t>
  </si>
  <si>
    <t>ea7a4d5b66f2</t>
  </si>
  <si>
    <t>8bb7925318ac</t>
  </si>
  <si>
    <t>bdb6f18f74f9</t>
  </si>
  <si>
    <t>558b2ec8cb8e</t>
  </si>
  <si>
    <t>5d7dd87a8cba</t>
  </si>
  <si>
    <t>d572e53fba1b</t>
  </si>
  <si>
    <t>8f8c62aee404</t>
  </si>
  <si>
    <t>f1419ce32783</t>
  </si>
  <si>
    <t>1c6afcfaf4d4</t>
  </si>
  <si>
    <t>d1969a1288b9</t>
  </si>
  <si>
    <t>1ad15b46a99d</t>
  </si>
  <si>
    <t>b003dd258c93</t>
  </si>
  <si>
    <t>c5d40b9ffca7</t>
  </si>
  <si>
    <t>d1eb10b33e1d</t>
  </si>
  <si>
    <t>304795dbd951</t>
  </si>
  <si>
    <t>1fda00361f67</t>
  </si>
  <si>
    <t>ea6ab1cdff46</t>
  </si>
  <si>
    <t>1450f32f6215</t>
  </si>
  <si>
    <t>dde8ee1dea4d</t>
  </si>
  <si>
    <t>c8a3caa8d833</t>
  </si>
  <si>
    <t>82e443cb0eec</t>
  </si>
  <si>
    <t>c3a2a61905ec</t>
  </si>
  <si>
    <t>13cb84c5dbbc</t>
  </si>
  <si>
    <t>8e1f4c27c9de</t>
  </si>
  <si>
    <t>6c58998abb46</t>
  </si>
  <si>
    <t>9bee96c189b0</t>
  </si>
  <si>
    <t>402b4b4a884b</t>
  </si>
  <si>
    <t>f04634dcea1e</t>
  </si>
  <si>
    <t>86c0f3bed35f</t>
  </si>
  <si>
    <t>1fe5fdf72334</t>
  </si>
  <si>
    <t>50947c3547cd</t>
  </si>
  <si>
    <t>d897cff72e5d</t>
  </si>
  <si>
    <t>f8c8c1263595</t>
  </si>
  <si>
    <t>af19cb1097e5</t>
  </si>
  <si>
    <t>1111ee8cc548</t>
  </si>
  <si>
    <t>08dbf3e5f574</t>
  </si>
  <si>
    <t>b4df895f63ee</t>
  </si>
  <si>
    <t>b2c764993f44</t>
  </si>
  <si>
    <t>c8f7ad192682</t>
  </si>
  <si>
    <t>072665187f71</t>
  </si>
  <si>
    <t>5a5bac96e222</t>
  </si>
  <si>
    <t>765d81dd76ff</t>
  </si>
  <si>
    <t>d6cf82d6b89d</t>
  </si>
  <si>
    <t>e62717e973fd</t>
  </si>
  <si>
    <t>04af38cdf3ed</t>
  </si>
  <si>
    <t>7ade8916d5f8</t>
  </si>
  <si>
    <t>c650b223c70f</t>
  </si>
  <si>
    <t>43d25410e413</t>
  </si>
  <si>
    <t>b9237cc57ce8</t>
  </si>
  <si>
    <t>8e773aaad328</t>
  </si>
  <si>
    <t>5989505a0283</t>
  </si>
  <si>
    <t>d64d2f9de9b8</t>
  </si>
  <si>
    <t>4f84dbe73e58</t>
  </si>
  <si>
    <t>98541e947f3e</t>
  </si>
  <si>
    <t>2d5fcf4add20</t>
  </si>
  <si>
    <t>40cbae7ecb07</t>
  </si>
  <si>
    <t>735503534afc</t>
  </si>
  <si>
    <t>571aba63c1c5</t>
  </si>
  <si>
    <t>c71825fa72a1</t>
  </si>
  <si>
    <t>83f9b73408dd</t>
  </si>
  <si>
    <t>04a5817aa96b</t>
  </si>
  <si>
    <t>50904ff0ee30</t>
  </si>
  <si>
    <t>0f0db08ef840</t>
  </si>
  <si>
    <t>513f9e16a72e</t>
  </si>
  <si>
    <t>24831c9c328f</t>
  </si>
  <si>
    <t>8cadc39c5f06</t>
  </si>
  <si>
    <t>56cda223ccf7</t>
  </si>
  <si>
    <t>0735a0d73046</t>
  </si>
  <si>
    <t>560209e462de</t>
  </si>
  <si>
    <t>9e19c4a14337</t>
  </si>
  <si>
    <t>a0bb11cf5989</t>
  </si>
  <si>
    <t>825be1e0dd58</t>
  </si>
  <si>
    <t>9e13810eac50</t>
  </si>
  <si>
    <t>6198e6dcb80d</t>
  </si>
  <si>
    <t>ba53dfdd98dd</t>
  </si>
  <si>
    <t>8817e15eee43</t>
  </si>
  <si>
    <t>87da50f1ad58</t>
  </si>
  <si>
    <t>2470f4b54c4a</t>
  </si>
  <si>
    <t>140c24138024</t>
  </si>
  <si>
    <t>3c9302888797</t>
  </si>
  <si>
    <t>27c3c87f05c1</t>
  </si>
  <si>
    <t>f4b052253d51</t>
  </si>
  <si>
    <t>fca43c0af07e</t>
  </si>
  <si>
    <t>7b66d300a8f2</t>
  </si>
  <si>
    <t>1be723cd4fa0</t>
  </si>
  <si>
    <t>d1938a46d8b9</t>
  </si>
  <si>
    <t>8b354e17caaa</t>
  </si>
  <si>
    <t>46e67c28971d</t>
  </si>
  <si>
    <t>cd5aaa3a5486</t>
  </si>
  <si>
    <t>79864b463203</t>
  </si>
  <si>
    <t>770e5e1eed4b</t>
  </si>
  <si>
    <t>acd7c08d1459</t>
  </si>
  <si>
    <t>3a459f9920b3</t>
  </si>
  <si>
    <t>dc4acbbc4a73</t>
  </si>
  <si>
    <t>57d2ff51d1d3</t>
  </si>
  <si>
    <t>5def12e7b454</t>
  </si>
  <si>
    <t>f9e8b5bf965b</t>
  </si>
  <si>
    <t>8b8a94ab61db</t>
  </si>
  <si>
    <t>702ee74a234d</t>
  </si>
  <si>
    <t>7510a139d438</t>
  </si>
  <si>
    <t>94558eb1b0c3</t>
  </si>
  <si>
    <t>51ccdce5a672</t>
  </si>
  <si>
    <t>1167b38645d6</t>
  </si>
  <si>
    <t>76ae9b71c8e8</t>
  </si>
  <si>
    <t>0046ddd2c334</t>
  </si>
  <si>
    <t>e3b9a6e635db</t>
  </si>
  <si>
    <t>29c8def55325</t>
  </si>
  <si>
    <t>8cf3eb902835</t>
  </si>
  <si>
    <t>f394243792a7</t>
  </si>
  <si>
    <t>487b296ef3af</t>
  </si>
  <si>
    <t>57da0d7e6144</t>
  </si>
  <si>
    <t>a66eb7b4534e</t>
  </si>
  <si>
    <t>2ab62af2111e</t>
  </si>
  <si>
    <t>315690f55c1c</t>
  </si>
  <si>
    <t>df0072ce4cac</t>
  </si>
  <si>
    <t>efeba58097f7</t>
  </si>
  <si>
    <t>01e5cb215fcd</t>
  </si>
  <si>
    <t>ca2c4ce7bf04</t>
  </si>
  <si>
    <t>d014282950ee</t>
  </si>
  <si>
    <t>de4fa8106bac</t>
  </si>
  <si>
    <t>b082b267df34</t>
  </si>
  <si>
    <t>ba02164b9bb3</t>
  </si>
  <si>
    <t>2effb35890b8</t>
  </si>
  <si>
    <t>8b88edd2439e</t>
  </si>
  <si>
    <t>f1e363cab127</t>
  </si>
  <si>
    <t>075b431cbc58</t>
  </si>
  <si>
    <t>1d07cc875cb5</t>
  </si>
  <si>
    <t>74643d29252b</t>
  </si>
  <si>
    <t>67e0935f449c</t>
  </si>
  <si>
    <t>09feb411e0f9</t>
  </si>
  <si>
    <t>ca130ab1fe72</t>
  </si>
  <si>
    <t>23335c669bd8</t>
  </si>
  <si>
    <t>078491fc49f1</t>
  </si>
  <si>
    <t>43ada7002e43</t>
  </si>
  <si>
    <t>432be90f4185</t>
  </si>
  <si>
    <t>8109031250f6</t>
  </si>
  <si>
    <t>a5c704844bf0</t>
  </si>
  <si>
    <t>7a0f0945c0d6</t>
  </si>
  <si>
    <t>fec3d50c388f</t>
  </si>
  <si>
    <t>689e6ac29e35</t>
  </si>
  <si>
    <t>a9572ec97d13</t>
  </si>
  <si>
    <t>bbd05e6eca22</t>
  </si>
  <si>
    <t>5f5b6762e059</t>
  </si>
  <si>
    <t>cf68dec69df0</t>
  </si>
  <si>
    <t>cf72bceb8408</t>
  </si>
  <si>
    <t>8b19fd45b8e4</t>
  </si>
  <si>
    <t>aae419a09b5c</t>
  </si>
  <si>
    <t>09be27609cef</t>
  </si>
  <si>
    <t>236ac7e7b342</t>
  </si>
  <si>
    <t>e848c8d42378</t>
  </si>
  <si>
    <t>0380f315bd30</t>
  </si>
  <si>
    <t>24eb15c5058f</t>
  </si>
  <si>
    <t>5f1eda36a5ca</t>
  </si>
  <si>
    <t>90549f3eef4e</t>
  </si>
  <si>
    <t>2f37b2ea4787</t>
  </si>
  <si>
    <t>995310ac4626</t>
  </si>
  <si>
    <t>f10dc4f68412</t>
  </si>
  <si>
    <t>82e4cb1c444e</t>
  </si>
  <si>
    <t>bea0eb156ca8</t>
  </si>
  <si>
    <t>8d897430ef95</t>
  </si>
  <si>
    <t>6d895b8e421e</t>
  </si>
  <si>
    <t>fd143c39da74</t>
  </si>
  <si>
    <t>1d08ff99de2d</t>
  </si>
  <si>
    <t>d5c355f3a0ed</t>
  </si>
  <si>
    <t>4816940471b0</t>
  </si>
  <si>
    <t>579a11a04735</t>
  </si>
  <si>
    <t>84cea69a912b</t>
  </si>
  <si>
    <t>8b027a22a10d</t>
  </si>
  <si>
    <t>5b011a7b72fa</t>
  </si>
  <si>
    <t>6691dd7408c5</t>
  </si>
  <si>
    <t>ac809d003aa6</t>
  </si>
  <si>
    <t>11cb3b748408</t>
  </si>
  <si>
    <t>1bbcfc64993b</t>
  </si>
  <si>
    <t>66ff1cc19d1b</t>
  </si>
  <si>
    <t>ba7c4b73b2b3</t>
  </si>
  <si>
    <t>e4fdbf445c37</t>
  </si>
  <si>
    <t>d1d641a773d6</t>
  </si>
  <si>
    <t>e4fc29c7bede</t>
  </si>
  <si>
    <t>128cddcfb90f</t>
  </si>
  <si>
    <t>9275eaa3534f</t>
  </si>
  <si>
    <t>cf9ed64f1552</t>
  </si>
  <si>
    <t>81d3cb52e823</t>
  </si>
  <si>
    <t>7dfbc250eeee</t>
  </si>
  <si>
    <t>8f467009c3ae</t>
  </si>
  <si>
    <t>7eb7034bc130</t>
  </si>
  <si>
    <t>edfe6352219e</t>
  </si>
  <si>
    <t>fe41c0e112c4</t>
  </si>
  <si>
    <t>57b2ca117f8c</t>
  </si>
  <si>
    <t>f74cfea7d5fd</t>
  </si>
  <si>
    <t>e9faf819f49f</t>
  </si>
  <si>
    <t>bca7849d44b5</t>
  </si>
  <si>
    <t>e31cb2dea8c2</t>
  </si>
  <si>
    <t>bf7ee11a2980</t>
  </si>
  <si>
    <t>85fdcb1b55b0</t>
  </si>
  <si>
    <t>9e76e2655cb1</t>
  </si>
  <si>
    <t>01270fd3d5f6</t>
  </si>
  <si>
    <t>82fb863e0ebd</t>
  </si>
  <si>
    <t>6b0ad4a9f668</t>
  </si>
  <si>
    <t>8fea284ee842</t>
  </si>
  <si>
    <t>efae4eb7b6bb</t>
  </si>
  <si>
    <t>0754af6b9d47</t>
  </si>
  <si>
    <t>b94dfc761930</t>
  </si>
  <si>
    <t>f569abda43fe</t>
  </si>
  <si>
    <t>f5ed6e4e8b1a</t>
  </si>
  <si>
    <t>1998646cbc87</t>
  </si>
  <si>
    <t>28a3df8a8129</t>
  </si>
  <si>
    <t>0237dd67fee1</t>
  </si>
  <si>
    <t>454b8ed932d9</t>
  </si>
  <si>
    <t>eb387df80758</t>
  </si>
  <si>
    <t>d89e3288cf0e</t>
  </si>
  <si>
    <t>2c09fa4c3811</t>
  </si>
  <si>
    <t>1277a5c150bc</t>
  </si>
  <si>
    <t>1d8473fe13c3</t>
  </si>
  <si>
    <t>daf9d3a6e5d4</t>
  </si>
  <si>
    <t>b68cbb85a342</t>
  </si>
  <si>
    <t>d764e9166771</t>
  </si>
  <si>
    <t>e61d0734561d</t>
  </si>
  <si>
    <t>17306732ecf7</t>
  </si>
  <si>
    <t>a63092380b75</t>
  </si>
  <si>
    <t>9734bf9b37a6</t>
  </si>
  <si>
    <t>91131d62108a</t>
  </si>
  <si>
    <t>95eeb6e8907a</t>
  </si>
  <si>
    <t>3a450b9efbe5</t>
  </si>
  <si>
    <t>5698957704d2</t>
  </si>
  <si>
    <t>4c13029b55f3</t>
  </si>
  <si>
    <t>abc7c5d9c495</t>
  </si>
  <si>
    <t>6fc6f780510f</t>
  </si>
  <si>
    <t>9926fff8b603</t>
  </si>
  <si>
    <t>b4ee05958dd6</t>
  </si>
  <si>
    <t>531459a59edd</t>
  </si>
  <si>
    <t>520944ca27a8</t>
  </si>
  <si>
    <t>25cfb3f15006</t>
  </si>
  <si>
    <t>9613f8af461f</t>
  </si>
  <si>
    <t>3a06159d3c03</t>
  </si>
  <si>
    <t>9f203ed98108</t>
  </si>
  <si>
    <t>a530549d46e7</t>
  </si>
  <si>
    <t>af7c565ab2d6</t>
  </si>
  <si>
    <t>94df3adcc509</t>
  </si>
  <si>
    <t>80ed358e9260</t>
  </si>
  <si>
    <t>8cb7d0030430</t>
  </si>
  <si>
    <t>41d32c7da6cd</t>
  </si>
  <si>
    <t>7cba3e730c99</t>
  </si>
  <si>
    <t>540165bbe542</t>
  </si>
  <si>
    <t>29727fd3532c</t>
  </si>
  <si>
    <t>421e0c3871fb</t>
  </si>
  <si>
    <t>8037502be57d</t>
  </si>
  <si>
    <t>9df56e6ff7e9</t>
  </si>
  <si>
    <t>eb3dcd2062e7</t>
  </si>
  <si>
    <t>8827d8d8ffda</t>
  </si>
  <si>
    <t>a35c6f52cfe4</t>
  </si>
  <si>
    <t>631fc414aac0</t>
  </si>
  <si>
    <t>490bc7cf025f</t>
  </si>
  <si>
    <t>5e0ff88f516d</t>
  </si>
  <si>
    <t>5fba4a7f1e76</t>
  </si>
  <si>
    <t>aace07c1308a</t>
  </si>
  <si>
    <t>ab60be632b99</t>
  </si>
  <si>
    <t>56f173290545</t>
  </si>
  <si>
    <t>a50720b2afb6</t>
  </si>
  <si>
    <t>b8942d985018</t>
  </si>
  <si>
    <t>99982e6d7328</t>
  </si>
  <si>
    <t>e16f5df7937c</t>
  </si>
  <si>
    <t>3b131e3393ba</t>
  </si>
  <si>
    <t>f5be8eb820dd</t>
  </si>
  <si>
    <t>ce8e80202706</t>
  </si>
  <si>
    <t>1650950a7d80</t>
  </si>
  <si>
    <t>c69167e397ea</t>
  </si>
  <si>
    <t>0af18cffe7cc</t>
  </si>
  <si>
    <t>34f2ba803802</t>
  </si>
  <si>
    <t>832f02095be5</t>
  </si>
  <si>
    <t>5ed52a2ae797</t>
  </si>
  <si>
    <t>c4950faa07e8</t>
  </si>
  <si>
    <t>867763a812ba</t>
  </si>
  <si>
    <t>1e71edb01773</t>
  </si>
  <si>
    <t>22d296521bea</t>
  </si>
  <si>
    <t>648ee1eb86f3</t>
  </si>
  <si>
    <t>cd3bbafb7849</t>
  </si>
  <si>
    <t>9d0f0ac2e3f2</t>
  </si>
  <si>
    <t>2adb23d151d9</t>
  </si>
  <si>
    <t>f29990be1675</t>
  </si>
  <si>
    <t>caa52143e318</t>
  </si>
  <si>
    <t>252e27a7403c</t>
  </si>
  <si>
    <t>a74b11a89707</t>
  </si>
  <si>
    <t>6c94a6f9972e</t>
  </si>
  <si>
    <t>659720374f0c</t>
  </si>
  <si>
    <t>eb401ac679b9</t>
  </si>
  <si>
    <t>7d52e1512586</t>
  </si>
  <si>
    <t>051f40811769</t>
  </si>
  <si>
    <t>de9cd78d48e5</t>
  </si>
  <si>
    <t>a5b6d0a36871</t>
  </si>
  <si>
    <t>b33c16edddb7</t>
  </si>
  <si>
    <t>573755ed0c01</t>
  </si>
  <si>
    <t>69eade7cef11</t>
  </si>
  <si>
    <t>ad4ea5c27c5e</t>
  </si>
  <si>
    <t>ef199018cf04</t>
  </si>
  <si>
    <t>a33fb3a5e38b</t>
  </si>
  <si>
    <t>a3dc9fad2a02</t>
  </si>
  <si>
    <t>b2935b3d4b97</t>
  </si>
  <si>
    <t>16a592fb7495</t>
  </si>
  <si>
    <t>2ae19cd6234b</t>
  </si>
  <si>
    <t>0c46513ad5a4</t>
  </si>
  <si>
    <t>5ddde697862d</t>
  </si>
  <si>
    <t>53d1bf9a2d13</t>
  </si>
  <si>
    <t>a51c985b8767</t>
  </si>
  <si>
    <t>0a785bdb6e1c</t>
  </si>
  <si>
    <t>701d14ee3238</t>
  </si>
  <si>
    <t>0c7f9e781e77</t>
  </si>
  <si>
    <t>940fadf89a0a</t>
  </si>
  <si>
    <t>167e5f5b888c</t>
  </si>
  <si>
    <t>92facee22e2b</t>
  </si>
  <si>
    <t>2ba689209ba5</t>
  </si>
  <si>
    <t>95447bb8982f</t>
  </si>
  <si>
    <t>3278855bf313</t>
  </si>
  <si>
    <t>cc95cbd6a997</t>
  </si>
  <si>
    <t>3e691715ad0b</t>
  </si>
  <si>
    <t>40ed361f73a6</t>
  </si>
  <si>
    <t>d524a6a8f480</t>
  </si>
  <si>
    <t>ed53bacabeef</t>
  </si>
  <si>
    <t>24f18bd3bf16</t>
  </si>
  <si>
    <t>aa4d3bc28315</t>
  </si>
  <si>
    <t>3eddc0725269</t>
  </si>
  <si>
    <t>bf857e1c94e3</t>
  </si>
  <si>
    <t>8e3be18544fb</t>
  </si>
  <si>
    <t>7c5fb6e52eef</t>
  </si>
  <si>
    <t>5fd50bbad43e</t>
  </si>
  <si>
    <t>62a7a3c9edfb</t>
  </si>
  <si>
    <t>f1ce259993fb</t>
  </si>
  <si>
    <t>ee4bc9cf49e4</t>
  </si>
  <si>
    <t>865398ac1c88</t>
  </si>
  <si>
    <t>050ef742951d</t>
  </si>
  <si>
    <t>96d879fbceca</t>
  </si>
  <si>
    <t>4b55ec0f1ce4</t>
  </si>
  <si>
    <t>fafed9ba47bf</t>
  </si>
  <si>
    <t>a4be856fa67c</t>
  </si>
  <si>
    <t>4b52a771b2d8</t>
  </si>
  <si>
    <t>22e2eefabc13</t>
  </si>
  <si>
    <t>7757476b2195</t>
  </si>
  <si>
    <t>128249eeeaf6</t>
  </si>
  <si>
    <t>4cbb7ed933e7</t>
  </si>
  <si>
    <t>0026095b5681</t>
  </si>
  <si>
    <t>d76356088da9</t>
  </si>
  <si>
    <t>4cdf7557e370</t>
  </si>
  <si>
    <t>1ab3c9b7d517</t>
  </si>
  <si>
    <t>614f8b5a60b0</t>
  </si>
  <si>
    <t>c463cc3d9eb2</t>
  </si>
  <si>
    <t>0dcf7fdf451c</t>
  </si>
  <si>
    <t>57397a4c8abd</t>
  </si>
  <si>
    <t>452146db57da</t>
  </si>
  <si>
    <t>00e2e84133a1</t>
  </si>
  <si>
    <t>1ac2f7650917</t>
  </si>
  <si>
    <t>3d9ec1793eed</t>
  </si>
  <si>
    <t>6e4648d8fb25</t>
  </si>
  <si>
    <t>aebfb252614b</t>
  </si>
  <si>
    <t>b05d194a02bd</t>
  </si>
  <si>
    <t>92603cd29660</t>
  </si>
  <si>
    <t>b7cdf84a050f</t>
  </si>
  <si>
    <t>96cdb22ce9be</t>
  </si>
  <si>
    <t>8be7a308a47f</t>
  </si>
  <si>
    <t>3400348e72ab</t>
  </si>
  <si>
    <t>4db79e788509</t>
  </si>
  <si>
    <t>a9cfa9621a33</t>
  </si>
  <si>
    <t>8919aa2a2d70</t>
  </si>
  <si>
    <t>aff384dafe45</t>
  </si>
  <si>
    <t>c2e768a64530</t>
  </si>
  <si>
    <t>68996b3f3243</t>
  </si>
  <si>
    <t>69a22a870a47</t>
  </si>
  <si>
    <t>82f74e867bba</t>
  </si>
  <si>
    <t>e1801ab9b2d6</t>
  </si>
  <si>
    <t>5c326aa4ed36</t>
  </si>
  <si>
    <t>fbef1a45c11d</t>
  </si>
  <si>
    <t>94e0f0bda838</t>
  </si>
  <si>
    <t>4189534f08b9</t>
  </si>
  <si>
    <t>0c17bea25098</t>
  </si>
  <si>
    <t>56e3f9ae5bb0</t>
  </si>
  <si>
    <t>b9a815a9f22a</t>
  </si>
  <si>
    <t>15791816d56e</t>
  </si>
  <si>
    <t>022b3a8de1fe</t>
  </si>
  <si>
    <t>b7bbcf2732b8</t>
  </si>
  <si>
    <t>f0a28df8eb64</t>
  </si>
  <si>
    <t>341a739c97ab</t>
  </si>
  <si>
    <t>e5ea79b29805</t>
  </si>
  <si>
    <t>d9f32f76c29e</t>
  </si>
  <si>
    <t>4bb027a219ca</t>
  </si>
  <si>
    <t>0fb0f8475286</t>
  </si>
  <si>
    <t>885b1074998d</t>
  </si>
  <si>
    <t>a75afed63744</t>
  </si>
  <si>
    <t>f4745454dd57</t>
  </si>
  <si>
    <t>7704a75c51c9</t>
  </si>
  <si>
    <t>ba240561648f</t>
  </si>
  <si>
    <t>2e512920ea15</t>
  </si>
  <si>
    <t>6db31acf57a6</t>
  </si>
  <si>
    <t>4b645fbe8246</t>
  </si>
  <si>
    <t>247361543b0a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</si>
  <si>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</si>
  <si>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</si>
  <si>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</si>
  <si>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</si>
  <si>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</si>
  <si>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</si>
  <si>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</si>
  <si>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</si>
  <si>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</si>
  <si>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</si>
  <si>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</si>
  <si>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</si>
  <si>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Результат</t>
  </si>
  <si>
    <t>Месяц</t>
  </si>
  <si>
    <t>Метрика</t>
  </si>
  <si>
    <t>Просмотры</t>
  </si>
  <si>
    <t>Клики</t>
  </si>
  <si>
    <t>Транзакции</t>
  </si>
  <si>
    <t>Итог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</si>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</sst>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12" x14ac:knownFonts="1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u/>
      <sz val="11"/>
      <color theme="10"/>
      <name val="Univers"/>
      <family val="2"/>
      <charset val="204"/>
    </font>
    <font>
      <sz val="11"/>
      <name val="Univers"/>
      <family val="2"/>
      <charset val="204"/>
    </font>
    <font>
      <sz val="11"/>
      <color theme="1"/>
      <name val="Univers"/>
      <family val="2"/>
      <charset val="204"/>
    </font>
    <font>
      <sz val="8"/>
      <name val="Univers"/>
      <family val="2"/>
      <charset val="204"/>
    </font>
    <font>
      <i/>
      <sz val="11"/>
      <color theme="1"/>
      <name val="Univers"/>
      <family val="2"/>
      <charset val="204"/>
    </font>
    <font>
      <sz val="11"/>
      <color theme="1"/>
      <name val="Univers"/>
      <family val="2"/>
    </font>
    <font>
      <b/>
      <sz val="11"/>
      <color theme="1"/>
      <name val="Univers"/>
      <family val="2"/>
    </font>
    <font>
      <b/>
      <sz val="11"/>
      <color theme="0"/>
      <name val="Univers"/>
      <family val="2"/>
      <charset val="204"/>
    </font>
    <font>
      <b/>
      <sz val="11"/>
      <color theme="1"/>
      <name val="Univers"/>
      <family val="2"/>
      <charset val="204"/>
    </font>
    <font>
      <sz val="11"/>
      <color theme="0"/>
      <name val="Univers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theme="6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6" tint="0.39997558519241921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3" fillId="3" borderId="0" xfId="0" applyFont="1" applyFill="1"/>
    <xf numFmtId="0" fontId="2" fillId="3" borderId="0" xfId="1" applyFill="1"/>
    <xf numFmtId="165" fontId="0" fillId="2" borderId="0" xfId="2" applyNumberFormat="1" applyFont="1" applyFill="1"/>
    <xf numFmtId="0" fontId="0" fillId="0" borderId="1" xfId="0" applyBorder="1"/>
    <xf numFmtId="0" fontId="6" fillId="0" borderId="2" xfId="0" applyFont="1" applyBorder="1" applyAlignment="1">
      <alignment horizontal="center"/>
    </xf>
    <xf numFmtId="165" fontId="4" fillId="0" borderId="0" xfId="2" applyNumberFormat="1" applyFont="1" applyFill="1" applyBorder="1" applyAlignment="1"/>
    <xf numFmtId="165" fontId="0" fillId="0" borderId="0" xfId="0" applyNumberFormat="1"/>
    <xf numFmtId="165" fontId="4" fillId="0" borderId="1" xfId="2" applyNumberFormat="1" applyFont="1" applyFill="1" applyBorder="1" applyAlignment="1"/>
    <xf numFmtId="165" fontId="0" fillId="0" borderId="1" xfId="0" applyNumberFormat="1" applyBorder="1"/>
    <xf numFmtId="0" fontId="11" fillId="2" borderId="0" xfId="0" applyFont="1" applyFill="1"/>
    <xf numFmtId="0" fontId="0" fillId="0" borderId="0" xfId="0" applyFill="1" applyBorder="1" applyAlignment="1"/>
    <xf numFmtId="165" fontId="7" fillId="2" borderId="3" xfId="2" applyNumberFormat="1" applyFont="1" applyFill="1" applyBorder="1" applyAlignment="1" applyProtection="1">
      <alignment horizontal="center"/>
      <protection hidden="1"/>
    </xf>
    <xf numFmtId="0" fontId="1" fillId="3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6" fillId="0" borderId="2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protection locked="0"/>
    </xf>
    <xf numFmtId="165" fontId="4" fillId="0" borderId="0" xfId="2" applyNumberFormat="1" applyFont="1" applyFill="1" applyBorder="1" applyAlignment="1" applyProtection="1">
      <protection locked="0"/>
    </xf>
    <xf numFmtId="0" fontId="7" fillId="4" borderId="3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2" borderId="3" xfId="0" applyFill="1" applyBorder="1" applyProtection="1">
      <protection locked="0"/>
    </xf>
    <xf numFmtId="0" fontId="8" fillId="4" borderId="3" xfId="0" applyFont="1" applyFill="1" applyBorder="1" applyAlignment="1" applyProtection="1">
      <alignment horizontal="center"/>
      <protection locked="0"/>
    </xf>
    <xf numFmtId="165" fontId="7" fillId="2" borderId="3" xfId="2" applyNumberFormat="1" applyFont="1" applyFill="1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protection locked="0"/>
    </xf>
    <xf numFmtId="165" fontId="4" fillId="0" borderId="1" xfId="2" applyNumberFormat="1" applyFont="1" applyFill="1" applyBorder="1" applyAlignment="1" applyProtection="1">
      <protection locked="0"/>
    </xf>
    <xf numFmtId="0" fontId="0" fillId="0" borderId="1" xfId="0" applyBorder="1" applyProtection="1">
      <protection locked="0"/>
    </xf>
    <xf numFmtId="165" fontId="0" fillId="2" borderId="0" xfId="0" applyNumberFormat="1" applyFill="1" applyProtection="1">
      <protection locked="0"/>
    </xf>
    <xf numFmtId="165" fontId="0" fillId="2" borderId="0" xfId="2" applyNumberFormat="1" applyFont="1" applyFill="1" applyProtection="1">
      <protection locked="0"/>
    </xf>
    <xf numFmtId="165" fontId="0" fillId="0" borderId="0" xfId="0" applyNumberFormat="1" applyFont="1" applyFill="1" applyAlignment="1"/>
    <xf numFmtId="165" fontId="0" fillId="0" borderId="0" xfId="0" applyNumberFormat="1" applyFill="1" applyBorder="1" applyAlignment="1"/>
    <xf numFmtId="0" fontId="10" fillId="0" borderId="4" xfId="0" applyFont="1" applyFill="1" applyBorder="1" applyAlignment="1">
      <alignment horizontal="center"/>
    </xf>
    <xf numFmtId="0" fontId="0" fillId="0" borderId="0" xfId="0" applyFill="1" applyAlignment="1"/>
    <xf numFmtId="165" fontId="0" fillId="0" borderId="0" xfId="0" applyNumberFormat="1" applyFill="1" applyAlignment="1"/>
    <xf numFmtId="0" fontId="9" fillId="5" borderId="2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3" fontId="0" fillId="0" borderId="0" xfId="0" applyNumberFormat="1" applyProtection="1">
      <protection locked="0"/>
    </xf>
    <xf numFmtId="3" fontId="0" fillId="2" borderId="3" xfId="0" applyNumberFormat="1" applyFill="1" applyBorder="1" applyProtection="1">
      <protection locked="0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nivers"/>
        <family val="2"/>
        <charset val="204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nivers"/>
        <family val="2"/>
        <charset val="204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nivers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nivers"/>
        <family val="2"/>
        <charset val="204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nivers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5C0A367-8E28-4443-A3DF-2024ECE1942A}"/>
  </tableStyles>
  <colors>
    <mruColors>
      <color rgb="FFFF9933"/>
      <color rgb="FFFF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10" Type="http://schemas.openxmlformats.org/officeDocument/2006/relationships/hyperlink" Target="#&#1042;&#1099;&#1087;&#1086;&#1083;&#1085;&#1080;&#1090;&#1100;!A1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1042;&#1099;&#1087;&#1086;&#1083;&#1085;&#1080;&#1090;&#1100;!A1"/><Relationship Id="rId2" Type="http://schemas.openxmlformats.org/officeDocument/2006/relationships/hyperlink" Target="#&#1042;&#1099;&#1087;&#1086;&#1083;&#1085;&#1080;&#1090;&#1100;!AO1"/><Relationship Id="rId1" Type="http://schemas.openxmlformats.org/officeDocument/2006/relationships/hyperlink" Target="#&#1042;&#1099;&#1087;&#1086;&#1083;&#1085;&#1080;&#1090;&#1100;!BV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90;&#1095;&#1077;&#1090;!AT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C5D7CC1C-D370-4871-8139-601379A59711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3" name="Google Shape;63;p14">
          <a:extLst>
            <a:ext uri="{FF2B5EF4-FFF2-40B4-BE49-F238E27FC236}">
              <a16:creationId xmlns:a16="http://schemas.microsoft.com/office/drawing/2014/main" id="{B4D7EC16-132A-43AE-857A-8CE3A3E8413F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4" name="Рисунок 3" descr="Мужской профиль контур">
          <a:extLst>
            <a:ext uri="{FF2B5EF4-FFF2-40B4-BE49-F238E27FC236}">
              <a16:creationId xmlns:a16="http://schemas.microsoft.com/office/drawing/2014/main" id="{DF9D3284-ADD7-4741-B83C-A171C1193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5" name="Рисунок 4" descr="Конверт контур">
          <a:extLst>
            <a:ext uri="{FF2B5EF4-FFF2-40B4-BE49-F238E27FC236}">
              <a16:creationId xmlns:a16="http://schemas.microsoft.com/office/drawing/2014/main" id="{2D2FC3CA-CF9B-4493-8AF9-66F62E459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528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ECB7AE-4A33-4AEB-821B-6D00F8D1BF75}"/>
            </a:ext>
          </a:extLst>
        </xdr:cNvPr>
        <xdr:cNvSpPr txBox="1"/>
      </xdr:nvSpPr>
      <xdr:spPr>
        <a:xfrm>
          <a:off x="40894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7" name="Рисунок 6" descr="Значок 1 со сплошной заливкой">
          <a:extLst>
            <a:ext uri="{FF2B5EF4-FFF2-40B4-BE49-F238E27FC236}">
              <a16:creationId xmlns:a16="http://schemas.microsoft.com/office/drawing/2014/main" id="{614F6A09-CDCC-4925-A24B-06D5C86DA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7846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2418FB-4430-480D-90DB-1CA587A6C0F4}"/>
            </a:ext>
          </a:extLst>
        </xdr:cNvPr>
        <xdr:cNvSpPr txBox="1"/>
      </xdr:nvSpPr>
      <xdr:spPr>
        <a:xfrm>
          <a:off x="33464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br>
            <a:rPr lang="en-US" sz="1400" u="sng" baseline="0"/>
          </a:br>
          <a:r>
            <a:rPr lang="ru-RU" sz="1400" u="sng" baseline="0"/>
            <a:t>Тема: Мини-отчет по результату работы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28</xdr:row>
      <xdr:rowOff>101600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7D1480-E147-46B7-9177-05233F324B73}"/>
            </a:ext>
          </a:extLst>
        </xdr:cNvPr>
        <xdr:cNvSpPr txBox="1"/>
      </xdr:nvSpPr>
      <xdr:spPr>
        <a:xfrm>
          <a:off x="1987550" y="1974850"/>
          <a:ext cx="4908550" cy="32829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1000"/>
            </a:spcAft>
          </a:pPr>
          <a:endParaRPr lang="ru-RU" sz="9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endParaRPr lang="ru-RU" sz="9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Привет!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Как дела? Ты классно обработал прошлый отчет, и у партнеров больше нет вопросов — все получилось отлично!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Теперь нам нужно для внутренней отчетности суммировать данные по месяцам и метрикам, а также сделать отчет немного динамическим.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Вот как я это вижу: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При выборе месяца и одной из трех метрик сразу отображается суммарный результат.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Формат отчета я прикрепил к сообщению.</a:t>
          </a:r>
          <a:endParaRPr lang="ru-RU" sz="900">
            <a:effectLst/>
          </a:endParaRPr>
        </a:p>
        <a:p>
          <a:br>
            <a:rPr lang="ru-RU" sz="900" baseline="0"/>
          </a:br>
          <a:endParaRPr lang="ru-RU" sz="900"/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0" name="Рисунок 9" descr="Скрепка со сплошной заливкой">
          <a:extLst>
            <a:ext uri="{FF2B5EF4-FFF2-40B4-BE49-F238E27FC236}">
              <a16:creationId xmlns:a16="http://schemas.microsoft.com/office/drawing/2014/main" id="{3730A78C-5C26-4AE0-AFF2-2D6D4846C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29</xdr:row>
      <xdr:rowOff>57150</xdr:rowOff>
    </xdr:from>
    <xdr:to>
      <xdr:col>10</xdr:col>
      <xdr:colOff>330200</xdr:colOff>
      <xdr:row>30</xdr:row>
      <xdr:rowOff>101600</xdr:rowOff>
    </xdr:to>
    <xdr:sp macro="" textlink="">
      <xdr:nvSpPr>
        <xdr:cNvPr id="11" name="TextBox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F6D33F-7048-4E84-8B5F-C46FEEC459A4}"/>
            </a:ext>
          </a:extLst>
        </xdr:cNvPr>
        <xdr:cNvSpPr txBox="1"/>
      </xdr:nvSpPr>
      <xdr:spPr>
        <a:xfrm>
          <a:off x="6045200" y="53975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4</xdr:col>
      <xdr:colOff>387350</xdr:colOff>
      <xdr:row>30</xdr:row>
      <xdr:rowOff>82550</xdr:rowOff>
    </xdr:to>
    <xdr:sp macro="" textlink="">
      <xdr:nvSpPr>
        <xdr:cNvPr id="12" name="TextBox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FF3979F-564D-4E34-B1BC-CB98F7E5CEDA}"/>
            </a:ext>
          </a:extLst>
        </xdr:cNvPr>
        <xdr:cNvSpPr txBox="1"/>
      </xdr:nvSpPr>
      <xdr:spPr>
        <a:xfrm>
          <a:off x="2254250" y="5308600"/>
          <a:ext cx="73660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050" b="0" i="1" u="none"/>
            <a:t>Отчет</a:t>
          </a:r>
        </a:p>
      </xdr:txBody>
    </xdr:sp>
    <xdr:clientData/>
  </xdr:twoCellAnchor>
  <xdr:twoCellAnchor>
    <xdr:from>
      <xdr:col>0</xdr:col>
      <xdr:colOff>114300</xdr:colOff>
      <xdr:row>0</xdr:row>
      <xdr:rowOff>133350</xdr:rowOff>
    </xdr:from>
    <xdr:to>
      <xdr:col>1</xdr:col>
      <xdr:colOff>266700</xdr:colOff>
      <xdr:row>27</xdr:row>
      <xdr:rowOff>127000</xdr:rowOff>
    </xdr:to>
    <xdr:sp macro="" textlink="">
      <xdr:nvSpPr>
        <xdr:cNvPr id="14" name="Google Shape;64;p14">
          <a:extLst>
            <a:ext uri="{FF2B5EF4-FFF2-40B4-BE49-F238E27FC236}">
              <a16:creationId xmlns:a16="http://schemas.microsoft.com/office/drawing/2014/main" id="{1B4F303C-07B4-4E4D-A292-C951DFE6A7EF}"/>
            </a:ext>
          </a:extLst>
        </xdr:cNvPr>
        <xdr:cNvSpPr txBox="1"/>
      </xdr:nvSpPr>
      <xdr:spPr>
        <a:xfrm rot="-5400000">
          <a:off x="-2082800" y="2330450"/>
          <a:ext cx="49657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1800">
              <a:latin typeface="Fira Sans"/>
              <a:ea typeface="Fira Sans"/>
              <a:cs typeface="Fira Sans"/>
              <a:sym typeface="Fira Sans"/>
            </a:rPr>
            <a:t>Работа с функциями</a:t>
          </a:r>
          <a:r>
            <a:rPr lang="ru-RU" sz="18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" sz="1800">
              <a:latin typeface="Fira Sans"/>
              <a:ea typeface="Fira Sans"/>
              <a:cs typeface="Fira Sans"/>
              <a:sym typeface="Fira Sans"/>
            </a:rPr>
            <a:t>/</a:t>
          </a:r>
          <a:r>
            <a:rPr lang="ru" sz="1800" baseline="0">
              <a:latin typeface="Fira Sans"/>
              <a:ea typeface="Fira Sans"/>
              <a:cs typeface="Fira Sans"/>
              <a:sym typeface="Fira Sans"/>
            </a:rPr>
            <a:t> Ссылки и массивы</a:t>
          </a:r>
          <a:endParaRPr sz="18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406400</xdr:colOff>
      <xdr:row>8</xdr:row>
      <xdr:rowOff>25400</xdr:rowOff>
    </xdr:from>
    <xdr:to>
      <xdr:col>54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E3EBD803-524F-4966-A73B-7051C5483CA7}"/>
            </a:ext>
          </a:extLst>
        </xdr:cNvPr>
        <xdr:cNvSpPr txBox="1"/>
      </xdr:nvSpPr>
      <xdr:spPr>
        <a:xfrm rot="-5400000">
          <a:off x="28933775" y="3076575"/>
          <a:ext cx="3638550" cy="482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Решение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51DAE9AF-C1ED-4F9D-B872-076F9DD85B45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222250</xdr:colOff>
      <xdr:row>30</xdr:row>
      <xdr:rowOff>88900</xdr:rowOff>
    </xdr:from>
    <xdr:to>
      <xdr:col>2</xdr:col>
      <xdr:colOff>234950</xdr:colOff>
      <xdr:row>31</xdr:row>
      <xdr:rowOff>133350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CA1DF-D4D7-46FD-9433-A059D2C102D5}"/>
            </a:ext>
          </a:extLst>
        </xdr:cNvPr>
        <xdr:cNvSpPr txBox="1"/>
      </xdr:nvSpPr>
      <xdr:spPr>
        <a:xfrm>
          <a:off x="222250" y="5613400"/>
          <a:ext cx="7874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Решение</a:t>
          </a:r>
        </a:p>
      </xdr:txBody>
    </xdr:sp>
    <xdr:clientData/>
  </xdr:twoCellAnchor>
  <xdr:twoCellAnchor>
    <xdr:from>
      <xdr:col>13</xdr:col>
      <xdr:colOff>577850</xdr:colOff>
      <xdr:row>9</xdr:row>
      <xdr:rowOff>133350</xdr:rowOff>
    </xdr:from>
    <xdr:to>
      <xdr:col>15</xdr:col>
      <xdr:colOff>44450</xdr:colOff>
      <xdr:row>10</xdr:row>
      <xdr:rowOff>177800</xdr:rowOff>
    </xdr:to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B3D512-1F46-404B-B7EB-B9BCC30EE502}"/>
            </a:ext>
          </a:extLst>
        </xdr:cNvPr>
        <xdr:cNvSpPr txBox="1"/>
      </xdr:nvSpPr>
      <xdr:spPr>
        <a:xfrm>
          <a:off x="10229850" y="1809750"/>
          <a:ext cx="787400" cy="228600"/>
        </a:xfrm>
        <a:prstGeom prst="rect">
          <a:avLst/>
        </a:prstGeom>
        <a:solidFill>
          <a:srgbClr val="FF9933"/>
        </a:solidFill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Пример</a:t>
          </a:r>
        </a:p>
      </xdr:txBody>
    </xdr:sp>
    <xdr:clientData/>
  </xdr:twoCellAnchor>
  <xdr:twoCellAnchor>
    <xdr:from>
      <xdr:col>19</xdr:col>
      <xdr:colOff>406400</xdr:colOff>
      <xdr:row>8</xdr:row>
      <xdr:rowOff>25400</xdr:rowOff>
    </xdr:from>
    <xdr:to>
      <xdr:col>21</xdr:col>
      <xdr:colOff>50800</xdr:colOff>
      <xdr:row>27</xdr:row>
      <xdr:rowOff>165100</xdr:rowOff>
    </xdr:to>
    <xdr:sp macro="" textlink="">
      <xdr:nvSpPr>
        <xdr:cNvPr id="6" name="Google Shape;64;p14">
          <a:extLst>
            <a:ext uri="{FF2B5EF4-FFF2-40B4-BE49-F238E27FC236}">
              <a16:creationId xmlns:a16="http://schemas.microsoft.com/office/drawing/2014/main" id="{C1E7A0CC-8A57-47B2-9DF1-DE2AC5D37898}"/>
            </a:ext>
          </a:extLst>
        </xdr:cNvPr>
        <xdr:cNvSpPr txBox="1"/>
      </xdr:nvSpPr>
      <xdr:spPr>
        <a:xfrm rot="-5400000">
          <a:off x="-1238250" y="3111500"/>
          <a:ext cx="365760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Пример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19</xdr:col>
      <xdr:colOff>114300</xdr:colOff>
      <xdr:row>0</xdr:row>
      <xdr:rowOff>107950</xdr:rowOff>
    </xdr:from>
    <xdr:to>
      <xdr:col>21</xdr:col>
      <xdr:colOff>82550</xdr:colOff>
      <xdr:row>2</xdr:row>
      <xdr:rowOff>50800</xdr:rowOff>
    </xdr:to>
    <xdr:sp macro="" textlink="">
      <xdr:nvSpPr>
        <xdr:cNvPr id="9" name="Стрелка: вправо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4ABDD1-7904-76A5-BD1C-9CB941684040}"/>
            </a:ext>
          </a:extLst>
        </xdr:cNvPr>
        <xdr:cNvSpPr/>
      </xdr:nvSpPr>
      <xdr:spPr>
        <a:xfrm rot="10800000">
          <a:off x="13728700" y="107950"/>
          <a:ext cx="419100" cy="31115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2244C8E6-E38D-49A2-A25A-D2904FA34F0E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 editAs="absolute">
    <xdr:from>
      <xdr:col>27</xdr:col>
      <xdr:colOff>0</xdr:colOff>
      <xdr:row>8</xdr:row>
      <xdr:rowOff>25400</xdr:rowOff>
    </xdr:from>
    <xdr:to>
      <xdr:col>28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B8EC6868-9BE4-4671-A20E-D4CA4AFCFFAA}"/>
            </a:ext>
          </a:extLst>
        </xdr:cNvPr>
        <xdr:cNvSpPr txBox="1"/>
      </xdr:nvSpPr>
      <xdr:spPr>
        <a:xfrm rot="-5400000">
          <a:off x="-1228725" y="308927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Лайфхак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 editAs="absolute">
    <xdr:from>
      <xdr:col>30</xdr:col>
      <xdr:colOff>0</xdr:colOff>
      <xdr:row>1</xdr:row>
      <xdr:rowOff>6350</xdr:rowOff>
    </xdr:from>
    <xdr:to>
      <xdr:col>34</xdr:col>
      <xdr:colOff>152400</xdr:colOff>
      <xdr:row>9</xdr:row>
      <xdr:rowOff>44450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Месяц">
              <a:extLst>
                <a:ext uri="{FF2B5EF4-FFF2-40B4-BE49-F238E27FC236}">
                  <a16:creationId xmlns:a16="http://schemas.microsoft.com/office/drawing/2014/main" id="{78631C96-580A-495D-78BB-64F57A6882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54750" y="190500"/>
              <a:ext cx="2901950" cy="151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</xdr:row>
      <xdr:rowOff>177800</xdr:rowOff>
    </xdr:from>
    <xdr:to>
      <xdr:col>1</xdr:col>
      <xdr:colOff>241300</xdr:colOff>
      <xdr:row>27</xdr:row>
      <xdr:rowOff>107950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011E4D0E-6AD3-4DCD-B7A8-883B55DD1F9B}"/>
            </a:ext>
          </a:extLst>
        </xdr:cNvPr>
        <xdr:cNvSpPr txBox="1"/>
      </xdr:nvSpPr>
      <xdr:spPr>
        <a:xfrm rot="-5400000">
          <a:off x="-1936750" y="25273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Справка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3</xdr:col>
      <xdr:colOff>57150</xdr:colOff>
      <xdr:row>9</xdr:row>
      <xdr:rowOff>139700</xdr:rowOff>
    </xdr:from>
    <xdr:to>
      <xdr:col>4</xdr:col>
      <xdr:colOff>184150</xdr:colOff>
      <xdr:row>11</xdr:row>
      <xdr:rowOff>0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81A3B2-BF31-47F5-89C6-F68CEA4C4C57}"/>
            </a:ext>
          </a:extLst>
        </xdr:cNvPr>
        <xdr:cNvSpPr txBox="1"/>
      </xdr:nvSpPr>
      <xdr:spPr>
        <a:xfrm>
          <a:off x="1416050" y="1797050"/>
          <a:ext cx="787400" cy="228600"/>
        </a:xfrm>
        <a:prstGeom prst="rect">
          <a:avLst/>
        </a:prstGeom>
        <a:solidFill>
          <a:srgbClr val="FF9933"/>
        </a:solidFill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Лайфхак</a:t>
          </a:r>
        </a:p>
      </xdr:txBody>
    </xdr: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" xr10:uid="{A31312A3-44B0-460E-8128-D2F9C3346DF2}" sourceName="Месяц">
  <extLst>
    <x:ext xmlns:x15="http://schemas.microsoft.com/office/spreadsheetml/2010/11/main" uri="{2F2917AC-EB37-4324-AD4E-5DD8C200BD13}">
      <x15:tableSlicerCache tableId="3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Месяц" xr10:uid="{96327CCC-3638-4DCF-A87E-3C6C2781DDFE}" cache="Срез_Месяц" caption="Месяц" columnCount="3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04A100-0D11-4726-8E35-FDD7BA950FF3}" name="mark_tbl" displayName="mark_tbl" ref="AE12:AK613" totalsRowCount="1" headerRowDxfId="16" headerRowBorderDxfId="15" tableBorderDxfId="14">
  <autoFilter ref="AE12:AK612" xr:uid="{C204A100-0D11-4726-8E35-FDD7BA950F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99A7128-65D6-42C0-9D76-BE22B97F31D5}" name="#" totalsRowLabel="Итог" dataDxfId="13" totalsRowDxfId="12"/>
    <tableColumn id="2" xr3:uid="{414B6A8C-7296-4F67-9A29-8E13D1988C11}" name="id_cmpgn" dataDxfId="11" totalsRowDxfId="10"/>
    <tableColumn id="3" xr3:uid="{7B39B50C-B011-44DF-8A6D-1F8FD7CE30C4}" name="id_prtr" dataDxfId="9" totalsRowDxfId="8"/>
    <tableColumn id="4" xr3:uid="{5C6EA7FC-FF96-47F5-A858-1FD579362E5F}" name="Месяц" dataDxfId="7" totalsRowDxfId="6"/>
    <tableColumn id="5" xr3:uid="{230A0DF2-00E5-4AE5-B7CD-B6D6B123D3C6}" name="Просмотры" totalsRowFunction="sum" dataDxfId="5" totalsRowDxfId="4" dataCellStyle="Финансовый"/>
    <tableColumn id="6" xr3:uid="{4BFD34EA-EA15-4F0D-B4C1-413558D0175E}" name="Клики" totalsRowFunction="sum" dataDxfId="3" totalsRowDxfId="2"/>
    <tableColumn id="7" xr3:uid="{4A6684D1-02A0-4EED-99F6-0DACB70BF1A6}" name="Транзакции" totalsRowFunction="sum" dataDxfId="1" totalsRowDxfId="0" dataCellStyle="Финансовый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support.microsoft.com/ru-ru/office/%D1%84%D1%83%D0%BD%D0%BA%D1%86%D0%B8%D0%B8-%D1%81%D1%81%D1%8B%D0%BB%D0%BA%D0%B8-%D0%B8-%D0%BF%D0%BE%D0%B8%D1%81%D0%BA%D0%B0-%D1%81%D0%BF%D1%80%D0%B0%D0%B2%D0%BA%D0%B0-8aa21a3a-b56a-4055-8257-3ec89df2b2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88B4-BAE6-44EF-8043-D33E92246133}">
  <dimension ref="A1:T99"/>
  <sheetViews>
    <sheetView showGridLines="0" zoomScaleNormal="100" workbookViewId="0">
      <selection activeCell="O13" sqref="O13"/>
    </sheetView>
  </sheetViews>
  <sheetFormatPr defaultColWidth="0" defaultRowHeight="14.45" customHeight="1" zeroHeight="1" x14ac:dyDescent="0.25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 ht="15" x14ac:dyDescent="0.25"/>
    <row r="2" ht="15" x14ac:dyDescent="0.25"/>
    <row r="3" ht="15" x14ac:dyDescent="0.25"/>
    <row r="4" ht="15" x14ac:dyDescent="0.25"/>
    <row r="5" ht="15" x14ac:dyDescent="0.25"/>
    <row r="6" ht="15" x14ac:dyDescent="0.25"/>
    <row r="7" ht="15" x14ac:dyDescent="0.25"/>
    <row r="8" ht="15" x14ac:dyDescent="0.25"/>
    <row r="9" ht="15" x14ac:dyDescent="0.25"/>
    <row r="10" ht="15" x14ac:dyDescent="0.25"/>
    <row r="11" ht="15" x14ac:dyDescent="0.25"/>
    <row r="12" ht="15" x14ac:dyDescent="0.25"/>
    <row r="13" ht="15" x14ac:dyDescent="0.25"/>
    <row r="14" ht="15" x14ac:dyDescent="0.25"/>
    <row r="15" ht="15" x14ac:dyDescent="0.25"/>
    <row r="16" ht="15" x14ac:dyDescent="0.25"/>
    <row r="17" spans="1:1" ht="15" x14ac:dyDescent="0.25"/>
    <row r="18" spans="1:1" ht="15" x14ac:dyDescent="0.25"/>
    <row r="19" spans="1:1" ht="15" x14ac:dyDescent="0.25"/>
    <row r="20" spans="1:1" ht="15" x14ac:dyDescent="0.25"/>
    <row r="21" spans="1:1" ht="15" x14ac:dyDescent="0.25"/>
    <row r="22" spans="1:1" ht="15" x14ac:dyDescent="0.25"/>
    <row r="23" spans="1:1" ht="15" x14ac:dyDescent="0.25"/>
    <row r="24" spans="1:1" ht="15" x14ac:dyDescent="0.25"/>
    <row r="25" spans="1:1" ht="15" x14ac:dyDescent="0.25"/>
    <row r="26" spans="1:1" ht="15" x14ac:dyDescent="0.25"/>
    <row r="27" spans="1:1" ht="15" x14ac:dyDescent="0.25"/>
    <row r="28" spans="1:1" ht="15" x14ac:dyDescent="0.25"/>
    <row r="29" spans="1:1" ht="15" x14ac:dyDescent="0.25"/>
    <row r="30" spans="1:1" ht="15" x14ac:dyDescent="0.25"/>
    <row r="31" spans="1:1" ht="15" x14ac:dyDescent="0.25"/>
    <row r="32" spans="1:1" ht="15" x14ac:dyDescent="0.25">
      <c r="A32" s="2">
        <v>1</v>
      </c>
    </row>
    <row r="33" ht="15" x14ac:dyDescent="0.25"/>
    <row r="34" ht="15" x14ac:dyDescent="0.25"/>
    <row r="66" spans="1:1" ht="15" hidden="1" x14ac:dyDescent="0.25">
      <c r="A66" s="2">
        <v>1</v>
      </c>
    </row>
    <row r="99" spans="1:1" ht="15" hidden="1" x14ac:dyDescent="0.25">
      <c r="A99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8D21-9068-4F03-8E78-65BD6A355C57}">
  <dimension ref="A4:BN20"/>
  <sheetViews>
    <sheetView tabSelected="1" workbookViewId="0">
      <selection activeCell="M9" sqref="M9"/>
    </sheetView>
  </sheetViews>
  <sheetFormatPr defaultColWidth="8.625" defaultRowHeight="15" x14ac:dyDescent="0.25"/>
  <cols>
    <col min="1" max="1" width="4.625" style="16" customWidth="1"/>
    <col min="2" max="3" width="5.5" style="16" customWidth="1"/>
    <col min="4" max="5" width="8.625" style="17"/>
    <col min="6" max="6" width="9.125" style="17" bestFit="1" customWidth="1"/>
    <col min="7" max="7" width="11.375" style="17" bestFit="1" customWidth="1"/>
    <col min="8" max="8" width="12.25" style="17" customWidth="1"/>
    <col min="9" max="9" width="11.625" style="17" bestFit="1" customWidth="1"/>
    <col min="10" max="11" width="8.625" style="17"/>
    <col min="12" max="12" width="9.625" style="17" bestFit="1" customWidth="1"/>
    <col min="13" max="13" width="22.125" style="17" customWidth="1"/>
    <col min="14" max="19" width="8.625" style="17"/>
    <col min="20" max="20" width="3" style="16" customWidth="1"/>
    <col min="21" max="21" width="2.875" style="16" customWidth="1"/>
    <col min="22" max="22" width="3.375" style="16" customWidth="1"/>
    <col min="23" max="23" width="4.25" style="17" customWidth="1"/>
    <col min="24" max="24" width="2.75" style="17" customWidth="1"/>
    <col min="25" max="25" width="4.25" style="17" customWidth="1"/>
    <col min="26" max="26" width="8.625" style="17"/>
    <col min="27" max="27" width="9.125" style="17" bestFit="1" customWidth="1"/>
    <col min="28" max="28" width="11.625" style="17" bestFit="1" customWidth="1"/>
    <col min="29" max="29" width="6.875" style="17" bestFit="1" customWidth="1"/>
    <col min="30" max="30" width="11.875" style="17" bestFit="1" customWidth="1"/>
    <col min="31" max="32" width="8.625" style="17"/>
    <col min="33" max="33" width="9.625" style="17" bestFit="1" customWidth="1"/>
    <col min="34" max="34" width="15.125" style="17" customWidth="1"/>
    <col min="35" max="52" width="8.625" style="17"/>
    <col min="53" max="53" width="3.125" style="16" customWidth="1"/>
    <col min="54" max="54" width="2.875" style="16" customWidth="1"/>
    <col min="55" max="55" width="3.75" style="16" customWidth="1"/>
    <col min="56" max="56" width="5.125" style="17" customWidth="1"/>
    <col min="57" max="57" width="4.375" style="17" customWidth="1"/>
    <col min="58" max="58" width="8.625" style="17"/>
    <col min="59" max="59" width="9.125" style="17" bestFit="1" customWidth="1"/>
    <col min="60" max="60" width="11.625" style="17" bestFit="1" customWidth="1"/>
    <col min="61" max="61" width="9.875" style="17" bestFit="1" customWidth="1"/>
    <col min="62" max="62" width="11.875" style="17" bestFit="1" customWidth="1"/>
    <col min="63" max="64" width="8.625" style="17"/>
    <col min="65" max="65" width="10.625" style="17" customWidth="1"/>
    <col min="66" max="66" width="12.375" style="17" bestFit="1" customWidth="1"/>
    <col min="67" max="68" width="8.625" style="17"/>
    <col min="69" max="69" width="5.125" style="17" customWidth="1"/>
    <col min="70" max="70" width="8.625" style="17"/>
    <col min="71" max="71" width="5.125" style="17" customWidth="1"/>
    <col min="72" max="16384" width="8.625" style="17"/>
  </cols>
  <sheetData>
    <row r="4" spans="6:66" ht="15.75" thickBot="1" x14ac:dyDescent="0.3"/>
    <row r="5" spans="6:66" ht="15.75" thickBot="1" x14ac:dyDescent="0.3">
      <c r="AA5" s="18" t="s">
        <v>662</v>
      </c>
      <c r="AB5" s="18" t="s">
        <v>664</v>
      </c>
      <c r="AC5" s="18" t="s">
        <v>665</v>
      </c>
      <c r="AD5" s="18" t="s">
        <v>666</v>
      </c>
    </row>
    <row r="6" spans="6:66" x14ac:dyDescent="0.25">
      <c r="AA6" s="19" t="s">
        <v>649</v>
      </c>
      <c r="AB6" s="20">
        <v>1027</v>
      </c>
      <c r="AC6" s="20">
        <v>1015</v>
      </c>
      <c r="AD6" s="20">
        <v>1314</v>
      </c>
      <c r="AG6" s="21" t="s">
        <v>662</v>
      </c>
      <c r="AH6" s="22" t="s">
        <v>658</v>
      </c>
      <c r="BG6" s="18" t="s">
        <v>662</v>
      </c>
      <c r="BH6" s="18" t="s">
        <v>664</v>
      </c>
      <c r="BI6" s="18" t="s">
        <v>665</v>
      </c>
      <c r="BJ6" s="18" t="s">
        <v>666</v>
      </c>
    </row>
    <row r="7" spans="6:66" ht="15.75" thickBot="1" x14ac:dyDescent="0.3">
      <c r="AA7" s="19" t="s">
        <v>650</v>
      </c>
      <c r="AB7" s="20">
        <v>1254</v>
      </c>
      <c r="AC7" s="20">
        <v>1193</v>
      </c>
      <c r="AD7" s="20">
        <v>1317</v>
      </c>
      <c r="AG7" s="21" t="s">
        <v>663</v>
      </c>
      <c r="AH7" s="22" t="s">
        <v>666</v>
      </c>
      <c r="BG7" s="19" t="s">
        <v>649</v>
      </c>
      <c r="BH7" s="20">
        <f>SUMIFS(Отчет!AI:AI,Отчет!$AH:$AH,Выполнить!$BG7)</f>
        <v>3828286</v>
      </c>
      <c r="BI7" s="20">
        <f>SUMIFS(Отчет!AJ:AJ,Отчет!$AH:$AH,Выполнить!$BG7)</f>
        <v>1161053</v>
      </c>
      <c r="BJ7" s="20">
        <f>SUMIFS(Отчет!AK:AK,Отчет!$AH:$AH,Выполнить!$BG7)</f>
        <v>49872</v>
      </c>
      <c r="BM7" s="21" t="s">
        <v>662</v>
      </c>
      <c r="BN7" s="22" t="s">
        <v>654</v>
      </c>
    </row>
    <row r="8" spans="6:66" x14ac:dyDescent="0.25">
      <c r="F8" s="23" t="s">
        <v>662</v>
      </c>
      <c r="G8" s="23" t="s">
        <v>664</v>
      </c>
      <c r="H8" s="23" t="s">
        <v>665</v>
      </c>
      <c r="I8" s="23" t="s">
        <v>666</v>
      </c>
      <c r="AA8" s="19" t="s">
        <v>651</v>
      </c>
      <c r="AB8" s="20">
        <v>1429</v>
      </c>
      <c r="AC8" s="20">
        <v>1309</v>
      </c>
      <c r="AD8" s="20">
        <v>1418</v>
      </c>
      <c r="BG8" s="19" t="s">
        <v>650</v>
      </c>
      <c r="BH8" s="20">
        <f>SUMIFS(Отчет!AI:AI,Отчет!$AH:$AH,Выполнить!$BG8)</f>
        <v>4333553</v>
      </c>
      <c r="BI8" s="20">
        <f>SUMIFS(Отчет!AJ:AJ,Отчет!$AH:$AH,Выполнить!$BG8)</f>
        <v>1339512</v>
      </c>
      <c r="BJ8" s="20">
        <f>SUMIFS(Отчет!AK:AK,Отчет!$AH:$AH,Выполнить!$BG8)</f>
        <v>71742</v>
      </c>
      <c r="BM8" s="21" t="s">
        <v>663</v>
      </c>
      <c r="BN8" s="22" t="s">
        <v>664</v>
      </c>
    </row>
    <row r="9" spans="6:66" x14ac:dyDescent="0.25">
      <c r="F9" s="24" t="s">
        <v>649</v>
      </c>
      <c r="G9" s="40">
        <f>SUMIFS(Отчет!AI:AI,Отчет!$AH:$AH,Выполнить!$F9)</f>
        <v>3828286</v>
      </c>
      <c r="H9" s="40">
        <f>SUMIFS(Отчет!AJ:AJ,Отчет!$AH:$AH,Выполнить!$F9)</f>
        <v>1161053</v>
      </c>
      <c r="I9" s="40">
        <f>SUMIFS(Отчет!AK:AK,Отчет!$AH:$AH,Выполнить!$F9)</f>
        <v>49872</v>
      </c>
      <c r="L9" s="21" t="s">
        <v>662</v>
      </c>
      <c r="M9" s="25" t="s">
        <v>656</v>
      </c>
      <c r="AA9" s="19" t="s">
        <v>652</v>
      </c>
      <c r="AB9" s="20">
        <v>1345</v>
      </c>
      <c r="AC9" s="20">
        <v>1254</v>
      </c>
      <c r="AD9" s="20">
        <v>1080</v>
      </c>
      <c r="BG9" s="19" t="s">
        <v>651</v>
      </c>
      <c r="BH9" s="20">
        <f>SUMIFS(Отчет!AI:AI,Отчет!$AH:$AH,Выполнить!$BG9)</f>
        <v>3943674</v>
      </c>
      <c r="BI9" s="20">
        <f>SUMIFS(Отчет!AJ:AJ,Отчет!$AH:$AH,Выполнить!$BG9)</f>
        <v>1154933</v>
      </c>
      <c r="BJ9" s="20">
        <f>SUMIFS(Отчет!AK:AK,Отчет!$AH:$AH,Выполнить!$BG9)</f>
        <v>53544</v>
      </c>
    </row>
    <row r="10" spans="6:66" x14ac:dyDescent="0.25">
      <c r="F10" s="24" t="s">
        <v>650</v>
      </c>
      <c r="G10" s="40">
        <f>SUMIFS(Отчет!AI:AI,Отчет!$AH:$AH,Выполнить!$F10)</f>
        <v>4333553</v>
      </c>
      <c r="H10" s="40">
        <f>SUMIFS(Отчет!AJ:AJ,Отчет!$AH:$AH,Выполнить!$F10)</f>
        <v>1339512</v>
      </c>
      <c r="I10" s="40">
        <f>SUMIFS(Отчет!AK:AK,Отчет!$AH:$AH,Выполнить!$F10)</f>
        <v>71742</v>
      </c>
      <c r="L10" s="21" t="s">
        <v>663</v>
      </c>
      <c r="M10" s="25" t="s">
        <v>666</v>
      </c>
      <c r="AA10" s="19" t="s">
        <v>653</v>
      </c>
      <c r="AB10" s="20">
        <v>1061</v>
      </c>
      <c r="AC10" s="20">
        <v>1229</v>
      </c>
      <c r="AD10" s="20">
        <v>1047</v>
      </c>
      <c r="AG10" s="26" t="s">
        <v>661</v>
      </c>
      <c r="AH10" s="15">
        <f>INDEX($AB$6:$AD$17,MATCH($AH$6,$AA$6:$AA$17,0),MATCH($AH$7,$AB$5:$AD$5,0))</f>
        <v>1364</v>
      </c>
      <c r="BG10" s="19" t="s">
        <v>652</v>
      </c>
      <c r="BH10" s="20">
        <f>SUMIFS(Отчет!AI:AI,Отчет!$AH:$AH,Выполнить!$BG10)</f>
        <v>3537571</v>
      </c>
      <c r="BI10" s="20">
        <f>SUMIFS(Отчет!AJ:AJ,Отчет!$AH:$AH,Выполнить!$BG10)</f>
        <v>1055719</v>
      </c>
      <c r="BJ10" s="20">
        <f>SUMIFS(Отчет!AK:AK,Отчет!$AH:$AH,Выполнить!$BG10)</f>
        <v>53263</v>
      </c>
    </row>
    <row r="11" spans="6:66" x14ac:dyDescent="0.25">
      <c r="F11" s="24" t="s">
        <v>651</v>
      </c>
      <c r="G11" s="40">
        <f>SUMIFS(Отчет!AI:AI,Отчет!$AH:$AH,Выполнить!$F11)</f>
        <v>3943674</v>
      </c>
      <c r="H11" s="40">
        <f>SUMIFS(Отчет!AJ:AJ,Отчет!$AH:$AH,Выполнить!$F11)</f>
        <v>1154933</v>
      </c>
      <c r="I11" s="40">
        <f>SUMIFS(Отчет!AK:AK,Отчет!$AH:$AH,Выполнить!$F11)</f>
        <v>53544</v>
      </c>
      <c r="AA11" s="19" t="s">
        <v>654</v>
      </c>
      <c r="AB11" s="20">
        <v>1100</v>
      </c>
      <c r="AC11" s="20">
        <v>1292</v>
      </c>
      <c r="AD11" s="20">
        <v>1035</v>
      </c>
      <c r="BG11" s="19" t="s">
        <v>653</v>
      </c>
      <c r="BH11" s="20">
        <f>SUMIFS(Отчет!AI:AI,Отчет!$AH:$AH,Выполнить!$BG11)</f>
        <v>3904801</v>
      </c>
      <c r="BI11" s="20">
        <f>SUMIFS(Отчет!AJ:AJ,Отчет!$AH:$AH,Выполнить!$BG11)</f>
        <v>1142776</v>
      </c>
      <c r="BJ11" s="20">
        <f>SUMIFS(Отчет!AK:AK,Отчет!$AH:$AH,Выполнить!$BG11)</f>
        <v>55983</v>
      </c>
      <c r="BM11" s="26" t="s">
        <v>661</v>
      </c>
      <c r="BN11" s="27">
        <f>INDEX($BG$6:$BJ$18,MATCH($BN$7,$BG$6:$BG$18,0),MATCH($BN$8,$BG$6:$BJ$6,0))</f>
        <v>3669099</v>
      </c>
    </row>
    <row r="12" spans="6:66" x14ac:dyDescent="0.25">
      <c r="F12" s="24" t="s">
        <v>652</v>
      </c>
      <c r="G12" s="40">
        <f>SUMIFS(Отчет!AI:AI,Отчет!$AH:$AH,Выполнить!$F12)</f>
        <v>3537571</v>
      </c>
      <c r="H12" s="40">
        <f>SUMIFS(Отчет!AJ:AJ,Отчет!$AH:$AH,Выполнить!$F12)</f>
        <v>1055719</v>
      </c>
      <c r="I12" s="40">
        <f>SUMIFS(Отчет!AK:AK,Отчет!$AH:$AH,Выполнить!$F12)</f>
        <v>53263</v>
      </c>
      <c r="AA12" s="19" t="s">
        <v>655</v>
      </c>
      <c r="AB12" s="20">
        <v>1377</v>
      </c>
      <c r="AC12" s="20">
        <v>1009</v>
      </c>
      <c r="AD12" s="20">
        <v>1466</v>
      </c>
      <c r="BG12" s="19" t="s">
        <v>654</v>
      </c>
      <c r="BH12" s="20">
        <f>SUMIFS(Отчет!AI:AI,Отчет!$AH:$AH,Выполнить!$BG12)</f>
        <v>3669099</v>
      </c>
      <c r="BI12" s="20">
        <f>SUMIFS(Отчет!AJ:AJ,Отчет!$AH:$AH,Выполнить!$BG12)</f>
        <v>1107075</v>
      </c>
      <c r="BJ12" s="20">
        <f>SUMIFS(Отчет!AK:AK,Отчет!$AH:$AH,Выполнить!$BG12)</f>
        <v>55813</v>
      </c>
    </row>
    <row r="13" spans="6:66" x14ac:dyDescent="0.25">
      <c r="F13" s="24" t="s">
        <v>653</v>
      </c>
      <c r="G13" s="40">
        <f>SUMIFS(Отчет!AI:AI,Отчет!$AH:$AH,Выполнить!$F13)</f>
        <v>3904801</v>
      </c>
      <c r="H13" s="40">
        <f>SUMIFS(Отчет!AJ:AJ,Отчет!$AH:$AH,Выполнить!$F13)</f>
        <v>1142776</v>
      </c>
      <c r="I13" s="40">
        <f>SUMIFS(Отчет!AK:AK,Отчет!$AH:$AH,Выполнить!$F13)</f>
        <v>55983</v>
      </c>
      <c r="L13" s="26" t="s">
        <v>661</v>
      </c>
      <c r="M13" s="41">
        <f>INDEX($F$8:$I$20,MATCH($M$9,$F$8:$F$20,0),MATCH($M$10,$F$8:$I$8,0))</f>
        <v>62505</v>
      </c>
      <c r="AA13" s="19" t="s">
        <v>656</v>
      </c>
      <c r="AB13" s="20">
        <v>1077</v>
      </c>
      <c r="AC13" s="20">
        <v>1402</v>
      </c>
      <c r="AD13" s="20">
        <v>1144</v>
      </c>
      <c r="BG13" s="19" t="s">
        <v>655</v>
      </c>
      <c r="BH13" s="20">
        <f>SUMIFS(Отчет!AI:AI,Отчет!$AH:$AH,Выполнить!$BG13)</f>
        <v>4067609</v>
      </c>
      <c r="BI13" s="20">
        <f>SUMIFS(Отчет!AJ:AJ,Отчет!$AH:$AH,Выполнить!$BG13)</f>
        <v>1198712</v>
      </c>
      <c r="BJ13" s="20">
        <f>SUMIFS(Отчет!AK:AK,Отчет!$AH:$AH,Выполнить!$BG13)</f>
        <v>52300</v>
      </c>
    </row>
    <row r="14" spans="6:66" x14ac:dyDescent="0.25">
      <c r="F14" s="24" t="s">
        <v>654</v>
      </c>
      <c r="G14" s="40">
        <f>SUMIFS(Отчет!AI:AI,Отчет!$AH:$AH,Выполнить!$F14)</f>
        <v>3669099</v>
      </c>
      <c r="H14" s="40">
        <f>SUMIFS(Отчет!AJ:AJ,Отчет!$AH:$AH,Выполнить!$F14)</f>
        <v>1107075</v>
      </c>
      <c r="I14" s="40">
        <f>SUMIFS(Отчет!AK:AK,Отчет!$AH:$AH,Выполнить!$F14)</f>
        <v>55813</v>
      </c>
      <c r="AA14" s="19" t="s">
        <v>657</v>
      </c>
      <c r="AB14" s="20">
        <v>1314</v>
      </c>
      <c r="AC14" s="20">
        <v>1320</v>
      </c>
      <c r="AD14" s="20">
        <v>1024</v>
      </c>
      <c r="BG14" s="19" t="s">
        <v>656</v>
      </c>
      <c r="BH14" s="20">
        <f>SUMIFS(Отчет!AI:AI,Отчет!$AH:$AH,Выполнить!$BG14)</f>
        <v>4098500</v>
      </c>
      <c r="BI14" s="20">
        <f>SUMIFS(Отчет!AJ:AJ,Отчет!$AH:$AH,Выполнить!$BG14)</f>
        <v>1320638</v>
      </c>
      <c r="BJ14" s="20">
        <f>SUMIFS(Отчет!AK:AK,Отчет!$AH:$AH,Выполнить!$BG14)</f>
        <v>62505</v>
      </c>
    </row>
    <row r="15" spans="6:66" x14ac:dyDescent="0.25">
      <c r="F15" s="24" t="s">
        <v>655</v>
      </c>
      <c r="G15" s="40">
        <f>SUMIFS(Отчет!AI:AI,Отчет!$AH:$AH,Выполнить!$F15)</f>
        <v>4067609</v>
      </c>
      <c r="H15" s="40">
        <f>SUMIFS(Отчет!AJ:AJ,Отчет!$AH:$AH,Выполнить!$F15)</f>
        <v>1198712</v>
      </c>
      <c r="I15" s="40">
        <f>SUMIFS(Отчет!AK:AK,Отчет!$AH:$AH,Выполнить!$F15)</f>
        <v>52300</v>
      </c>
      <c r="AA15" s="19" t="s">
        <v>658</v>
      </c>
      <c r="AB15" s="20">
        <v>1255</v>
      </c>
      <c r="AC15" s="20">
        <v>1391</v>
      </c>
      <c r="AD15" s="20">
        <v>1364</v>
      </c>
      <c r="BG15" s="19" t="s">
        <v>657</v>
      </c>
      <c r="BH15" s="20">
        <f>SUMIFS(Отчет!AI:AI,Отчет!$AH:$AH,Выполнить!$BG15)</f>
        <v>4001152</v>
      </c>
      <c r="BI15" s="20">
        <f>SUMIFS(Отчет!AJ:AJ,Отчет!$AH:$AH,Выполнить!$BG15)</f>
        <v>1203579</v>
      </c>
      <c r="BJ15" s="20">
        <f>SUMIFS(Отчет!AK:AK,Отчет!$AH:$AH,Выполнить!$BG15)</f>
        <v>63229</v>
      </c>
    </row>
    <row r="16" spans="6:66" x14ac:dyDescent="0.25">
      <c r="F16" s="24" t="s">
        <v>656</v>
      </c>
      <c r="G16" s="40">
        <f>SUMIFS(Отчет!AI:AI,Отчет!$AH:$AH,Выполнить!$F16)</f>
        <v>4098500</v>
      </c>
      <c r="H16" s="40">
        <f>SUMIFS(Отчет!AJ:AJ,Отчет!$AH:$AH,Выполнить!$F16)</f>
        <v>1320638</v>
      </c>
      <c r="I16" s="40">
        <f>SUMIFS(Отчет!AK:AK,Отчет!$AH:$AH,Выполнить!$F16)</f>
        <v>62505</v>
      </c>
      <c r="AA16" s="19" t="s">
        <v>659</v>
      </c>
      <c r="AB16" s="20">
        <v>1407</v>
      </c>
      <c r="AC16" s="20">
        <v>1177</v>
      </c>
      <c r="AD16" s="20">
        <v>1176</v>
      </c>
      <c r="BG16" s="19" t="s">
        <v>658</v>
      </c>
      <c r="BH16" s="20">
        <f>SUMIFS(Отчет!AI:AI,Отчет!$AH:$AH,Выполнить!$BG16)</f>
        <v>4338209</v>
      </c>
      <c r="BI16" s="20">
        <f>SUMIFS(Отчет!AJ:AJ,Отчет!$AH:$AH,Выполнить!$BG16)</f>
        <v>1304043</v>
      </c>
      <c r="BJ16" s="20">
        <f>SUMIFS(Отчет!AK:AK,Отчет!$AH:$AH,Выполнить!$BG16)</f>
        <v>60297</v>
      </c>
    </row>
    <row r="17" spans="6:62" ht="15.75" thickBot="1" x14ac:dyDescent="0.3">
      <c r="F17" s="24" t="s">
        <v>657</v>
      </c>
      <c r="G17" s="40">
        <f>SUMIFS(Отчет!AI:AI,Отчет!$AH:$AH,Выполнить!$F17)</f>
        <v>4001152</v>
      </c>
      <c r="H17" s="40">
        <f>SUMIFS(Отчет!AJ:AJ,Отчет!$AH:$AH,Выполнить!$F17)</f>
        <v>1203579</v>
      </c>
      <c r="I17" s="40">
        <f>SUMIFS(Отчет!AK:AK,Отчет!$AH:$AH,Выполнить!$F17)</f>
        <v>63229</v>
      </c>
      <c r="AA17" s="28" t="s">
        <v>660</v>
      </c>
      <c r="AB17" s="29">
        <v>1016</v>
      </c>
      <c r="AC17" s="29">
        <v>1364</v>
      </c>
      <c r="AD17" s="29">
        <v>1198</v>
      </c>
      <c r="BG17" s="19" t="s">
        <v>659</v>
      </c>
      <c r="BH17" s="20">
        <f>SUMIFS(Отчет!AI:AI,Отчет!$AH:$AH,Выполнить!$BG17)</f>
        <v>3681441</v>
      </c>
      <c r="BI17" s="20">
        <f>SUMIFS(Отчет!AJ:AJ,Отчет!$AH:$AH,Выполнить!$BG17)</f>
        <v>1101239</v>
      </c>
      <c r="BJ17" s="20">
        <f>SUMIFS(Отчет!AK:AK,Отчет!$AH:$AH,Выполнить!$BG17)</f>
        <v>48764</v>
      </c>
    </row>
    <row r="18" spans="6:62" ht="15.75" thickBot="1" x14ac:dyDescent="0.3">
      <c r="F18" s="24" t="s">
        <v>658</v>
      </c>
      <c r="G18" s="40">
        <f>SUMIFS(Отчет!AI:AI,Отчет!$AH:$AH,Выполнить!$F18)</f>
        <v>4338209</v>
      </c>
      <c r="H18" s="40">
        <f>SUMIFS(Отчет!AJ:AJ,Отчет!$AH:$AH,Выполнить!$F18)</f>
        <v>1304043</v>
      </c>
      <c r="I18" s="40">
        <f>SUMIFS(Отчет!AK:AK,Отчет!$AH:$AH,Выполнить!$F18)</f>
        <v>60297</v>
      </c>
      <c r="BG18" s="28" t="s">
        <v>660</v>
      </c>
      <c r="BH18" s="29">
        <f>SUMIFS(Отчет!AI:AI,Отчет!$AH:$AH,Выполнить!$BG18)</f>
        <v>3781474</v>
      </c>
      <c r="BI18" s="29">
        <f>SUMIFS(Отчет!AJ:AJ,Отчет!$AH:$AH,Выполнить!$BG18)</f>
        <v>1056721</v>
      </c>
      <c r="BJ18" s="29">
        <f>SUMIFS(Отчет!AK:AK,Отчет!$AH:$AH,Выполнить!$BG18)</f>
        <v>43937</v>
      </c>
    </row>
    <row r="19" spans="6:62" x14ac:dyDescent="0.25">
      <c r="F19" s="24" t="s">
        <v>659</v>
      </c>
      <c r="G19" s="40">
        <f>SUMIFS(Отчет!AI:AI,Отчет!$AH:$AH,Выполнить!$F19)</f>
        <v>3681441</v>
      </c>
      <c r="H19" s="40">
        <f>SUMIFS(Отчет!AJ:AJ,Отчет!$AH:$AH,Выполнить!$F19)</f>
        <v>1101239</v>
      </c>
      <c r="I19" s="40">
        <f>SUMIFS(Отчет!AK:AK,Отчет!$AH:$AH,Выполнить!$F19)</f>
        <v>48764</v>
      </c>
      <c r="BH19" s="31"/>
      <c r="BI19" s="31"/>
      <c r="BJ19" s="31"/>
    </row>
    <row r="20" spans="6:62" ht="15.75" thickBot="1" x14ac:dyDescent="0.3">
      <c r="F20" s="30" t="s">
        <v>660</v>
      </c>
      <c r="G20" s="40">
        <f>SUMIFS(Отчет!AI:AI,Отчет!$AH:$AH,Выполнить!$F20)</f>
        <v>3781474</v>
      </c>
      <c r="H20" s="40">
        <f>SUMIFS(Отчет!AJ:AJ,Отчет!$AH:$AH,Выполнить!$F20)</f>
        <v>1056721</v>
      </c>
      <c r="I20" s="40">
        <f>SUMIFS(Отчет!AK:AK,Отчет!$AH:$AH,Выполнить!$F20)</f>
        <v>43937</v>
      </c>
      <c r="BH20" s="32"/>
      <c r="BI20" s="32"/>
      <c r="BJ20" s="32"/>
    </row>
  </sheetData>
  <sheetProtection formatCells="0" formatColumns="0" formatRows="0" insertColumns="0" insertRows="0" insertHyperlinks="0" sort="0" autoFilter="0" pivotTables="0"/>
  <dataValidations count="6">
    <dataValidation type="list" allowBlank="1" showInputMessage="1" showErrorMessage="1" sqref="BN7" xr:uid="{71173DB7-66C9-4225-B47B-B2C5EA8ABA87}">
      <formula1>$BG$7:$BG$18</formula1>
    </dataValidation>
    <dataValidation type="list" allowBlank="1" showInputMessage="1" showErrorMessage="1" sqref="BN8" xr:uid="{E9A5FBCE-033B-4CA4-AE5E-A62D9B22A258}">
      <formula1>$BH$6:$BJ$6</formula1>
    </dataValidation>
    <dataValidation type="list" allowBlank="1" showInputMessage="1" showErrorMessage="1" sqref="AH6" xr:uid="{8DF282F0-C44A-4832-B9D7-5B3FCA0BF64A}">
      <formula1>$AA$6:$AA$17</formula1>
    </dataValidation>
    <dataValidation type="list" allowBlank="1" showInputMessage="1" showErrorMessage="1" sqref="AH7" xr:uid="{6C6B105A-8BB5-4439-BFFE-2A55722848AA}">
      <formula1>$AB$5:$AD$5</formula1>
    </dataValidation>
    <dataValidation type="list" allowBlank="1" showInputMessage="1" showErrorMessage="1" sqref="M9" xr:uid="{B2465EB3-FA9A-4F5A-9F82-728CE34875E7}">
      <formula1>$F$9:$F$20</formula1>
    </dataValidation>
    <dataValidation type="list" allowBlank="1" showInputMessage="1" showErrorMessage="1" sqref="M10" xr:uid="{5F06650E-BC39-40B9-A50F-8D51C50026F1}">
      <formula1>$G$8:$I$8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BN11 AH10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65D4-AE2F-4225-AEE0-5E6E6E515A79}">
  <sheetPr>
    <tabColor rgb="FF00B050"/>
  </sheetPr>
  <dimension ref="A2:AL613"/>
  <sheetViews>
    <sheetView topLeftCell="AA1" workbookViewId="0">
      <selection activeCell="AH12" sqref="AH12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4" width="8.625" style="1"/>
    <col min="5" max="5" width="3.75" style="1" bestFit="1" customWidth="1"/>
    <col min="6" max="6" width="13.125" style="1" bestFit="1" customWidth="1"/>
    <col min="7" max="7" width="10" style="1" bestFit="1" customWidth="1"/>
    <col min="8" max="8" width="9.125" style="1" bestFit="1" customWidth="1"/>
    <col min="9" max="9" width="11.375" style="1" bestFit="1" customWidth="1"/>
    <col min="10" max="10" width="10.875" style="1" bestFit="1" customWidth="1"/>
    <col min="11" max="11" width="11.625" style="1" bestFit="1" customWidth="1"/>
    <col min="12" max="26" width="8.625" style="1"/>
    <col min="27" max="27" width="4.625" style="2" customWidth="1"/>
    <col min="28" max="29" width="5.5" style="2" customWidth="1"/>
    <col min="30" max="30" width="8.625" style="1"/>
    <col min="31" max="31" width="3.75" style="1" bestFit="1" customWidth="1"/>
    <col min="32" max="32" width="13.125" style="1" bestFit="1" customWidth="1"/>
    <col min="33" max="33" width="10" style="1" bestFit="1" customWidth="1"/>
    <col min="34" max="34" width="9.125" style="1" bestFit="1" customWidth="1"/>
    <col min="35" max="35" width="12.875" style="1" customWidth="1"/>
    <col min="36" max="36" width="13.5" style="1" bestFit="1" customWidth="1"/>
    <col min="37" max="38" width="11.25" style="1" bestFit="1" customWidth="1"/>
    <col min="39" max="39" width="8.625" style="1"/>
    <col min="40" max="41" width="9.875" style="1" bestFit="1" customWidth="1"/>
    <col min="42" max="42" width="9.125" style="1" bestFit="1" customWidth="1"/>
    <col min="43" max="16384" width="8.625" style="1"/>
  </cols>
  <sheetData>
    <row r="2" spans="5:38" ht="15.75" thickBot="1" x14ac:dyDescent="0.3"/>
    <row r="3" spans="5:38" x14ac:dyDescent="0.25">
      <c r="E3" s="8"/>
      <c r="F3" s="8" t="s">
        <v>52</v>
      </c>
      <c r="G3" s="8" t="s">
        <v>51</v>
      </c>
      <c r="H3" s="8" t="s">
        <v>662</v>
      </c>
      <c r="I3" s="8" t="s">
        <v>664</v>
      </c>
      <c r="J3" s="8" t="s">
        <v>665</v>
      </c>
      <c r="K3" s="8" t="s">
        <v>666</v>
      </c>
      <c r="AJ3" s="38" t="s">
        <v>664</v>
      </c>
      <c r="AK3" s="38" t="s">
        <v>665</v>
      </c>
      <c r="AL3" s="39" t="s">
        <v>666</v>
      </c>
    </row>
    <row r="4" spans="5:38" x14ac:dyDescent="0.25">
      <c r="E4">
        <v>1</v>
      </c>
      <c r="F4" t="s">
        <v>53</v>
      </c>
      <c r="G4" t="s">
        <v>1</v>
      </c>
      <c r="H4" t="s">
        <v>649</v>
      </c>
      <c r="I4" s="9">
        <v>148483</v>
      </c>
      <c r="J4" s="10">
        <v>33258</v>
      </c>
      <c r="K4" s="9">
        <v>2834</v>
      </c>
      <c r="AJ4" s="6">
        <f>MAX(mark_tbl[[#All],[Просмотры]])</f>
        <v>47185369</v>
      </c>
      <c r="AK4" s="6">
        <f>MAX(mark_tbl[[#All],[Клики]])</f>
        <v>14146000</v>
      </c>
      <c r="AL4" s="6">
        <f>MAX(mark_tbl[[#All],[Транзакции]])</f>
        <v>671249</v>
      </c>
    </row>
    <row r="5" spans="5:38" x14ac:dyDescent="0.25">
      <c r="E5">
        <v>2</v>
      </c>
      <c r="F5" t="s">
        <v>54</v>
      </c>
      <c r="G5" t="s">
        <v>1</v>
      </c>
      <c r="H5" t="s">
        <v>650</v>
      </c>
      <c r="I5" s="9">
        <v>38241</v>
      </c>
      <c r="J5" s="10">
        <v>8823</v>
      </c>
      <c r="K5" s="9">
        <v>813</v>
      </c>
    </row>
    <row r="6" spans="5:38" x14ac:dyDescent="0.25">
      <c r="E6">
        <v>3</v>
      </c>
      <c r="F6" t="s">
        <v>55</v>
      </c>
      <c r="G6" t="s">
        <v>1</v>
      </c>
      <c r="H6" t="s">
        <v>651</v>
      </c>
      <c r="I6" s="9">
        <v>54157</v>
      </c>
      <c r="J6" s="10">
        <v>11297</v>
      </c>
      <c r="K6" s="9">
        <v>711</v>
      </c>
    </row>
    <row r="7" spans="5:38" x14ac:dyDescent="0.25">
      <c r="E7">
        <v>4</v>
      </c>
      <c r="F7" t="s">
        <v>56</v>
      </c>
      <c r="G7" t="s">
        <v>1</v>
      </c>
      <c r="H7" t="s">
        <v>652</v>
      </c>
      <c r="I7" s="9">
        <v>22200</v>
      </c>
      <c r="J7" s="10">
        <v>6717</v>
      </c>
      <c r="K7" s="9">
        <v>392</v>
      </c>
    </row>
    <row r="8" spans="5:38" x14ac:dyDescent="0.25">
      <c r="E8">
        <v>5</v>
      </c>
      <c r="F8" t="s">
        <v>57</v>
      </c>
      <c r="G8" t="s">
        <v>1</v>
      </c>
      <c r="H8" t="s">
        <v>653</v>
      </c>
      <c r="I8" s="9">
        <v>138053</v>
      </c>
      <c r="J8" s="10">
        <v>53787</v>
      </c>
      <c r="K8" s="9">
        <v>2795</v>
      </c>
    </row>
    <row r="9" spans="5:38" x14ac:dyDescent="0.25">
      <c r="E9">
        <v>6</v>
      </c>
      <c r="F9" t="s">
        <v>58</v>
      </c>
      <c r="G9" t="s">
        <v>1</v>
      </c>
      <c r="H9" t="s">
        <v>654</v>
      </c>
      <c r="I9" s="9">
        <v>47567</v>
      </c>
      <c r="J9" s="10">
        <v>18717</v>
      </c>
      <c r="K9" s="9">
        <v>1418</v>
      </c>
    </row>
    <row r="10" spans="5:38" x14ac:dyDescent="0.25">
      <c r="E10">
        <v>7</v>
      </c>
      <c r="F10" t="s">
        <v>59</v>
      </c>
      <c r="G10" t="s">
        <v>1</v>
      </c>
      <c r="H10" t="s">
        <v>655</v>
      </c>
      <c r="I10" s="9">
        <v>110416</v>
      </c>
      <c r="J10" s="10">
        <v>33701</v>
      </c>
      <c r="K10" s="9">
        <v>3266</v>
      </c>
    </row>
    <row r="11" spans="5:38" x14ac:dyDescent="0.25">
      <c r="E11">
        <v>8</v>
      </c>
      <c r="F11" t="s">
        <v>60</v>
      </c>
      <c r="G11" t="s">
        <v>1</v>
      </c>
      <c r="H11" t="s">
        <v>656</v>
      </c>
      <c r="I11" s="9">
        <v>129454</v>
      </c>
      <c r="J11" s="10">
        <v>30877</v>
      </c>
      <c r="K11" s="9">
        <v>1029</v>
      </c>
      <c r="AD11" s="13"/>
    </row>
    <row r="12" spans="5:38" x14ac:dyDescent="0.25">
      <c r="E12">
        <v>9</v>
      </c>
      <c r="F12" t="s">
        <v>61</v>
      </c>
      <c r="G12" t="s">
        <v>1</v>
      </c>
      <c r="H12" t="s">
        <v>657</v>
      </c>
      <c r="I12" s="9">
        <v>109685</v>
      </c>
      <c r="J12" s="10">
        <v>40483</v>
      </c>
      <c r="K12" s="9">
        <v>3520</v>
      </c>
      <c r="AD12" s="13"/>
      <c r="AE12" s="35" t="s">
        <v>668</v>
      </c>
      <c r="AF12" s="35" t="s">
        <v>52</v>
      </c>
      <c r="AG12" s="35" t="s">
        <v>51</v>
      </c>
      <c r="AH12" s="35" t="s">
        <v>662</v>
      </c>
      <c r="AI12" s="35" t="s">
        <v>664</v>
      </c>
      <c r="AJ12" s="35" t="s">
        <v>665</v>
      </c>
      <c r="AK12" s="35" t="s">
        <v>666</v>
      </c>
    </row>
    <row r="13" spans="5:38" x14ac:dyDescent="0.25">
      <c r="E13">
        <v>10</v>
      </c>
      <c r="F13" t="s">
        <v>62</v>
      </c>
      <c r="G13" t="s">
        <v>1</v>
      </c>
      <c r="H13" t="s">
        <v>658</v>
      </c>
      <c r="I13" s="9">
        <v>134341</v>
      </c>
      <c r="J13" s="10">
        <v>44339</v>
      </c>
      <c r="K13" s="9">
        <v>1025</v>
      </c>
      <c r="AD13" s="13"/>
      <c r="AE13" s="14">
        <v>1</v>
      </c>
      <c r="AF13" s="14" t="s">
        <v>53</v>
      </c>
      <c r="AG13" s="14" t="s">
        <v>1</v>
      </c>
      <c r="AH13" s="14" t="s">
        <v>649</v>
      </c>
      <c r="AI13" s="9">
        <v>148483</v>
      </c>
      <c r="AJ13" s="34">
        <v>33258</v>
      </c>
      <c r="AK13" s="9">
        <v>2834</v>
      </c>
    </row>
    <row r="14" spans="5:38" x14ac:dyDescent="0.25">
      <c r="E14">
        <v>11</v>
      </c>
      <c r="F14" t="s">
        <v>63</v>
      </c>
      <c r="G14" t="s">
        <v>1</v>
      </c>
      <c r="H14" t="s">
        <v>659</v>
      </c>
      <c r="I14" s="9">
        <v>18425</v>
      </c>
      <c r="J14" s="10">
        <v>4724</v>
      </c>
      <c r="K14" s="9">
        <v>36</v>
      </c>
      <c r="AD14" s="13"/>
      <c r="AE14" s="14">
        <v>2</v>
      </c>
      <c r="AF14" s="14" t="s">
        <v>54</v>
      </c>
      <c r="AG14" s="14" t="s">
        <v>1</v>
      </c>
      <c r="AH14" s="14" t="s">
        <v>650</v>
      </c>
      <c r="AI14" s="9">
        <v>38241</v>
      </c>
      <c r="AJ14" s="34">
        <v>8823</v>
      </c>
      <c r="AK14" s="9">
        <v>813</v>
      </c>
    </row>
    <row r="15" spans="5:38" x14ac:dyDescent="0.25">
      <c r="E15">
        <v>12</v>
      </c>
      <c r="F15" t="s">
        <v>64</v>
      </c>
      <c r="G15" t="s">
        <v>1</v>
      </c>
      <c r="H15" t="s">
        <v>660</v>
      </c>
      <c r="I15" s="9">
        <v>142027</v>
      </c>
      <c r="J15" s="10">
        <v>42175</v>
      </c>
      <c r="K15" s="9">
        <v>2193</v>
      </c>
      <c r="AD15" s="13"/>
      <c r="AE15" s="14">
        <v>3</v>
      </c>
      <c r="AF15" s="14" t="s">
        <v>55</v>
      </c>
      <c r="AG15" s="14" t="s">
        <v>1</v>
      </c>
      <c r="AH15" s="14" t="s">
        <v>651</v>
      </c>
      <c r="AI15" s="9">
        <v>54157</v>
      </c>
      <c r="AJ15" s="34">
        <v>11297</v>
      </c>
      <c r="AK15" s="9">
        <v>711</v>
      </c>
    </row>
    <row r="16" spans="5:38" x14ac:dyDescent="0.25">
      <c r="E16">
        <v>13</v>
      </c>
      <c r="F16" t="s">
        <v>65</v>
      </c>
      <c r="G16" t="s">
        <v>2</v>
      </c>
      <c r="H16" t="s">
        <v>649</v>
      </c>
      <c r="I16" s="9">
        <v>110170</v>
      </c>
      <c r="J16" s="10">
        <v>36391</v>
      </c>
      <c r="K16" s="9">
        <v>2518</v>
      </c>
      <c r="AD16" s="13"/>
      <c r="AE16" s="14">
        <v>4</v>
      </c>
      <c r="AF16" s="14" t="s">
        <v>56</v>
      </c>
      <c r="AG16" s="14" t="s">
        <v>1</v>
      </c>
      <c r="AH16" s="14" t="s">
        <v>652</v>
      </c>
      <c r="AI16" s="9">
        <v>22200</v>
      </c>
      <c r="AJ16" s="34">
        <v>6717</v>
      </c>
      <c r="AK16" s="9">
        <v>392</v>
      </c>
    </row>
    <row r="17" spans="5:37" x14ac:dyDescent="0.25">
      <c r="E17">
        <v>14</v>
      </c>
      <c r="F17" t="s">
        <v>66</v>
      </c>
      <c r="G17" t="s">
        <v>2</v>
      </c>
      <c r="H17" t="s">
        <v>650</v>
      </c>
      <c r="I17" s="9">
        <v>98498</v>
      </c>
      <c r="J17" s="10">
        <v>33414</v>
      </c>
      <c r="K17" s="9">
        <v>1572</v>
      </c>
      <c r="AD17" s="13"/>
      <c r="AE17" s="14">
        <v>5</v>
      </c>
      <c r="AF17" s="14" t="s">
        <v>57</v>
      </c>
      <c r="AG17" s="14" t="s">
        <v>1</v>
      </c>
      <c r="AH17" s="14" t="s">
        <v>653</v>
      </c>
      <c r="AI17" s="9">
        <v>138053</v>
      </c>
      <c r="AJ17" s="34">
        <v>53787</v>
      </c>
      <c r="AK17" s="9">
        <v>2795</v>
      </c>
    </row>
    <row r="18" spans="5:37" x14ac:dyDescent="0.25">
      <c r="E18">
        <v>15</v>
      </c>
      <c r="F18" t="s">
        <v>67</v>
      </c>
      <c r="G18" t="s">
        <v>2</v>
      </c>
      <c r="H18" t="s">
        <v>651</v>
      </c>
      <c r="I18" s="9">
        <v>86199</v>
      </c>
      <c r="J18" s="10">
        <v>26042</v>
      </c>
      <c r="K18" s="9">
        <v>70</v>
      </c>
      <c r="AD18" s="13"/>
      <c r="AE18" s="14">
        <v>6</v>
      </c>
      <c r="AF18" s="14" t="s">
        <v>58</v>
      </c>
      <c r="AG18" s="14" t="s">
        <v>1</v>
      </c>
      <c r="AH18" s="14" t="s">
        <v>654</v>
      </c>
      <c r="AI18" s="9">
        <v>47567</v>
      </c>
      <c r="AJ18" s="34">
        <v>18717</v>
      </c>
      <c r="AK18" s="9">
        <v>1418</v>
      </c>
    </row>
    <row r="19" spans="5:37" x14ac:dyDescent="0.25">
      <c r="E19">
        <v>16</v>
      </c>
      <c r="F19" t="s">
        <v>68</v>
      </c>
      <c r="G19" t="s">
        <v>2</v>
      </c>
      <c r="H19" t="s">
        <v>652</v>
      </c>
      <c r="I19" s="9">
        <v>131527</v>
      </c>
      <c r="J19" s="10">
        <v>40252</v>
      </c>
      <c r="K19" s="9">
        <v>2316</v>
      </c>
      <c r="AD19" s="13"/>
      <c r="AE19" s="14">
        <v>7</v>
      </c>
      <c r="AF19" s="14" t="s">
        <v>59</v>
      </c>
      <c r="AG19" s="14" t="s">
        <v>1</v>
      </c>
      <c r="AH19" s="14" t="s">
        <v>655</v>
      </c>
      <c r="AI19" s="9">
        <v>110416</v>
      </c>
      <c r="AJ19" s="34">
        <v>33701</v>
      </c>
      <c r="AK19" s="9">
        <v>3266</v>
      </c>
    </row>
    <row r="20" spans="5:37" x14ac:dyDescent="0.25">
      <c r="E20">
        <v>17</v>
      </c>
      <c r="F20" t="s">
        <v>69</v>
      </c>
      <c r="G20" t="s">
        <v>2</v>
      </c>
      <c r="H20" t="s">
        <v>653</v>
      </c>
      <c r="I20" s="9">
        <v>13856</v>
      </c>
      <c r="J20" s="10">
        <v>5067</v>
      </c>
      <c r="K20" s="9">
        <v>256</v>
      </c>
      <c r="AD20" s="13"/>
      <c r="AE20" s="14">
        <v>8</v>
      </c>
      <c r="AF20" s="14" t="s">
        <v>60</v>
      </c>
      <c r="AG20" s="14" t="s">
        <v>1</v>
      </c>
      <c r="AH20" s="14" t="s">
        <v>656</v>
      </c>
      <c r="AI20" s="9">
        <v>129454</v>
      </c>
      <c r="AJ20" s="34">
        <v>30877</v>
      </c>
      <c r="AK20" s="9">
        <v>1029</v>
      </c>
    </row>
    <row r="21" spans="5:37" x14ac:dyDescent="0.25">
      <c r="E21">
        <v>18</v>
      </c>
      <c r="F21" t="s">
        <v>70</v>
      </c>
      <c r="G21" t="s">
        <v>2</v>
      </c>
      <c r="H21" t="s">
        <v>654</v>
      </c>
      <c r="I21" s="9">
        <v>148972</v>
      </c>
      <c r="J21" s="10">
        <v>54539</v>
      </c>
      <c r="K21" s="9">
        <v>684</v>
      </c>
      <c r="AD21" s="13"/>
      <c r="AE21" s="14">
        <v>9</v>
      </c>
      <c r="AF21" s="14" t="s">
        <v>61</v>
      </c>
      <c r="AG21" s="14" t="s">
        <v>1</v>
      </c>
      <c r="AH21" s="14" t="s">
        <v>657</v>
      </c>
      <c r="AI21" s="9">
        <v>109685</v>
      </c>
      <c r="AJ21" s="34">
        <v>40483</v>
      </c>
      <c r="AK21" s="9">
        <v>3520</v>
      </c>
    </row>
    <row r="22" spans="5:37" x14ac:dyDescent="0.25">
      <c r="E22">
        <v>19</v>
      </c>
      <c r="F22" t="s">
        <v>71</v>
      </c>
      <c r="G22" t="s">
        <v>2</v>
      </c>
      <c r="H22" t="s">
        <v>655</v>
      </c>
      <c r="I22" s="9">
        <v>148424</v>
      </c>
      <c r="J22" s="10">
        <v>50550</v>
      </c>
      <c r="K22" s="9">
        <v>2496</v>
      </c>
      <c r="AD22" s="13"/>
      <c r="AE22" s="14">
        <v>10</v>
      </c>
      <c r="AF22" s="14" t="s">
        <v>62</v>
      </c>
      <c r="AG22" s="14" t="s">
        <v>1</v>
      </c>
      <c r="AH22" s="14" t="s">
        <v>658</v>
      </c>
      <c r="AI22" s="9">
        <v>134341</v>
      </c>
      <c r="AJ22" s="34">
        <v>44339</v>
      </c>
      <c r="AK22" s="9">
        <v>1025</v>
      </c>
    </row>
    <row r="23" spans="5:37" x14ac:dyDescent="0.25">
      <c r="E23">
        <v>20</v>
      </c>
      <c r="F23" t="s">
        <v>72</v>
      </c>
      <c r="G23" t="s">
        <v>2</v>
      </c>
      <c r="H23" t="s">
        <v>656</v>
      </c>
      <c r="I23" s="9">
        <v>22001</v>
      </c>
      <c r="J23" s="10">
        <v>6365</v>
      </c>
      <c r="K23" s="9">
        <v>374</v>
      </c>
      <c r="AD23" s="13"/>
      <c r="AE23" s="14">
        <v>11</v>
      </c>
      <c r="AF23" s="14" t="s">
        <v>63</v>
      </c>
      <c r="AG23" s="14" t="s">
        <v>1</v>
      </c>
      <c r="AH23" s="14" t="s">
        <v>659</v>
      </c>
      <c r="AI23" s="9">
        <v>18425</v>
      </c>
      <c r="AJ23" s="34">
        <v>4724</v>
      </c>
      <c r="AK23" s="9">
        <v>36</v>
      </c>
    </row>
    <row r="24" spans="5:37" x14ac:dyDescent="0.25">
      <c r="E24">
        <v>21</v>
      </c>
      <c r="F24" t="s">
        <v>73</v>
      </c>
      <c r="G24" t="s">
        <v>2</v>
      </c>
      <c r="H24" t="s">
        <v>657</v>
      </c>
      <c r="I24" s="9">
        <v>100226</v>
      </c>
      <c r="J24" s="10">
        <v>27633</v>
      </c>
      <c r="K24" s="9">
        <v>2725</v>
      </c>
      <c r="AD24" s="13"/>
      <c r="AE24" s="14">
        <v>12</v>
      </c>
      <c r="AF24" s="14" t="s">
        <v>64</v>
      </c>
      <c r="AG24" s="14" t="s">
        <v>1</v>
      </c>
      <c r="AH24" s="14" t="s">
        <v>660</v>
      </c>
      <c r="AI24" s="9">
        <v>142027</v>
      </c>
      <c r="AJ24" s="34">
        <v>42175</v>
      </c>
      <c r="AK24" s="9">
        <v>2193</v>
      </c>
    </row>
    <row r="25" spans="5:37" x14ac:dyDescent="0.25">
      <c r="E25">
        <v>22</v>
      </c>
      <c r="F25" t="s">
        <v>74</v>
      </c>
      <c r="G25" t="s">
        <v>2</v>
      </c>
      <c r="H25" t="s">
        <v>658</v>
      </c>
      <c r="I25" s="9">
        <v>25252</v>
      </c>
      <c r="J25" s="10">
        <v>9897</v>
      </c>
      <c r="K25" s="9">
        <v>576</v>
      </c>
      <c r="AD25" s="13"/>
      <c r="AE25" s="14">
        <v>13</v>
      </c>
      <c r="AF25" s="14" t="s">
        <v>65</v>
      </c>
      <c r="AG25" s="14" t="s">
        <v>2</v>
      </c>
      <c r="AH25" s="14" t="s">
        <v>649</v>
      </c>
      <c r="AI25" s="9">
        <v>110170</v>
      </c>
      <c r="AJ25" s="34">
        <v>36391</v>
      </c>
      <c r="AK25" s="9">
        <v>2518</v>
      </c>
    </row>
    <row r="26" spans="5:37" x14ac:dyDescent="0.25">
      <c r="E26">
        <v>23</v>
      </c>
      <c r="F26" t="s">
        <v>75</v>
      </c>
      <c r="G26" t="s">
        <v>2</v>
      </c>
      <c r="H26" t="s">
        <v>659</v>
      </c>
      <c r="I26" s="9">
        <v>125237</v>
      </c>
      <c r="J26" s="10">
        <v>28411</v>
      </c>
      <c r="K26" s="9">
        <v>45</v>
      </c>
      <c r="AD26" s="13"/>
      <c r="AE26" s="14">
        <v>14</v>
      </c>
      <c r="AF26" s="14" t="s">
        <v>66</v>
      </c>
      <c r="AG26" s="14" t="s">
        <v>2</v>
      </c>
      <c r="AH26" s="14" t="s">
        <v>650</v>
      </c>
      <c r="AI26" s="9">
        <v>98498</v>
      </c>
      <c r="AJ26" s="34">
        <v>33414</v>
      </c>
      <c r="AK26" s="9">
        <v>1572</v>
      </c>
    </row>
    <row r="27" spans="5:37" x14ac:dyDescent="0.25">
      <c r="E27">
        <v>24</v>
      </c>
      <c r="F27" t="s">
        <v>76</v>
      </c>
      <c r="G27" t="s">
        <v>2</v>
      </c>
      <c r="H27" t="s">
        <v>660</v>
      </c>
      <c r="I27" s="9">
        <v>61852</v>
      </c>
      <c r="J27" s="10">
        <v>24457</v>
      </c>
      <c r="K27" s="9">
        <v>305</v>
      </c>
      <c r="AD27" s="13"/>
      <c r="AE27" s="14">
        <v>15</v>
      </c>
      <c r="AF27" s="14" t="s">
        <v>67</v>
      </c>
      <c r="AG27" s="14" t="s">
        <v>2</v>
      </c>
      <c r="AH27" s="14" t="s">
        <v>651</v>
      </c>
      <c r="AI27" s="9">
        <v>86199</v>
      </c>
      <c r="AJ27" s="34">
        <v>26042</v>
      </c>
      <c r="AK27" s="9">
        <v>70</v>
      </c>
    </row>
    <row r="28" spans="5:37" x14ac:dyDescent="0.25">
      <c r="E28">
        <v>25</v>
      </c>
      <c r="F28" t="s">
        <v>77</v>
      </c>
      <c r="G28" t="s">
        <v>3</v>
      </c>
      <c r="H28" t="s">
        <v>649</v>
      </c>
      <c r="I28" s="9">
        <v>73517</v>
      </c>
      <c r="J28" s="10">
        <v>27545</v>
      </c>
      <c r="K28" s="9">
        <v>1597</v>
      </c>
      <c r="AD28" s="13"/>
      <c r="AE28" s="14">
        <v>16</v>
      </c>
      <c r="AF28" s="14" t="s">
        <v>68</v>
      </c>
      <c r="AG28" s="14" t="s">
        <v>2</v>
      </c>
      <c r="AH28" s="14" t="s">
        <v>652</v>
      </c>
      <c r="AI28" s="9">
        <v>131527</v>
      </c>
      <c r="AJ28" s="34">
        <v>40252</v>
      </c>
      <c r="AK28" s="9">
        <v>2316</v>
      </c>
    </row>
    <row r="29" spans="5:37" x14ac:dyDescent="0.25">
      <c r="E29">
        <v>26</v>
      </c>
      <c r="F29" t="s">
        <v>78</v>
      </c>
      <c r="G29" t="s">
        <v>3</v>
      </c>
      <c r="H29" t="s">
        <v>650</v>
      </c>
      <c r="I29" s="9">
        <v>127908</v>
      </c>
      <c r="J29" s="10">
        <v>26149</v>
      </c>
      <c r="K29" s="9">
        <v>1901</v>
      </c>
      <c r="AD29" s="13"/>
      <c r="AE29" s="14">
        <v>17</v>
      </c>
      <c r="AF29" s="14" t="s">
        <v>69</v>
      </c>
      <c r="AG29" s="14" t="s">
        <v>2</v>
      </c>
      <c r="AH29" s="14" t="s">
        <v>653</v>
      </c>
      <c r="AI29" s="9">
        <v>13856</v>
      </c>
      <c r="AJ29" s="34">
        <v>5067</v>
      </c>
      <c r="AK29" s="9">
        <v>256</v>
      </c>
    </row>
    <row r="30" spans="5:37" x14ac:dyDescent="0.25">
      <c r="E30">
        <v>27</v>
      </c>
      <c r="F30" t="s">
        <v>79</v>
      </c>
      <c r="G30" t="s">
        <v>3</v>
      </c>
      <c r="H30" t="s">
        <v>651</v>
      </c>
      <c r="I30" s="9">
        <v>50762</v>
      </c>
      <c r="J30" s="10">
        <v>20073</v>
      </c>
      <c r="K30" s="9">
        <v>99</v>
      </c>
      <c r="AD30" s="13"/>
      <c r="AE30" s="14">
        <v>18</v>
      </c>
      <c r="AF30" s="14" t="s">
        <v>70</v>
      </c>
      <c r="AG30" s="14" t="s">
        <v>2</v>
      </c>
      <c r="AH30" s="14" t="s">
        <v>654</v>
      </c>
      <c r="AI30" s="9">
        <v>148972</v>
      </c>
      <c r="AJ30" s="34">
        <v>54539</v>
      </c>
      <c r="AK30" s="9">
        <v>684</v>
      </c>
    </row>
    <row r="31" spans="5:37" x14ac:dyDescent="0.25">
      <c r="E31">
        <v>28</v>
      </c>
      <c r="F31" t="s">
        <v>80</v>
      </c>
      <c r="G31" t="s">
        <v>3</v>
      </c>
      <c r="H31" t="s">
        <v>652</v>
      </c>
      <c r="I31" s="9">
        <v>42421</v>
      </c>
      <c r="J31" s="10">
        <v>16224</v>
      </c>
      <c r="K31" s="9">
        <v>36</v>
      </c>
      <c r="AD31" s="13"/>
      <c r="AE31" s="14">
        <v>19</v>
      </c>
      <c r="AF31" s="14" t="s">
        <v>71</v>
      </c>
      <c r="AG31" s="14" t="s">
        <v>2</v>
      </c>
      <c r="AH31" s="14" t="s">
        <v>655</v>
      </c>
      <c r="AI31" s="9">
        <v>148424</v>
      </c>
      <c r="AJ31" s="34">
        <v>50550</v>
      </c>
      <c r="AK31" s="9">
        <v>2496</v>
      </c>
    </row>
    <row r="32" spans="5:37" x14ac:dyDescent="0.25">
      <c r="E32">
        <v>29</v>
      </c>
      <c r="F32" t="s">
        <v>81</v>
      </c>
      <c r="G32" t="s">
        <v>3</v>
      </c>
      <c r="H32" t="s">
        <v>653</v>
      </c>
      <c r="I32" s="9">
        <v>19330</v>
      </c>
      <c r="J32" s="10">
        <v>6852</v>
      </c>
      <c r="K32" s="9">
        <v>177</v>
      </c>
      <c r="AD32" s="13"/>
      <c r="AE32" s="14">
        <v>20</v>
      </c>
      <c r="AF32" s="14" t="s">
        <v>72</v>
      </c>
      <c r="AG32" s="14" t="s">
        <v>2</v>
      </c>
      <c r="AH32" s="14" t="s">
        <v>656</v>
      </c>
      <c r="AI32" s="9">
        <v>22001</v>
      </c>
      <c r="AJ32" s="34">
        <v>6365</v>
      </c>
      <c r="AK32" s="9">
        <v>374</v>
      </c>
    </row>
    <row r="33" spans="5:37" x14ac:dyDescent="0.25">
      <c r="E33">
        <v>30</v>
      </c>
      <c r="F33" t="s">
        <v>82</v>
      </c>
      <c r="G33" t="s">
        <v>3</v>
      </c>
      <c r="H33" t="s">
        <v>654</v>
      </c>
      <c r="I33" s="9">
        <v>53481</v>
      </c>
      <c r="J33" s="10">
        <v>15745</v>
      </c>
      <c r="K33" s="9">
        <v>775</v>
      </c>
      <c r="AD33" s="13"/>
      <c r="AE33" s="14">
        <v>21</v>
      </c>
      <c r="AF33" s="14" t="s">
        <v>73</v>
      </c>
      <c r="AG33" s="14" t="s">
        <v>2</v>
      </c>
      <c r="AH33" s="14" t="s">
        <v>657</v>
      </c>
      <c r="AI33" s="9">
        <v>100226</v>
      </c>
      <c r="AJ33" s="34">
        <v>27633</v>
      </c>
      <c r="AK33" s="9">
        <v>2725</v>
      </c>
    </row>
    <row r="34" spans="5:37" x14ac:dyDescent="0.25">
      <c r="E34">
        <v>31</v>
      </c>
      <c r="F34" t="s">
        <v>83</v>
      </c>
      <c r="G34" t="s">
        <v>3</v>
      </c>
      <c r="H34" t="s">
        <v>655</v>
      </c>
      <c r="I34" s="9">
        <v>71572</v>
      </c>
      <c r="J34" s="10">
        <v>14477</v>
      </c>
      <c r="K34" s="9">
        <v>1109</v>
      </c>
      <c r="AD34" s="13"/>
      <c r="AE34" s="14">
        <v>22</v>
      </c>
      <c r="AF34" s="14" t="s">
        <v>74</v>
      </c>
      <c r="AG34" s="14" t="s">
        <v>2</v>
      </c>
      <c r="AH34" s="14" t="s">
        <v>658</v>
      </c>
      <c r="AI34" s="9">
        <v>25252</v>
      </c>
      <c r="AJ34" s="34">
        <v>9897</v>
      </c>
      <c r="AK34" s="9">
        <v>576</v>
      </c>
    </row>
    <row r="35" spans="5:37" x14ac:dyDescent="0.25">
      <c r="E35">
        <v>32</v>
      </c>
      <c r="F35" t="s">
        <v>84</v>
      </c>
      <c r="G35" t="s">
        <v>3</v>
      </c>
      <c r="H35" t="s">
        <v>656</v>
      </c>
      <c r="I35" s="9">
        <v>15916</v>
      </c>
      <c r="J35" s="10">
        <v>3992</v>
      </c>
      <c r="K35" s="9">
        <v>19</v>
      </c>
      <c r="AD35" s="13"/>
      <c r="AE35" s="14">
        <v>23</v>
      </c>
      <c r="AF35" s="14" t="s">
        <v>75</v>
      </c>
      <c r="AG35" s="14" t="s">
        <v>2</v>
      </c>
      <c r="AH35" s="14" t="s">
        <v>659</v>
      </c>
      <c r="AI35" s="9">
        <v>125237</v>
      </c>
      <c r="AJ35" s="34">
        <v>28411</v>
      </c>
      <c r="AK35" s="9">
        <v>45</v>
      </c>
    </row>
    <row r="36" spans="5:37" x14ac:dyDescent="0.25">
      <c r="E36">
        <v>33</v>
      </c>
      <c r="F36" t="s">
        <v>85</v>
      </c>
      <c r="G36" t="s">
        <v>3</v>
      </c>
      <c r="H36" t="s">
        <v>657</v>
      </c>
      <c r="I36" s="9">
        <v>133358</v>
      </c>
      <c r="J36" s="10">
        <v>40316</v>
      </c>
      <c r="K36" s="9">
        <v>3830</v>
      </c>
      <c r="AD36" s="13"/>
      <c r="AE36" s="14">
        <v>24</v>
      </c>
      <c r="AF36" s="14" t="s">
        <v>76</v>
      </c>
      <c r="AG36" s="14" t="s">
        <v>2</v>
      </c>
      <c r="AH36" s="14" t="s">
        <v>660</v>
      </c>
      <c r="AI36" s="9">
        <v>61852</v>
      </c>
      <c r="AJ36" s="34">
        <v>24457</v>
      </c>
      <c r="AK36" s="9">
        <v>305</v>
      </c>
    </row>
    <row r="37" spans="5:37" x14ac:dyDescent="0.25">
      <c r="E37">
        <v>34</v>
      </c>
      <c r="F37" t="s">
        <v>86</v>
      </c>
      <c r="G37" t="s">
        <v>3</v>
      </c>
      <c r="H37" t="s">
        <v>658</v>
      </c>
      <c r="I37" s="9">
        <v>146932</v>
      </c>
      <c r="J37" s="10">
        <v>45905</v>
      </c>
      <c r="K37" s="9">
        <v>4101</v>
      </c>
      <c r="AD37" s="13"/>
      <c r="AE37" s="14">
        <v>25</v>
      </c>
      <c r="AF37" s="14" t="s">
        <v>77</v>
      </c>
      <c r="AG37" s="14" t="s">
        <v>3</v>
      </c>
      <c r="AH37" s="14" t="s">
        <v>649</v>
      </c>
      <c r="AI37" s="9">
        <v>73517</v>
      </c>
      <c r="AJ37" s="34">
        <v>27545</v>
      </c>
      <c r="AK37" s="9">
        <v>1597</v>
      </c>
    </row>
    <row r="38" spans="5:37" x14ac:dyDescent="0.25">
      <c r="E38">
        <v>35</v>
      </c>
      <c r="F38" t="s">
        <v>87</v>
      </c>
      <c r="G38" t="s">
        <v>3</v>
      </c>
      <c r="H38" t="s">
        <v>659</v>
      </c>
      <c r="I38" s="9">
        <v>18678</v>
      </c>
      <c r="J38" s="10">
        <v>5223</v>
      </c>
      <c r="K38" s="9">
        <v>374</v>
      </c>
      <c r="AD38" s="13"/>
      <c r="AE38" s="14">
        <v>26</v>
      </c>
      <c r="AF38" s="14" t="s">
        <v>78</v>
      </c>
      <c r="AG38" s="14" t="s">
        <v>3</v>
      </c>
      <c r="AH38" s="14" t="s">
        <v>650</v>
      </c>
      <c r="AI38" s="9">
        <v>127908</v>
      </c>
      <c r="AJ38" s="34">
        <v>26149</v>
      </c>
      <c r="AK38" s="9">
        <v>1901</v>
      </c>
    </row>
    <row r="39" spans="5:37" x14ac:dyDescent="0.25">
      <c r="E39">
        <v>36</v>
      </c>
      <c r="F39" t="s">
        <v>88</v>
      </c>
      <c r="G39" t="s">
        <v>3</v>
      </c>
      <c r="H39" t="s">
        <v>660</v>
      </c>
      <c r="I39" s="9">
        <v>119531</v>
      </c>
      <c r="J39" s="10">
        <v>33160</v>
      </c>
      <c r="K39" s="9">
        <v>2030</v>
      </c>
      <c r="AD39" s="13"/>
      <c r="AE39" s="14">
        <v>27</v>
      </c>
      <c r="AF39" s="14" t="s">
        <v>79</v>
      </c>
      <c r="AG39" s="14" t="s">
        <v>3</v>
      </c>
      <c r="AH39" s="14" t="s">
        <v>651</v>
      </c>
      <c r="AI39" s="9">
        <v>50762</v>
      </c>
      <c r="AJ39" s="34">
        <v>20073</v>
      </c>
      <c r="AK39" s="9">
        <v>99</v>
      </c>
    </row>
    <row r="40" spans="5:37" x14ac:dyDescent="0.25">
      <c r="E40">
        <v>37</v>
      </c>
      <c r="F40" t="s">
        <v>89</v>
      </c>
      <c r="G40" t="s">
        <v>4</v>
      </c>
      <c r="H40" t="s">
        <v>649</v>
      </c>
      <c r="I40" s="9">
        <v>97983</v>
      </c>
      <c r="J40" s="10">
        <v>23779</v>
      </c>
      <c r="K40" s="9">
        <v>443</v>
      </c>
      <c r="AD40" s="13"/>
      <c r="AE40" s="14">
        <v>28</v>
      </c>
      <c r="AF40" s="14" t="s">
        <v>80</v>
      </c>
      <c r="AG40" s="14" t="s">
        <v>3</v>
      </c>
      <c r="AH40" s="14" t="s">
        <v>652</v>
      </c>
      <c r="AI40" s="9">
        <v>42421</v>
      </c>
      <c r="AJ40" s="34">
        <v>16224</v>
      </c>
      <c r="AK40" s="9">
        <v>36</v>
      </c>
    </row>
    <row r="41" spans="5:37" x14ac:dyDescent="0.25">
      <c r="E41">
        <v>38</v>
      </c>
      <c r="F41" t="s">
        <v>90</v>
      </c>
      <c r="G41" t="s">
        <v>4</v>
      </c>
      <c r="H41" t="s">
        <v>650</v>
      </c>
      <c r="I41" s="9">
        <v>20916</v>
      </c>
      <c r="J41" s="10">
        <v>6503</v>
      </c>
      <c r="K41" s="9">
        <v>283</v>
      </c>
      <c r="AD41" s="13"/>
      <c r="AE41" s="14">
        <v>29</v>
      </c>
      <c r="AF41" s="14" t="s">
        <v>81</v>
      </c>
      <c r="AG41" s="14" t="s">
        <v>3</v>
      </c>
      <c r="AH41" s="14" t="s">
        <v>653</v>
      </c>
      <c r="AI41" s="9">
        <v>19330</v>
      </c>
      <c r="AJ41" s="34">
        <v>6852</v>
      </c>
      <c r="AK41" s="9">
        <v>177</v>
      </c>
    </row>
    <row r="42" spans="5:37" x14ac:dyDescent="0.25">
      <c r="E42">
        <v>39</v>
      </c>
      <c r="F42" t="s">
        <v>91</v>
      </c>
      <c r="G42" t="s">
        <v>4</v>
      </c>
      <c r="H42" t="s">
        <v>651</v>
      </c>
      <c r="I42" s="9">
        <v>85691</v>
      </c>
      <c r="J42" s="10">
        <v>21208</v>
      </c>
      <c r="K42" s="9">
        <v>1513</v>
      </c>
      <c r="AD42" s="13"/>
      <c r="AE42" s="14">
        <v>30</v>
      </c>
      <c r="AF42" s="14" t="s">
        <v>82</v>
      </c>
      <c r="AG42" s="14" t="s">
        <v>3</v>
      </c>
      <c r="AH42" s="14" t="s">
        <v>654</v>
      </c>
      <c r="AI42" s="9">
        <v>53481</v>
      </c>
      <c r="AJ42" s="34">
        <v>15745</v>
      </c>
      <c r="AK42" s="9">
        <v>775</v>
      </c>
    </row>
    <row r="43" spans="5:37" x14ac:dyDescent="0.25">
      <c r="E43">
        <v>40</v>
      </c>
      <c r="F43" t="s">
        <v>92</v>
      </c>
      <c r="G43" t="s">
        <v>4</v>
      </c>
      <c r="H43" t="s">
        <v>652</v>
      </c>
      <c r="I43" s="9">
        <v>50252</v>
      </c>
      <c r="J43" s="10">
        <v>16247</v>
      </c>
      <c r="K43" s="9">
        <v>987</v>
      </c>
      <c r="AD43" s="13"/>
      <c r="AE43" s="14">
        <v>31</v>
      </c>
      <c r="AF43" s="14" t="s">
        <v>83</v>
      </c>
      <c r="AG43" s="14" t="s">
        <v>3</v>
      </c>
      <c r="AH43" s="14" t="s">
        <v>655</v>
      </c>
      <c r="AI43" s="9">
        <v>71572</v>
      </c>
      <c r="AJ43" s="34">
        <v>14477</v>
      </c>
      <c r="AK43" s="9">
        <v>1109</v>
      </c>
    </row>
    <row r="44" spans="5:37" x14ac:dyDescent="0.25">
      <c r="E44">
        <v>41</v>
      </c>
      <c r="F44" t="s">
        <v>93</v>
      </c>
      <c r="G44" t="s">
        <v>4</v>
      </c>
      <c r="H44" t="s">
        <v>653</v>
      </c>
      <c r="I44" s="9">
        <v>88951</v>
      </c>
      <c r="J44" s="10">
        <v>24212</v>
      </c>
      <c r="K44" s="9">
        <v>465</v>
      </c>
      <c r="AD44" s="13"/>
      <c r="AE44" s="14">
        <v>32</v>
      </c>
      <c r="AF44" s="14" t="s">
        <v>84</v>
      </c>
      <c r="AG44" s="14" t="s">
        <v>3</v>
      </c>
      <c r="AH44" s="14" t="s">
        <v>656</v>
      </c>
      <c r="AI44" s="9">
        <v>15916</v>
      </c>
      <c r="AJ44" s="34">
        <v>3992</v>
      </c>
      <c r="AK44" s="9">
        <v>19</v>
      </c>
    </row>
    <row r="45" spans="5:37" x14ac:dyDescent="0.25">
      <c r="E45">
        <v>42</v>
      </c>
      <c r="F45" t="s">
        <v>94</v>
      </c>
      <c r="G45" t="s">
        <v>4</v>
      </c>
      <c r="H45" t="s">
        <v>654</v>
      </c>
      <c r="I45" s="9">
        <v>48313</v>
      </c>
      <c r="J45" s="10">
        <v>17942</v>
      </c>
      <c r="K45" s="9">
        <v>1351</v>
      </c>
      <c r="AD45" s="13"/>
      <c r="AE45" s="14">
        <v>33</v>
      </c>
      <c r="AF45" s="14" t="s">
        <v>85</v>
      </c>
      <c r="AG45" s="14" t="s">
        <v>3</v>
      </c>
      <c r="AH45" s="14" t="s">
        <v>657</v>
      </c>
      <c r="AI45" s="9">
        <v>133358</v>
      </c>
      <c r="AJ45" s="34">
        <v>40316</v>
      </c>
      <c r="AK45" s="9">
        <v>3830</v>
      </c>
    </row>
    <row r="46" spans="5:37" x14ac:dyDescent="0.25">
      <c r="E46">
        <v>43</v>
      </c>
      <c r="F46" t="s">
        <v>95</v>
      </c>
      <c r="G46" t="s">
        <v>4</v>
      </c>
      <c r="H46" t="s">
        <v>655</v>
      </c>
      <c r="I46" s="9">
        <v>86091</v>
      </c>
      <c r="J46" s="10">
        <v>26916</v>
      </c>
      <c r="K46" s="9">
        <v>2492</v>
      </c>
      <c r="AD46" s="13"/>
      <c r="AE46" s="14">
        <v>34</v>
      </c>
      <c r="AF46" s="14" t="s">
        <v>86</v>
      </c>
      <c r="AG46" s="14" t="s">
        <v>3</v>
      </c>
      <c r="AH46" s="14" t="s">
        <v>658</v>
      </c>
      <c r="AI46" s="9">
        <v>146932</v>
      </c>
      <c r="AJ46" s="34">
        <v>45905</v>
      </c>
      <c r="AK46" s="9">
        <v>4101</v>
      </c>
    </row>
    <row r="47" spans="5:37" x14ac:dyDescent="0.25">
      <c r="E47">
        <v>44</v>
      </c>
      <c r="F47" t="s">
        <v>96</v>
      </c>
      <c r="G47" t="s">
        <v>4</v>
      </c>
      <c r="H47" t="s">
        <v>656</v>
      </c>
      <c r="I47" s="9">
        <v>138283</v>
      </c>
      <c r="J47" s="10">
        <v>51828</v>
      </c>
      <c r="K47" s="9">
        <v>1151</v>
      </c>
      <c r="AD47" s="13"/>
      <c r="AE47" s="14">
        <v>35</v>
      </c>
      <c r="AF47" s="14" t="s">
        <v>87</v>
      </c>
      <c r="AG47" s="14" t="s">
        <v>3</v>
      </c>
      <c r="AH47" s="14" t="s">
        <v>659</v>
      </c>
      <c r="AI47" s="9">
        <v>18678</v>
      </c>
      <c r="AJ47" s="34">
        <v>5223</v>
      </c>
      <c r="AK47" s="9">
        <v>374</v>
      </c>
    </row>
    <row r="48" spans="5:37" x14ac:dyDescent="0.25">
      <c r="E48">
        <v>45</v>
      </c>
      <c r="F48" t="s">
        <v>97</v>
      </c>
      <c r="G48" t="s">
        <v>4</v>
      </c>
      <c r="H48" t="s">
        <v>657</v>
      </c>
      <c r="I48" s="9">
        <v>14569</v>
      </c>
      <c r="J48" s="10">
        <v>3565</v>
      </c>
      <c r="K48" s="9">
        <v>100</v>
      </c>
      <c r="AD48" s="13"/>
      <c r="AE48" s="14">
        <v>36</v>
      </c>
      <c r="AF48" s="14" t="s">
        <v>88</v>
      </c>
      <c r="AG48" s="14" t="s">
        <v>3</v>
      </c>
      <c r="AH48" s="14" t="s">
        <v>660</v>
      </c>
      <c r="AI48" s="9">
        <v>119531</v>
      </c>
      <c r="AJ48" s="34">
        <v>33160</v>
      </c>
      <c r="AK48" s="9">
        <v>2030</v>
      </c>
    </row>
    <row r="49" spans="5:37" x14ac:dyDescent="0.25">
      <c r="E49">
        <v>46</v>
      </c>
      <c r="F49" t="s">
        <v>98</v>
      </c>
      <c r="G49" t="s">
        <v>4</v>
      </c>
      <c r="H49" t="s">
        <v>658</v>
      </c>
      <c r="I49" s="9">
        <v>28151</v>
      </c>
      <c r="J49" s="10">
        <v>10454</v>
      </c>
      <c r="K49" s="9">
        <v>640</v>
      </c>
      <c r="AD49" s="13"/>
      <c r="AE49" s="14">
        <v>37</v>
      </c>
      <c r="AF49" s="14" t="s">
        <v>89</v>
      </c>
      <c r="AG49" s="14" t="s">
        <v>4</v>
      </c>
      <c r="AH49" s="14" t="s">
        <v>649</v>
      </c>
      <c r="AI49" s="9">
        <v>97983</v>
      </c>
      <c r="AJ49" s="34">
        <v>23779</v>
      </c>
      <c r="AK49" s="9">
        <v>443</v>
      </c>
    </row>
    <row r="50" spans="5:37" x14ac:dyDescent="0.25">
      <c r="E50">
        <v>47</v>
      </c>
      <c r="F50" t="s">
        <v>99</v>
      </c>
      <c r="G50" t="s">
        <v>4</v>
      </c>
      <c r="H50" t="s">
        <v>659</v>
      </c>
      <c r="I50" s="9">
        <v>138037</v>
      </c>
      <c r="J50" s="10">
        <v>51222</v>
      </c>
      <c r="K50" s="9">
        <v>660</v>
      </c>
      <c r="AD50" s="13"/>
      <c r="AE50" s="14">
        <v>38</v>
      </c>
      <c r="AF50" s="14" t="s">
        <v>90</v>
      </c>
      <c r="AG50" s="14" t="s">
        <v>4</v>
      </c>
      <c r="AH50" s="14" t="s">
        <v>650</v>
      </c>
      <c r="AI50" s="9">
        <v>20916</v>
      </c>
      <c r="AJ50" s="34">
        <v>6503</v>
      </c>
      <c r="AK50" s="9">
        <v>283</v>
      </c>
    </row>
    <row r="51" spans="5:37" x14ac:dyDescent="0.25">
      <c r="E51">
        <v>48</v>
      </c>
      <c r="F51" t="s">
        <v>100</v>
      </c>
      <c r="G51" t="s">
        <v>4</v>
      </c>
      <c r="H51" t="s">
        <v>660</v>
      </c>
      <c r="I51" s="9">
        <v>34360</v>
      </c>
      <c r="J51" s="10">
        <v>9759</v>
      </c>
      <c r="K51" s="9">
        <v>195</v>
      </c>
      <c r="AD51" s="13"/>
      <c r="AE51" s="14">
        <v>39</v>
      </c>
      <c r="AF51" s="14" t="s">
        <v>91</v>
      </c>
      <c r="AG51" s="14" t="s">
        <v>4</v>
      </c>
      <c r="AH51" s="14" t="s">
        <v>651</v>
      </c>
      <c r="AI51" s="9">
        <v>85691</v>
      </c>
      <c r="AJ51" s="34">
        <v>21208</v>
      </c>
      <c r="AK51" s="9">
        <v>1513</v>
      </c>
    </row>
    <row r="52" spans="5:37" x14ac:dyDescent="0.25">
      <c r="E52">
        <v>49</v>
      </c>
      <c r="F52" t="s">
        <v>101</v>
      </c>
      <c r="G52" t="s">
        <v>5</v>
      </c>
      <c r="H52" t="s">
        <v>649</v>
      </c>
      <c r="I52" s="9">
        <v>27963</v>
      </c>
      <c r="J52" s="10">
        <v>9482</v>
      </c>
      <c r="K52" s="9">
        <v>602</v>
      </c>
      <c r="AD52" s="13"/>
      <c r="AE52" s="14">
        <v>40</v>
      </c>
      <c r="AF52" s="14" t="s">
        <v>92</v>
      </c>
      <c r="AG52" s="14" t="s">
        <v>4</v>
      </c>
      <c r="AH52" s="14" t="s">
        <v>652</v>
      </c>
      <c r="AI52" s="9">
        <v>50252</v>
      </c>
      <c r="AJ52" s="34">
        <v>16247</v>
      </c>
      <c r="AK52" s="9">
        <v>987</v>
      </c>
    </row>
    <row r="53" spans="5:37" x14ac:dyDescent="0.25">
      <c r="E53">
        <v>50</v>
      </c>
      <c r="F53" t="s">
        <v>102</v>
      </c>
      <c r="G53" t="s">
        <v>5</v>
      </c>
      <c r="H53" t="s">
        <v>650</v>
      </c>
      <c r="I53" s="9">
        <v>20830</v>
      </c>
      <c r="J53" s="10">
        <v>7760</v>
      </c>
      <c r="K53" s="9">
        <v>583</v>
      </c>
      <c r="AD53" s="13"/>
      <c r="AE53" s="14">
        <v>41</v>
      </c>
      <c r="AF53" s="14" t="s">
        <v>93</v>
      </c>
      <c r="AG53" s="14" t="s">
        <v>4</v>
      </c>
      <c r="AH53" s="14" t="s">
        <v>653</v>
      </c>
      <c r="AI53" s="9">
        <v>88951</v>
      </c>
      <c r="AJ53" s="34">
        <v>24212</v>
      </c>
      <c r="AK53" s="9">
        <v>465</v>
      </c>
    </row>
    <row r="54" spans="5:37" x14ac:dyDescent="0.25">
      <c r="E54">
        <v>51</v>
      </c>
      <c r="F54" t="s">
        <v>103</v>
      </c>
      <c r="G54" t="s">
        <v>5</v>
      </c>
      <c r="H54" t="s">
        <v>651</v>
      </c>
      <c r="I54" s="9">
        <v>35400</v>
      </c>
      <c r="J54" s="10">
        <v>7900</v>
      </c>
      <c r="K54" s="9">
        <v>135</v>
      </c>
      <c r="AD54" s="13"/>
      <c r="AE54" s="14">
        <v>42</v>
      </c>
      <c r="AF54" s="14" t="s">
        <v>94</v>
      </c>
      <c r="AG54" s="14" t="s">
        <v>4</v>
      </c>
      <c r="AH54" s="14" t="s">
        <v>654</v>
      </c>
      <c r="AI54" s="9">
        <v>48313</v>
      </c>
      <c r="AJ54" s="34">
        <v>17942</v>
      </c>
      <c r="AK54" s="9">
        <v>1351</v>
      </c>
    </row>
    <row r="55" spans="5:37" x14ac:dyDescent="0.25">
      <c r="E55">
        <v>52</v>
      </c>
      <c r="F55" t="s">
        <v>104</v>
      </c>
      <c r="G55" t="s">
        <v>5</v>
      </c>
      <c r="H55" t="s">
        <v>652</v>
      </c>
      <c r="I55" s="9">
        <v>46970</v>
      </c>
      <c r="J55" s="10">
        <v>17848</v>
      </c>
      <c r="K55" s="9">
        <v>270</v>
      </c>
      <c r="AD55" s="13"/>
      <c r="AE55" s="14">
        <v>43</v>
      </c>
      <c r="AF55" s="14" t="s">
        <v>95</v>
      </c>
      <c r="AG55" s="14" t="s">
        <v>4</v>
      </c>
      <c r="AH55" s="14" t="s">
        <v>655</v>
      </c>
      <c r="AI55" s="9">
        <v>86091</v>
      </c>
      <c r="AJ55" s="34">
        <v>26916</v>
      </c>
      <c r="AK55" s="9">
        <v>2492</v>
      </c>
    </row>
    <row r="56" spans="5:37" x14ac:dyDescent="0.25">
      <c r="E56">
        <v>53</v>
      </c>
      <c r="F56" t="s">
        <v>105</v>
      </c>
      <c r="G56" t="s">
        <v>5</v>
      </c>
      <c r="H56" t="s">
        <v>653</v>
      </c>
      <c r="I56" s="9">
        <v>90960</v>
      </c>
      <c r="J56" s="10">
        <v>25720</v>
      </c>
      <c r="K56" s="9">
        <v>1379</v>
      </c>
      <c r="AD56" s="13"/>
      <c r="AE56" s="14">
        <v>44</v>
      </c>
      <c r="AF56" s="14" t="s">
        <v>96</v>
      </c>
      <c r="AG56" s="14" t="s">
        <v>4</v>
      </c>
      <c r="AH56" s="14" t="s">
        <v>656</v>
      </c>
      <c r="AI56" s="9">
        <v>138283</v>
      </c>
      <c r="AJ56" s="34">
        <v>51828</v>
      </c>
      <c r="AK56" s="9">
        <v>1151</v>
      </c>
    </row>
    <row r="57" spans="5:37" x14ac:dyDescent="0.25">
      <c r="E57">
        <v>54</v>
      </c>
      <c r="F57" t="s">
        <v>106</v>
      </c>
      <c r="G57" t="s">
        <v>5</v>
      </c>
      <c r="H57" t="s">
        <v>654</v>
      </c>
      <c r="I57" s="9">
        <v>36191</v>
      </c>
      <c r="J57" s="10">
        <v>14233</v>
      </c>
      <c r="K57" s="9">
        <v>1327</v>
      </c>
      <c r="AD57" s="13"/>
      <c r="AE57" s="14">
        <v>45</v>
      </c>
      <c r="AF57" s="14" t="s">
        <v>97</v>
      </c>
      <c r="AG57" s="14" t="s">
        <v>4</v>
      </c>
      <c r="AH57" s="14" t="s">
        <v>657</v>
      </c>
      <c r="AI57" s="9">
        <v>14569</v>
      </c>
      <c r="AJ57" s="34">
        <v>3565</v>
      </c>
      <c r="AK57" s="9">
        <v>100</v>
      </c>
    </row>
    <row r="58" spans="5:37" x14ac:dyDescent="0.25">
      <c r="E58">
        <v>55</v>
      </c>
      <c r="F58" t="s">
        <v>107</v>
      </c>
      <c r="G58" t="s">
        <v>5</v>
      </c>
      <c r="H58" t="s">
        <v>655</v>
      </c>
      <c r="I58" s="9">
        <v>118976</v>
      </c>
      <c r="J58" s="10">
        <v>26575</v>
      </c>
      <c r="K58" s="9">
        <v>13</v>
      </c>
      <c r="AD58" s="13"/>
      <c r="AE58" s="14">
        <v>46</v>
      </c>
      <c r="AF58" s="14" t="s">
        <v>98</v>
      </c>
      <c r="AG58" s="14" t="s">
        <v>4</v>
      </c>
      <c r="AH58" s="14" t="s">
        <v>658</v>
      </c>
      <c r="AI58" s="9">
        <v>28151</v>
      </c>
      <c r="AJ58" s="34">
        <v>10454</v>
      </c>
      <c r="AK58" s="9">
        <v>640</v>
      </c>
    </row>
    <row r="59" spans="5:37" x14ac:dyDescent="0.25">
      <c r="E59">
        <v>56</v>
      </c>
      <c r="F59" t="s">
        <v>108</v>
      </c>
      <c r="G59" t="s">
        <v>5</v>
      </c>
      <c r="H59" t="s">
        <v>656</v>
      </c>
      <c r="I59" s="9">
        <v>66017</v>
      </c>
      <c r="J59" s="10">
        <v>17845</v>
      </c>
      <c r="K59" s="9">
        <v>1152</v>
      </c>
      <c r="AD59" s="13"/>
      <c r="AE59" s="14">
        <v>47</v>
      </c>
      <c r="AF59" s="14" t="s">
        <v>99</v>
      </c>
      <c r="AG59" s="14" t="s">
        <v>4</v>
      </c>
      <c r="AH59" s="14" t="s">
        <v>659</v>
      </c>
      <c r="AI59" s="9">
        <v>138037</v>
      </c>
      <c r="AJ59" s="34">
        <v>51222</v>
      </c>
      <c r="AK59" s="9">
        <v>660</v>
      </c>
    </row>
    <row r="60" spans="5:37" x14ac:dyDescent="0.25">
      <c r="E60">
        <v>57</v>
      </c>
      <c r="F60" t="s">
        <v>109</v>
      </c>
      <c r="G60" t="s">
        <v>5</v>
      </c>
      <c r="H60" t="s">
        <v>657</v>
      </c>
      <c r="I60" s="9">
        <v>144297</v>
      </c>
      <c r="J60" s="10">
        <v>30879</v>
      </c>
      <c r="K60" s="9">
        <v>2290</v>
      </c>
      <c r="AD60" s="13"/>
      <c r="AE60" s="14">
        <v>48</v>
      </c>
      <c r="AF60" s="14" t="s">
        <v>100</v>
      </c>
      <c r="AG60" s="14" t="s">
        <v>4</v>
      </c>
      <c r="AH60" s="14" t="s">
        <v>660</v>
      </c>
      <c r="AI60" s="9">
        <v>34360</v>
      </c>
      <c r="AJ60" s="34">
        <v>9759</v>
      </c>
      <c r="AK60" s="9">
        <v>195</v>
      </c>
    </row>
    <row r="61" spans="5:37" x14ac:dyDescent="0.25">
      <c r="E61">
        <v>58</v>
      </c>
      <c r="F61" t="s">
        <v>110</v>
      </c>
      <c r="G61" t="s">
        <v>5</v>
      </c>
      <c r="H61" t="s">
        <v>658</v>
      </c>
      <c r="I61" s="9">
        <v>34166</v>
      </c>
      <c r="J61" s="10">
        <v>11237</v>
      </c>
      <c r="K61" s="9">
        <v>576</v>
      </c>
      <c r="AD61" s="13"/>
      <c r="AE61" s="14">
        <v>49</v>
      </c>
      <c r="AF61" s="14" t="s">
        <v>101</v>
      </c>
      <c r="AG61" s="14" t="s">
        <v>5</v>
      </c>
      <c r="AH61" s="14" t="s">
        <v>649</v>
      </c>
      <c r="AI61" s="9">
        <v>27963</v>
      </c>
      <c r="AJ61" s="34">
        <v>9482</v>
      </c>
      <c r="AK61" s="9">
        <v>602</v>
      </c>
    </row>
    <row r="62" spans="5:37" x14ac:dyDescent="0.25">
      <c r="E62">
        <v>59</v>
      </c>
      <c r="F62" t="s">
        <v>111</v>
      </c>
      <c r="G62" t="s">
        <v>5</v>
      </c>
      <c r="H62" t="s">
        <v>659</v>
      </c>
      <c r="I62" s="9">
        <v>10398</v>
      </c>
      <c r="J62" s="10">
        <v>2769</v>
      </c>
      <c r="K62" s="9">
        <v>177</v>
      </c>
      <c r="AD62" s="13"/>
      <c r="AE62" s="14">
        <v>50</v>
      </c>
      <c r="AF62" s="14" t="s">
        <v>102</v>
      </c>
      <c r="AG62" s="14" t="s">
        <v>5</v>
      </c>
      <c r="AH62" s="14" t="s">
        <v>650</v>
      </c>
      <c r="AI62" s="9">
        <v>20830</v>
      </c>
      <c r="AJ62" s="34">
        <v>7760</v>
      </c>
      <c r="AK62" s="9">
        <v>583</v>
      </c>
    </row>
    <row r="63" spans="5:37" x14ac:dyDescent="0.25">
      <c r="E63">
        <v>60</v>
      </c>
      <c r="F63" t="s">
        <v>112</v>
      </c>
      <c r="G63" t="s">
        <v>5</v>
      </c>
      <c r="H63" t="s">
        <v>660</v>
      </c>
      <c r="I63" s="9">
        <v>143803</v>
      </c>
      <c r="J63" s="10">
        <v>31016</v>
      </c>
      <c r="K63" s="9">
        <v>2218</v>
      </c>
      <c r="AD63" s="13"/>
      <c r="AE63" s="14">
        <v>51</v>
      </c>
      <c r="AF63" s="14" t="s">
        <v>103</v>
      </c>
      <c r="AG63" s="14" t="s">
        <v>5</v>
      </c>
      <c r="AH63" s="14" t="s">
        <v>651</v>
      </c>
      <c r="AI63" s="9">
        <v>35400</v>
      </c>
      <c r="AJ63" s="34">
        <v>7900</v>
      </c>
      <c r="AK63" s="9">
        <v>135</v>
      </c>
    </row>
    <row r="64" spans="5:37" x14ac:dyDescent="0.25">
      <c r="E64">
        <v>61</v>
      </c>
      <c r="F64" t="s">
        <v>113</v>
      </c>
      <c r="G64" t="s">
        <v>6</v>
      </c>
      <c r="H64" t="s">
        <v>649</v>
      </c>
      <c r="I64" s="9">
        <v>120541</v>
      </c>
      <c r="J64" s="10">
        <v>37015</v>
      </c>
      <c r="K64" s="9">
        <v>130</v>
      </c>
      <c r="AD64" s="13"/>
      <c r="AE64" s="14">
        <v>52</v>
      </c>
      <c r="AF64" s="14" t="s">
        <v>104</v>
      </c>
      <c r="AG64" s="14" t="s">
        <v>5</v>
      </c>
      <c r="AH64" s="14" t="s">
        <v>652</v>
      </c>
      <c r="AI64" s="9">
        <v>46970</v>
      </c>
      <c r="AJ64" s="34">
        <v>17848</v>
      </c>
      <c r="AK64" s="9">
        <v>270</v>
      </c>
    </row>
    <row r="65" spans="5:37" x14ac:dyDescent="0.25">
      <c r="E65">
        <v>62</v>
      </c>
      <c r="F65" t="s">
        <v>114</v>
      </c>
      <c r="G65" t="s">
        <v>6</v>
      </c>
      <c r="H65" t="s">
        <v>650</v>
      </c>
      <c r="I65" s="9">
        <v>97862</v>
      </c>
      <c r="J65" s="10">
        <v>38462</v>
      </c>
      <c r="K65" s="9">
        <v>3544</v>
      </c>
      <c r="AD65" s="13"/>
      <c r="AE65" s="14">
        <v>53</v>
      </c>
      <c r="AF65" s="14" t="s">
        <v>105</v>
      </c>
      <c r="AG65" s="14" t="s">
        <v>5</v>
      </c>
      <c r="AH65" s="14" t="s">
        <v>653</v>
      </c>
      <c r="AI65" s="9">
        <v>90960</v>
      </c>
      <c r="AJ65" s="34">
        <v>25720</v>
      </c>
      <c r="AK65" s="9">
        <v>1379</v>
      </c>
    </row>
    <row r="66" spans="5:37" x14ac:dyDescent="0.25">
      <c r="E66">
        <v>63</v>
      </c>
      <c r="F66" t="s">
        <v>115</v>
      </c>
      <c r="G66" t="s">
        <v>6</v>
      </c>
      <c r="H66" t="s">
        <v>651</v>
      </c>
      <c r="I66" s="9">
        <v>131203</v>
      </c>
      <c r="J66" s="10">
        <v>37651</v>
      </c>
      <c r="K66" s="9">
        <v>2535</v>
      </c>
      <c r="AD66" s="13"/>
      <c r="AE66" s="14">
        <v>54</v>
      </c>
      <c r="AF66" s="14" t="s">
        <v>106</v>
      </c>
      <c r="AG66" s="14" t="s">
        <v>5</v>
      </c>
      <c r="AH66" s="14" t="s">
        <v>654</v>
      </c>
      <c r="AI66" s="9">
        <v>36191</v>
      </c>
      <c r="AJ66" s="34">
        <v>14233</v>
      </c>
      <c r="AK66" s="9">
        <v>1327</v>
      </c>
    </row>
    <row r="67" spans="5:37" x14ac:dyDescent="0.25">
      <c r="E67">
        <v>64</v>
      </c>
      <c r="F67" t="s">
        <v>116</v>
      </c>
      <c r="G67" t="s">
        <v>6</v>
      </c>
      <c r="H67" t="s">
        <v>652</v>
      </c>
      <c r="I67" s="9">
        <v>60413</v>
      </c>
      <c r="J67" s="10">
        <v>19133</v>
      </c>
      <c r="K67" s="9">
        <v>1718</v>
      </c>
      <c r="AD67" s="13"/>
      <c r="AE67" s="14">
        <v>55</v>
      </c>
      <c r="AF67" s="14" t="s">
        <v>107</v>
      </c>
      <c r="AG67" s="14" t="s">
        <v>5</v>
      </c>
      <c r="AH67" s="14" t="s">
        <v>655</v>
      </c>
      <c r="AI67" s="9">
        <v>118976</v>
      </c>
      <c r="AJ67" s="34">
        <v>26575</v>
      </c>
      <c r="AK67" s="9">
        <v>13</v>
      </c>
    </row>
    <row r="68" spans="5:37" x14ac:dyDescent="0.25">
      <c r="E68">
        <v>65</v>
      </c>
      <c r="F68" t="s">
        <v>117</v>
      </c>
      <c r="G68" t="s">
        <v>6</v>
      </c>
      <c r="H68" t="s">
        <v>653</v>
      </c>
      <c r="I68" s="9">
        <v>110420</v>
      </c>
      <c r="J68" s="10">
        <v>35023</v>
      </c>
      <c r="K68" s="9">
        <v>681</v>
      </c>
      <c r="AD68" s="13"/>
      <c r="AE68" s="14">
        <v>56</v>
      </c>
      <c r="AF68" s="14" t="s">
        <v>108</v>
      </c>
      <c r="AG68" s="14" t="s">
        <v>5</v>
      </c>
      <c r="AH68" s="14" t="s">
        <v>656</v>
      </c>
      <c r="AI68" s="9">
        <v>66017</v>
      </c>
      <c r="AJ68" s="34">
        <v>17845</v>
      </c>
      <c r="AK68" s="9">
        <v>1152</v>
      </c>
    </row>
    <row r="69" spans="5:37" x14ac:dyDescent="0.25">
      <c r="E69">
        <v>66</v>
      </c>
      <c r="F69" t="s">
        <v>118</v>
      </c>
      <c r="G69" t="s">
        <v>6</v>
      </c>
      <c r="H69" t="s">
        <v>654</v>
      </c>
      <c r="I69" s="9">
        <v>36777</v>
      </c>
      <c r="J69" s="10">
        <v>12121</v>
      </c>
      <c r="K69" s="9">
        <v>1056</v>
      </c>
      <c r="AD69" s="13"/>
      <c r="AE69" s="14">
        <v>57</v>
      </c>
      <c r="AF69" s="14" t="s">
        <v>109</v>
      </c>
      <c r="AG69" s="14" t="s">
        <v>5</v>
      </c>
      <c r="AH69" s="14" t="s">
        <v>657</v>
      </c>
      <c r="AI69" s="9">
        <v>144297</v>
      </c>
      <c r="AJ69" s="34">
        <v>30879</v>
      </c>
      <c r="AK69" s="9">
        <v>2290</v>
      </c>
    </row>
    <row r="70" spans="5:37" x14ac:dyDescent="0.25">
      <c r="E70">
        <v>67</v>
      </c>
      <c r="F70" t="s">
        <v>119</v>
      </c>
      <c r="G70" t="s">
        <v>6</v>
      </c>
      <c r="H70" t="s">
        <v>655</v>
      </c>
      <c r="I70" s="9">
        <v>70396</v>
      </c>
      <c r="J70" s="10">
        <v>19290</v>
      </c>
      <c r="K70" s="9">
        <v>116</v>
      </c>
      <c r="AD70" s="13"/>
      <c r="AE70" s="14">
        <v>58</v>
      </c>
      <c r="AF70" s="14" t="s">
        <v>110</v>
      </c>
      <c r="AG70" s="14" t="s">
        <v>5</v>
      </c>
      <c r="AH70" s="14" t="s">
        <v>658</v>
      </c>
      <c r="AI70" s="9">
        <v>34166</v>
      </c>
      <c r="AJ70" s="34">
        <v>11237</v>
      </c>
      <c r="AK70" s="9">
        <v>576</v>
      </c>
    </row>
    <row r="71" spans="5:37" x14ac:dyDescent="0.25">
      <c r="E71">
        <v>68</v>
      </c>
      <c r="F71" t="s">
        <v>120</v>
      </c>
      <c r="G71" t="s">
        <v>6</v>
      </c>
      <c r="H71" t="s">
        <v>656</v>
      </c>
      <c r="I71" s="9">
        <v>46708</v>
      </c>
      <c r="J71" s="10">
        <v>14404</v>
      </c>
      <c r="K71" s="9">
        <v>203</v>
      </c>
      <c r="AD71" s="13"/>
      <c r="AE71" s="14">
        <v>59</v>
      </c>
      <c r="AF71" s="14" t="s">
        <v>111</v>
      </c>
      <c r="AG71" s="14" t="s">
        <v>5</v>
      </c>
      <c r="AH71" s="14" t="s">
        <v>659</v>
      </c>
      <c r="AI71" s="9">
        <v>10398</v>
      </c>
      <c r="AJ71" s="34">
        <v>2769</v>
      </c>
      <c r="AK71" s="9">
        <v>177</v>
      </c>
    </row>
    <row r="72" spans="5:37" x14ac:dyDescent="0.25">
      <c r="E72">
        <v>69</v>
      </c>
      <c r="F72" t="s">
        <v>121</v>
      </c>
      <c r="G72" t="s">
        <v>6</v>
      </c>
      <c r="H72" t="s">
        <v>657</v>
      </c>
      <c r="I72" s="9">
        <v>99021</v>
      </c>
      <c r="J72" s="10">
        <v>30989</v>
      </c>
      <c r="K72" s="9">
        <v>1696</v>
      </c>
      <c r="AD72" s="13"/>
      <c r="AE72" s="14">
        <v>60</v>
      </c>
      <c r="AF72" s="14" t="s">
        <v>112</v>
      </c>
      <c r="AG72" s="14" t="s">
        <v>5</v>
      </c>
      <c r="AH72" s="14" t="s">
        <v>660</v>
      </c>
      <c r="AI72" s="9">
        <v>143803</v>
      </c>
      <c r="AJ72" s="34">
        <v>31016</v>
      </c>
      <c r="AK72" s="9">
        <v>2218</v>
      </c>
    </row>
    <row r="73" spans="5:37" x14ac:dyDescent="0.25">
      <c r="E73">
        <v>70</v>
      </c>
      <c r="F73" t="s">
        <v>122</v>
      </c>
      <c r="G73" t="s">
        <v>6</v>
      </c>
      <c r="H73" t="s">
        <v>658</v>
      </c>
      <c r="I73" s="9">
        <v>80329</v>
      </c>
      <c r="J73" s="10">
        <v>17640</v>
      </c>
      <c r="K73" s="9">
        <v>538</v>
      </c>
      <c r="AD73" s="13"/>
      <c r="AE73" s="14">
        <v>61</v>
      </c>
      <c r="AF73" s="14" t="s">
        <v>113</v>
      </c>
      <c r="AG73" s="14" t="s">
        <v>6</v>
      </c>
      <c r="AH73" s="14" t="s">
        <v>649</v>
      </c>
      <c r="AI73" s="9">
        <v>120541</v>
      </c>
      <c r="AJ73" s="34">
        <v>37015</v>
      </c>
      <c r="AK73" s="9">
        <v>130</v>
      </c>
    </row>
    <row r="74" spans="5:37" x14ac:dyDescent="0.25">
      <c r="E74">
        <v>71</v>
      </c>
      <c r="F74" t="s">
        <v>123</v>
      </c>
      <c r="G74" t="s">
        <v>6</v>
      </c>
      <c r="H74" t="s">
        <v>659</v>
      </c>
      <c r="I74" s="9">
        <v>119090</v>
      </c>
      <c r="J74" s="10">
        <v>29918</v>
      </c>
      <c r="K74" s="9">
        <v>2051</v>
      </c>
      <c r="AD74" s="13"/>
      <c r="AE74" s="14">
        <v>62</v>
      </c>
      <c r="AF74" s="14" t="s">
        <v>114</v>
      </c>
      <c r="AG74" s="14" t="s">
        <v>6</v>
      </c>
      <c r="AH74" s="14" t="s">
        <v>650</v>
      </c>
      <c r="AI74" s="9">
        <v>97862</v>
      </c>
      <c r="AJ74" s="34">
        <v>38462</v>
      </c>
      <c r="AK74" s="9">
        <v>3544</v>
      </c>
    </row>
    <row r="75" spans="5:37" x14ac:dyDescent="0.25">
      <c r="E75">
        <v>72</v>
      </c>
      <c r="F75" t="s">
        <v>124</v>
      </c>
      <c r="G75" t="s">
        <v>6</v>
      </c>
      <c r="H75" t="s">
        <v>660</v>
      </c>
      <c r="I75" s="9">
        <v>115241</v>
      </c>
      <c r="J75" s="10">
        <v>26805</v>
      </c>
      <c r="K75" s="9">
        <v>1116</v>
      </c>
      <c r="AD75" s="13"/>
      <c r="AE75" s="14">
        <v>63</v>
      </c>
      <c r="AF75" s="14" t="s">
        <v>115</v>
      </c>
      <c r="AG75" s="14" t="s">
        <v>6</v>
      </c>
      <c r="AH75" s="14" t="s">
        <v>651</v>
      </c>
      <c r="AI75" s="9">
        <v>131203</v>
      </c>
      <c r="AJ75" s="34">
        <v>37651</v>
      </c>
      <c r="AK75" s="9">
        <v>2535</v>
      </c>
    </row>
    <row r="76" spans="5:37" x14ac:dyDescent="0.25">
      <c r="E76">
        <v>73</v>
      </c>
      <c r="F76" t="s">
        <v>125</v>
      </c>
      <c r="G76" t="s">
        <v>7</v>
      </c>
      <c r="H76" t="s">
        <v>649</v>
      </c>
      <c r="I76" s="9">
        <v>33506</v>
      </c>
      <c r="J76" s="10">
        <v>10233</v>
      </c>
      <c r="K76" s="9">
        <v>900</v>
      </c>
      <c r="AD76" s="13"/>
      <c r="AE76" s="14">
        <v>64</v>
      </c>
      <c r="AF76" s="14" t="s">
        <v>116</v>
      </c>
      <c r="AG76" s="14" t="s">
        <v>6</v>
      </c>
      <c r="AH76" s="14" t="s">
        <v>652</v>
      </c>
      <c r="AI76" s="9">
        <v>60413</v>
      </c>
      <c r="AJ76" s="34">
        <v>19133</v>
      </c>
      <c r="AK76" s="9">
        <v>1718</v>
      </c>
    </row>
    <row r="77" spans="5:37" x14ac:dyDescent="0.25">
      <c r="E77">
        <v>74</v>
      </c>
      <c r="F77" t="s">
        <v>126</v>
      </c>
      <c r="G77" t="s">
        <v>7</v>
      </c>
      <c r="H77" t="s">
        <v>650</v>
      </c>
      <c r="I77" s="9">
        <v>106035</v>
      </c>
      <c r="J77" s="10">
        <v>21584</v>
      </c>
      <c r="K77" s="9">
        <v>98</v>
      </c>
      <c r="AD77" s="13"/>
      <c r="AE77" s="14">
        <v>65</v>
      </c>
      <c r="AF77" s="14" t="s">
        <v>117</v>
      </c>
      <c r="AG77" s="14" t="s">
        <v>6</v>
      </c>
      <c r="AH77" s="14" t="s">
        <v>653</v>
      </c>
      <c r="AI77" s="9">
        <v>110420</v>
      </c>
      <c r="AJ77" s="34">
        <v>35023</v>
      </c>
      <c r="AK77" s="9">
        <v>681</v>
      </c>
    </row>
    <row r="78" spans="5:37" x14ac:dyDescent="0.25">
      <c r="E78">
        <v>75</v>
      </c>
      <c r="F78" t="s">
        <v>127</v>
      </c>
      <c r="G78" t="s">
        <v>7</v>
      </c>
      <c r="H78" t="s">
        <v>651</v>
      </c>
      <c r="I78" s="9">
        <v>47387</v>
      </c>
      <c r="J78" s="10">
        <v>15742</v>
      </c>
      <c r="K78" s="9">
        <v>339</v>
      </c>
      <c r="AD78" s="13"/>
      <c r="AE78" s="14">
        <v>66</v>
      </c>
      <c r="AF78" s="14" t="s">
        <v>118</v>
      </c>
      <c r="AG78" s="14" t="s">
        <v>6</v>
      </c>
      <c r="AH78" s="14" t="s">
        <v>654</v>
      </c>
      <c r="AI78" s="9">
        <v>36777</v>
      </c>
      <c r="AJ78" s="34">
        <v>12121</v>
      </c>
      <c r="AK78" s="9">
        <v>1056</v>
      </c>
    </row>
    <row r="79" spans="5:37" x14ac:dyDescent="0.25">
      <c r="E79">
        <v>76</v>
      </c>
      <c r="F79" t="s">
        <v>128</v>
      </c>
      <c r="G79" t="s">
        <v>7</v>
      </c>
      <c r="H79" t="s">
        <v>652</v>
      </c>
      <c r="I79" s="9">
        <v>59407</v>
      </c>
      <c r="J79" s="10">
        <v>14949</v>
      </c>
      <c r="K79" s="9">
        <v>1054</v>
      </c>
      <c r="AD79" s="13"/>
      <c r="AE79" s="14">
        <v>67</v>
      </c>
      <c r="AF79" s="14" t="s">
        <v>119</v>
      </c>
      <c r="AG79" s="14" t="s">
        <v>6</v>
      </c>
      <c r="AH79" s="14" t="s">
        <v>655</v>
      </c>
      <c r="AI79" s="9">
        <v>70396</v>
      </c>
      <c r="AJ79" s="34">
        <v>19290</v>
      </c>
      <c r="AK79" s="9">
        <v>116</v>
      </c>
    </row>
    <row r="80" spans="5:37" x14ac:dyDescent="0.25">
      <c r="E80">
        <v>77</v>
      </c>
      <c r="F80" t="s">
        <v>129</v>
      </c>
      <c r="G80" t="s">
        <v>7</v>
      </c>
      <c r="H80" t="s">
        <v>653</v>
      </c>
      <c r="I80" s="9">
        <v>32518</v>
      </c>
      <c r="J80" s="10">
        <v>6722</v>
      </c>
      <c r="K80" s="9">
        <v>181</v>
      </c>
      <c r="AD80" s="13"/>
      <c r="AE80" s="14">
        <v>68</v>
      </c>
      <c r="AF80" s="14" t="s">
        <v>120</v>
      </c>
      <c r="AG80" s="14" t="s">
        <v>6</v>
      </c>
      <c r="AH80" s="14" t="s">
        <v>656</v>
      </c>
      <c r="AI80" s="9">
        <v>46708</v>
      </c>
      <c r="AJ80" s="34">
        <v>14404</v>
      </c>
      <c r="AK80" s="9">
        <v>203</v>
      </c>
    </row>
    <row r="81" spans="5:37" x14ac:dyDescent="0.25">
      <c r="E81">
        <v>78</v>
      </c>
      <c r="F81" t="s">
        <v>130</v>
      </c>
      <c r="G81" t="s">
        <v>7</v>
      </c>
      <c r="H81" t="s">
        <v>654</v>
      </c>
      <c r="I81" s="9">
        <v>81150</v>
      </c>
      <c r="J81" s="10">
        <v>24988</v>
      </c>
      <c r="K81" s="9">
        <v>2062</v>
      </c>
      <c r="AD81" s="13"/>
      <c r="AE81" s="14">
        <v>69</v>
      </c>
      <c r="AF81" s="14" t="s">
        <v>121</v>
      </c>
      <c r="AG81" s="14" t="s">
        <v>6</v>
      </c>
      <c r="AH81" s="14" t="s">
        <v>657</v>
      </c>
      <c r="AI81" s="9">
        <v>99021</v>
      </c>
      <c r="AJ81" s="34">
        <v>30989</v>
      </c>
      <c r="AK81" s="9">
        <v>1696</v>
      </c>
    </row>
    <row r="82" spans="5:37" x14ac:dyDescent="0.25">
      <c r="E82">
        <v>79</v>
      </c>
      <c r="F82" t="s">
        <v>131</v>
      </c>
      <c r="G82" t="s">
        <v>7</v>
      </c>
      <c r="H82" t="s">
        <v>655</v>
      </c>
      <c r="I82" s="9">
        <v>126641</v>
      </c>
      <c r="J82" s="10">
        <v>32724</v>
      </c>
      <c r="K82" s="9">
        <v>1565</v>
      </c>
      <c r="AD82" s="13"/>
      <c r="AE82" s="14">
        <v>70</v>
      </c>
      <c r="AF82" s="14" t="s">
        <v>122</v>
      </c>
      <c r="AG82" s="14" t="s">
        <v>6</v>
      </c>
      <c r="AH82" s="14" t="s">
        <v>658</v>
      </c>
      <c r="AI82" s="9">
        <v>80329</v>
      </c>
      <c r="AJ82" s="34">
        <v>17640</v>
      </c>
      <c r="AK82" s="9">
        <v>538</v>
      </c>
    </row>
    <row r="83" spans="5:37" x14ac:dyDescent="0.25">
      <c r="E83">
        <v>80</v>
      </c>
      <c r="F83" t="s">
        <v>132</v>
      </c>
      <c r="G83" t="s">
        <v>7</v>
      </c>
      <c r="H83" t="s">
        <v>656</v>
      </c>
      <c r="I83" s="9">
        <v>14702</v>
      </c>
      <c r="J83" s="10">
        <v>5765</v>
      </c>
      <c r="K83" s="9">
        <v>330</v>
      </c>
      <c r="AD83" s="13"/>
      <c r="AE83" s="14">
        <v>71</v>
      </c>
      <c r="AF83" s="14" t="s">
        <v>123</v>
      </c>
      <c r="AG83" s="14" t="s">
        <v>6</v>
      </c>
      <c r="AH83" s="14" t="s">
        <v>659</v>
      </c>
      <c r="AI83" s="9">
        <v>119090</v>
      </c>
      <c r="AJ83" s="34">
        <v>29918</v>
      </c>
      <c r="AK83" s="9">
        <v>2051</v>
      </c>
    </row>
    <row r="84" spans="5:37" x14ac:dyDescent="0.25">
      <c r="E84">
        <v>81</v>
      </c>
      <c r="F84" t="s">
        <v>133</v>
      </c>
      <c r="G84" t="s">
        <v>7</v>
      </c>
      <c r="H84" t="s">
        <v>657</v>
      </c>
      <c r="I84" s="9">
        <v>34775</v>
      </c>
      <c r="J84" s="10">
        <v>8024</v>
      </c>
      <c r="K84" s="9">
        <v>57</v>
      </c>
      <c r="AD84" s="13"/>
      <c r="AE84" s="14">
        <v>72</v>
      </c>
      <c r="AF84" s="14" t="s">
        <v>124</v>
      </c>
      <c r="AG84" s="14" t="s">
        <v>6</v>
      </c>
      <c r="AH84" s="14" t="s">
        <v>660</v>
      </c>
      <c r="AI84" s="9">
        <v>115241</v>
      </c>
      <c r="AJ84" s="34">
        <v>26805</v>
      </c>
      <c r="AK84" s="9">
        <v>1116</v>
      </c>
    </row>
    <row r="85" spans="5:37" x14ac:dyDescent="0.25">
      <c r="E85">
        <v>82</v>
      </c>
      <c r="F85" t="s">
        <v>134</v>
      </c>
      <c r="G85" t="s">
        <v>7</v>
      </c>
      <c r="H85" t="s">
        <v>658</v>
      </c>
      <c r="I85" s="9">
        <v>24936</v>
      </c>
      <c r="J85" s="10">
        <v>8840</v>
      </c>
      <c r="K85" s="9">
        <v>293</v>
      </c>
      <c r="AD85" s="13"/>
      <c r="AE85" s="14">
        <v>73</v>
      </c>
      <c r="AF85" s="14" t="s">
        <v>125</v>
      </c>
      <c r="AG85" s="14" t="s">
        <v>7</v>
      </c>
      <c r="AH85" s="14" t="s">
        <v>649</v>
      </c>
      <c r="AI85" s="9">
        <v>33506</v>
      </c>
      <c r="AJ85" s="34">
        <v>10233</v>
      </c>
      <c r="AK85" s="9">
        <v>900</v>
      </c>
    </row>
    <row r="86" spans="5:37" x14ac:dyDescent="0.25">
      <c r="E86">
        <v>83</v>
      </c>
      <c r="F86" t="s">
        <v>135</v>
      </c>
      <c r="G86" t="s">
        <v>7</v>
      </c>
      <c r="H86" t="s">
        <v>659</v>
      </c>
      <c r="I86" s="9">
        <v>60095</v>
      </c>
      <c r="J86" s="10">
        <v>17047</v>
      </c>
      <c r="K86" s="9">
        <v>491</v>
      </c>
      <c r="AD86" s="13"/>
      <c r="AE86" s="14">
        <v>74</v>
      </c>
      <c r="AF86" s="14" t="s">
        <v>126</v>
      </c>
      <c r="AG86" s="14" t="s">
        <v>7</v>
      </c>
      <c r="AH86" s="14" t="s">
        <v>650</v>
      </c>
      <c r="AI86" s="9">
        <v>106035</v>
      </c>
      <c r="AJ86" s="34">
        <v>21584</v>
      </c>
      <c r="AK86" s="9">
        <v>98</v>
      </c>
    </row>
    <row r="87" spans="5:37" x14ac:dyDescent="0.25">
      <c r="E87">
        <v>84</v>
      </c>
      <c r="F87" t="s">
        <v>136</v>
      </c>
      <c r="G87" t="s">
        <v>7</v>
      </c>
      <c r="H87" t="s">
        <v>660</v>
      </c>
      <c r="I87" s="9">
        <v>55976</v>
      </c>
      <c r="J87" s="10">
        <v>19433</v>
      </c>
      <c r="K87" s="9">
        <v>1061</v>
      </c>
      <c r="AD87" s="13"/>
      <c r="AE87" s="14">
        <v>75</v>
      </c>
      <c r="AF87" s="14" t="s">
        <v>127</v>
      </c>
      <c r="AG87" s="14" t="s">
        <v>7</v>
      </c>
      <c r="AH87" s="14" t="s">
        <v>651</v>
      </c>
      <c r="AI87" s="9">
        <v>47387</v>
      </c>
      <c r="AJ87" s="34">
        <v>15742</v>
      </c>
      <c r="AK87" s="9">
        <v>339</v>
      </c>
    </row>
    <row r="88" spans="5:37" x14ac:dyDescent="0.25">
      <c r="E88">
        <v>85</v>
      </c>
      <c r="F88" t="s">
        <v>137</v>
      </c>
      <c r="G88" t="s">
        <v>8</v>
      </c>
      <c r="H88" t="s">
        <v>649</v>
      </c>
      <c r="I88" s="9">
        <v>13699</v>
      </c>
      <c r="J88" s="10">
        <v>5387</v>
      </c>
      <c r="K88" s="9">
        <v>135</v>
      </c>
      <c r="AD88" s="13"/>
      <c r="AE88" s="14">
        <v>76</v>
      </c>
      <c r="AF88" s="14" t="s">
        <v>128</v>
      </c>
      <c r="AG88" s="14" t="s">
        <v>7</v>
      </c>
      <c r="AH88" s="14" t="s">
        <v>652</v>
      </c>
      <c r="AI88" s="9">
        <v>59407</v>
      </c>
      <c r="AJ88" s="34">
        <v>14949</v>
      </c>
      <c r="AK88" s="9">
        <v>1054</v>
      </c>
    </row>
    <row r="89" spans="5:37" x14ac:dyDescent="0.25">
      <c r="E89">
        <v>86</v>
      </c>
      <c r="F89" t="s">
        <v>138</v>
      </c>
      <c r="G89" t="s">
        <v>8</v>
      </c>
      <c r="H89" t="s">
        <v>650</v>
      </c>
      <c r="I89" s="9">
        <v>130660</v>
      </c>
      <c r="J89" s="10">
        <v>46170</v>
      </c>
      <c r="K89" s="9">
        <v>2588</v>
      </c>
      <c r="AD89" s="13"/>
      <c r="AE89" s="14">
        <v>77</v>
      </c>
      <c r="AF89" s="14" t="s">
        <v>129</v>
      </c>
      <c r="AG89" s="14" t="s">
        <v>7</v>
      </c>
      <c r="AH89" s="14" t="s">
        <v>653</v>
      </c>
      <c r="AI89" s="9">
        <v>32518</v>
      </c>
      <c r="AJ89" s="34">
        <v>6722</v>
      </c>
      <c r="AK89" s="9">
        <v>181</v>
      </c>
    </row>
    <row r="90" spans="5:37" x14ac:dyDescent="0.25">
      <c r="E90">
        <v>87</v>
      </c>
      <c r="F90" t="s">
        <v>139</v>
      </c>
      <c r="G90" t="s">
        <v>8</v>
      </c>
      <c r="H90" t="s">
        <v>651</v>
      </c>
      <c r="I90" s="9">
        <v>40579</v>
      </c>
      <c r="J90" s="10">
        <v>10360</v>
      </c>
      <c r="K90" s="9">
        <v>742</v>
      </c>
      <c r="AD90" s="13"/>
      <c r="AE90" s="14">
        <v>78</v>
      </c>
      <c r="AF90" s="14" t="s">
        <v>130</v>
      </c>
      <c r="AG90" s="14" t="s">
        <v>7</v>
      </c>
      <c r="AH90" s="14" t="s">
        <v>654</v>
      </c>
      <c r="AI90" s="9">
        <v>81150</v>
      </c>
      <c r="AJ90" s="34">
        <v>24988</v>
      </c>
      <c r="AK90" s="9">
        <v>2062</v>
      </c>
    </row>
    <row r="91" spans="5:37" x14ac:dyDescent="0.25">
      <c r="E91">
        <v>88</v>
      </c>
      <c r="F91" t="s">
        <v>140</v>
      </c>
      <c r="G91" t="s">
        <v>8</v>
      </c>
      <c r="H91" t="s">
        <v>652</v>
      </c>
      <c r="I91" s="9">
        <v>86779</v>
      </c>
      <c r="J91" s="10">
        <v>18676</v>
      </c>
      <c r="K91" s="9">
        <v>917</v>
      </c>
      <c r="AD91" s="13"/>
      <c r="AE91" s="14">
        <v>79</v>
      </c>
      <c r="AF91" s="14" t="s">
        <v>131</v>
      </c>
      <c r="AG91" s="14" t="s">
        <v>7</v>
      </c>
      <c r="AH91" s="14" t="s">
        <v>655</v>
      </c>
      <c r="AI91" s="9">
        <v>126641</v>
      </c>
      <c r="AJ91" s="34">
        <v>32724</v>
      </c>
      <c r="AK91" s="9">
        <v>1565</v>
      </c>
    </row>
    <row r="92" spans="5:37" x14ac:dyDescent="0.25">
      <c r="E92">
        <v>89</v>
      </c>
      <c r="F92" t="s">
        <v>141</v>
      </c>
      <c r="G92" t="s">
        <v>8</v>
      </c>
      <c r="H92" t="s">
        <v>653</v>
      </c>
      <c r="I92" s="9">
        <v>91275</v>
      </c>
      <c r="J92" s="10">
        <v>26968</v>
      </c>
      <c r="K92" s="9">
        <v>1429</v>
      </c>
      <c r="AD92" s="13"/>
      <c r="AE92" s="14">
        <v>80</v>
      </c>
      <c r="AF92" s="14" t="s">
        <v>132</v>
      </c>
      <c r="AG92" s="14" t="s">
        <v>7</v>
      </c>
      <c r="AH92" s="14" t="s">
        <v>656</v>
      </c>
      <c r="AI92" s="9">
        <v>14702</v>
      </c>
      <c r="AJ92" s="34">
        <v>5765</v>
      </c>
      <c r="AK92" s="9">
        <v>330</v>
      </c>
    </row>
    <row r="93" spans="5:37" x14ac:dyDescent="0.25">
      <c r="E93">
        <v>90</v>
      </c>
      <c r="F93" t="s">
        <v>142</v>
      </c>
      <c r="G93" t="s">
        <v>8</v>
      </c>
      <c r="H93" t="s">
        <v>654</v>
      </c>
      <c r="I93" s="9">
        <v>52106</v>
      </c>
      <c r="J93" s="10">
        <v>16896</v>
      </c>
      <c r="K93" s="9">
        <v>14</v>
      </c>
      <c r="AD93" s="13"/>
      <c r="AE93" s="14">
        <v>81</v>
      </c>
      <c r="AF93" s="14" t="s">
        <v>133</v>
      </c>
      <c r="AG93" s="14" t="s">
        <v>7</v>
      </c>
      <c r="AH93" s="14" t="s">
        <v>657</v>
      </c>
      <c r="AI93" s="9">
        <v>34775</v>
      </c>
      <c r="AJ93" s="34">
        <v>8024</v>
      </c>
      <c r="AK93" s="9">
        <v>57</v>
      </c>
    </row>
    <row r="94" spans="5:37" x14ac:dyDescent="0.25">
      <c r="E94">
        <v>91</v>
      </c>
      <c r="F94" t="s">
        <v>143</v>
      </c>
      <c r="G94" t="s">
        <v>8</v>
      </c>
      <c r="H94" t="s">
        <v>655</v>
      </c>
      <c r="I94" s="9">
        <v>130094</v>
      </c>
      <c r="J94" s="10">
        <v>42028</v>
      </c>
      <c r="K94" s="9">
        <v>1121</v>
      </c>
      <c r="AD94" s="13"/>
      <c r="AE94" s="14">
        <v>82</v>
      </c>
      <c r="AF94" s="14" t="s">
        <v>134</v>
      </c>
      <c r="AG94" s="14" t="s">
        <v>7</v>
      </c>
      <c r="AH94" s="14" t="s">
        <v>658</v>
      </c>
      <c r="AI94" s="9">
        <v>24936</v>
      </c>
      <c r="AJ94" s="34">
        <v>8840</v>
      </c>
      <c r="AK94" s="9">
        <v>293</v>
      </c>
    </row>
    <row r="95" spans="5:37" x14ac:dyDescent="0.25">
      <c r="E95">
        <v>92</v>
      </c>
      <c r="F95" t="s">
        <v>144</v>
      </c>
      <c r="G95" t="s">
        <v>8</v>
      </c>
      <c r="H95" t="s">
        <v>656</v>
      </c>
      <c r="I95" s="9">
        <v>100717</v>
      </c>
      <c r="J95" s="10">
        <v>26927</v>
      </c>
      <c r="K95" s="9">
        <v>269</v>
      </c>
      <c r="AD95" s="13"/>
      <c r="AE95" s="14">
        <v>83</v>
      </c>
      <c r="AF95" s="14" t="s">
        <v>135</v>
      </c>
      <c r="AG95" s="14" t="s">
        <v>7</v>
      </c>
      <c r="AH95" s="14" t="s">
        <v>659</v>
      </c>
      <c r="AI95" s="9">
        <v>60095</v>
      </c>
      <c r="AJ95" s="34">
        <v>17047</v>
      </c>
      <c r="AK95" s="9">
        <v>491</v>
      </c>
    </row>
    <row r="96" spans="5:37" x14ac:dyDescent="0.25">
      <c r="E96">
        <v>93</v>
      </c>
      <c r="F96" t="s">
        <v>145</v>
      </c>
      <c r="G96" t="s">
        <v>8</v>
      </c>
      <c r="H96" t="s">
        <v>657</v>
      </c>
      <c r="I96" s="9">
        <v>107019</v>
      </c>
      <c r="J96" s="10">
        <v>33632</v>
      </c>
      <c r="K96" s="9">
        <v>127</v>
      </c>
      <c r="AD96" s="13"/>
      <c r="AE96" s="14">
        <v>84</v>
      </c>
      <c r="AF96" s="14" t="s">
        <v>136</v>
      </c>
      <c r="AG96" s="14" t="s">
        <v>7</v>
      </c>
      <c r="AH96" s="14" t="s">
        <v>660</v>
      </c>
      <c r="AI96" s="9">
        <v>55976</v>
      </c>
      <c r="AJ96" s="34">
        <v>19433</v>
      </c>
      <c r="AK96" s="9">
        <v>1061</v>
      </c>
    </row>
    <row r="97" spans="5:37" x14ac:dyDescent="0.25">
      <c r="E97">
        <v>94</v>
      </c>
      <c r="F97" t="s">
        <v>146</v>
      </c>
      <c r="G97" t="s">
        <v>8</v>
      </c>
      <c r="H97" t="s">
        <v>658</v>
      </c>
      <c r="I97" s="9">
        <v>131137</v>
      </c>
      <c r="J97" s="10">
        <v>31941</v>
      </c>
      <c r="K97" s="9">
        <v>2681</v>
      </c>
      <c r="AD97" s="13"/>
      <c r="AE97" s="14">
        <v>85</v>
      </c>
      <c r="AF97" s="14" t="s">
        <v>137</v>
      </c>
      <c r="AG97" s="14" t="s">
        <v>8</v>
      </c>
      <c r="AH97" s="14" t="s">
        <v>649</v>
      </c>
      <c r="AI97" s="9">
        <v>13699</v>
      </c>
      <c r="AJ97" s="34">
        <v>5387</v>
      </c>
      <c r="AK97" s="9">
        <v>135</v>
      </c>
    </row>
    <row r="98" spans="5:37" x14ac:dyDescent="0.25">
      <c r="E98">
        <v>95</v>
      </c>
      <c r="F98" t="s">
        <v>147</v>
      </c>
      <c r="G98" t="s">
        <v>8</v>
      </c>
      <c r="H98" t="s">
        <v>659</v>
      </c>
      <c r="I98" s="9">
        <v>91529</v>
      </c>
      <c r="J98" s="10">
        <v>32533</v>
      </c>
      <c r="K98" s="9">
        <v>482</v>
      </c>
      <c r="AD98" s="13"/>
      <c r="AE98" s="14">
        <v>86</v>
      </c>
      <c r="AF98" s="14" t="s">
        <v>138</v>
      </c>
      <c r="AG98" s="14" t="s">
        <v>8</v>
      </c>
      <c r="AH98" s="14" t="s">
        <v>650</v>
      </c>
      <c r="AI98" s="9">
        <v>130660</v>
      </c>
      <c r="AJ98" s="34">
        <v>46170</v>
      </c>
      <c r="AK98" s="9">
        <v>2588</v>
      </c>
    </row>
    <row r="99" spans="5:37" x14ac:dyDescent="0.25">
      <c r="E99">
        <v>96</v>
      </c>
      <c r="F99" t="s">
        <v>148</v>
      </c>
      <c r="G99" t="s">
        <v>8</v>
      </c>
      <c r="H99" t="s">
        <v>660</v>
      </c>
      <c r="I99" s="9">
        <v>100705</v>
      </c>
      <c r="J99" s="10">
        <v>20627</v>
      </c>
      <c r="K99" s="9">
        <v>174</v>
      </c>
      <c r="AD99" s="13"/>
      <c r="AE99" s="14">
        <v>87</v>
      </c>
      <c r="AF99" s="14" t="s">
        <v>139</v>
      </c>
      <c r="AG99" s="14" t="s">
        <v>8</v>
      </c>
      <c r="AH99" s="14" t="s">
        <v>651</v>
      </c>
      <c r="AI99" s="9">
        <v>40579</v>
      </c>
      <c r="AJ99" s="34">
        <v>10360</v>
      </c>
      <c r="AK99" s="9">
        <v>742</v>
      </c>
    </row>
    <row r="100" spans="5:37" x14ac:dyDescent="0.25">
      <c r="E100">
        <v>97</v>
      </c>
      <c r="F100" t="s">
        <v>149</v>
      </c>
      <c r="G100" t="s">
        <v>9</v>
      </c>
      <c r="H100" t="s">
        <v>649</v>
      </c>
      <c r="I100" s="9">
        <v>55213</v>
      </c>
      <c r="J100" s="10">
        <v>21731</v>
      </c>
      <c r="K100" s="9">
        <v>1100</v>
      </c>
      <c r="AD100" s="13"/>
      <c r="AE100" s="14">
        <v>88</v>
      </c>
      <c r="AF100" s="14" t="s">
        <v>140</v>
      </c>
      <c r="AG100" s="14" t="s">
        <v>8</v>
      </c>
      <c r="AH100" s="14" t="s">
        <v>652</v>
      </c>
      <c r="AI100" s="9">
        <v>86779</v>
      </c>
      <c r="AJ100" s="34">
        <v>18676</v>
      </c>
      <c r="AK100" s="9">
        <v>917</v>
      </c>
    </row>
    <row r="101" spans="5:37" x14ac:dyDescent="0.25">
      <c r="E101">
        <v>98</v>
      </c>
      <c r="F101" t="s">
        <v>150</v>
      </c>
      <c r="G101" t="s">
        <v>9</v>
      </c>
      <c r="H101" t="s">
        <v>650</v>
      </c>
      <c r="I101" s="9">
        <v>32012</v>
      </c>
      <c r="J101" s="10">
        <v>9052</v>
      </c>
      <c r="K101" s="9">
        <v>158</v>
      </c>
      <c r="AD101" s="13"/>
      <c r="AE101" s="14">
        <v>89</v>
      </c>
      <c r="AF101" s="14" t="s">
        <v>141</v>
      </c>
      <c r="AG101" s="14" t="s">
        <v>8</v>
      </c>
      <c r="AH101" s="14" t="s">
        <v>653</v>
      </c>
      <c r="AI101" s="9">
        <v>91275</v>
      </c>
      <c r="AJ101" s="34">
        <v>26968</v>
      </c>
      <c r="AK101" s="9">
        <v>1429</v>
      </c>
    </row>
    <row r="102" spans="5:37" x14ac:dyDescent="0.25">
      <c r="E102">
        <v>99</v>
      </c>
      <c r="F102" t="s">
        <v>151</v>
      </c>
      <c r="G102" t="s">
        <v>9</v>
      </c>
      <c r="H102" t="s">
        <v>651</v>
      </c>
      <c r="I102" s="9">
        <v>67301</v>
      </c>
      <c r="J102" s="10">
        <v>16339</v>
      </c>
      <c r="K102" s="9">
        <v>331</v>
      </c>
      <c r="AD102" s="13"/>
      <c r="AE102" s="14">
        <v>90</v>
      </c>
      <c r="AF102" s="14" t="s">
        <v>142</v>
      </c>
      <c r="AG102" s="14" t="s">
        <v>8</v>
      </c>
      <c r="AH102" s="14" t="s">
        <v>654</v>
      </c>
      <c r="AI102" s="9">
        <v>52106</v>
      </c>
      <c r="AJ102" s="34">
        <v>16896</v>
      </c>
      <c r="AK102" s="9">
        <v>14</v>
      </c>
    </row>
    <row r="103" spans="5:37" x14ac:dyDescent="0.25">
      <c r="E103">
        <v>100</v>
      </c>
      <c r="F103" t="s">
        <v>152</v>
      </c>
      <c r="G103" t="s">
        <v>9</v>
      </c>
      <c r="H103" t="s">
        <v>652</v>
      </c>
      <c r="I103" s="9">
        <v>130756</v>
      </c>
      <c r="J103" s="10">
        <v>41080</v>
      </c>
      <c r="K103" s="9">
        <v>3229</v>
      </c>
      <c r="AD103" s="13"/>
      <c r="AE103" s="14">
        <v>91</v>
      </c>
      <c r="AF103" s="14" t="s">
        <v>143</v>
      </c>
      <c r="AG103" s="14" t="s">
        <v>8</v>
      </c>
      <c r="AH103" s="14" t="s">
        <v>655</v>
      </c>
      <c r="AI103" s="9">
        <v>130094</v>
      </c>
      <c r="AJ103" s="34">
        <v>42028</v>
      </c>
      <c r="AK103" s="9">
        <v>1121</v>
      </c>
    </row>
    <row r="104" spans="5:37" x14ac:dyDescent="0.25">
      <c r="E104">
        <v>101</v>
      </c>
      <c r="F104" t="s">
        <v>153</v>
      </c>
      <c r="G104" t="s">
        <v>9</v>
      </c>
      <c r="H104" t="s">
        <v>653</v>
      </c>
      <c r="I104" s="9">
        <v>81088</v>
      </c>
      <c r="J104" s="10">
        <v>31619</v>
      </c>
      <c r="K104" s="9">
        <v>1530</v>
      </c>
      <c r="AD104" s="13"/>
      <c r="AE104" s="14">
        <v>92</v>
      </c>
      <c r="AF104" s="14" t="s">
        <v>144</v>
      </c>
      <c r="AG104" s="14" t="s">
        <v>8</v>
      </c>
      <c r="AH104" s="14" t="s">
        <v>656</v>
      </c>
      <c r="AI104" s="9">
        <v>100717</v>
      </c>
      <c r="AJ104" s="34">
        <v>26927</v>
      </c>
      <c r="AK104" s="9">
        <v>269</v>
      </c>
    </row>
    <row r="105" spans="5:37" x14ac:dyDescent="0.25">
      <c r="E105">
        <v>102</v>
      </c>
      <c r="F105" t="s">
        <v>154</v>
      </c>
      <c r="G105" t="s">
        <v>9</v>
      </c>
      <c r="H105" t="s">
        <v>654</v>
      </c>
      <c r="I105" s="9">
        <v>27196</v>
      </c>
      <c r="J105" s="10">
        <v>8290</v>
      </c>
      <c r="K105" s="9">
        <v>189</v>
      </c>
      <c r="AD105" s="13"/>
      <c r="AE105" s="14">
        <v>93</v>
      </c>
      <c r="AF105" s="14" t="s">
        <v>145</v>
      </c>
      <c r="AG105" s="14" t="s">
        <v>8</v>
      </c>
      <c r="AH105" s="14" t="s">
        <v>657</v>
      </c>
      <c r="AI105" s="9">
        <v>107019</v>
      </c>
      <c r="AJ105" s="34">
        <v>33632</v>
      </c>
      <c r="AK105" s="9">
        <v>127</v>
      </c>
    </row>
    <row r="106" spans="5:37" x14ac:dyDescent="0.25">
      <c r="E106">
        <v>103</v>
      </c>
      <c r="F106" t="s">
        <v>155</v>
      </c>
      <c r="G106" t="s">
        <v>9</v>
      </c>
      <c r="H106" t="s">
        <v>655</v>
      </c>
      <c r="I106" s="9">
        <v>21208</v>
      </c>
      <c r="J106" s="10">
        <v>5577</v>
      </c>
      <c r="K106" s="9">
        <v>552</v>
      </c>
      <c r="AD106" s="13"/>
      <c r="AE106" s="14">
        <v>94</v>
      </c>
      <c r="AF106" s="14" t="s">
        <v>146</v>
      </c>
      <c r="AG106" s="14" t="s">
        <v>8</v>
      </c>
      <c r="AH106" s="14" t="s">
        <v>658</v>
      </c>
      <c r="AI106" s="9">
        <v>131137</v>
      </c>
      <c r="AJ106" s="34">
        <v>31941</v>
      </c>
      <c r="AK106" s="9">
        <v>2681</v>
      </c>
    </row>
    <row r="107" spans="5:37" x14ac:dyDescent="0.25">
      <c r="E107">
        <v>104</v>
      </c>
      <c r="F107" t="s">
        <v>156</v>
      </c>
      <c r="G107" t="s">
        <v>9</v>
      </c>
      <c r="H107" t="s">
        <v>656</v>
      </c>
      <c r="I107" s="9">
        <v>16904</v>
      </c>
      <c r="J107" s="10">
        <v>3858</v>
      </c>
      <c r="K107" s="9">
        <v>40</v>
      </c>
      <c r="AD107" s="13"/>
      <c r="AE107" s="14">
        <v>95</v>
      </c>
      <c r="AF107" s="14" t="s">
        <v>147</v>
      </c>
      <c r="AG107" s="14" t="s">
        <v>8</v>
      </c>
      <c r="AH107" s="14" t="s">
        <v>659</v>
      </c>
      <c r="AI107" s="9">
        <v>91529</v>
      </c>
      <c r="AJ107" s="34">
        <v>32533</v>
      </c>
      <c r="AK107" s="9">
        <v>482</v>
      </c>
    </row>
    <row r="108" spans="5:37" x14ac:dyDescent="0.25">
      <c r="E108">
        <v>105</v>
      </c>
      <c r="F108" t="s">
        <v>157</v>
      </c>
      <c r="G108" t="s">
        <v>9</v>
      </c>
      <c r="H108" t="s">
        <v>657</v>
      </c>
      <c r="I108" s="9">
        <v>131488</v>
      </c>
      <c r="J108" s="10">
        <v>38738</v>
      </c>
      <c r="K108" s="9">
        <v>51</v>
      </c>
      <c r="AD108" s="13"/>
      <c r="AE108" s="14">
        <v>96</v>
      </c>
      <c r="AF108" s="14" t="s">
        <v>148</v>
      </c>
      <c r="AG108" s="14" t="s">
        <v>8</v>
      </c>
      <c r="AH108" s="14" t="s">
        <v>660</v>
      </c>
      <c r="AI108" s="9">
        <v>100705</v>
      </c>
      <c r="AJ108" s="34">
        <v>20627</v>
      </c>
      <c r="AK108" s="9">
        <v>174</v>
      </c>
    </row>
    <row r="109" spans="5:37" x14ac:dyDescent="0.25">
      <c r="E109">
        <v>106</v>
      </c>
      <c r="F109" t="s">
        <v>158</v>
      </c>
      <c r="G109" t="s">
        <v>9</v>
      </c>
      <c r="H109" t="s">
        <v>658</v>
      </c>
      <c r="I109" s="9">
        <v>130167</v>
      </c>
      <c r="J109" s="10">
        <v>42098</v>
      </c>
      <c r="K109" s="9">
        <v>2796</v>
      </c>
      <c r="AD109" s="13"/>
      <c r="AE109" s="14">
        <v>97</v>
      </c>
      <c r="AF109" s="14" t="s">
        <v>149</v>
      </c>
      <c r="AG109" s="14" t="s">
        <v>9</v>
      </c>
      <c r="AH109" s="14" t="s">
        <v>649</v>
      </c>
      <c r="AI109" s="9">
        <v>55213</v>
      </c>
      <c r="AJ109" s="34">
        <v>21731</v>
      </c>
      <c r="AK109" s="9">
        <v>1100</v>
      </c>
    </row>
    <row r="110" spans="5:37" x14ac:dyDescent="0.25">
      <c r="E110">
        <v>107</v>
      </c>
      <c r="F110" t="s">
        <v>159</v>
      </c>
      <c r="G110" t="s">
        <v>9</v>
      </c>
      <c r="H110" t="s">
        <v>659</v>
      </c>
      <c r="I110" s="9">
        <v>30312</v>
      </c>
      <c r="J110" s="10">
        <v>10805</v>
      </c>
      <c r="K110" s="9">
        <v>85</v>
      </c>
      <c r="AD110" s="13"/>
      <c r="AE110" s="14">
        <v>98</v>
      </c>
      <c r="AF110" s="14" t="s">
        <v>150</v>
      </c>
      <c r="AG110" s="14" t="s">
        <v>9</v>
      </c>
      <c r="AH110" s="14" t="s">
        <v>650</v>
      </c>
      <c r="AI110" s="9">
        <v>32012</v>
      </c>
      <c r="AJ110" s="34">
        <v>9052</v>
      </c>
      <c r="AK110" s="9">
        <v>158</v>
      </c>
    </row>
    <row r="111" spans="5:37" x14ac:dyDescent="0.25">
      <c r="E111">
        <v>108</v>
      </c>
      <c r="F111" t="s">
        <v>160</v>
      </c>
      <c r="G111" t="s">
        <v>9</v>
      </c>
      <c r="H111" t="s">
        <v>660</v>
      </c>
      <c r="I111" s="9">
        <v>25950</v>
      </c>
      <c r="J111" s="10">
        <v>7184</v>
      </c>
      <c r="K111" s="9">
        <v>64</v>
      </c>
      <c r="AD111" s="13"/>
      <c r="AE111" s="14">
        <v>99</v>
      </c>
      <c r="AF111" s="14" t="s">
        <v>151</v>
      </c>
      <c r="AG111" s="14" t="s">
        <v>9</v>
      </c>
      <c r="AH111" s="14" t="s">
        <v>651</v>
      </c>
      <c r="AI111" s="9">
        <v>67301</v>
      </c>
      <c r="AJ111" s="34">
        <v>16339</v>
      </c>
      <c r="AK111" s="9">
        <v>331</v>
      </c>
    </row>
    <row r="112" spans="5:37" x14ac:dyDescent="0.25">
      <c r="E112">
        <v>109</v>
      </c>
      <c r="F112" t="s">
        <v>161</v>
      </c>
      <c r="G112" t="s">
        <v>10</v>
      </c>
      <c r="H112" t="s">
        <v>649</v>
      </c>
      <c r="I112" s="9">
        <v>136083</v>
      </c>
      <c r="J112" s="10">
        <v>42478</v>
      </c>
      <c r="K112" s="9">
        <v>733</v>
      </c>
      <c r="AD112" s="13"/>
      <c r="AE112" s="14">
        <v>100</v>
      </c>
      <c r="AF112" s="14" t="s">
        <v>152</v>
      </c>
      <c r="AG112" s="14" t="s">
        <v>9</v>
      </c>
      <c r="AH112" s="14" t="s">
        <v>652</v>
      </c>
      <c r="AI112" s="9">
        <v>130756</v>
      </c>
      <c r="AJ112" s="34">
        <v>41080</v>
      </c>
      <c r="AK112" s="9">
        <v>3229</v>
      </c>
    </row>
    <row r="113" spans="5:37" x14ac:dyDescent="0.25">
      <c r="E113">
        <v>110</v>
      </c>
      <c r="F113" t="s">
        <v>162</v>
      </c>
      <c r="G113" t="s">
        <v>10</v>
      </c>
      <c r="H113" t="s">
        <v>650</v>
      </c>
      <c r="I113" s="9">
        <v>139904</v>
      </c>
      <c r="J113" s="10">
        <v>49572</v>
      </c>
      <c r="K113" s="9">
        <v>4316</v>
      </c>
      <c r="AD113" s="13"/>
      <c r="AE113" s="14">
        <v>101</v>
      </c>
      <c r="AF113" s="14" t="s">
        <v>153</v>
      </c>
      <c r="AG113" s="14" t="s">
        <v>9</v>
      </c>
      <c r="AH113" s="14" t="s">
        <v>653</v>
      </c>
      <c r="AI113" s="9">
        <v>81088</v>
      </c>
      <c r="AJ113" s="34">
        <v>31619</v>
      </c>
      <c r="AK113" s="9">
        <v>1530</v>
      </c>
    </row>
    <row r="114" spans="5:37" x14ac:dyDescent="0.25">
      <c r="E114">
        <v>111</v>
      </c>
      <c r="F114" t="s">
        <v>163</v>
      </c>
      <c r="G114" t="s">
        <v>10</v>
      </c>
      <c r="H114" t="s">
        <v>651</v>
      </c>
      <c r="I114" s="9">
        <v>11154</v>
      </c>
      <c r="J114" s="10">
        <v>4292</v>
      </c>
      <c r="K114" s="9">
        <v>15</v>
      </c>
      <c r="AD114" s="13"/>
      <c r="AE114" s="14">
        <v>102</v>
      </c>
      <c r="AF114" s="14" t="s">
        <v>154</v>
      </c>
      <c r="AG114" s="14" t="s">
        <v>9</v>
      </c>
      <c r="AH114" s="14" t="s">
        <v>654</v>
      </c>
      <c r="AI114" s="9">
        <v>27196</v>
      </c>
      <c r="AJ114" s="34">
        <v>8290</v>
      </c>
      <c r="AK114" s="9">
        <v>189</v>
      </c>
    </row>
    <row r="115" spans="5:37" x14ac:dyDescent="0.25">
      <c r="E115">
        <v>112</v>
      </c>
      <c r="F115" t="s">
        <v>164</v>
      </c>
      <c r="G115" t="s">
        <v>10</v>
      </c>
      <c r="H115" t="s">
        <v>652</v>
      </c>
      <c r="I115" s="9">
        <v>122012</v>
      </c>
      <c r="J115" s="10">
        <v>30078</v>
      </c>
      <c r="K115" s="9">
        <v>1959</v>
      </c>
      <c r="AD115" s="13"/>
      <c r="AE115" s="14">
        <v>103</v>
      </c>
      <c r="AF115" s="14" t="s">
        <v>155</v>
      </c>
      <c r="AG115" s="14" t="s">
        <v>9</v>
      </c>
      <c r="AH115" s="14" t="s">
        <v>655</v>
      </c>
      <c r="AI115" s="9">
        <v>21208</v>
      </c>
      <c r="AJ115" s="34">
        <v>5577</v>
      </c>
      <c r="AK115" s="9">
        <v>552</v>
      </c>
    </row>
    <row r="116" spans="5:37" x14ac:dyDescent="0.25">
      <c r="E116">
        <v>113</v>
      </c>
      <c r="F116" t="s">
        <v>165</v>
      </c>
      <c r="G116" t="s">
        <v>10</v>
      </c>
      <c r="H116" t="s">
        <v>653</v>
      </c>
      <c r="I116" s="9">
        <v>46473</v>
      </c>
      <c r="J116" s="10">
        <v>10056</v>
      </c>
      <c r="K116" s="9">
        <v>399</v>
      </c>
      <c r="AD116" s="13"/>
      <c r="AE116" s="14">
        <v>104</v>
      </c>
      <c r="AF116" s="14" t="s">
        <v>156</v>
      </c>
      <c r="AG116" s="14" t="s">
        <v>9</v>
      </c>
      <c r="AH116" s="14" t="s">
        <v>656</v>
      </c>
      <c r="AI116" s="9">
        <v>16904</v>
      </c>
      <c r="AJ116" s="34">
        <v>3858</v>
      </c>
      <c r="AK116" s="9">
        <v>40</v>
      </c>
    </row>
    <row r="117" spans="5:37" x14ac:dyDescent="0.25">
      <c r="E117">
        <v>114</v>
      </c>
      <c r="F117" t="s">
        <v>166</v>
      </c>
      <c r="G117" t="s">
        <v>10</v>
      </c>
      <c r="H117" t="s">
        <v>654</v>
      </c>
      <c r="I117" s="9">
        <v>56362</v>
      </c>
      <c r="J117" s="10">
        <v>14213</v>
      </c>
      <c r="K117" s="9">
        <v>517</v>
      </c>
      <c r="AD117" s="13"/>
      <c r="AE117" s="14">
        <v>105</v>
      </c>
      <c r="AF117" s="14" t="s">
        <v>157</v>
      </c>
      <c r="AG117" s="14" t="s">
        <v>9</v>
      </c>
      <c r="AH117" s="14" t="s">
        <v>657</v>
      </c>
      <c r="AI117" s="9">
        <v>131488</v>
      </c>
      <c r="AJ117" s="34">
        <v>38738</v>
      </c>
      <c r="AK117" s="9">
        <v>51</v>
      </c>
    </row>
    <row r="118" spans="5:37" x14ac:dyDescent="0.25">
      <c r="E118">
        <v>115</v>
      </c>
      <c r="F118" t="s">
        <v>167</v>
      </c>
      <c r="G118" t="s">
        <v>10</v>
      </c>
      <c r="H118" t="s">
        <v>655</v>
      </c>
      <c r="I118" s="9">
        <v>57696</v>
      </c>
      <c r="J118" s="10">
        <v>22856</v>
      </c>
      <c r="K118" s="9">
        <v>437</v>
      </c>
      <c r="AD118" s="13"/>
      <c r="AE118" s="14">
        <v>106</v>
      </c>
      <c r="AF118" s="14" t="s">
        <v>158</v>
      </c>
      <c r="AG118" s="14" t="s">
        <v>9</v>
      </c>
      <c r="AH118" s="14" t="s">
        <v>658</v>
      </c>
      <c r="AI118" s="9">
        <v>130167</v>
      </c>
      <c r="AJ118" s="34">
        <v>42098</v>
      </c>
      <c r="AK118" s="9">
        <v>2796</v>
      </c>
    </row>
    <row r="119" spans="5:37" x14ac:dyDescent="0.25">
      <c r="E119">
        <v>116</v>
      </c>
      <c r="F119" t="s">
        <v>168</v>
      </c>
      <c r="G119" t="s">
        <v>10</v>
      </c>
      <c r="H119" t="s">
        <v>656</v>
      </c>
      <c r="I119" s="9">
        <v>88658</v>
      </c>
      <c r="J119" s="10">
        <v>33639</v>
      </c>
      <c r="K119" s="9">
        <v>515</v>
      </c>
      <c r="AD119" s="13"/>
      <c r="AE119" s="14">
        <v>107</v>
      </c>
      <c r="AF119" s="14" t="s">
        <v>159</v>
      </c>
      <c r="AG119" s="14" t="s">
        <v>9</v>
      </c>
      <c r="AH119" s="14" t="s">
        <v>659</v>
      </c>
      <c r="AI119" s="9">
        <v>30312</v>
      </c>
      <c r="AJ119" s="34">
        <v>10805</v>
      </c>
      <c r="AK119" s="9">
        <v>85</v>
      </c>
    </row>
    <row r="120" spans="5:37" x14ac:dyDescent="0.25">
      <c r="E120">
        <v>117</v>
      </c>
      <c r="F120" t="s">
        <v>169</v>
      </c>
      <c r="G120" t="s">
        <v>10</v>
      </c>
      <c r="H120" t="s">
        <v>657</v>
      </c>
      <c r="I120" s="9">
        <v>58485</v>
      </c>
      <c r="J120" s="10">
        <v>20248</v>
      </c>
      <c r="K120" s="9">
        <v>888</v>
      </c>
      <c r="AD120" s="13"/>
      <c r="AE120" s="14">
        <v>108</v>
      </c>
      <c r="AF120" s="14" t="s">
        <v>160</v>
      </c>
      <c r="AG120" s="14" t="s">
        <v>9</v>
      </c>
      <c r="AH120" s="14" t="s">
        <v>660</v>
      </c>
      <c r="AI120" s="9">
        <v>25950</v>
      </c>
      <c r="AJ120" s="34">
        <v>7184</v>
      </c>
      <c r="AK120" s="9">
        <v>64</v>
      </c>
    </row>
    <row r="121" spans="5:37" x14ac:dyDescent="0.25">
      <c r="E121">
        <v>118</v>
      </c>
      <c r="F121" t="s">
        <v>170</v>
      </c>
      <c r="G121" t="s">
        <v>10</v>
      </c>
      <c r="H121" t="s">
        <v>658</v>
      </c>
      <c r="I121" s="9">
        <v>89605</v>
      </c>
      <c r="J121" s="10">
        <v>19983</v>
      </c>
      <c r="K121" s="9">
        <v>376</v>
      </c>
      <c r="AD121" s="13"/>
      <c r="AE121" s="14">
        <v>109</v>
      </c>
      <c r="AF121" s="14" t="s">
        <v>161</v>
      </c>
      <c r="AG121" s="14" t="s">
        <v>10</v>
      </c>
      <c r="AH121" s="14" t="s">
        <v>649</v>
      </c>
      <c r="AI121" s="9">
        <v>136083</v>
      </c>
      <c r="AJ121" s="34">
        <v>42478</v>
      </c>
      <c r="AK121" s="9">
        <v>733</v>
      </c>
    </row>
    <row r="122" spans="5:37" x14ac:dyDescent="0.25">
      <c r="E122">
        <v>119</v>
      </c>
      <c r="F122" t="s">
        <v>171</v>
      </c>
      <c r="G122" t="s">
        <v>10</v>
      </c>
      <c r="H122" t="s">
        <v>659</v>
      </c>
      <c r="I122" s="9">
        <v>61063</v>
      </c>
      <c r="J122" s="10">
        <v>19309</v>
      </c>
      <c r="K122" s="9">
        <v>949</v>
      </c>
      <c r="AD122" s="13"/>
      <c r="AE122" s="14">
        <v>110</v>
      </c>
      <c r="AF122" s="14" t="s">
        <v>162</v>
      </c>
      <c r="AG122" s="14" t="s">
        <v>10</v>
      </c>
      <c r="AH122" s="14" t="s">
        <v>650</v>
      </c>
      <c r="AI122" s="9">
        <v>139904</v>
      </c>
      <c r="AJ122" s="34">
        <v>49572</v>
      </c>
      <c r="AK122" s="9">
        <v>4316</v>
      </c>
    </row>
    <row r="123" spans="5:37" x14ac:dyDescent="0.25">
      <c r="E123">
        <v>120</v>
      </c>
      <c r="F123" t="s">
        <v>172</v>
      </c>
      <c r="G123" t="s">
        <v>10</v>
      </c>
      <c r="H123" t="s">
        <v>660</v>
      </c>
      <c r="I123" s="9">
        <v>92629</v>
      </c>
      <c r="J123" s="10">
        <v>18555</v>
      </c>
      <c r="K123" s="9">
        <v>1841</v>
      </c>
      <c r="AD123" s="13"/>
      <c r="AE123" s="14">
        <v>111</v>
      </c>
      <c r="AF123" s="14" t="s">
        <v>163</v>
      </c>
      <c r="AG123" s="14" t="s">
        <v>10</v>
      </c>
      <c r="AH123" s="14" t="s">
        <v>651</v>
      </c>
      <c r="AI123" s="9">
        <v>11154</v>
      </c>
      <c r="AJ123" s="34">
        <v>4292</v>
      </c>
      <c r="AK123" s="9">
        <v>15</v>
      </c>
    </row>
    <row r="124" spans="5:37" x14ac:dyDescent="0.25">
      <c r="E124">
        <v>121</v>
      </c>
      <c r="F124" t="s">
        <v>173</v>
      </c>
      <c r="G124" t="s">
        <v>11</v>
      </c>
      <c r="H124" t="s">
        <v>649</v>
      </c>
      <c r="I124" s="9">
        <v>142492</v>
      </c>
      <c r="J124" s="10">
        <v>46784</v>
      </c>
      <c r="K124" s="9">
        <v>4549</v>
      </c>
      <c r="AD124" s="13"/>
      <c r="AE124" s="14">
        <v>112</v>
      </c>
      <c r="AF124" s="14" t="s">
        <v>164</v>
      </c>
      <c r="AG124" s="14" t="s">
        <v>10</v>
      </c>
      <c r="AH124" s="14" t="s">
        <v>652</v>
      </c>
      <c r="AI124" s="9">
        <v>122012</v>
      </c>
      <c r="AJ124" s="34">
        <v>30078</v>
      </c>
      <c r="AK124" s="9">
        <v>1959</v>
      </c>
    </row>
    <row r="125" spans="5:37" x14ac:dyDescent="0.25">
      <c r="E125">
        <v>122</v>
      </c>
      <c r="F125" t="s">
        <v>174</v>
      </c>
      <c r="G125" t="s">
        <v>11</v>
      </c>
      <c r="H125" t="s">
        <v>650</v>
      </c>
      <c r="I125" s="9">
        <v>80153</v>
      </c>
      <c r="J125" s="10">
        <v>24199</v>
      </c>
      <c r="K125" s="9">
        <v>1075</v>
      </c>
      <c r="AD125" s="13"/>
      <c r="AE125" s="14">
        <v>113</v>
      </c>
      <c r="AF125" s="14" t="s">
        <v>165</v>
      </c>
      <c r="AG125" s="14" t="s">
        <v>10</v>
      </c>
      <c r="AH125" s="14" t="s">
        <v>653</v>
      </c>
      <c r="AI125" s="9">
        <v>46473</v>
      </c>
      <c r="AJ125" s="34">
        <v>10056</v>
      </c>
      <c r="AK125" s="9">
        <v>399</v>
      </c>
    </row>
    <row r="126" spans="5:37" x14ac:dyDescent="0.25">
      <c r="E126">
        <v>123</v>
      </c>
      <c r="F126" t="s">
        <v>175</v>
      </c>
      <c r="G126" t="s">
        <v>11</v>
      </c>
      <c r="H126" t="s">
        <v>651</v>
      </c>
      <c r="I126" s="9">
        <v>19016</v>
      </c>
      <c r="J126" s="10">
        <v>5515</v>
      </c>
      <c r="K126" s="9">
        <v>373</v>
      </c>
      <c r="AD126" s="13"/>
      <c r="AE126" s="14">
        <v>114</v>
      </c>
      <c r="AF126" s="14" t="s">
        <v>166</v>
      </c>
      <c r="AG126" s="14" t="s">
        <v>10</v>
      </c>
      <c r="AH126" s="14" t="s">
        <v>654</v>
      </c>
      <c r="AI126" s="9">
        <v>56362</v>
      </c>
      <c r="AJ126" s="34">
        <v>14213</v>
      </c>
      <c r="AK126" s="9">
        <v>517</v>
      </c>
    </row>
    <row r="127" spans="5:37" x14ac:dyDescent="0.25">
      <c r="E127">
        <v>124</v>
      </c>
      <c r="F127" t="s">
        <v>176</v>
      </c>
      <c r="G127" t="s">
        <v>11</v>
      </c>
      <c r="H127" t="s">
        <v>652</v>
      </c>
      <c r="I127" s="9">
        <v>87825</v>
      </c>
      <c r="J127" s="10">
        <v>21652</v>
      </c>
      <c r="K127" s="9">
        <v>1706</v>
      </c>
      <c r="AD127" s="13"/>
      <c r="AE127" s="14">
        <v>115</v>
      </c>
      <c r="AF127" s="14" t="s">
        <v>167</v>
      </c>
      <c r="AG127" s="14" t="s">
        <v>10</v>
      </c>
      <c r="AH127" s="14" t="s">
        <v>655</v>
      </c>
      <c r="AI127" s="9">
        <v>57696</v>
      </c>
      <c r="AJ127" s="34">
        <v>22856</v>
      </c>
      <c r="AK127" s="9">
        <v>437</v>
      </c>
    </row>
    <row r="128" spans="5:37" x14ac:dyDescent="0.25">
      <c r="E128">
        <v>125</v>
      </c>
      <c r="F128" t="s">
        <v>177</v>
      </c>
      <c r="G128" t="s">
        <v>11</v>
      </c>
      <c r="H128" t="s">
        <v>653</v>
      </c>
      <c r="I128" s="9">
        <v>139631</v>
      </c>
      <c r="J128" s="10">
        <v>31873</v>
      </c>
      <c r="K128" s="9">
        <v>298</v>
      </c>
      <c r="AD128" s="13"/>
      <c r="AE128" s="14">
        <v>116</v>
      </c>
      <c r="AF128" s="14" t="s">
        <v>168</v>
      </c>
      <c r="AG128" s="14" t="s">
        <v>10</v>
      </c>
      <c r="AH128" s="14" t="s">
        <v>656</v>
      </c>
      <c r="AI128" s="9">
        <v>88658</v>
      </c>
      <c r="AJ128" s="34">
        <v>33639</v>
      </c>
      <c r="AK128" s="9">
        <v>515</v>
      </c>
    </row>
    <row r="129" spans="5:37" x14ac:dyDescent="0.25">
      <c r="E129">
        <v>126</v>
      </c>
      <c r="F129" t="s">
        <v>178</v>
      </c>
      <c r="G129" t="s">
        <v>11</v>
      </c>
      <c r="H129" t="s">
        <v>654</v>
      </c>
      <c r="I129" s="9">
        <v>62288</v>
      </c>
      <c r="J129" s="10">
        <v>20271</v>
      </c>
      <c r="K129" s="9">
        <v>603</v>
      </c>
      <c r="AD129" s="13"/>
      <c r="AE129" s="14">
        <v>117</v>
      </c>
      <c r="AF129" s="14" t="s">
        <v>169</v>
      </c>
      <c r="AG129" s="14" t="s">
        <v>10</v>
      </c>
      <c r="AH129" s="14" t="s">
        <v>657</v>
      </c>
      <c r="AI129" s="9">
        <v>58485</v>
      </c>
      <c r="AJ129" s="34">
        <v>20248</v>
      </c>
      <c r="AK129" s="9">
        <v>888</v>
      </c>
    </row>
    <row r="130" spans="5:37" x14ac:dyDescent="0.25">
      <c r="E130">
        <v>127</v>
      </c>
      <c r="F130" t="s">
        <v>179</v>
      </c>
      <c r="G130" t="s">
        <v>11</v>
      </c>
      <c r="H130" t="s">
        <v>655</v>
      </c>
      <c r="I130" s="9">
        <v>32567</v>
      </c>
      <c r="J130" s="10">
        <v>10912</v>
      </c>
      <c r="K130" s="9">
        <v>1052</v>
      </c>
      <c r="AD130" s="13"/>
      <c r="AE130" s="14">
        <v>118</v>
      </c>
      <c r="AF130" s="14" t="s">
        <v>170</v>
      </c>
      <c r="AG130" s="14" t="s">
        <v>10</v>
      </c>
      <c r="AH130" s="14" t="s">
        <v>658</v>
      </c>
      <c r="AI130" s="9">
        <v>89605</v>
      </c>
      <c r="AJ130" s="34">
        <v>19983</v>
      </c>
      <c r="AK130" s="9">
        <v>376</v>
      </c>
    </row>
    <row r="131" spans="5:37" x14ac:dyDescent="0.25">
      <c r="E131">
        <v>128</v>
      </c>
      <c r="F131" t="s">
        <v>180</v>
      </c>
      <c r="G131" t="s">
        <v>11</v>
      </c>
      <c r="H131" t="s">
        <v>656</v>
      </c>
      <c r="I131" s="9">
        <v>133665</v>
      </c>
      <c r="J131" s="10">
        <v>44693</v>
      </c>
      <c r="K131" s="9">
        <v>634</v>
      </c>
      <c r="AD131" s="13"/>
      <c r="AE131" s="14">
        <v>119</v>
      </c>
      <c r="AF131" s="14" t="s">
        <v>171</v>
      </c>
      <c r="AG131" s="14" t="s">
        <v>10</v>
      </c>
      <c r="AH131" s="14" t="s">
        <v>659</v>
      </c>
      <c r="AI131" s="9">
        <v>61063</v>
      </c>
      <c r="AJ131" s="34">
        <v>19309</v>
      </c>
      <c r="AK131" s="9">
        <v>949</v>
      </c>
    </row>
    <row r="132" spans="5:37" x14ac:dyDescent="0.25">
      <c r="E132">
        <v>129</v>
      </c>
      <c r="F132" t="s">
        <v>181</v>
      </c>
      <c r="G132" t="s">
        <v>11</v>
      </c>
      <c r="H132" t="s">
        <v>657</v>
      </c>
      <c r="I132" s="9">
        <v>11393</v>
      </c>
      <c r="J132" s="10">
        <v>4434</v>
      </c>
      <c r="K132" s="9">
        <v>211</v>
      </c>
      <c r="AD132" s="13"/>
      <c r="AE132" s="14">
        <v>120</v>
      </c>
      <c r="AF132" s="14" t="s">
        <v>172</v>
      </c>
      <c r="AG132" s="14" t="s">
        <v>10</v>
      </c>
      <c r="AH132" s="14" t="s">
        <v>660</v>
      </c>
      <c r="AI132" s="9">
        <v>92629</v>
      </c>
      <c r="AJ132" s="34">
        <v>18555</v>
      </c>
      <c r="AK132" s="9">
        <v>1841</v>
      </c>
    </row>
    <row r="133" spans="5:37" x14ac:dyDescent="0.25">
      <c r="E133">
        <v>130</v>
      </c>
      <c r="F133" t="s">
        <v>182</v>
      </c>
      <c r="G133" t="s">
        <v>11</v>
      </c>
      <c r="H133" t="s">
        <v>658</v>
      </c>
      <c r="I133" s="9">
        <v>129559</v>
      </c>
      <c r="J133" s="10">
        <v>44642</v>
      </c>
      <c r="K133" s="9">
        <v>2353</v>
      </c>
      <c r="AD133" s="13"/>
      <c r="AE133" s="14">
        <v>121</v>
      </c>
      <c r="AF133" s="14" t="s">
        <v>173</v>
      </c>
      <c r="AG133" s="14" t="s">
        <v>11</v>
      </c>
      <c r="AH133" s="14" t="s">
        <v>649</v>
      </c>
      <c r="AI133" s="9">
        <v>142492</v>
      </c>
      <c r="AJ133" s="34">
        <v>46784</v>
      </c>
      <c r="AK133" s="9">
        <v>4549</v>
      </c>
    </row>
    <row r="134" spans="5:37" x14ac:dyDescent="0.25">
      <c r="E134">
        <v>131</v>
      </c>
      <c r="F134" t="s">
        <v>183</v>
      </c>
      <c r="G134" t="s">
        <v>11</v>
      </c>
      <c r="H134" t="s">
        <v>659</v>
      </c>
      <c r="I134" s="9">
        <v>31134</v>
      </c>
      <c r="J134" s="10">
        <v>10623</v>
      </c>
      <c r="K134" s="9">
        <v>82</v>
      </c>
      <c r="AD134" s="13"/>
      <c r="AE134" s="14">
        <v>122</v>
      </c>
      <c r="AF134" s="14" t="s">
        <v>174</v>
      </c>
      <c r="AG134" s="14" t="s">
        <v>11</v>
      </c>
      <c r="AH134" s="14" t="s">
        <v>650</v>
      </c>
      <c r="AI134" s="9">
        <v>80153</v>
      </c>
      <c r="AJ134" s="34">
        <v>24199</v>
      </c>
      <c r="AK134" s="9">
        <v>1075</v>
      </c>
    </row>
    <row r="135" spans="5:37" x14ac:dyDescent="0.25">
      <c r="E135">
        <v>132</v>
      </c>
      <c r="F135" t="s">
        <v>184</v>
      </c>
      <c r="G135" t="s">
        <v>11</v>
      </c>
      <c r="H135" t="s">
        <v>660</v>
      </c>
      <c r="I135" s="9">
        <v>55129</v>
      </c>
      <c r="J135" s="10">
        <v>16672</v>
      </c>
      <c r="K135" s="9">
        <v>1585</v>
      </c>
      <c r="AD135" s="13"/>
      <c r="AE135" s="14">
        <v>123</v>
      </c>
      <c r="AF135" s="14" t="s">
        <v>175</v>
      </c>
      <c r="AG135" s="14" t="s">
        <v>11</v>
      </c>
      <c r="AH135" s="14" t="s">
        <v>651</v>
      </c>
      <c r="AI135" s="9">
        <v>19016</v>
      </c>
      <c r="AJ135" s="34">
        <v>5515</v>
      </c>
      <c r="AK135" s="9">
        <v>373</v>
      </c>
    </row>
    <row r="136" spans="5:37" x14ac:dyDescent="0.25">
      <c r="E136">
        <v>133</v>
      </c>
      <c r="F136" t="s">
        <v>185</v>
      </c>
      <c r="G136" t="s">
        <v>12</v>
      </c>
      <c r="H136" t="s">
        <v>649</v>
      </c>
      <c r="I136" s="9">
        <v>98872</v>
      </c>
      <c r="J136" s="10">
        <v>25548</v>
      </c>
      <c r="K136" s="9">
        <v>213</v>
      </c>
      <c r="AD136" s="13"/>
      <c r="AE136" s="14">
        <v>124</v>
      </c>
      <c r="AF136" s="14" t="s">
        <v>176</v>
      </c>
      <c r="AG136" s="14" t="s">
        <v>11</v>
      </c>
      <c r="AH136" s="14" t="s">
        <v>652</v>
      </c>
      <c r="AI136" s="9">
        <v>87825</v>
      </c>
      <c r="AJ136" s="34">
        <v>21652</v>
      </c>
      <c r="AK136" s="9">
        <v>1706</v>
      </c>
    </row>
    <row r="137" spans="5:37" x14ac:dyDescent="0.25">
      <c r="E137">
        <v>134</v>
      </c>
      <c r="F137" t="s">
        <v>186</v>
      </c>
      <c r="G137" t="s">
        <v>12</v>
      </c>
      <c r="H137" t="s">
        <v>650</v>
      </c>
      <c r="I137" s="9">
        <v>86887</v>
      </c>
      <c r="J137" s="10">
        <v>34600</v>
      </c>
      <c r="K137" s="9">
        <v>2203</v>
      </c>
      <c r="AD137" s="13"/>
      <c r="AE137" s="14">
        <v>125</v>
      </c>
      <c r="AF137" s="14" t="s">
        <v>177</v>
      </c>
      <c r="AG137" s="14" t="s">
        <v>11</v>
      </c>
      <c r="AH137" s="14" t="s">
        <v>653</v>
      </c>
      <c r="AI137" s="9">
        <v>139631</v>
      </c>
      <c r="AJ137" s="34">
        <v>31873</v>
      </c>
      <c r="AK137" s="9">
        <v>298</v>
      </c>
    </row>
    <row r="138" spans="5:37" x14ac:dyDescent="0.25">
      <c r="E138">
        <v>135</v>
      </c>
      <c r="F138" t="s">
        <v>187</v>
      </c>
      <c r="G138" t="s">
        <v>12</v>
      </c>
      <c r="H138" t="s">
        <v>651</v>
      </c>
      <c r="I138" s="9">
        <v>148237</v>
      </c>
      <c r="J138" s="10">
        <v>34737</v>
      </c>
      <c r="K138" s="9">
        <v>2427</v>
      </c>
      <c r="AD138" s="13"/>
      <c r="AE138" s="14">
        <v>126</v>
      </c>
      <c r="AF138" s="14" t="s">
        <v>178</v>
      </c>
      <c r="AG138" s="14" t="s">
        <v>11</v>
      </c>
      <c r="AH138" s="14" t="s">
        <v>654</v>
      </c>
      <c r="AI138" s="9">
        <v>62288</v>
      </c>
      <c r="AJ138" s="34">
        <v>20271</v>
      </c>
      <c r="AK138" s="9">
        <v>603</v>
      </c>
    </row>
    <row r="139" spans="5:37" x14ac:dyDescent="0.25">
      <c r="E139">
        <v>136</v>
      </c>
      <c r="F139" t="s">
        <v>188</v>
      </c>
      <c r="G139" t="s">
        <v>12</v>
      </c>
      <c r="H139" t="s">
        <v>652</v>
      </c>
      <c r="I139" s="9">
        <v>50934</v>
      </c>
      <c r="J139" s="10">
        <v>20260</v>
      </c>
      <c r="K139" s="9">
        <v>1209</v>
      </c>
      <c r="AD139" s="13"/>
      <c r="AE139" s="14">
        <v>127</v>
      </c>
      <c r="AF139" s="14" t="s">
        <v>179</v>
      </c>
      <c r="AG139" s="14" t="s">
        <v>11</v>
      </c>
      <c r="AH139" s="14" t="s">
        <v>655</v>
      </c>
      <c r="AI139" s="9">
        <v>32567</v>
      </c>
      <c r="AJ139" s="34">
        <v>10912</v>
      </c>
      <c r="AK139" s="9">
        <v>1052</v>
      </c>
    </row>
    <row r="140" spans="5:37" x14ac:dyDescent="0.25">
      <c r="E140">
        <v>137</v>
      </c>
      <c r="F140" t="s">
        <v>189</v>
      </c>
      <c r="G140" t="s">
        <v>12</v>
      </c>
      <c r="H140" t="s">
        <v>653</v>
      </c>
      <c r="I140" s="9">
        <v>87557</v>
      </c>
      <c r="J140" s="10">
        <v>29883</v>
      </c>
      <c r="K140" s="9">
        <v>2253</v>
      </c>
      <c r="AD140" s="13"/>
      <c r="AE140" s="14">
        <v>128</v>
      </c>
      <c r="AF140" s="14" t="s">
        <v>180</v>
      </c>
      <c r="AG140" s="14" t="s">
        <v>11</v>
      </c>
      <c r="AH140" s="14" t="s">
        <v>656</v>
      </c>
      <c r="AI140" s="9">
        <v>133665</v>
      </c>
      <c r="AJ140" s="34">
        <v>44693</v>
      </c>
      <c r="AK140" s="9">
        <v>634</v>
      </c>
    </row>
    <row r="141" spans="5:37" x14ac:dyDescent="0.25">
      <c r="E141">
        <v>138</v>
      </c>
      <c r="F141" t="s">
        <v>190</v>
      </c>
      <c r="G141" t="s">
        <v>12</v>
      </c>
      <c r="H141" t="s">
        <v>654</v>
      </c>
      <c r="I141" s="9">
        <v>32307</v>
      </c>
      <c r="J141" s="10">
        <v>10255</v>
      </c>
      <c r="K141" s="9">
        <v>248</v>
      </c>
      <c r="AD141" s="13"/>
      <c r="AE141" s="14">
        <v>129</v>
      </c>
      <c r="AF141" s="14" t="s">
        <v>181</v>
      </c>
      <c r="AG141" s="14" t="s">
        <v>11</v>
      </c>
      <c r="AH141" s="14" t="s">
        <v>657</v>
      </c>
      <c r="AI141" s="9">
        <v>11393</v>
      </c>
      <c r="AJ141" s="34">
        <v>4434</v>
      </c>
      <c r="AK141" s="9">
        <v>211</v>
      </c>
    </row>
    <row r="142" spans="5:37" x14ac:dyDescent="0.25">
      <c r="E142">
        <v>139</v>
      </c>
      <c r="F142" t="s">
        <v>191</v>
      </c>
      <c r="G142" t="s">
        <v>12</v>
      </c>
      <c r="H142" t="s">
        <v>655</v>
      </c>
      <c r="I142" s="9">
        <v>113675</v>
      </c>
      <c r="J142" s="10">
        <v>25922</v>
      </c>
      <c r="K142" s="9">
        <v>230</v>
      </c>
      <c r="AD142" s="13"/>
      <c r="AE142" s="14">
        <v>130</v>
      </c>
      <c r="AF142" s="14" t="s">
        <v>182</v>
      </c>
      <c r="AG142" s="14" t="s">
        <v>11</v>
      </c>
      <c r="AH142" s="14" t="s">
        <v>658</v>
      </c>
      <c r="AI142" s="9">
        <v>129559</v>
      </c>
      <c r="AJ142" s="34">
        <v>44642</v>
      </c>
      <c r="AK142" s="9">
        <v>2353</v>
      </c>
    </row>
    <row r="143" spans="5:37" x14ac:dyDescent="0.25">
      <c r="E143">
        <v>140</v>
      </c>
      <c r="F143" t="s">
        <v>192</v>
      </c>
      <c r="G143" t="s">
        <v>12</v>
      </c>
      <c r="H143" t="s">
        <v>656</v>
      </c>
      <c r="I143" s="9">
        <v>72658</v>
      </c>
      <c r="J143" s="10">
        <v>27271</v>
      </c>
      <c r="K143" s="9">
        <v>534</v>
      </c>
      <c r="AD143" s="13"/>
      <c r="AE143" s="14">
        <v>131</v>
      </c>
      <c r="AF143" s="14" t="s">
        <v>183</v>
      </c>
      <c r="AG143" s="14" t="s">
        <v>11</v>
      </c>
      <c r="AH143" s="14" t="s">
        <v>659</v>
      </c>
      <c r="AI143" s="9">
        <v>31134</v>
      </c>
      <c r="AJ143" s="34">
        <v>10623</v>
      </c>
      <c r="AK143" s="9">
        <v>82</v>
      </c>
    </row>
    <row r="144" spans="5:37" x14ac:dyDescent="0.25">
      <c r="E144">
        <v>141</v>
      </c>
      <c r="F144" t="s">
        <v>193</v>
      </c>
      <c r="G144" t="s">
        <v>12</v>
      </c>
      <c r="H144" t="s">
        <v>657</v>
      </c>
      <c r="I144" s="9">
        <v>55066</v>
      </c>
      <c r="J144" s="10">
        <v>15120</v>
      </c>
      <c r="K144" s="9">
        <v>1259</v>
      </c>
      <c r="AD144" s="13"/>
      <c r="AE144" s="14">
        <v>132</v>
      </c>
      <c r="AF144" s="14" t="s">
        <v>184</v>
      </c>
      <c r="AG144" s="14" t="s">
        <v>11</v>
      </c>
      <c r="AH144" s="14" t="s">
        <v>660</v>
      </c>
      <c r="AI144" s="9">
        <v>55129</v>
      </c>
      <c r="AJ144" s="34">
        <v>16672</v>
      </c>
      <c r="AK144" s="9">
        <v>1585</v>
      </c>
    </row>
    <row r="145" spans="5:37" x14ac:dyDescent="0.25">
      <c r="E145">
        <v>142</v>
      </c>
      <c r="F145" t="s">
        <v>194</v>
      </c>
      <c r="G145" t="s">
        <v>12</v>
      </c>
      <c r="H145" t="s">
        <v>658</v>
      </c>
      <c r="I145" s="9">
        <v>114726</v>
      </c>
      <c r="J145" s="10">
        <v>27244</v>
      </c>
      <c r="K145" s="9">
        <v>475</v>
      </c>
      <c r="AD145" s="13"/>
      <c r="AE145" s="14">
        <v>133</v>
      </c>
      <c r="AF145" s="14" t="s">
        <v>185</v>
      </c>
      <c r="AG145" s="14" t="s">
        <v>12</v>
      </c>
      <c r="AH145" s="14" t="s">
        <v>649</v>
      </c>
      <c r="AI145" s="9">
        <v>98872</v>
      </c>
      <c r="AJ145" s="34">
        <v>25548</v>
      </c>
      <c r="AK145" s="9">
        <v>213</v>
      </c>
    </row>
    <row r="146" spans="5:37" x14ac:dyDescent="0.25">
      <c r="E146">
        <v>143</v>
      </c>
      <c r="F146" t="s">
        <v>195</v>
      </c>
      <c r="G146" t="s">
        <v>12</v>
      </c>
      <c r="H146" t="s">
        <v>659</v>
      </c>
      <c r="I146" s="9">
        <v>36854</v>
      </c>
      <c r="J146" s="10">
        <v>11105</v>
      </c>
      <c r="K146" s="9">
        <v>986</v>
      </c>
      <c r="AD146" s="13"/>
      <c r="AE146" s="14">
        <v>134</v>
      </c>
      <c r="AF146" s="14" t="s">
        <v>186</v>
      </c>
      <c r="AG146" s="14" t="s">
        <v>12</v>
      </c>
      <c r="AH146" s="14" t="s">
        <v>650</v>
      </c>
      <c r="AI146" s="9">
        <v>86887</v>
      </c>
      <c r="AJ146" s="34">
        <v>34600</v>
      </c>
      <c r="AK146" s="9">
        <v>2203</v>
      </c>
    </row>
    <row r="147" spans="5:37" x14ac:dyDescent="0.25">
      <c r="E147">
        <v>144</v>
      </c>
      <c r="F147" t="s">
        <v>196</v>
      </c>
      <c r="G147" t="s">
        <v>12</v>
      </c>
      <c r="H147" t="s">
        <v>660</v>
      </c>
      <c r="I147" s="9">
        <v>25744</v>
      </c>
      <c r="J147" s="10">
        <v>8685</v>
      </c>
      <c r="K147" s="9">
        <v>121</v>
      </c>
      <c r="AD147" s="13"/>
      <c r="AE147" s="14">
        <v>135</v>
      </c>
      <c r="AF147" s="14" t="s">
        <v>187</v>
      </c>
      <c r="AG147" s="14" t="s">
        <v>12</v>
      </c>
      <c r="AH147" s="14" t="s">
        <v>651</v>
      </c>
      <c r="AI147" s="9">
        <v>148237</v>
      </c>
      <c r="AJ147" s="34">
        <v>34737</v>
      </c>
      <c r="AK147" s="9">
        <v>2427</v>
      </c>
    </row>
    <row r="148" spans="5:37" x14ac:dyDescent="0.25">
      <c r="E148">
        <v>145</v>
      </c>
      <c r="F148" t="s">
        <v>197</v>
      </c>
      <c r="G148" t="s">
        <v>13</v>
      </c>
      <c r="H148" t="s">
        <v>649</v>
      </c>
      <c r="I148" s="9">
        <v>83270</v>
      </c>
      <c r="J148" s="10">
        <v>20636</v>
      </c>
      <c r="K148" s="9">
        <v>577</v>
      </c>
      <c r="AD148" s="13"/>
      <c r="AE148" s="14">
        <v>136</v>
      </c>
      <c r="AF148" s="14" t="s">
        <v>188</v>
      </c>
      <c r="AG148" s="14" t="s">
        <v>12</v>
      </c>
      <c r="AH148" s="14" t="s">
        <v>652</v>
      </c>
      <c r="AI148" s="9">
        <v>50934</v>
      </c>
      <c r="AJ148" s="34">
        <v>20260</v>
      </c>
      <c r="AK148" s="9">
        <v>1209</v>
      </c>
    </row>
    <row r="149" spans="5:37" x14ac:dyDescent="0.25">
      <c r="E149">
        <v>146</v>
      </c>
      <c r="F149" t="s">
        <v>198</v>
      </c>
      <c r="G149" t="s">
        <v>13</v>
      </c>
      <c r="H149" t="s">
        <v>650</v>
      </c>
      <c r="I149" s="9">
        <v>60636</v>
      </c>
      <c r="J149" s="10">
        <v>21253</v>
      </c>
      <c r="K149" s="9">
        <v>1194</v>
      </c>
      <c r="AD149" s="13"/>
      <c r="AE149" s="14">
        <v>137</v>
      </c>
      <c r="AF149" s="14" t="s">
        <v>189</v>
      </c>
      <c r="AG149" s="14" t="s">
        <v>12</v>
      </c>
      <c r="AH149" s="14" t="s">
        <v>653</v>
      </c>
      <c r="AI149" s="9">
        <v>87557</v>
      </c>
      <c r="AJ149" s="34">
        <v>29883</v>
      </c>
      <c r="AK149" s="9">
        <v>2253</v>
      </c>
    </row>
    <row r="150" spans="5:37" x14ac:dyDescent="0.25">
      <c r="E150">
        <v>147</v>
      </c>
      <c r="F150" t="s">
        <v>199</v>
      </c>
      <c r="G150" t="s">
        <v>13</v>
      </c>
      <c r="H150" t="s">
        <v>651</v>
      </c>
      <c r="I150" s="9">
        <v>115731</v>
      </c>
      <c r="J150" s="10">
        <v>24925</v>
      </c>
      <c r="K150" s="9">
        <v>1037</v>
      </c>
      <c r="AD150" s="13"/>
      <c r="AE150" s="14">
        <v>138</v>
      </c>
      <c r="AF150" s="14" t="s">
        <v>190</v>
      </c>
      <c r="AG150" s="14" t="s">
        <v>12</v>
      </c>
      <c r="AH150" s="14" t="s">
        <v>654</v>
      </c>
      <c r="AI150" s="9">
        <v>32307</v>
      </c>
      <c r="AJ150" s="34">
        <v>10255</v>
      </c>
      <c r="AK150" s="9">
        <v>248</v>
      </c>
    </row>
    <row r="151" spans="5:37" x14ac:dyDescent="0.25">
      <c r="E151">
        <v>148</v>
      </c>
      <c r="F151" t="s">
        <v>200</v>
      </c>
      <c r="G151" t="s">
        <v>13</v>
      </c>
      <c r="H151" t="s">
        <v>652</v>
      </c>
      <c r="I151" s="9">
        <v>44710</v>
      </c>
      <c r="J151" s="10">
        <v>16574</v>
      </c>
      <c r="K151" s="9">
        <v>830</v>
      </c>
      <c r="AD151" s="13"/>
      <c r="AE151" s="14">
        <v>139</v>
      </c>
      <c r="AF151" s="14" t="s">
        <v>191</v>
      </c>
      <c r="AG151" s="14" t="s">
        <v>12</v>
      </c>
      <c r="AH151" s="14" t="s">
        <v>655</v>
      </c>
      <c r="AI151" s="9">
        <v>113675</v>
      </c>
      <c r="AJ151" s="34">
        <v>25922</v>
      </c>
      <c r="AK151" s="9">
        <v>230</v>
      </c>
    </row>
    <row r="152" spans="5:37" x14ac:dyDescent="0.25">
      <c r="E152">
        <v>149</v>
      </c>
      <c r="F152" t="s">
        <v>201</v>
      </c>
      <c r="G152" t="s">
        <v>13</v>
      </c>
      <c r="H152" t="s">
        <v>653</v>
      </c>
      <c r="I152" s="9">
        <v>146068</v>
      </c>
      <c r="J152" s="10">
        <v>49985</v>
      </c>
      <c r="K152" s="9">
        <v>595</v>
      </c>
      <c r="AD152" s="13"/>
      <c r="AE152" s="14">
        <v>140</v>
      </c>
      <c r="AF152" s="14" t="s">
        <v>192</v>
      </c>
      <c r="AG152" s="14" t="s">
        <v>12</v>
      </c>
      <c r="AH152" s="14" t="s">
        <v>656</v>
      </c>
      <c r="AI152" s="9">
        <v>72658</v>
      </c>
      <c r="AJ152" s="34">
        <v>27271</v>
      </c>
      <c r="AK152" s="9">
        <v>534</v>
      </c>
    </row>
    <row r="153" spans="5:37" x14ac:dyDescent="0.25">
      <c r="E153">
        <v>150</v>
      </c>
      <c r="F153" t="s">
        <v>202</v>
      </c>
      <c r="G153" t="s">
        <v>13</v>
      </c>
      <c r="H153" t="s">
        <v>654</v>
      </c>
      <c r="I153" s="9">
        <v>146416</v>
      </c>
      <c r="J153" s="10">
        <v>51796</v>
      </c>
      <c r="K153" s="9">
        <v>2944</v>
      </c>
      <c r="AD153" s="13"/>
      <c r="AE153" s="14">
        <v>141</v>
      </c>
      <c r="AF153" s="14" t="s">
        <v>193</v>
      </c>
      <c r="AG153" s="14" t="s">
        <v>12</v>
      </c>
      <c r="AH153" s="14" t="s">
        <v>657</v>
      </c>
      <c r="AI153" s="9">
        <v>55066</v>
      </c>
      <c r="AJ153" s="34">
        <v>15120</v>
      </c>
      <c r="AK153" s="9">
        <v>1259</v>
      </c>
    </row>
    <row r="154" spans="5:37" x14ac:dyDescent="0.25">
      <c r="E154">
        <v>151</v>
      </c>
      <c r="F154" t="s">
        <v>203</v>
      </c>
      <c r="G154" t="s">
        <v>13</v>
      </c>
      <c r="H154" t="s">
        <v>655</v>
      </c>
      <c r="I154" s="9">
        <v>19883</v>
      </c>
      <c r="J154" s="10">
        <v>4068</v>
      </c>
      <c r="K154" s="9">
        <v>125</v>
      </c>
      <c r="AD154" s="13"/>
      <c r="AE154" s="14">
        <v>142</v>
      </c>
      <c r="AF154" s="14" t="s">
        <v>194</v>
      </c>
      <c r="AG154" s="14" t="s">
        <v>12</v>
      </c>
      <c r="AH154" s="14" t="s">
        <v>658</v>
      </c>
      <c r="AI154" s="9">
        <v>114726</v>
      </c>
      <c r="AJ154" s="34">
        <v>27244</v>
      </c>
      <c r="AK154" s="9">
        <v>475</v>
      </c>
    </row>
    <row r="155" spans="5:37" x14ac:dyDescent="0.25">
      <c r="E155">
        <v>152</v>
      </c>
      <c r="F155" t="s">
        <v>204</v>
      </c>
      <c r="G155" t="s">
        <v>13</v>
      </c>
      <c r="H155" t="s">
        <v>656</v>
      </c>
      <c r="I155" s="9">
        <v>116217</v>
      </c>
      <c r="J155" s="10">
        <v>35495</v>
      </c>
      <c r="K155" s="9">
        <v>2682</v>
      </c>
      <c r="AD155" s="13"/>
      <c r="AE155" s="14">
        <v>143</v>
      </c>
      <c r="AF155" s="14" t="s">
        <v>195</v>
      </c>
      <c r="AG155" s="14" t="s">
        <v>12</v>
      </c>
      <c r="AH155" s="14" t="s">
        <v>659</v>
      </c>
      <c r="AI155" s="9">
        <v>36854</v>
      </c>
      <c r="AJ155" s="34">
        <v>11105</v>
      </c>
      <c r="AK155" s="9">
        <v>986</v>
      </c>
    </row>
    <row r="156" spans="5:37" x14ac:dyDescent="0.25">
      <c r="E156">
        <v>153</v>
      </c>
      <c r="F156" t="s">
        <v>205</v>
      </c>
      <c r="G156" t="s">
        <v>13</v>
      </c>
      <c r="H156" t="s">
        <v>657</v>
      </c>
      <c r="I156" s="9">
        <v>74465</v>
      </c>
      <c r="J156" s="10">
        <v>29058</v>
      </c>
      <c r="K156" s="9">
        <v>2905</v>
      </c>
      <c r="AD156" s="13"/>
      <c r="AE156" s="14">
        <v>144</v>
      </c>
      <c r="AF156" s="14" t="s">
        <v>196</v>
      </c>
      <c r="AG156" s="14" t="s">
        <v>12</v>
      </c>
      <c r="AH156" s="14" t="s">
        <v>660</v>
      </c>
      <c r="AI156" s="9">
        <v>25744</v>
      </c>
      <c r="AJ156" s="34">
        <v>8685</v>
      </c>
      <c r="AK156" s="9">
        <v>121</v>
      </c>
    </row>
    <row r="157" spans="5:37" x14ac:dyDescent="0.25">
      <c r="E157">
        <v>154</v>
      </c>
      <c r="F157" t="s">
        <v>206</v>
      </c>
      <c r="G157" t="s">
        <v>13</v>
      </c>
      <c r="H157" t="s">
        <v>658</v>
      </c>
      <c r="I157" s="9">
        <v>66069</v>
      </c>
      <c r="J157" s="10">
        <v>25141</v>
      </c>
      <c r="K157" s="9">
        <v>1229</v>
      </c>
      <c r="AD157" s="13"/>
      <c r="AE157" s="14">
        <v>145</v>
      </c>
      <c r="AF157" s="14" t="s">
        <v>197</v>
      </c>
      <c r="AG157" s="14" t="s">
        <v>13</v>
      </c>
      <c r="AH157" s="14" t="s">
        <v>649</v>
      </c>
      <c r="AI157" s="9">
        <v>83270</v>
      </c>
      <c r="AJ157" s="34">
        <v>20636</v>
      </c>
      <c r="AK157" s="9">
        <v>577</v>
      </c>
    </row>
    <row r="158" spans="5:37" x14ac:dyDescent="0.25">
      <c r="E158">
        <v>155</v>
      </c>
      <c r="F158" t="s">
        <v>207</v>
      </c>
      <c r="G158" t="s">
        <v>13</v>
      </c>
      <c r="H158" t="s">
        <v>659</v>
      </c>
      <c r="I158" s="9">
        <v>89555</v>
      </c>
      <c r="J158" s="10">
        <v>29905</v>
      </c>
      <c r="K158" s="9">
        <v>2747</v>
      </c>
      <c r="AD158" s="13"/>
      <c r="AE158" s="14">
        <v>146</v>
      </c>
      <c r="AF158" s="14" t="s">
        <v>198</v>
      </c>
      <c r="AG158" s="14" t="s">
        <v>13</v>
      </c>
      <c r="AH158" s="14" t="s">
        <v>650</v>
      </c>
      <c r="AI158" s="9">
        <v>60636</v>
      </c>
      <c r="AJ158" s="34">
        <v>21253</v>
      </c>
      <c r="AK158" s="9">
        <v>1194</v>
      </c>
    </row>
    <row r="159" spans="5:37" x14ac:dyDescent="0.25">
      <c r="E159">
        <v>156</v>
      </c>
      <c r="F159" t="s">
        <v>208</v>
      </c>
      <c r="G159" t="s">
        <v>13</v>
      </c>
      <c r="H159" t="s">
        <v>660</v>
      </c>
      <c r="I159" s="9">
        <v>61314</v>
      </c>
      <c r="J159" s="10">
        <v>21420</v>
      </c>
      <c r="K159" s="9">
        <v>502</v>
      </c>
      <c r="AD159" s="13"/>
      <c r="AE159" s="14">
        <v>147</v>
      </c>
      <c r="AF159" s="14" t="s">
        <v>199</v>
      </c>
      <c r="AG159" s="14" t="s">
        <v>13</v>
      </c>
      <c r="AH159" s="14" t="s">
        <v>651</v>
      </c>
      <c r="AI159" s="9">
        <v>115731</v>
      </c>
      <c r="AJ159" s="34">
        <v>24925</v>
      </c>
      <c r="AK159" s="9">
        <v>1037</v>
      </c>
    </row>
    <row r="160" spans="5:37" x14ac:dyDescent="0.25">
      <c r="E160">
        <v>157</v>
      </c>
      <c r="F160" t="s">
        <v>209</v>
      </c>
      <c r="G160" t="s">
        <v>14</v>
      </c>
      <c r="H160" t="s">
        <v>649</v>
      </c>
      <c r="I160" s="9">
        <v>56003</v>
      </c>
      <c r="J160" s="10">
        <v>18958</v>
      </c>
      <c r="K160" s="9">
        <v>164</v>
      </c>
      <c r="AD160" s="13"/>
      <c r="AE160" s="14">
        <v>148</v>
      </c>
      <c r="AF160" s="14" t="s">
        <v>200</v>
      </c>
      <c r="AG160" s="14" t="s">
        <v>13</v>
      </c>
      <c r="AH160" s="14" t="s">
        <v>652</v>
      </c>
      <c r="AI160" s="9">
        <v>44710</v>
      </c>
      <c r="AJ160" s="34">
        <v>16574</v>
      </c>
      <c r="AK160" s="9">
        <v>830</v>
      </c>
    </row>
    <row r="161" spans="5:37" x14ac:dyDescent="0.25">
      <c r="E161">
        <v>158</v>
      </c>
      <c r="F161" t="s">
        <v>210</v>
      </c>
      <c r="G161" t="s">
        <v>14</v>
      </c>
      <c r="H161" t="s">
        <v>650</v>
      </c>
      <c r="I161" s="9">
        <v>114632</v>
      </c>
      <c r="J161" s="10">
        <v>38501</v>
      </c>
      <c r="K161" s="9">
        <v>3774</v>
      </c>
      <c r="AD161" s="13"/>
      <c r="AE161" s="14">
        <v>149</v>
      </c>
      <c r="AF161" s="14" t="s">
        <v>201</v>
      </c>
      <c r="AG161" s="14" t="s">
        <v>13</v>
      </c>
      <c r="AH161" s="14" t="s">
        <v>653</v>
      </c>
      <c r="AI161" s="9">
        <v>146068</v>
      </c>
      <c r="AJ161" s="34">
        <v>49985</v>
      </c>
      <c r="AK161" s="9">
        <v>595</v>
      </c>
    </row>
    <row r="162" spans="5:37" x14ac:dyDescent="0.25">
      <c r="E162">
        <v>159</v>
      </c>
      <c r="F162" t="s">
        <v>211</v>
      </c>
      <c r="G162" t="s">
        <v>14</v>
      </c>
      <c r="H162" t="s">
        <v>651</v>
      </c>
      <c r="I162" s="9">
        <v>124630</v>
      </c>
      <c r="J162" s="10">
        <v>29484</v>
      </c>
      <c r="K162" s="9">
        <v>1438</v>
      </c>
      <c r="AD162" s="13"/>
      <c r="AE162" s="14">
        <v>150</v>
      </c>
      <c r="AF162" s="14" t="s">
        <v>202</v>
      </c>
      <c r="AG162" s="14" t="s">
        <v>13</v>
      </c>
      <c r="AH162" s="14" t="s">
        <v>654</v>
      </c>
      <c r="AI162" s="9">
        <v>146416</v>
      </c>
      <c r="AJ162" s="34">
        <v>51796</v>
      </c>
      <c r="AK162" s="9">
        <v>2944</v>
      </c>
    </row>
    <row r="163" spans="5:37" x14ac:dyDescent="0.25">
      <c r="E163">
        <v>160</v>
      </c>
      <c r="F163" t="s">
        <v>212</v>
      </c>
      <c r="G163" t="s">
        <v>14</v>
      </c>
      <c r="H163" t="s">
        <v>652</v>
      </c>
      <c r="I163" s="9">
        <v>18005</v>
      </c>
      <c r="J163" s="10">
        <v>5901</v>
      </c>
      <c r="K163" s="9">
        <v>318</v>
      </c>
      <c r="AD163" s="13"/>
      <c r="AE163" s="14">
        <v>151</v>
      </c>
      <c r="AF163" s="14" t="s">
        <v>203</v>
      </c>
      <c r="AG163" s="14" t="s">
        <v>13</v>
      </c>
      <c r="AH163" s="14" t="s">
        <v>655</v>
      </c>
      <c r="AI163" s="9">
        <v>19883</v>
      </c>
      <c r="AJ163" s="34">
        <v>4068</v>
      </c>
      <c r="AK163" s="9">
        <v>125</v>
      </c>
    </row>
    <row r="164" spans="5:37" x14ac:dyDescent="0.25">
      <c r="E164">
        <v>161</v>
      </c>
      <c r="F164" t="s">
        <v>213</v>
      </c>
      <c r="G164" t="s">
        <v>14</v>
      </c>
      <c r="H164" t="s">
        <v>653</v>
      </c>
      <c r="I164" s="9">
        <v>47825</v>
      </c>
      <c r="J164" s="10">
        <v>13975</v>
      </c>
      <c r="K164" s="9">
        <v>1124</v>
      </c>
      <c r="AD164" s="13"/>
      <c r="AE164" s="14">
        <v>152</v>
      </c>
      <c r="AF164" s="14" t="s">
        <v>204</v>
      </c>
      <c r="AG164" s="14" t="s">
        <v>13</v>
      </c>
      <c r="AH164" s="14" t="s">
        <v>656</v>
      </c>
      <c r="AI164" s="9">
        <v>116217</v>
      </c>
      <c r="AJ164" s="34">
        <v>35495</v>
      </c>
      <c r="AK164" s="9">
        <v>2682</v>
      </c>
    </row>
    <row r="165" spans="5:37" x14ac:dyDescent="0.25">
      <c r="E165">
        <v>162</v>
      </c>
      <c r="F165" t="s">
        <v>214</v>
      </c>
      <c r="G165" t="s">
        <v>14</v>
      </c>
      <c r="H165" t="s">
        <v>654</v>
      </c>
      <c r="I165" s="9">
        <v>57782</v>
      </c>
      <c r="J165" s="10">
        <v>15893</v>
      </c>
      <c r="K165" s="9">
        <v>1303</v>
      </c>
      <c r="AD165" s="13"/>
      <c r="AE165" s="14">
        <v>153</v>
      </c>
      <c r="AF165" s="14" t="s">
        <v>205</v>
      </c>
      <c r="AG165" s="14" t="s">
        <v>13</v>
      </c>
      <c r="AH165" s="14" t="s">
        <v>657</v>
      </c>
      <c r="AI165" s="9">
        <v>74465</v>
      </c>
      <c r="AJ165" s="34">
        <v>29058</v>
      </c>
      <c r="AK165" s="9">
        <v>2905</v>
      </c>
    </row>
    <row r="166" spans="5:37" x14ac:dyDescent="0.25">
      <c r="E166">
        <v>163</v>
      </c>
      <c r="F166" t="s">
        <v>215</v>
      </c>
      <c r="G166" t="s">
        <v>14</v>
      </c>
      <c r="H166" t="s">
        <v>655</v>
      </c>
      <c r="I166" s="9">
        <v>81008</v>
      </c>
      <c r="J166" s="10">
        <v>22058</v>
      </c>
      <c r="K166" s="9">
        <v>1124</v>
      </c>
      <c r="AD166" s="13"/>
      <c r="AE166" s="14">
        <v>154</v>
      </c>
      <c r="AF166" s="14" t="s">
        <v>206</v>
      </c>
      <c r="AG166" s="14" t="s">
        <v>13</v>
      </c>
      <c r="AH166" s="14" t="s">
        <v>658</v>
      </c>
      <c r="AI166" s="9">
        <v>66069</v>
      </c>
      <c r="AJ166" s="34">
        <v>25141</v>
      </c>
      <c r="AK166" s="9">
        <v>1229</v>
      </c>
    </row>
    <row r="167" spans="5:37" x14ac:dyDescent="0.25">
      <c r="E167">
        <v>164</v>
      </c>
      <c r="F167" t="s">
        <v>216</v>
      </c>
      <c r="G167" t="s">
        <v>14</v>
      </c>
      <c r="H167" t="s">
        <v>656</v>
      </c>
      <c r="I167" s="9">
        <v>73488</v>
      </c>
      <c r="J167" s="10">
        <v>27073</v>
      </c>
      <c r="K167" s="9">
        <v>1364</v>
      </c>
      <c r="AD167" s="13"/>
      <c r="AE167" s="14">
        <v>155</v>
      </c>
      <c r="AF167" s="14" t="s">
        <v>207</v>
      </c>
      <c r="AG167" s="14" t="s">
        <v>13</v>
      </c>
      <c r="AH167" s="14" t="s">
        <v>659</v>
      </c>
      <c r="AI167" s="9">
        <v>89555</v>
      </c>
      <c r="AJ167" s="34">
        <v>29905</v>
      </c>
      <c r="AK167" s="9">
        <v>2747</v>
      </c>
    </row>
    <row r="168" spans="5:37" x14ac:dyDescent="0.25">
      <c r="E168">
        <v>165</v>
      </c>
      <c r="F168" t="s">
        <v>217</v>
      </c>
      <c r="G168" t="s">
        <v>14</v>
      </c>
      <c r="H168" t="s">
        <v>657</v>
      </c>
      <c r="I168" s="9">
        <v>115465</v>
      </c>
      <c r="J168" s="10">
        <v>41736</v>
      </c>
      <c r="K168" s="9">
        <v>2147</v>
      </c>
      <c r="AD168" s="13"/>
      <c r="AE168" s="14">
        <v>156</v>
      </c>
      <c r="AF168" s="14" t="s">
        <v>208</v>
      </c>
      <c r="AG168" s="14" t="s">
        <v>13</v>
      </c>
      <c r="AH168" s="14" t="s">
        <v>660</v>
      </c>
      <c r="AI168" s="9">
        <v>61314</v>
      </c>
      <c r="AJ168" s="34">
        <v>21420</v>
      </c>
      <c r="AK168" s="9">
        <v>502</v>
      </c>
    </row>
    <row r="169" spans="5:37" x14ac:dyDescent="0.25">
      <c r="E169">
        <v>166</v>
      </c>
      <c r="F169" t="s">
        <v>218</v>
      </c>
      <c r="G169" t="s">
        <v>14</v>
      </c>
      <c r="H169" t="s">
        <v>658</v>
      </c>
      <c r="I169" s="9">
        <v>137882</v>
      </c>
      <c r="J169" s="10">
        <v>31197</v>
      </c>
      <c r="K169" s="9">
        <v>3063</v>
      </c>
      <c r="AD169" s="13"/>
      <c r="AE169" s="14">
        <v>157</v>
      </c>
      <c r="AF169" s="14" t="s">
        <v>209</v>
      </c>
      <c r="AG169" s="14" t="s">
        <v>14</v>
      </c>
      <c r="AH169" s="14" t="s">
        <v>649</v>
      </c>
      <c r="AI169" s="9">
        <v>56003</v>
      </c>
      <c r="AJ169" s="34">
        <v>18958</v>
      </c>
      <c r="AK169" s="9">
        <v>164</v>
      </c>
    </row>
    <row r="170" spans="5:37" x14ac:dyDescent="0.25">
      <c r="E170">
        <v>167</v>
      </c>
      <c r="F170" t="s">
        <v>219</v>
      </c>
      <c r="G170" t="s">
        <v>14</v>
      </c>
      <c r="H170" t="s">
        <v>659</v>
      </c>
      <c r="I170" s="9">
        <v>52099</v>
      </c>
      <c r="J170" s="10">
        <v>10858</v>
      </c>
      <c r="K170" s="9">
        <v>223</v>
      </c>
      <c r="AD170" s="13"/>
      <c r="AE170" s="14">
        <v>158</v>
      </c>
      <c r="AF170" s="14" t="s">
        <v>210</v>
      </c>
      <c r="AG170" s="14" t="s">
        <v>14</v>
      </c>
      <c r="AH170" s="14" t="s">
        <v>650</v>
      </c>
      <c r="AI170" s="9">
        <v>114632</v>
      </c>
      <c r="AJ170" s="34">
        <v>38501</v>
      </c>
      <c r="AK170" s="9">
        <v>3774</v>
      </c>
    </row>
    <row r="171" spans="5:37" x14ac:dyDescent="0.25">
      <c r="E171">
        <v>168</v>
      </c>
      <c r="F171" t="s">
        <v>220</v>
      </c>
      <c r="G171" t="s">
        <v>14</v>
      </c>
      <c r="H171" t="s">
        <v>660</v>
      </c>
      <c r="I171" s="9">
        <v>38421</v>
      </c>
      <c r="J171" s="10">
        <v>10368</v>
      </c>
      <c r="K171" s="9">
        <v>569</v>
      </c>
      <c r="AD171" s="13"/>
      <c r="AE171" s="14">
        <v>159</v>
      </c>
      <c r="AF171" s="14" t="s">
        <v>211</v>
      </c>
      <c r="AG171" s="14" t="s">
        <v>14</v>
      </c>
      <c r="AH171" s="14" t="s">
        <v>651</v>
      </c>
      <c r="AI171" s="9">
        <v>124630</v>
      </c>
      <c r="AJ171" s="34">
        <v>29484</v>
      </c>
      <c r="AK171" s="9">
        <v>1438</v>
      </c>
    </row>
    <row r="172" spans="5:37" x14ac:dyDescent="0.25">
      <c r="E172">
        <v>169</v>
      </c>
      <c r="F172" t="s">
        <v>221</v>
      </c>
      <c r="G172" t="s">
        <v>15</v>
      </c>
      <c r="H172" t="s">
        <v>649</v>
      </c>
      <c r="I172" s="9">
        <v>62031</v>
      </c>
      <c r="J172" s="10">
        <v>19613</v>
      </c>
      <c r="K172" s="9">
        <v>1779</v>
      </c>
      <c r="AD172" s="13"/>
      <c r="AE172" s="14">
        <v>160</v>
      </c>
      <c r="AF172" s="14" t="s">
        <v>212</v>
      </c>
      <c r="AG172" s="14" t="s">
        <v>14</v>
      </c>
      <c r="AH172" s="14" t="s">
        <v>652</v>
      </c>
      <c r="AI172" s="9">
        <v>18005</v>
      </c>
      <c r="AJ172" s="34">
        <v>5901</v>
      </c>
      <c r="AK172" s="9">
        <v>318</v>
      </c>
    </row>
    <row r="173" spans="5:37" x14ac:dyDescent="0.25">
      <c r="E173">
        <v>170</v>
      </c>
      <c r="F173" t="s">
        <v>222</v>
      </c>
      <c r="G173" t="s">
        <v>15</v>
      </c>
      <c r="H173" t="s">
        <v>650</v>
      </c>
      <c r="I173" s="9">
        <v>64219</v>
      </c>
      <c r="J173" s="10">
        <v>23376</v>
      </c>
      <c r="K173" s="9">
        <v>1544</v>
      </c>
      <c r="AD173" s="13"/>
      <c r="AE173" s="14">
        <v>161</v>
      </c>
      <c r="AF173" s="14" t="s">
        <v>213</v>
      </c>
      <c r="AG173" s="14" t="s">
        <v>14</v>
      </c>
      <c r="AH173" s="14" t="s">
        <v>653</v>
      </c>
      <c r="AI173" s="9">
        <v>47825</v>
      </c>
      <c r="AJ173" s="34">
        <v>13975</v>
      </c>
      <c r="AK173" s="9">
        <v>1124</v>
      </c>
    </row>
    <row r="174" spans="5:37" x14ac:dyDescent="0.25">
      <c r="E174">
        <v>171</v>
      </c>
      <c r="F174" t="s">
        <v>223</v>
      </c>
      <c r="G174" t="s">
        <v>15</v>
      </c>
      <c r="H174" t="s">
        <v>651</v>
      </c>
      <c r="I174" s="9">
        <v>19471</v>
      </c>
      <c r="J174" s="10">
        <v>6856</v>
      </c>
      <c r="K174" s="9">
        <v>167</v>
      </c>
      <c r="AD174" s="13"/>
      <c r="AE174" s="14">
        <v>162</v>
      </c>
      <c r="AF174" s="14" t="s">
        <v>214</v>
      </c>
      <c r="AG174" s="14" t="s">
        <v>14</v>
      </c>
      <c r="AH174" s="14" t="s">
        <v>654</v>
      </c>
      <c r="AI174" s="9">
        <v>57782</v>
      </c>
      <c r="AJ174" s="34">
        <v>15893</v>
      </c>
      <c r="AK174" s="9">
        <v>1303</v>
      </c>
    </row>
    <row r="175" spans="5:37" x14ac:dyDescent="0.25">
      <c r="E175">
        <v>172</v>
      </c>
      <c r="F175" t="s">
        <v>224</v>
      </c>
      <c r="G175" t="s">
        <v>15</v>
      </c>
      <c r="H175" t="s">
        <v>652</v>
      </c>
      <c r="I175" s="9">
        <v>74789</v>
      </c>
      <c r="J175" s="10">
        <v>19642</v>
      </c>
      <c r="K175" s="9">
        <v>1184</v>
      </c>
      <c r="AD175" s="13"/>
      <c r="AE175" s="14">
        <v>163</v>
      </c>
      <c r="AF175" s="14" t="s">
        <v>215</v>
      </c>
      <c r="AG175" s="14" t="s">
        <v>14</v>
      </c>
      <c r="AH175" s="14" t="s">
        <v>655</v>
      </c>
      <c r="AI175" s="9">
        <v>81008</v>
      </c>
      <c r="AJ175" s="34">
        <v>22058</v>
      </c>
      <c r="AK175" s="9">
        <v>1124</v>
      </c>
    </row>
    <row r="176" spans="5:37" x14ac:dyDescent="0.25">
      <c r="E176">
        <v>173</v>
      </c>
      <c r="F176" t="s">
        <v>225</v>
      </c>
      <c r="G176" t="s">
        <v>15</v>
      </c>
      <c r="H176" t="s">
        <v>653</v>
      </c>
      <c r="I176" s="9">
        <v>136467</v>
      </c>
      <c r="J176" s="10">
        <v>41839</v>
      </c>
      <c r="K176" s="9">
        <v>1836</v>
      </c>
      <c r="AD176" s="13"/>
      <c r="AE176" s="14">
        <v>164</v>
      </c>
      <c r="AF176" s="14" t="s">
        <v>216</v>
      </c>
      <c r="AG176" s="14" t="s">
        <v>14</v>
      </c>
      <c r="AH176" s="14" t="s">
        <v>656</v>
      </c>
      <c r="AI176" s="9">
        <v>73488</v>
      </c>
      <c r="AJ176" s="34">
        <v>27073</v>
      </c>
      <c r="AK176" s="9">
        <v>1364</v>
      </c>
    </row>
    <row r="177" spans="5:37" x14ac:dyDescent="0.25">
      <c r="E177">
        <v>174</v>
      </c>
      <c r="F177" t="s">
        <v>226</v>
      </c>
      <c r="G177" t="s">
        <v>15</v>
      </c>
      <c r="H177" t="s">
        <v>654</v>
      </c>
      <c r="I177" s="9">
        <v>92041</v>
      </c>
      <c r="J177" s="10">
        <v>25277</v>
      </c>
      <c r="K177" s="9">
        <v>2322</v>
      </c>
      <c r="AD177" s="13"/>
      <c r="AE177" s="14">
        <v>165</v>
      </c>
      <c r="AF177" s="14" t="s">
        <v>217</v>
      </c>
      <c r="AG177" s="14" t="s">
        <v>14</v>
      </c>
      <c r="AH177" s="14" t="s">
        <v>657</v>
      </c>
      <c r="AI177" s="9">
        <v>115465</v>
      </c>
      <c r="AJ177" s="34">
        <v>41736</v>
      </c>
      <c r="AK177" s="9">
        <v>2147</v>
      </c>
    </row>
    <row r="178" spans="5:37" x14ac:dyDescent="0.25">
      <c r="E178">
        <v>175</v>
      </c>
      <c r="F178" t="s">
        <v>227</v>
      </c>
      <c r="G178" t="s">
        <v>15</v>
      </c>
      <c r="H178" t="s">
        <v>655</v>
      </c>
      <c r="I178" s="9">
        <v>121152</v>
      </c>
      <c r="J178" s="10">
        <v>25886</v>
      </c>
      <c r="K178" s="9">
        <v>1899</v>
      </c>
      <c r="AD178" s="13"/>
      <c r="AE178" s="14">
        <v>166</v>
      </c>
      <c r="AF178" s="14" t="s">
        <v>218</v>
      </c>
      <c r="AG178" s="14" t="s">
        <v>14</v>
      </c>
      <c r="AH178" s="14" t="s">
        <v>658</v>
      </c>
      <c r="AI178" s="9">
        <v>137882</v>
      </c>
      <c r="AJ178" s="34">
        <v>31197</v>
      </c>
      <c r="AK178" s="9">
        <v>3063</v>
      </c>
    </row>
    <row r="179" spans="5:37" x14ac:dyDescent="0.25">
      <c r="E179">
        <v>176</v>
      </c>
      <c r="F179" t="s">
        <v>228</v>
      </c>
      <c r="G179" t="s">
        <v>15</v>
      </c>
      <c r="H179" t="s">
        <v>656</v>
      </c>
      <c r="I179" s="9">
        <v>124540</v>
      </c>
      <c r="J179" s="10">
        <v>35145</v>
      </c>
      <c r="K179" s="9">
        <v>3022</v>
      </c>
      <c r="AD179" s="13"/>
      <c r="AE179" s="14">
        <v>167</v>
      </c>
      <c r="AF179" s="14" t="s">
        <v>219</v>
      </c>
      <c r="AG179" s="14" t="s">
        <v>14</v>
      </c>
      <c r="AH179" s="14" t="s">
        <v>659</v>
      </c>
      <c r="AI179" s="9">
        <v>52099</v>
      </c>
      <c r="AJ179" s="34">
        <v>10858</v>
      </c>
      <c r="AK179" s="9">
        <v>223</v>
      </c>
    </row>
    <row r="180" spans="5:37" x14ac:dyDescent="0.25">
      <c r="E180">
        <v>177</v>
      </c>
      <c r="F180" t="s">
        <v>229</v>
      </c>
      <c r="G180" t="s">
        <v>15</v>
      </c>
      <c r="H180" t="s">
        <v>657</v>
      </c>
      <c r="I180" s="9">
        <v>109030</v>
      </c>
      <c r="J180" s="10">
        <v>39824</v>
      </c>
      <c r="K180" s="9">
        <v>3414</v>
      </c>
      <c r="AD180" s="13"/>
      <c r="AE180" s="14">
        <v>168</v>
      </c>
      <c r="AF180" s="14" t="s">
        <v>220</v>
      </c>
      <c r="AG180" s="14" t="s">
        <v>14</v>
      </c>
      <c r="AH180" s="14" t="s">
        <v>660</v>
      </c>
      <c r="AI180" s="9">
        <v>38421</v>
      </c>
      <c r="AJ180" s="34">
        <v>10368</v>
      </c>
      <c r="AK180" s="9">
        <v>569</v>
      </c>
    </row>
    <row r="181" spans="5:37" x14ac:dyDescent="0.25">
      <c r="E181">
        <v>178</v>
      </c>
      <c r="F181" t="s">
        <v>230</v>
      </c>
      <c r="G181" t="s">
        <v>15</v>
      </c>
      <c r="H181" t="s">
        <v>658</v>
      </c>
      <c r="I181" s="9">
        <v>133724</v>
      </c>
      <c r="J181" s="10">
        <v>28304</v>
      </c>
      <c r="K181" s="9">
        <v>705</v>
      </c>
      <c r="AD181" s="13"/>
      <c r="AE181" s="14">
        <v>169</v>
      </c>
      <c r="AF181" s="14" t="s">
        <v>221</v>
      </c>
      <c r="AG181" s="14" t="s">
        <v>15</v>
      </c>
      <c r="AH181" s="14" t="s">
        <v>649</v>
      </c>
      <c r="AI181" s="9">
        <v>62031</v>
      </c>
      <c r="AJ181" s="34">
        <v>19613</v>
      </c>
      <c r="AK181" s="9">
        <v>1779</v>
      </c>
    </row>
    <row r="182" spans="5:37" x14ac:dyDescent="0.25">
      <c r="E182">
        <v>179</v>
      </c>
      <c r="F182" t="s">
        <v>231</v>
      </c>
      <c r="G182" t="s">
        <v>15</v>
      </c>
      <c r="H182" t="s">
        <v>659</v>
      </c>
      <c r="I182" s="9">
        <v>108818</v>
      </c>
      <c r="J182" s="10">
        <v>29176</v>
      </c>
      <c r="K182" s="9">
        <v>2520</v>
      </c>
      <c r="AD182" s="13"/>
      <c r="AE182" s="14">
        <v>170</v>
      </c>
      <c r="AF182" s="14" t="s">
        <v>222</v>
      </c>
      <c r="AG182" s="14" t="s">
        <v>15</v>
      </c>
      <c r="AH182" s="14" t="s">
        <v>650</v>
      </c>
      <c r="AI182" s="9">
        <v>64219</v>
      </c>
      <c r="AJ182" s="34">
        <v>23376</v>
      </c>
      <c r="AK182" s="9">
        <v>1544</v>
      </c>
    </row>
    <row r="183" spans="5:37" x14ac:dyDescent="0.25">
      <c r="E183">
        <v>180</v>
      </c>
      <c r="F183" t="s">
        <v>232</v>
      </c>
      <c r="G183" t="s">
        <v>15</v>
      </c>
      <c r="H183" t="s">
        <v>660</v>
      </c>
      <c r="I183" s="9">
        <v>111505</v>
      </c>
      <c r="J183" s="10">
        <v>29973</v>
      </c>
      <c r="K183" s="9">
        <v>89</v>
      </c>
      <c r="AD183" s="13"/>
      <c r="AE183" s="14">
        <v>171</v>
      </c>
      <c r="AF183" s="14" t="s">
        <v>223</v>
      </c>
      <c r="AG183" s="14" t="s">
        <v>15</v>
      </c>
      <c r="AH183" s="14" t="s">
        <v>651</v>
      </c>
      <c r="AI183" s="9">
        <v>19471</v>
      </c>
      <c r="AJ183" s="34">
        <v>6856</v>
      </c>
      <c r="AK183" s="9">
        <v>167</v>
      </c>
    </row>
    <row r="184" spans="5:37" x14ac:dyDescent="0.25">
      <c r="E184">
        <v>181</v>
      </c>
      <c r="F184" t="s">
        <v>233</v>
      </c>
      <c r="G184" t="s">
        <v>16</v>
      </c>
      <c r="H184" t="s">
        <v>649</v>
      </c>
      <c r="I184" s="9">
        <v>106208</v>
      </c>
      <c r="J184" s="10">
        <v>34468</v>
      </c>
      <c r="K184" s="9">
        <v>1627</v>
      </c>
      <c r="AD184" s="13"/>
      <c r="AE184" s="14">
        <v>172</v>
      </c>
      <c r="AF184" s="14" t="s">
        <v>224</v>
      </c>
      <c r="AG184" s="14" t="s">
        <v>15</v>
      </c>
      <c r="AH184" s="14" t="s">
        <v>652</v>
      </c>
      <c r="AI184" s="9">
        <v>74789</v>
      </c>
      <c r="AJ184" s="34">
        <v>19642</v>
      </c>
      <c r="AK184" s="9">
        <v>1184</v>
      </c>
    </row>
    <row r="185" spans="5:37" x14ac:dyDescent="0.25">
      <c r="E185">
        <v>182</v>
      </c>
      <c r="F185" t="s">
        <v>234</v>
      </c>
      <c r="G185" t="s">
        <v>16</v>
      </c>
      <c r="H185" t="s">
        <v>650</v>
      </c>
      <c r="I185" s="9">
        <v>69445</v>
      </c>
      <c r="J185" s="10">
        <v>20713</v>
      </c>
      <c r="K185" s="9">
        <v>1688</v>
      </c>
      <c r="AD185" s="13"/>
      <c r="AE185" s="14">
        <v>173</v>
      </c>
      <c r="AF185" s="14" t="s">
        <v>225</v>
      </c>
      <c r="AG185" s="14" t="s">
        <v>15</v>
      </c>
      <c r="AH185" s="14" t="s">
        <v>653</v>
      </c>
      <c r="AI185" s="9">
        <v>136467</v>
      </c>
      <c r="AJ185" s="34">
        <v>41839</v>
      </c>
      <c r="AK185" s="9">
        <v>1836</v>
      </c>
    </row>
    <row r="186" spans="5:37" x14ac:dyDescent="0.25">
      <c r="E186">
        <v>183</v>
      </c>
      <c r="F186" t="s">
        <v>235</v>
      </c>
      <c r="G186" t="s">
        <v>16</v>
      </c>
      <c r="H186" t="s">
        <v>651</v>
      </c>
      <c r="I186" s="9">
        <v>10816</v>
      </c>
      <c r="J186" s="10">
        <v>2566</v>
      </c>
      <c r="K186" s="9">
        <v>164</v>
      </c>
      <c r="AD186" s="13"/>
      <c r="AE186" s="14">
        <v>174</v>
      </c>
      <c r="AF186" s="14" t="s">
        <v>226</v>
      </c>
      <c r="AG186" s="14" t="s">
        <v>15</v>
      </c>
      <c r="AH186" s="14" t="s">
        <v>654</v>
      </c>
      <c r="AI186" s="9">
        <v>92041</v>
      </c>
      <c r="AJ186" s="34">
        <v>25277</v>
      </c>
      <c r="AK186" s="9">
        <v>2322</v>
      </c>
    </row>
    <row r="187" spans="5:37" x14ac:dyDescent="0.25">
      <c r="E187">
        <v>184</v>
      </c>
      <c r="F187" t="s">
        <v>236</v>
      </c>
      <c r="G187" t="s">
        <v>16</v>
      </c>
      <c r="H187" t="s">
        <v>652</v>
      </c>
      <c r="I187" s="9">
        <v>101732</v>
      </c>
      <c r="J187" s="10">
        <v>31596</v>
      </c>
      <c r="K187" s="9">
        <v>1878</v>
      </c>
      <c r="AD187" s="13"/>
      <c r="AE187" s="14">
        <v>175</v>
      </c>
      <c r="AF187" s="14" t="s">
        <v>227</v>
      </c>
      <c r="AG187" s="14" t="s">
        <v>15</v>
      </c>
      <c r="AH187" s="14" t="s">
        <v>655</v>
      </c>
      <c r="AI187" s="9">
        <v>121152</v>
      </c>
      <c r="AJ187" s="34">
        <v>25886</v>
      </c>
      <c r="AK187" s="9">
        <v>1899</v>
      </c>
    </row>
    <row r="188" spans="5:37" x14ac:dyDescent="0.25">
      <c r="E188">
        <v>185</v>
      </c>
      <c r="F188" t="s">
        <v>237</v>
      </c>
      <c r="G188" t="s">
        <v>16</v>
      </c>
      <c r="H188" t="s">
        <v>653</v>
      </c>
      <c r="I188" s="9">
        <v>77557</v>
      </c>
      <c r="J188" s="10">
        <v>16493</v>
      </c>
      <c r="K188" s="9">
        <v>695</v>
      </c>
      <c r="AD188" s="13"/>
      <c r="AE188" s="14">
        <v>176</v>
      </c>
      <c r="AF188" s="14" t="s">
        <v>228</v>
      </c>
      <c r="AG188" s="14" t="s">
        <v>15</v>
      </c>
      <c r="AH188" s="14" t="s">
        <v>656</v>
      </c>
      <c r="AI188" s="9">
        <v>124540</v>
      </c>
      <c r="AJ188" s="34">
        <v>35145</v>
      </c>
      <c r="AK188" s="9">
        <v>3022</v>
      </c>
    </row>
    <row r="189" spans="5:37" x14ac:dyDescent="0.25">
      <c r="E189">
        <v>186</v>
      </c>
      <c r="F189" t="s">
        <v>238</v>
      </c>
      <c r="G189" t="s">
        <v>16</v>
      </c>
      <c r="H189" t="s">
        <v>654</v>
      </c>
      <c r="I189" s="9">
        <v>79750</v>
      </c>
      <c r="J189" s="10">
        <v>24373</v>
      </c>
      <c r="K189" s="9">
        <v>225</v>
      </c>
      <c r="AD189" s="13"/>
      <c r="AE189" s="14">
        <v>177</v>
      </c>
      <c r="AF189" s="14" t="s">
        <v>229</v>
      </c>
      <c r="AG189" s="14" t="s">
        <v>15</v>
      </c>
      <c r="AH189" s="14" t="s">
        <v>657</v>
      </c>
      <c r="AI189" s="9">
        <v>109030</v>
      </c>
      <c r="AJ189" s="34">
        <v>39824</v>
      </c>
      <c r="AK189" s="9">
        <v>3414</v>
      </c>
    </row>
    <row r="190" spans="5:37" x14ac:dyDescent="0.25">
      <c r="E190">
        <v>187</v>
      </c>
      <c r="F190" t="s">
        <v>239</v>
      </c>
      <c r="G190" t="s">
        <v>16</v>
      </c>
      <c r="H190" t="s">
        <v>655</v>
      </c>
      <c r="I190" s="9">
        <v>149719</v>
      </c>
      <c r="J190" s="10">
        <v>54257</v>
      </c>
      <c r="K190" s="9">
        <v>2261</v>
      </c>
      <c r="AD190" s="13"/>
      <c r="AE190" s="14">
        <v>178</v>
      </c>
      <c r="AF190" s="14" t="s">
        <v>230</v>
      </c>
      <c r="AG190" s="14" t="s">
        <v>15</v>
      </c>
      <c r="AH190" s="14" t="s">
        <v>658</v>
      </c>
      <c r="AI190" s="9">
        <v>133724</v>
      </c>
      <c r="AJ190" s="34">
        <v>28304</v>
      </c>
      <c r="AK190" s="9">
        <v>705</v>
      </c>
    </row>
    <row r="191" spans="5:37" x14ac:dyDescent="0.25">
      <c r="E191">
        <v>188</v>
      </c>
      <c r="F191" t="s">
        <v>240</v>
      </c>
      <c r="G191" t="s">
        <v>16</v>
      </c>
      <c r="H191" t="s">
        <v>656</v>
      </c>
      <c r="I191" s="9">
        <v>115193</v>
      </c>
      <c r="J191" s="10">
        <v>33389</v>
      </c>
      <c r="K191" s="9">
        <v>888</v>
      </c>
      <c r="AD191" s="13"/>
      <c r="AE191" s="14">
        <v>179</v>
      </c>
      <c r="AF191" s="14" t="s">
        <v>231</v>
      </c>
      <c r="AG191" s="14" t="s">
        <v>15</v>
      </c>
      <c r="AH191" s="14" t="s">
        <v>659</v>
      </c>
      <c r="AI191" s="9">
        <v>108818</v>
      </c>
      <c r="AJ191" s="34">
        <v>29176</v>
      </c>
      <c r="AK191" s="9">
        <v>2520</v>
      </c>
    </row>
    <row r="192" spans="5:37" x14ac:dyDescent="0.25">
      <c r="E192">
        <v>189</v>
      </c>
      <c r="F192" t="s">
        <v>241</v>
      </c>
      <c r="G192" t="s">
        <v>16</v>
      </c>
      <c r="H192" t="s">
        <v>657</v>
      </c>
      <c r="I192" s="9">
        <v>35864</v>
      </c>
      <c r="J192" s="10">
        <v>8000</v>
      </c>
      <c r="K192" s="9">
        <v>584</v>
      </c>
      <c r="AD192" s="13"/>
      <c r="AE192" s="14">
        <v>180</v>
      </c>
      <c r="AF192" s="14" t="s">
        <v>232</v>
      </c>
      <c r="AG192" s="14" t="s">
        <v>15</v>
      </c>
      <c r="AH192" s="14" t="s">
        <v>660</v>
      </c>
      <c r="AI192" s="9">
        <v>111505</v>
      </c>
      <c r="AJ192" s="34">
        <v>29973</v>
      </c>
      <c r="AK192" s="9">
        <v>89</v>
      </c>
    </row>
    <row r="193" spans="5:37" x14ac:dyDescent="0.25">
      <c r="E193">
        <v>190</v>
      </c>
      <c r="F193" t="s">
        <v>242</v>
      </c>
      <c r="G193" t="s">
        <v>16</v>
      </c>
      <c r="H193" t="s">
        <v>658</v>
      </c>
      <c r="I193" s="9">
        <v>66070</v>
      </c>
      <c r="J193" s="10">
        <v>14208</v>
      </c>
      <c r="K193" s="9">
        <v>1067</v>
      </c>
      <c r="AD193" s="13"/>
      <c r="AE193" s="14">
        <v>181</v>
      </c>
      <c r="AF193" s="14" t="s">
        <v>233</v>
      </c>
      <c r="AG193" s="14" t="s">
        <v>16</v>
      </c>
      <c r="AH193" s="14" t="s">
        <v>649</v>
      </c>
      <c r="AI193" s="9">
        <v>106208</v>
      </c>
      <c r="AJ193" s="34">
        <v>34468</v>
      </c>
      <c r="AK193" s="9">
        <v>1627</v>
      </c>
    </row>
    <row r="194" spans="5:37" x14ac:dyDescent="0.25">
      <c r="E194">
        <v>191</v>
      </c>
      <c r="F194" t="s">
        <v>243</v>
      </c>
      <c r="G194" t="s">
        <v>16</v>
      </c>
      <c r="H194" t="s">
        <v>659</v>
      </c>
      <c r="I194" s="9">
        <v>39814</v>
      </c>
      <c r="J194" s="10">
        <v>9253</v>
      </c>
      <c r="K194" s="9">
        <v>539</v>
      </c>
      <c r="AD194" s="13"/>
      <c r="AE194" s="14">
        <v>182</v>
      </c>
      <c r="AF194" s="14" t="s">
        <v>234</v>
      </c>
      <c r="AG194" s="14" t="s">
        <v>16</v>
      </c>
      <c r="AH194" s="14" t="s">
        <v>650</v>
      </c>
      <c r="AI194" s="9">
        <v>69445</v>
      </c>
      <c r="AJ194" s="34">
        <v>20713</v>
      </c>
      <c r="AK194" s="9">
        <v>1688</v>
      </c>
    </row>
    <row r="195" spans="5:37" x14ac:dyDescent="0.25">
      <c r="E195">
        <v>192</v>
      </c>
      <c r="F195" t="s">
        <v>244</v>
      </c>
      <c r="G195" t="s">
        <v>16</v>
      </c>
      <c r="H195" t="s">
        <v>660</v>
      </c>
      <c r="I195" s="9">
        <v>39466</v>
      </c>
      <c r="J195" s="10">
        <v>10604</v>
      </c>
      <c r="K195" s="9">
        <v>287</v>
      </c>
      <c r="AD195" s="13"/>
      <c r="AE195" s="14">
        <v>183</v>
      </c>
      <c r="AF195" s="14" t="s">
        <v>235</v>
      </c>
      <c r="AG195" s="14" t="s">
        <v>16</v>
      </c>
      <c r="AH195" s="14" t="s">
        <v>651</v>
      </c>
      <c r="AI195" s="9">
        <v>10816</v>
      </c>
      <c r="AJ195" s="34">
        <v>2566</v>
      </c>
      <c r="AK195" s="9">
        <v>164</v>
      </c>
    </row>
    <row r="196" spans="5:37" x14ac:dyDescent="0.25">
      <c r="E196">
        <v>193</v>
      </c>
      <c r="F196" t="s">
        <v>245</v>
      </c>
      <c r="G196" t="s">
        <v>17</v>
      </c>
      <c r="H196" t="s">
        <v>649</v>
      </c>
      <c r="I196" s="9">
        <v>14266</v>
      </c>
      <c r="J196" s="10">
        <v>3701</v>
      </c>
      <c r="K196" s="9">
        <v>28</v>
      </c>
      <c r="AD196" s="13"/>
      <c r="AE196" s="14">
        <v>184</v>
      </c>
      <c r="AF196" s="14" t="s">
        <v>236</v>
      </c>
      <c r="AG196" s="14" t="s">
        <v>16</v>
      </c>
      <c r="AH196" s="14" t="s">
        <v>652</v>
      </c>
      <c r="AI196" s="9">
        <v>101732</v>
      </c>
      <c r="AJ196" s="34">
        <v>31596</v>
      </c>
      <c r="AK196" s="9">
        <v>1878</v>
      </c>
    </row>
    <row r="197" spans="5:37" x14ac:dyDescent="0.25">
      <c r="E197">
        <v>194</v>
      </c>
      <c r="F197" t="s">
        <v>246</v>
      </c>
      <c r="G197" t="s">
        <v>17</v>
      </c>
      <c r="H197" t="s">
        <v>650</v>
      </c>
      <c r="I197" s="9">
        <v>90539</v>
      </c>
      <c r="J197" s="10">
        <v>32224</v>
      </c>
      <c r="K197" s="9">
        <v>1550</v>
      </c>
      <c r="AD197" s="13"/>
      <c r="AE197" s="14">
        <v>185</v>
      </c>
      <c r="AF197" s="14" t="s">
        <v>237</v>
      </c>
      <c r="AG197" s="14" t="s">
        <v>16</v>
      </c>
      <c r="AH197" s="14" t="s">
        <v>653</v>
      </c>
      <c r="AI197" s="9">
        <v>77557</v>
      </c>
      <c r="AJ197" s="34">
        <v>16493</v>
      </c>
      <c r="AK197" s="9">
        <v>695</v>
      </c>
    </row>
    <row r="198" spans="5:37" x14ac:dyDescent="0.25">
      <c r="E198">
        <v>195</v>
      </c>
      <c r="F198" t="s">
        <v>247</v>
      </c>
      <c r="G198" t="s">
        <v>17</v>
      </c>
      <c r="H198" t="s">
        <v>651</v>
      </c>
      <c r="I198" s="9">
        <v>54366</v>
      </c>
      <c r="J198" s="10">
        <v>19704</v>
      </c>
      <c r="K198" s="9">
        <v>1746</v>
      </c>
      <c r="AD198" s="13"/>
      <c r="AE198" s="14">
        <v>186</v>
      </c>
      <c r="AF198" s="14" t="s">
        <v>238</v>
      </c>
      <c r="AG198" s="14" t="s">
        <v>16</v>
      </c>
      <c r="AH198" s="14" t="s">
        <v>654</v>
      </c>
      <c r="AI198" s="9">
        <v>79750</v>
      </c>
      <c r="AJ198" s="34">
        <v>24373</v>
      </c>
      <c r="AK198" s="9">
        <v>225</v>
      </c>
    </row>
    <row r="199" spans="5:37" x14ac:dyDescent="0.25">
      <c r="E199">
        <v>196</v>
      </c>
      <c r="F199" t="s">
        <v>248</v>
      </c>
      <c r="G199" t="s">
        <v>17</v>
      </c>
      <c r="H199" t="s">
        <v>652</v>
      </c>
      <c r="I199" s="9">
        <v>82694</v>
      </c>
      <c r="J199" s="10">
        <v>17301</v>
      </c>
      <c r="K199" s="9">
        <v>612</v>
      </c>
      <c r="AD199" s="13"/>
      <c r="AE199" s="14">
        <v>187</v>
      </c>
      <c r="AF199" s="14" t="s">
        <v>239</v>
      </c>
      <c r="AG199" s="14" t="s">
        <v>16</v>
      </c>
      <c r="AH199" s="14" t="s">
        <v>655</v>
      </c>
      <c r="AI199" s="9">
        <v>149719</v>
      </c>
      <c r="AJ199" s="34">
        <v>54257</v>
      </c>
      <c r="AK199" s="9">
        <v>2261</v>
      </c>
    </row>
    <row r="200" spans="5:37" x14ac:dyDescent="0.25">
      <c r="E200">
        <v>197</v>
      </c>
      <c r="F200" t="s">
        <v>249</v>
      </c>
      <c r="G200" t="s">
        <v>17</v>
      </c>
      <c r="H200" t="s">
        <v>653</v>
      </c>
      <c r="I200" s="9">
        <v>33960</v>
      </c>
      <c r="J200" s="10">
        <v>11631</v>
      </c>
      <c r="K200" s="9">
        <v>839</v>
      </c>
      <c r="AD200" s="13"/>
      <c r="AE200" s="14">
        <v>188</v>
      </c>
      <c r="AF200" s="14" t="s">
        <v>240</v>
      </c>
      <c r="AG200" s="14" t="s">
        <v>16</v>
      </c>
      <c r="AH200" s="14" t="s">
        <v>656</v>
      </c>
      <c r="AI200" s="9">
        <v>115193</v>
      </c>
      <c r="AJ200" s="34">
        <v>33389</v>
      </c>
      <c r="AK200" s="9">
        <v>888</v>
      </c>
    </row>
    <row r="201" spans="5:37" x14ac:dyDescent="0.25">
      <c r="E201">
        <v>198</v>
      </c>
      <c r="F201" t="s">
        <v>250</v>
      </c>
      <c r="G201" t="s">
        <v>17</v>
      </c>
      <c r="H201" t="s">
        <v>654</v>
      </c>
      <c r="I201" s="9">
        <v>70801</v>
      </c>
      <c r="J201" s="10">
        <v>16529</v>
      </c>
      <c r="K201" s="9">
        <v>625</v>
      </c>
      <c r="AD201" s="13"/>
      <c r="AE201" s="14">
        <v>189</v>
      </c>
      <c r="AF201" s="14" t="s">
        <v>241</v>
      </c>
      <c r="AG201" s="14" t="s">
        <v>16</v>
      </c>
      <c r="AH201" s="14" t="s">
        <v>657</v>
      </c>
      <c r="AI201" s="9">
        <v>35864</v>
      </c>
      <c r="AJ201" s="34">
        <v>8000</v>
      </c>
      <c r="AK201" s="9">
        <v>584</v>
      </c>
    </row>
    <row r="202" spans="5:37" x14ac:dyDescent="0.25">
      <c r="E202">
        <v>199</v>
      </c>
      <c r="F202" t="s">
        <v>251</v>
      </c>
      <c r="G202" t="s">
        <v>17</v>
      </c>
      <c r="H202" t="s">
        <v>655</v>
      </c>
      <c r="I202" s="9">
        <v>87567</v>
      </c>
      <c r="J202" s="10">
        <v>19895</v>
      </c>
      <c r="K202" s="9">
        <v>445</v>
      </c>
      <c r="AD202" s="13"/>
      <c r="AE202" s="14">
        <v>190</v>
      </c>
      <c r="AF202" s="14" t="s">
        <v>242</v>
      </c>
      <c r="AG202" s="14" t="s">
        <v>16</v>
      </c>
      <c r="AH202" s="14" t="s">
        <v>658</v>
      </c>
      <c r="AI202" s="9">
        <v>66070</v>
      </c>
      <c r="AJ202" s="34">
        <v>14208</v>
      </c>
      <c r="AK202" s="9">
        <v>1067</v>
      </c>
    </row>
    <row r="203" spans="5:37" x14ac:dyDescent="0.25">
      <c r="E203">
        <v>200</v>
      </c>
      <c r="F203" t="s">
        <v>252</v>
      </c>
      <c r="G203" t="s">
        <v>17</v>
      </c>
      <c r="H203" t="s">
        <v>656</v>
      </c>
      <c r="I203" s="9">
        <v>126820</v>
      </c>
      <c r="J203" s="10">
        <v>34736</v>
      </c>
      <c r="K203" s="9">
        <v>2622</v>
      </c>
      <c r="AD203" s="13"/>
      <c r="AE203" s="14">
        <v>191</v>
      </c>
      <c r="AF203" s="14" t="s">
        <v>243</v>
      </c>
      <c r="AG203" s="14" t="s">
        <v>16</v>
      </c>
      <c r="AH203" s="14" t="s">
        <v>659</v>
      </c>
      <c r="AI203" s="9">
        <v>39814</v>
      </c>
      <c r="AJ203" s="34">
        <v>9253</v>
      </c>
      <c r="AK203" s="9">
        <v>539</v>
      </c>
    </row>
    <row r="204" spans="5:37" x14ac:dyDescent="0.25">
      <c r="E204">
        <v>201</v>
      </c>
      <c r="F204" t="s">
        <v>253</v>
      </c>
      <c r="G204" t="s">
        <v>17</v>
      </c>
      <c r="H204" t="s">
        <v>657</v>
      </c>
      <c r="I204" s="9">
        <v>76073</v>
      </c>
      <c r="J204" s="10">
        <v>22643</v>
      </c>
      <c r="K204" s="9">
        <v>1906</v>
      </c>
      <c r="AD204" s="13"/>
      <c r="AE204" s="14">
        <v>192</v>
      </c>
      <c r="AF204" s="14" t="s">
        <v>244</v>
      </c>
      <c r="AG204" s="14" t="s">
        <v>16</v>
      </c>
      <c r="AH204" s="14" t="s">
        <v>660</v>
      </c>
      <c r="AI204" s="9">
        <v>39466</v>
      </c>
      <c r="AJ204" s="34">
        <v>10604</v>
      </c>
      <c r="AK204" s="9">
        <v>287</v>
      </c>
    </row>
    <row r="205" spans="5:37" x14ac:dyDescent="0.25">
      <c r="E205">
        <v>202</v>
      </c>
      <c r="F205" t="s">
        <v>254</v>
      </c>
      <c r="G205" t="s">
        <v>17</v>
      </c>
      <c r="H205" t="s">
        <v>658</v>
      </c>
      <c r="I205" s="9">
        <v>63627</v>
      </c>
      <c r="J205" s="10">
        <v>22652</v>
      </c>
      <c r="K205" s="9">
        <v>539</v>
      </c>
      <c r="AD205" s="13"/>
      <c r="AE205" s="14">
        <v>193</v>
      </c>
      <c r="AF205" s="14" t="s">
        <v>245</v>
      </c>
      <c r="AG205" s="14" t="s">
        <v>17</v>
      </c>
      <c r="AH205" s="14" t="s">
        <v>649</v>
      </c>
      <c r="AI205" s="9">
        <v>14266</v>
      </c>
      <c r="AJ205" s="34">
        <v>3701</v>
      </c>
      <c r="AK205" s="9">
        <v>28</v>
      </c>
    </row>
    <row r="206" spans="5:37" x14ac:dyDescent="0.25">
      <c r="E206">
        <v>203</v>
      </c>
      <c r="F206" t="s">
        <v>255</v>
      </c>
      <c r="G206" t="s">
        <v>17</v>
      </c>
      <c r="H206" t="s">
        <v>659</v>
      </c>
      <c r="I206" s="9">
        <v>126993</v>
      </c>
      <c r="J206" s="10">
        <v>25855</v>
      </c>
      <c r="K206" s="9">
        <v>992</v>
      </c>
      <c r="AD206" s="13"/>
      <c r="AE206" s="14">
        <v>194</v>
      </c>
      <c r="AF206" s="14" t="s">
        <v>246</v>
      </c>
      <c r="AG206" s="14" t="s">
        <v>17</v>
      </c>
      <c r="AH206" s="14" t="s">
        <v>650</v>
      </c>
      <c r="AI206" s="9">
        <v>90539</v>
      </c>
      <c r="AJ206" s="34">
        <v>32224</v>
      </c>
      <c r="AK206" s="9">
        <v>1550</v>
      </c>
    </row>
    <row r="207" spans="5:37" x14ac:dyDescent="0.25">
      <c r="E207">
        <v>204</v>
      </c>
      <c r="F207" t="s">
        <v>256</v>
      </c>
      <c r="G207" t="s">
        <v>17</v>
      </c>
      <c r="H207" t="s">
        <v>660</v>
      </c>
      <c r="I207" s="9">
        <v>32659</v>
      </c>
      <c r="J207" s="10">
        <v>6547</v>
      </c>
      <c r="K207" s="9">
        <v>135</v>
      </c>
      <c r="AD207" s="13"/>
      <c r="AE207" s="14">
        <v>195</v>
      </c>
      <c r="AF207" s="14" t="s">
        <v>247</v>
      </c>
      <c r="AG207" s="14" t="s">
        <v>17</v>
      </c>
      <c r="AH207" s="14" t="s">
        <v>651</v>
      </c>
      <c r="AI207" s="9">
        <v>54366</v>
      </c>
      <c r="AJ207" s="34">
        <v>19704</v>
      </c>
      <c r="AK207" s="9">
        <v>1746</v>
      </c>
    </row>
    <row r="208" spans="5:37" x14ac:dyDescent="0.25">
      <c r="E208">
        <v>205</v>
      </c>
      <c r="F208" t="s">
        <v>257</v>
      </c>
      <c r="G208" t="s">
        <v>18</v>
      </c>
      <c r="H208" t="s">
        <v>649</v>
      </c>
      <c r="I208" s="9">
        <v>18805</v>
      </c>
      <c r="J208" s="10">
        <v>4870</v>
      </c>
      <c r="K208" s="9">
        <v>390</v>
      </c>
      <c r="AD208" s="13"/>
      <c r="AE208" s="14">
        <v>196</v>
      </c>
      <c r="AF208" s="14" t="s">
        <v>248</v>
      </c>
      <c r="AG208" s="14" t="s">
        <v>17</v>
      </c>
      <c r="AH208" s="14" t="s">
        <v>652</v>
      </c>
      <c r="AI208" s="9">
        <v>82694</v>
      </c>
      <c r="AJ208" s="34">
        <v>17301</v>
      </c>
      <c r="AK208" s="9">
        <v>612</v>
      </c>
    </row>
    <row r="209" spans="5:37" x14ac:dyDescent="0.25">
      <c r="E209">
        <v>206</v>
      </c>
      <c r="F209" t="s">
        <v>258</v>
      </c>
      <c r="G209" t="s">
        <v>18</v>
      </c>
      <c r="H209" t="s">
        <v>650</v>
      </c>
      <c r="I209" s="9">
        <v>127174</v>
      </c>
      <c r="J209" s="10">
        <v>50489</v>
      </c>
      <c r="K209" s="9">
        <v>2284</v>
      </c>
      <c r="AD209" s="13"/>
      <c r="AE209" s="14">
        <v>197</v>
      </c>
      <c r="AF209" s="14" t="s">
        <v>249</v>
      </c>
      <c r="AG209" s="14" t="s">
        <v>17</v>
      </c>
      <c r="AH209" s="14" t="s">
        <v>653</v>
      </c>
      <c r="AI209" s="9">
        <v>33960</v>
      </c>
      <c r="AJ209" s="34">
        <v>11631</v>
      </c>
      <c r="AK209" s="9">
        <v>839</v>
      </c>
    </row>
    <row r="210" spans="5:37" x14ac:dyDescent="0.25">
      <c r="E210">
        <v>207</v>
      </c>
      <c r="F210" t="s">
        <v>259</v>
      </c>
      <c r="G210" t="s">
        <v>18</v>
      </c>
      <c r="H210" t="s">
        <v>651</v>
      </c>
      <c r="I210" s="9">
        <v>15096</v>
      </c>
      <c r="J210" s="10">
        <v>3554</v>
      </c>
      <c r="K210" s="9">
        <v>192</v>
      </c>
      <c r="AD210" s="13"/>
      <c r="AE210" s="14">
        <v>198</v>
      </c>
      <c r="AF210" s="14" t="s">
        <v>250</v>
      </c>
      <c r="AG210" s="14" t="s">
        <v>17</v>
      </c>
      <c r="AH210" s="14" t="s">
        <v>654</v>
      </c>
      <c r="AI210" s="9">
        <v>70801</v>
      </c>
      <c r="AJ210" s="34">
        <v>16529</v>
      </c>
      <c r="AK210" s="9">
        <v>625</v>
      </c>
    </row>
    <row r="211" spans="5:37" x14ac:dyDescent="0.25">
      <c r="E211">
        <v>208</v>
      </c>
      <c r="F211" t="s">
        <v>260</v>
      </c>
      <c r="G211" t="s">
        <v>18</v>
      </c>
      <c r="H211" t="s">
        <v>652</v>
      </c>
      <c r="I211" s="9">
        <v>52040</v>
      </c>
      <c r="J211" s="10">
        <v>15818</v>
      </c>
      <c r="K211" s="9">
        <v>1325</v>
      </c>
      <c r="AD211" s="13"/>
      <c r="AE211" s="14">
        <v>199</v>
      </c>
      <c r="AF211" s="14" t="s">
        <v>251</v>
      </c>
      <c r="AG211" s="14" t="s">
        <v>17</v>
      </c>
      <c r="AH211" s="14" t="s">
        <v>655</v>
      </c>
      <c r="AI211" s="9">
        <v>87567</v>
      </c>
      <c r="AJ211" s="34">
        <v>19895</v>
      </c>
      <c r="AK211" s="9">
        <v>445</v>
      </c>
    </row>
    <row r="212" spans="5:37" x14ac:dyDescent="0.25">
      <c r="E212">
        <v>209</v>
      </c>
      <c r="F212" t="s">
        <v>261</v>
      </c>
      <c r="G212" t="s">
        <v>18</v>
      </c>
      <c r="H212" t="s">
        <v>653</v>
      </c>
      <c r="I212" s="9">
        <v>95405</v>
      </c>
      <c r="J212" s="10">
        <v>33943</v>
      </c>
      <c r="K212" s="9">
        <v>3114</v>
      </c>
      <c r="AD212" s="13"/>
      <c r="AE212" s="14">
        <v>200</v>
      </c>
      <c r="AF212" s="14" t="s">
        <v>252</v>
      </c>
      <c r="AG212" s="14" t="s">
        <v>17</v>
      </c>
      <c r="AH212" s="14" t="s">
        <v>656</v>
      </c>
      <c r="AI212" s="9">
        <v>126820</v>
      </c>
      <c r="AJ212" s="34">
        <v>34736</v>
      </c>
      <c r="AK212" s="9">
        <v>2622</v>
      </c>
    </row>
    <row r="213" spans="5:37" x14ac:dyDescent="0.25">
      <c r="E213">
        <v>210</v>
      </c>
      <c r="F213" t="s">
        <v>262</v>
      </c>
      <c r="G213" t="s">
        <v>18</v>
      </c>
      <c r="H213" t="s">
        <v>654</v>
      </c>
      <c r="I213" s="9">
        <v>100861</v>
      </c>
      <c r="J213" s="10">
        <v>40011</v>
      </c>
      <c r="K213" s="9">
        <v>951</v>
      </c>
      <c r="AD213" s="13"/>
      <c r="AE213" s="14">
        <v>201</v>
      </c>
      <c r="AF213" s="14" t="s">
        <v>253</v>
      </c>
      <c r="AG213" s="14" t="s">
        <v>17</v>
      </c>
      <c r="AH213" s="14" t="s">
        <v>657</v>
      </c>
      <c r="AI213" s="9">
        <v>76073</v>
      </c>
      <c r="AJ213" s="34">
        <v>22643</v>
      </c>
      <c r="AK213" s="9">
        <v>1906</v>
      </c>
    </row>
    <row r="214" spans="5:37" x14ac:dyDescent="0.25">
      <c r="E214">
        <v>211</v>
      </c>
      <c r="F214" t="s">
        <v>263</v>
      </c>
      <c r="G214" t="s">
        <v>18</v>
      </c>
      <c r="H214" t="s">
        <v>655</v>
      </c>
      <c r="I214" s="9">
        <v>24702</v>
      </c>
      <c r="J214" s="10">
        <v>7412</v>
      </c>
      <c r="K214" s="9">
        <v>587</v>
      </c>
      <c r="AD214" s="13"/>
      <c r="AE214" s="14">
        <v>202</v>
      </c>
      <c r="AF214" s="14" t="s">
        <v>254</v>
      </c>
      <c r="AG214" s="14" t="s">
        <v>17</v>
      </c>
      <c r="AH214" s="14" t="s">
        <v>658</v>
      </c>
      <c r="AI214" s="9">
        <v>63627</v>
      </c>
      <c r="AJ214" s="34">
        <v>22652</v>
      </c>
      <c r="AK214" s="9">
        <v>539</v>
      </c>
    </row>
    <row r="215" spans="5:37" x14ac:dyDescent="0.25">
      <c r="E215">
        <v>212</v>
      </c>
      <c r="F215" t="s">
        <v>264</v>
      </c>
      <c r="G215" t="s">
        <v>18</v>
      </c>
      <c r="H215" t="s">
        <v>656</v>
      </c>
      <c r="I215" s="9">
        <v>77916</v>
      </c>
      <c r="J215" s="10">
        <v>28660</v>
      </c>
      <c r="K215" s="9">
        <v>2483</v>
      </c>
      <c r="AD215" s="13"/>
      <c r="AE215" s="14">
        <v>203</v>
      </c>
      <c r="AF215" s="14" t="s">
        <v>255</v>
      </c>
      <c r="AG215" s="14" t="s">
        <v>17</v>
      </c>
      <c r="AH215" s="14" t="s">
        <v>659</v>
      </c>
      <c r="AI215" s="9">
        <v>126993</v>
      </c>
      <c r="AJ215" s="34">
        <v>25855</v>
      </c>
      <c r="AK215" s="9">
        <v>992</v>
      </c>
    </row>
    <row r="216" spans="5:37" x14ac:dyDescent="0.25">
      <c r="E216">
        <v>213</v>
      </c>
      <c r="F216" t="s">
        <v>265</v>
      </c>
      <c r="G216" t="s">
        <v>18</v>
      </c>
      <c r="H216" t="s">
        <v>657</v>
      </c>
      <c r="I216" s="9">
        <v>86165</v>
      </c>
      <c r="J216" s="10">
        <v>21916</v>
      </c>
      <c r="K216" s="9">
        <v>337</v>
      </c>
      <c r="AD216" s="13"/>
      <c r="AE216" s="14">
        <v>204</v>
      </c>
      <c r="AF216" s="14" t="s">
        <v>256</v>
      </c>
      <c r="AG216" s="14" t="s">
        <v>17</v>
      </c>
      <c r="AH216" s="14" t="s">
        <v>660</v>
      </c>
      <c r="AI216" s="9">
        <v>32659</v>
      </c>
      <c r="AJ216" s="34">
        <v>6547</v>
      </c>
      <c r="AK216" s="9">
        <v>135</v>
      </c>
    </row>
    <row r="217" spans="5:37" x14ac:dyDescent="0.25">
      <c r="E217">
        <v>214</v>
      </c>
      <c r="F217" t="s">
        <v>266</v>
      </c>
      <c r="G217" t="s">
        <v>18</v>
      </c>
      <c r="H217" t="s">
        <v>658</v>
      </c>
      <c r="I217" s="9">
        <v>95699</v>
      </c>
      <c r="J217" s="10">
        <v>29270</v>
      </c>
      <c r="K217" s="9">
        <v>205</v>
      </c>
      <c r="AD217" s="13"/>
      <c r="AE217" s="14">
        <v>205</v>
      </c>
      <c r="AF217" s="14" t="s">
        <v>257</v>
      </c>
      <c r="AG217" s="14" t="s">
        <v>18</v>
      </c>
      <c r="AH217" s="14" t="s">
        <v>649</v>
      </c>
      <c r="AI217" s="9">
        <v>18805</v>
      </c>
      <c r="AJ217" s="34">
        <v>4870</v>
      </c>
      <c r="AK217" s="9">
        <v>390</v>
      </c>
    </row>
    <row r="218" spans="5:37" x14ac:dyDescent="0.25">
      <c r="E218">
        <v>215</v>
      </c>
      <c r="F218" t="s">
        <v>267</v>
      </c>
      <c r="G218" t="s">
        <v>18</v>
      </c>
      <c r="H218" t="s">
        <v>659</v>
      </c>
      <c r="I218" s="9">
        <v>18029</v>
      </c>
      <c r="J218" s="10">
        <v>5298</v>
      </c>
      <c r="K218" s="9">
        <v>313</v>
      </c>
      <c r="AD218" s="13"/>
      <c r="AE218" s="14">
        <v>206</v>
      </c>
      <c r="AF218" s="14" t="s">
        <v>258</v>
      </c>
      <c r="AG218" s="14" t="s">
        <v>18</v>
      </c>
      <c r="AH218" s="14" t="s">
        <v>650</v>
      </c>
      <c r="AI218" s="9">
        <v>127174</v>
      </c>
      <c r="AJ218" s="34">
        <v>50489</v>
      </c>
      <c r="AK218" s="9">
        <v>2284</v>
      </c>
    </row>
    <row r="219" spans="5:37" x14ac:dyDescent="0.25">
      <c r="E219">
        <v>216</v>
      </c>
      <c r="F219" t="s">
        <v>268</v>
      </c>
      <c r="G219" t="s">
        <v>18</v>
      </c>
      <c r="H219" t="s">
        <v>660</v>
      </c>
      <c r="I219" s="9">
        <v>21124</v>
      </c>
      <c r="J219" s="10">
        <v>4467</v>
      </c>
      <c r="K219" s="9">
        <v>256</v>
      </c>
      <c r="AD219" s="13"/>
      <c r="AE219" s="14">
        <v>207</v>
      </c>
      <c r="AF219" s="14" t="s">
        <v>259</v>
      </c>
      <c r="AG219" s="14" t="s">
        <v>18</v>
      </c>
      <c r="AH219" s="14" t="s">
        <v>651</v>
      </c>
      <c r="AI219" s="9">
        <v>15096</v>
      </c>
      <c r="AJ219" s="34">
        <v>3554</v>
      </c>
      <c r="AK219" s="9">
        <v>192</v>
      </c>
    </row>
    <row r="220" spans="5:37" x14ac:dyDescent="0.25">
      <c r="E220">
        <v>217</v>
      </c>
      <c r="F220" t="s">
        <v>269</v>
      </c>
      <c r="G220" t="s">
        <v>19</v>
      </c>
      <c r="H220" t="s">
        <v>649</v>
      </c>
      <c r="I220" s="9">
        <v>148884</v>
      </c>
      <c r="J220" s="10">
        <v>57026</v>
      </c>
      <c r="K220" s="9">
        <v>4051</v>
      </c>
      <c r="AD220" s="13"/>
      <c r="AE220" s="14">
        <v>208</v>
      </c>
      <c r="AF220" s="14" t="s">
        <v>260</v>
      </c>
      <c r="AG220" s="14" t="s">
        <v>18</v>
      </c>
      <c r="AH220" s="14" t="s">
        <v>652</v>
      </c>
      <c r="AI220" s="9">
        <v>52040</v>
      </c>
      <c r="AJ220" s="34">
        <v>15818</v>
      </c>
      <c r="AK220" s="9">
        <v>1325</v>
      </c>
    </row>
    <row r="221" spans="5:37" x14ac:dyDescent="0.25">
      <c r="E221">
        <v>218</v>
      </c>
      <c r="F221" t="s">
        <v>270</v>
      </c>
      <c r="G221" t="s">
        <v>19</v>
      </c>
      <c r="H221" t="s">
        <v>650</v>
      </c>
      <c r="I221" s="9">
        <v>77897</v>
      </c>
      <c r="J221" s="10">
        <v>17359</v>
      </c>
      <c r="K221" s="9">
        <v>1162</v>
      </c>
      <c r="AD221" s="13"/>
      <c r="AE221" s="14">
        <v>209</v>
      </c>
      <c r="AF221" s="14" t="s">
        <v>261</v>
      </c>
      <c r="AG221" s="14" t="s">
        <v>18</v>
      </c>
      <c r="AH221" s="14" t="s">
        <v>653</v>
      </c>
      <c r="AI221" s="9">
        <v>95405</v>
      </c>
      <c r="AJ221" s="34">
        <v>33943</v>
      </c>
      <c r="AK221" s="9">
        <v>3114</v>
      </c>
    </row>
    <row r="222" spans="5:37" x14ac:dyDescent="0.25">
      <c r="E222">
        <v>219</v>
      </c>
      <c r="F222" t="s">
        <v>271</v>
      </c>
      <c r="G222" t="s">
        <v>19</v>
      </c>
      <c r="H222" t="s">
        <v>651</v>
      </c>
      <c r="I222" s="9">
        <v>23315</v>
      </c>
      <c r="J222" s="10">
        <v>4683</v>
      </c>
      <c r="K222" s="9">
        <v>195</v>
      </c>
      <c r="AD222" s="13"/>
      <c r="AE222" s="14">
        <v>210</v>
      </c>
      <c r="AF222" s="14" t="s">
        <v>262</v>
      </c>
      <c r="AG222" s="14" t="s">
        <v>18</v>
      </c>
      <c r="AH222" s="14" t="s">
        <v>654</v>
      </c>
      <c r="AI222" s="9">
        <v>100861</v>
      </c>
      <c r="AJ222" s="34">
        <v>40011</v>
      </c>
      <c r="AK222" s="9">
        <v>951</v>
      </c>
    </row>
    <row r="223" spans="5:37" x14ac:dyDescent="0.25">
      <c r="E223">
        <v>220</v>
      </c>
      <c r="F223" t="s">
        <v>272</v>
      </c>
      <c r="G223" t="s">
        <v>19</v>
      </c>
      <c r="H223" t="s">
        <v>652</v>
      </c>
      <c r="I223" s="9">
        <v>55722</v>
      </c>
      <c r="J223" s="10">
        <v>19096</v>
      </c>
      <c r="K223" s="9">
        <v>47</v>
      </c>
      <c r="AD223" s="13"/>
      <c r="AE223" s="14">
        <v>211</v>
      </c>
      <c r="AF223" s="14" t="s">
        <v>263</v>
      </c>
      <c r="AG223" s="14" t="s">
        <v>18</v>
      </c>
      <c r="AH223" s="14" t="s">
        <v>655</v>
      </c>
      <c r="AI223" s="9">
        <v>24702</v>
      </c>
      <c r="AJ223" s="34">
        <v>7412</v>
      </c>
      <c r="AK223" s="9">
        <v>587</v>
      </c>
    </row>
    <row r="224" spans="5:37" x14ac:dyDescent="0.25">
      <c r="E224">
        <v>221</v>
      </c>
      <c r="F224" t="s">
        <v>273</v>
      </c>
      <c r="G224" t="s">
        <v>19</v>
      </c>
      <c r="H224" t="s">
        <v>653</v>
      </c>
      <c r="I224" s="9">
        <v>40736</v>
      </c>
      <c r="J224" s="10">
        <v>14977</v>
      </c>
      <c r="K224" s="9">
        <v>895</v>
      </c>
      <c r="AD224" s="13"/>
      <c r="AE224" s="14">
        <v>212</v>
      </c>
      <c r="AF224" s="14" t="s">
        <v>264</v>
      </c>
      <c r="AG224" s="14" t="s">
        <v>18</v>
      </c>
      <c r="AH224" s="14" t="s">
        <v>656</v>
      </c>
      <c r="AI224" s="9">
        <v>77916</v>
      </c>
      <c r="AJ224" s="34">
        <v>28660</v>
      </c>
      <c r="AK224" s="9">
        <v>2483</v>
      </c>
    </row>
    <row r="225" spans="5:37" x14ac:dyDescent="0.25">
      <c r="E225">
        <v>222</v>
      </c>
      <c r="F225" t="s">
        <v>274</v>
      </c>
      <c r="G225" t="s">
        <v>19</v>
      </c>
      <c r="H225" t="s">
        <v>654</v>
      </c>
      <c r="I225" s="9">
        <v>29945</v>
      </c>
      <c r="J225" s="10">
        <v>11521</v>
      </c>
      <c r="K225" s="9">
        <v>560</v>
      </c>
      <c r="AD225" s="13"/>
      <c r="AE225" s="14">
        <v>213</v>
      </c>
      <c r="AF225" s="14" t="s">
        <v>265</v>
      </c>
      <c r="AG225" s="14" t="s">
        <v>18</v>
      </c>
      <c r="AH225" s="14" t="s">
        <v>657</v>
      </c>
      <c r="AI225" s="9">
        <v>86165</v>
      </c>
      <c r="AJ225" s="34">
        <v>21916</v>
      </c>
      <c r="AK225" s="9">
        <v>337</v>
      </c>
    </row>
    <row r="226" spans="5:37" x14ac:dyDescent="0.25">
      <c r="E226">
        <v>223</v>
      </c>
      <c r="F226" t="s">
        <v>275</v>
      </c>
      <c r="G226" t="s">
        <v>19</v>
      </c>
      <c r="H226" t="s">
        <v>655</v>
      </c>
      <c r="I226" s="9">
        <v>27487</v>
      </c>
      <c r="J226" s="10">
        <v>10364</v>
      </c>
      <c r="K226" s="9">
        <v>92</v>
      </c>
      <c r="AD226" s="13"/>
      <c r="AE226" s="14">
        <v>214</v>
      </c>
      <c r="AF226" s="14" t="s">
        <v>266</v>
      </c>
      <c r="AG226" s="14" t="s">
        <v>18</v>
      </c>
      <c r="AH226" s="14" t="s">
        <v>658</v>
      </c>
      <c r="AI226" s="9">
        <v>95699</v>
      </c>
      <c r="AJ226" s="34">
        <v>29270</v>
      </c>
      <c r="AK226" s="9">
        <v>205</v>
      </c>
    </row>
    <row r="227" spans="5:37" x14ac:dyDescent="0.25">
      <c r="E227">
        <v>224</v>
      </c>
      <c r="F227" t="s">
        <v>276</v>
      </c>
      <c r="G227" t="s">
        <v>19</v>
      </c>
      <c r="H227" t="s">
        <v>656</v>
      </c>
      <c r="I227" s="9">
        <v>58688</v>
      </c>
      <c r="J227" s="10">
        <v>22735</v>
      </c>
      <c r="K227" s="9">
        <v>1289</v>
      </c>
      <c r="AD227" s="13"/>
      <c r="AE227" s="14">
        <v>215</v>
      </c>
      <c r="AF227" s="14" t="s">
        <v>267</v>
      </c>
      <c r="AG227" s="14" t="s">
        <v>18</v>
      </c>
      <c r="AH227" s="14" t="s">
        <v>659</v>
      </c>
      <c r="AI227" s="9">
        <v>18029</v>
      </c>
      <c r="AJ227" s="34">
        <v>5298</v>
      </c>
      <c r="AK227" s="9">
        <v>313</v>
      </c>
    </row>
    <row r="228" spans="5:37" x14ac:dyDescent="0.25">
      <c r="E228">
        <v>225</v>
      </c>
      <c r="F228" t="s">
        <v>277</v>
      </c>
      <c r="G228" t="s">
        <v>19</v>
      </c>
      <c r="H228" t="s">
        <v>657</v>
      </c>
      <c r="I228" s="9">
        <v>21291</v>
      </c>
      <c r="J228" s="10">
        <v>6834</v>
      </c>
      <c r="K228" s="9">
        <v>437</v>
      </c>
      <c r="AD228" s="13"/>
      <c r="AE228" s="14">
        <v>216</v>
      </c>
      <c r="AF228" s="14" t="s">
        <v>268</v>
      </c>
      <c r="AG228" s="14" t="s">
        <v>18</v>
      </c>
      <c r="AH228" s="14" t="s">
        <v>660</v>
      </c>
      <c r="AI228" s="9">
        <v>21124</v>
      </c>
      <c r="AJ228" s="34">
        <v>4467</v>
      </c>
      <c r="AK228" s="9">
        <v>256</v>
      </c>
    </row>
    <row r="229" spans="5:37" x14ac:dyDescent="0.25">
      <c r="E229">
        <v>226</v>
      </c>
      <c r="F229" t="s">
        <v>278</v>
      </c>
      <c r="G229" t="s">
        <v>19</v>
      </c>
      <c r="H229" t="s">
        <v>658</v>
      </c>
      <c r="I229" s="9">
        <v>42068</v>
      </c>
      <c r="J229" s="10">
        <v>14773</v>
      </c>
      <c r="K229" s="9">
        <v>176</v>
      </c>
      <c r="AD229" s="13"/>
      <c r="AE229" s="14">
        <v>217</v>
      </c>
      <c r="AF229" s="14" t="s">
        <v>269</v>
      </c>
      <c r="AG229" s="14" t="s">
        <v>19</v>
      </c>
      <c r="AH229" s="14" t="s">
        <v>649</v>
      </c>
      <c r="AI229" s="9">
        <v>148884</v>
      </c>
      <c r="AJ229" s="34">
        <v>57026</v>
      </c>
      <c r="AK229" s="9">
        <v>4051</v>
      </c>
    </row>
    <row r="230" spans="5:37" x14ac:dyDescent="0.25">
      <c r="E230">
        <v>227</v>
      </c>
      <c r="F230" t="s">
        <v>279</v>
      </c>
      <c r="G230" t="s">
        <v>19</v>
      </c>
      <c r="H230" t="s">
        <v>659</v>
      </c>
      <c r="I230" s="9">
        <v>77907</v>
      </c>
      <c r="J230" s="10">
        <v>17722</v>
      </c>
      <c r="K230" s="9">
        <v>648</v>
      </c>
      <c r="AD230" s="13"/>
      <c r="AE230" s="14">
        <v>218</v>
      </c>
      <c r="AF230" s="14" t="s">
        <v>270</v>
      </c>
      <c r="AG230" s="14" t="s">
        <v>19</v>
      </c>
      <c r="AH230" s="14" t="s">
        <v>650</v>
      </c>
      <c r="AI230" s="9">
        <v>77897</v>
      </c>
      <c r="AJ230" s="34">
        <v>17359</v>
      </c>
      <c r="AK230" s="9">
        <v>1162</v>
      </c>
    </row>
    <row r="231" spans="5:37" x14ac:dyDescent="0.25">
      <c r="E231">
        <v>228</v>
      </c>
      <c r="F231" t="s">
        <v>280</v>
      </c>
      <c r="G231" t="s">
        <v>19</v>
      </c>
      <c r="H231" t="s">
        <v>660</v>
      </c>
      <c r="I231" s="9">
        <v>129278</v>
      </c>
      <c r="J231" s="10">
        <v>48115</v>
      </c>
      <c r="K231" s="9">
        <v>1152</v>
      </c>
      <c r="AD231" s="13"/>
      <c r="AE231" s="14">
        <v>219</v>
      </c>
      <c r="AF231" s="14" t="s">
        <v>271</v>
      </c>
      <c r="AG231" s="14" t="s">
        <v>19</v>
      </c>
      <c r="AH231" s="14" t="s">
        <v>651</v>
      </c>
      <c r="AI231" s="9">
        <v>23315</v>
      </c>
      <c r="AJ231" s="34">
        <v>4683</v>
      </c>
      <c r="AK231" s="9">
        <v>195</v>
      </c>
    </row>
    <row r="232" spans="5:37" x14ac:dyDescent="0.25">
      <c r="E232">
        <v>229</v>
      </c>
      <c r="F232" t="s">
        <v>281</v>
      </c>
      <c r="G232" t="s">
        <v>20</v>
      </c>
      <c r="H232" t="s">
        <v>649</v>
      </c>
      <c r="I232" s="9">
        <v>73502</v>
      </c>
      <c r="J232" s="10">
        <v>19794</v>
      </c>
      <c r="K232" s="9">
        <v>186</v>
      </c>
      <c r="AD232" s="13"/>
      <c r="AE232" s="14">
        <v>220</v>
      </c>
      <c r="AF232" s="14" t="s">
        <v>272</v>
      </c>
      <c r="AG232" s="14" t="s">
        <v>19</v>
      </c>
      <c r="AH232" s="14" t="s">
        <v>652</v>
      </c>
      <c r="AI232" s="9">
        <v>55722</v>
      </c>
      <c r="AJ232" s="34">
        <v>19096</v>
      </c>
      <c r="AK232" s="9">
        <v>47</v>
      </c>
    </row>
    <row r="233" spans="5:37" x14ac:dyDescent="0.25">
      <c r="E233">
        <v>230</v>
      </c>
      <c r="F233" t="s">
        <v>282</v>
      </c>
      <c r="G233" t="s">
        <v>20</v>
      </c>
      <c r="H233" t="s">
        <v>650</v>
      </c>
      <c r="I233" s="9">
        <v>26036</v>
      </c>
      <c r="J233" s="10">
        <v>7840</v>
      </c>
      <c r="K233" s="9">
        <v>217</v>
      </c>
      <c r="AD233" s="13"/>
      <c r="AE233" s="14">
        <v>221</v>
      </c>
      <c r="AF233" s="14" t="s">
        <v>273</v>
      </c>
      <c r="AG233" s="14" t="s">
        <v>19</v>
      </c>
      <c r="AH233" s="14" t="s">
        <v>653</v>
      </c>
      <c r="AI233" s="9">
        <v>40736</v>
      </c>
      <c r="AJ233" s="34">
        <v>14977</v>
      </c>
      <c r="AK233" s="9">
        <v>895</v>
      </c>
    </row>
    <row r="234" spans="5:37" x14ac:dyDescent="0.25">
      <c r="E234">
        <v>231</v>
      </c>
      <c r="F234" t="s">
        <v>283</v>
      </c>
      <c r="G234" t="s">
        <v>20</v>
      </c>
      <c r="H234" t="s">
        <v>651</v>
      </c>
      <c r="I234" s="9">
        <v>91232</v>
      </c>
      <c r="J234" s="10">
        <v>29822</v>
      </c>
      <c r="K234" s="9">
        <v>1850</v>
      </c>
      <c r="AD234" s="13"/>
      <c r="AE234" s="14">
        <v>222</v>
      </c>
      <c r="AF234" s="14" t="s">
        <v>274</v>
      </c>
      <c r="AG234" s="14" t="s">
        <v>19</v>
      </c>
      <c r="AH234" s="14" t="s">
        <v>654</v>
      </c>
      <c r="AI234" s="9">
        <v>29945</v>
      </c>
      <c r="AJ234" s="34">
        <v>11521</v>
      </c>
      <c r="AK234" s="9">
        <v>560</v>
      </c>
    </row>
    <row r="235" spans="5:37" x14ac:dyDescent="0.25">
      <c r="E235">
        <v>232</v>
      </c>
      <c r="F235" t="s">
        <v>284</v>
      </c>
      <c r="G235" t="s">
        <v>20</v>
      </c>
      <c r="H235" t="s">
        <v>652</v>
      </c>
      <c r="I235" s="9">
        <v>11040</v>
      </c>
      <c r="J235" s="10">
        <v>4109</v>
      </c>
      <c r="K235" s="9">
        <v>34</v>
      </c>
      <c r="AD235" s="13"/>
      <c r="AE235" s="14">
        <v>223</v>
      </c>
      <c r="AF235" s="14" t="s">
        <v>275</v>
      </c>
      <c r="AG235" s="14" t="s">
        <v>19</v>
      </c>
      <c r="AH235" s="14" t="s">
        <v>655</v>
      </c>
      <c r="AI235" s="9">
        <v>27487</v>
      </c>
      <c r="AJ235" s="34">
        <v>10364</v>
      </c>
      <c r="AK235" s="9">
        <v>92</v>
      </c>
    </row>
    <row r="236" spans="5:37" x14ac:dyDescent="0.25">
      <c r="E236">
        <v>233</v>
      </c>
      <c r="F236" t="s">
        <v>285</v>
      </c>
      <c r="G236" t="s">
        <v>20</v>
      </c>
      <c r="H236" t="s">
        <v>653</v>
      </c>
      <c r="I236" s="9">
        <v>96704</v>
      </c>
      <c r="J236" s="10">
        <v>34680</v>
      </c>
      <c r="K236" s="9">
        <v>2112</v>
      </c>
      <c r="AD236" s="13"/>
      <c r="AE236" s="14">
        <v>224</v>
      </c>
      <c r="AF236" s="14" t="s">
        <v>276</v>
      </c>
      <c r="AG236" s="14" t="s">
        <v>19</v>
      </c>
      <c r="AH236" s="14" t="s">
        <v>656</v>
      </c>
      <c r="AI236" s="9">
        <v>58688</v>
      </c>
      <c r="AJ236" s="34">
        <v>22735</v>
      </c>
      <c r="AK236" s="9">
        <v>1289</v>
      </c>
    </row>
    <row r="237" spans="5:37" x14ac:dyDescent="0.25">
      <c r="E237">
        <v>234</v>
      </c>
      <c r="F237" t="s">
        <v>286</v>
      </c>
      <c r="G237" t="s">
        <v>20</v>
      </c>
      <c r="H237" t="s">
        <v>654</v>
      </c>
      <c r="I237" s="9">
        <v>80106</v>
      </c>
      <c r="J237" s="10">
        <v>28693</v>
      </c>
      <c r="K237" s="9">
        <v>1125</v>
      </c>
      <c r="AD237" s="13"/>
      <c r="AE237" s="14">
        <v>225</v>
      </c>
      <c r="AF237" s="14" t="s">
        <v>277</v>
      </c>
      <c r="AG237" s="14" t="s">
        <v>19</v>
      </c>
      <c r="AH237" s="14" t="s">
        <v>657</v>
      </c>
      <c r="AI237" s="9">
        <v>21291</v>
      </c>
      <c r="AJ237" s="34">
        <v>6834</v>
      </c>
      <c r="AK237" s="9">
        <v>437</v>
      </c>
    </row>
    <row r="238" spans="5:37" x14ac:dyDescent="0.25">
      <c r="E238">
        <v>235</v>
      </c>
      <c r="F238" t="s">
        <v>287</v>
      </c>
      <c r="G238" t="s">
        <v>20</v>
      </c>
      <c r="H238" t="s">
        <v>655</v>
      </c>
      <c r="I238" s="9">
        <v>56459</v>
      </c>
      <c r="J238" s="10">
        <v>17545</v>
      </c>
      <c r="K238" s="9">
        <v>51</v>
      </c>
      <c r="AD238" s="13"/>
      <c r="AE238" s="14">
        <v>226</v>
      </c>
      <c r="AF238" s="14" t="s">
        <v>278</v>
      </c>
      <c r="AG238" s="14" t="s">
        <v>19</v>
      </c>
      <c r="AH238" s="14" t="s">
        <v>658</v>
      </c>
      <c r="AI238" s="9">
        <v>42068</v>
      </c>
      <c r="AJ238" s="34">
        <v>14773</v>
      </c>
      <c r="AK238" s="9">
        <v>176</v>
      </c>
    </row>
    <row r="239" spans="5:37" x14ac:dyDescent="0.25">
      <c r="E239">
        <v>236</v>
      </c>
      <c r="F239" t="s">
        <v>288</v>
      </c>
      <c r="G239" t="s">
        <v>20</v>
      </c>
      <c r="H239" t="s">
        <v>656</v>
      </c>
      <c r="I239" s="9">
        <v>35267</v>
      </c>
      <c r="J239" s="10">
        <v>13290</v>
      </c>
      <c r="K239" s="9">
        <v>827</v>
      </c>
      <c r="AD239" s="13"/>
      <c r="AE239" s="14">
        <v>227</v>
      </c>
      <c r="AF239" s="14" t="s">
        <v>279</v>
      </c>
      <c r="AG239" s="14" t="s">
        <v>19</v>
      </c>
      <c r="AH239" s="14" t="s">
        <v>659</v>
      </c>
      <c r="AI239" s="9">
        <v>77907</v>
      </c>
      <c r="AJ239" s="34">
        <v>17722</v>
      </c>
      <c r="AK239" s="9">
        <v>648</v>
      </c>
    </row>
    <row r="240" spans="5:37" x14ac:dyDescent="0.25">
      <c r="E240">
        <v>237</v>
      </c>
      <c r="F240" t="s">
        <v>289</v>
      </c>
      <c r="G240" t="s">
        <v>20</v>
      </c>
      <c r="H240" t="s">
        <v>657</v>
      </c>
      <c r="I240" s="9">
        <v>66211</v>
      </c>
      <c r="J240" s="10">
        <v>16976</v>
      </c>
      <c r="K240" s="9">
        <v>525</v>
      </c>
      <c r="AD240" s="13"/>
      <c r="AE240" s="14">
        <v>228</v>
      </c>
      <c r="AF240" s="14" t="s">
        <v>280</v>
      </c>
      <c r="AG240" s="14" t="s">
        <v>19</v>
      </c>
      <c r="AH240" s="14" t="s">
        <v>660</v>
      </c>
      <c r="AI240" s="9">
        <v>129278</v>
      </c>
      <c r="AJ240" s="34">
        <v>48115</v>
      </c>
      <c r="AK240" s="9">
        <v>1152</v>
      </c>
    </row>
    <row r="241" spans="5:37" x14ac:dyDescent="0.25">
      <c r="E241">
        <v>238</v>
      </c>
      <c r="F241" t="s">
        <v>290</v>
      </c>
      <c r="G241" t="s">
        <v>20</v>
      </c>
      <c r="H241" t="s">
        <v>658</v>
      </c>
      <c r="I241" s="9">
        <v>23208</v>
      </c>
      <c r="J241" s="10">
        <v>8422</v>
      </c>
      <c r="K241" s="9">
        <v>209</v>
      </c>
      <c r="AD241" s="13"/>
      <c r="AE241" s="14">
        <v>229</v>
      </c>
      <c r="AF241" s="14" t="s">
        <v>281</v>
      </c>
      <c r="AG241" s="14" t="s">
        <v>20</v>
      </c>
      <c r="AH241" s="14" t="s">
        <v>649</v>
      </c>
      <c r="AI241" s="9">
        <v>73502</v>
      </c>
      <c r="AJ241" s="34">
        <v>19794</v>
      </c>
      <c r="AK241" s="9">
        <v>186</v>
      </c>
    </row>
    <row r="242" spans="5:37" x14ac:dyDescent="0.25">
      <c r="E242">
        <v>239</v>
      </c>
      <c r="F242" t="s">
        <v>291</v>
      </c>
      <c r="G242" t="s">
        <v>20</v>
      </c>
      <c r="H242" t="s">
        <v>659</v>
      </c>
      <c r="I242" s="9">
        <v>78784</v>
      </c>
      <c r="J242" s="10">
        <v>16749</v>
      </c>
      <c r="K242" s="9">
        <v>268</v>
      </c>
      <c r="AD242" s="13"/>
      <c r="AE242" s="14">
        <v>230</v>
      </c>
      <c r="AF242" s="14" t="s">
        <v>282</v>
      </c>
      <c r="AG242" s="14" t="s">
        <v>20</v>
      </c>
      <c r="AH242" s="14" t="s">
        <v>650</v>
      </c>
      <c r="AI242" s="9">
        <v>26036</v>
      </c>
      <c r="AJ242" s="34">
        <v>7840</v>
      </c>
      <c r="AK242" s="9">
        <v>217</v>
      </c>
    </row>
    <row r="243" spans="5:37" x14ac:dyDescent="0.25">
      <c r="E243">
        <v>240</v>
      </c>
      <c r="F243" t="s">
        <v>292</v>
      </c>
      <c r="G243" t="s">
        <v>20</v>
      </c>
      <c r="H243" t="s">
        <v>660</v>
      </c>
      <c r="I243" s="9">
        <v>100373</v>
      </c>
      <c r="J243" s="10">
        <v>21897</v>
      </c>
      <c r="K243" s="9">
        <v>488</v>
      </c>
      <c r="AD243" s="13"/>
      <c r="AE243" s="14">
        <v>231</v>
      </c>
      <c r="AF243" s="14" t="s">
        <v>283</v>
      </c>
      <c r="AG243" s="14" t="s">
        <v>20</v>
      </c>
      <c r="AH243" s="14" t="s">
        <v>651</v>
      </c>
      <c r="AI243" s="9">
        <v>91232</v>
      </c>
      <c r="AJ243" s="34">
        <v>29822</v>
      </c>
      <c r="AK243" s="9">
        <v>1850</v>
      </c>
    </row>
    <row r="244" spans="5:37" x14ac:dyDescent="0.25">
      <c r="E244">
        <v>241</v>
      </c>
      <c r="F244" t="s">
        <v>293</v>
      </c>
      <c r="G244" t="s">
        <v>21</v>
      </c>
      <c r="H244" t="s">
        <v>649</v>
      </c>
      <c r="I244" s="9">
        <v>26166</v>
      </c>
      <c r="J244" s="10">
        <v>7643</v>
      </c>
      <c r="K244" s="9">
        <v>229</v>
      </c>
      <c r="AD244" s="13"/>
      <c r="AE244" s="14">
        <v>232</v>
      </c>
      <c r="AF244" s="14" t="s">
        <v>284</v>
      </c>
      <c r="AG244" s="14" t="s">
        <v>20</v>
      </c>
      <c r="AH244" s="14" t="s">
        <v>652</v>
      </c>
      <c r="AI244" s="9">
        <v>11040</v>
      </c>
      <c r="AJ244" s="34">
        <v>4109</v>
      </c>
      <c r="AK244" s="9">
        <v>34</v>
      </c>
    </row>
    <row r="245" spans="5:37" x14ac:dyDescent="0.25">
      <c r="E245">
        <v>242</v>
      </c>
      <c r="F245" t="s">
        <v>294</v>
      </c>
      <c r="G245" t="s">
        <v>21</v>
      </c>
      <c r="H245" t="s">
        <v>650</v>
      </c>
      <c r="I245" s="9">
        <v>118173</v>
      </c>
      <c r="J245" s="10">
        <v>42616</v>
      </c>
      <c r="K245" s="9">
        <v>3895</v>
      </c>
      <c r="AD245" s="13"/>
      <c r="AE245" s="14">
        <v>233</v>
      </c>
      <c r="AF245" s="14" t="s">
        <v>285</v>
      </c>
      <c r="AG245" s="14" t="s">
        <v>20</v>
      </c>
      <c r="AH245" s="14" t="s">
        <v>653</v>
      </c>
      <c r="AI245" s="9">
        <v>96704</v>
      </c>
      <c r="AJ245" s="34">
        <v>34680</v>
      </c>
      <c r="AK245" s="9">
        <v>2112</v>
      </c>
    </row>
    <row r="246" spans="5:37" x14ac:dyDescent="0.25">
      <c r="E246">
        <v>243</v>
      </c>
      <c r="F246" t="s">
        <v>295</v>
      </c>
      <c r="G246" t="s">
        <v>21</v>
      </c>
      <c r="H246" t="s">
        <v>651</v>
      </c>
      <c r="I246" s="9">
        <v>53947</v>
      </c>
      <c r="J246" s="10">
        <v>11108</v>
      </c>
      <c r="K246" s="9">
        <v>691</v>
      </c>
      <c r="AD246" s="13"/>
      <c r="AE246" s="14">
        <v>234</v>
      </c>
      <c r="AF246" s="14" t="s">
        <v>286</v>
      </c>
      <c r="AG246" s="14" t="s">
        <v>20</v>
      </c>
      <c r="AH246" s="14" t="s">
        <v>654</v>
      </c>
      <c r="AI246" s="9">
        <v>80106</v>
      </c>
      <c r="AJ246" s="34">
        <v>28693</v>
      </c>
      <c r="AK246" s="9">
        <v>1125</v>
      </c>
    </row>
    <row r="247" spans="5:37" x14ac:dyDescent="0.25">
      <c r="E247">
        <v>244</v>
      </c>
      <c r="F247" t="s">
        <v>296</v>
      </c>
      <c r="G247" t="s">
        <v>21</v>
      </c>
      <c r="H247" t="s">
        <v>652</v>
      </c>
      <c r="I247" s="9">
        <v>41235</v>
      </c>
      <c r="J247" s="10">
        <v>12994</v>
      </c>
      <c r="K247" s="9">
        <v>291</v>
      </c>
      <c r="AD247" s="13"/>
      <c r="AE247" s="14">
        <v>235</v>
      </c>
      <c r="AF247" s="14" t="s">
        <v>287</v>
      </c>
      <c r="AG247" s="14" t="s">
        <v>20</v>
      </c>
      <c r="AH247" s="14" t="s">
        <v>655</v>
      </c>
      <c r="AI247" s="9">
        <v>56459</v>
      </c>
      <c r="AJ247" s="34">
        <v>17545</v>
      </c>
      <c r="AK247" s="9">
        <v>51</v>
      </c>
    </row>
    <row r="248" spans="5:37" x14ac:dyDescent="0.25">
      <c r="E248">
        <v>245</v>
      </c>
      <c r="F248" t="s">
        <v>297</v>
      </c>
      <c r="G248" t="s">
        <v>21</v>
      </c>
      <c r="H248" t="s">
        <v>653</v>
      </c>
      <c r="I248" s="9">
        <v>136742</v>
      </c>
      <c r="J248" s="10">
        <v>37275</v>
      </c>
      <c r="K248" s="9">
        <v>2749</v>
      </c>
      <c r="AD248" s="13"/>
      <c r="AE248" s="14">
        <v>236</v>
      </c>
      <c r="AF248" s="14" t="s">
        <v>288</v>
      </c>
      <c r="AG248" s="14" t="s">
        <v>20</v>
      </c>
      <c r="AH248" s="14" t="s">
        <v>656</v>
      </c>
      <c r="AI248" s="9">
        <v>35267</v>
      </c>
      <c r="AJ248" s="34">
        <v>13290</v>
      </c>
      <c r="AK248" s="9">
        <v>827</v>
      </c>
    </row>
    <row r="249" spans="5:37" x14ac:dyDescent="0.25">
      <c r="E249">
        <v>246</v>
      </c>
      <c r="F249" t="s">
        <v>298</v>
      </c>
      <c r="G249" t="s">
        <v>21</v>
      </c>
      <c r="H249" t="s">
        <v>654</v>
      </c>
      <c r="I249" s="9">
        <v>122807</v>
      </c>
      <c r="J249" s="10">
        <v>31045</v>
      </c>
      <c r="K249" s="9">
        <v>1321</v>
      </c>
      <c r="AD249" s="13"/>
      <c r="AE249" s="14">
        <v>237</v>
      </c>
      <c r="AF249" s="14" t="s">
        <v>289</v>
      </c>
      <c r="AG249" s="14" t="s">
        <v>20</v>
      </c>
      <c r="AH249" s="14" t="s">
        <v>657</v>
      </c>
      <c r="AI249" s="9">
        <v>66211</v>
      </c>
      <c r="AJ249" s="34">
        <v>16976</v>
      </c>
      <c r="AK249" s="9">
        <v>525</v>
      </c>
    </row>
    <row r="250" spans="5:37" x14ac:dyDescent="0.25">
      <c r="E250">
        <v>247</v>
      </c>
      <c r="F250" t="s">
        <v>299</v>
      </c>
      <c r="G250" t="s">
        <v>21</v>
      </c>
      <c r="H250" t="s">
        <v>655</v>
      </c>
      <c r="I250" s="9">
        <v>12687</v>
      </c>
      <c r="J250" s="10">
        <v>4060</v>
      </c>
      <c r="K250" s="9">
        <v>246</v>
      </c>
      <c r="AD250" s="13"/>
      <c r="AE250" s="14">
        <v>238</v>
      </c>
      <c r="AF250" s="14" t="s">
        <v>290</v>
      </c>
      <c r="AG250" s="14" t="s">
        <v>20</v>
      </c>
      <c r="AH250" s="14" t="s">
        <v>658</v>
      </c>
      <c r="AI250" s="9">
        <v>23208</v>
      </c>
      <c r="AJ250" s="34">
        <v>8422</v>
      </c>
      <c r="AK250" s="9">
        <v>209</v>
      </c>
    </row>
    <row r="251" spans="5:37" x14ac:dyDescent="0.25">
      <c r="E251">
        <v>248</v>
      </c>
      <c r="F251" t="s">
        <v>300</v>
      </c>
      <c r="G251" t="s">
        <v>21</v>
      </c>
      <c r="H251" t="s">
        <v>656</v>
      </c>
      <c r="I251" s="9">
        <v>15046</v>
      </c>
      <c r="J251" s="10">
        <v>5449</v>
      </c>
      <c r="K251" s="9">
        <v>229</v>
      </c>
      <c r="AD251" s="13"/>
      <c r="AE251" s="14">
        <v>239</v>
      </c>
      <c r="AF251" s="14" t="s">
        <v>291</v>
      </c>
      <c r="AG251" s="14" t="s">
        <v>20</v>
      </c>
      <c r="AH251" s="14" t="s">
        <v>659</v>
      </c>
      <c r="AI251" s="9">
        <v>78784</v>
      </c>
      <c r="AJ251" s="34">
        <v>16749</v>
      </c>
      <c r="AK251" s="9">
        <v>268</v>
      </c>
    </row>
    <row r="252" spans="5:37" x14ac:dyDescent="0.25">
      <c r="E252">
        <v>249</v>
      </c>
      <c r="F252" t="s">
        <v>301</v>
      </c>
      <c r="G252" t="s">
        <v>21</v>
      </c>
      <c r="H252" t="s">
        <v>657</v>
      </c>
      <c r="I252" s="9">
        <v>99138</v>
      </c>
      <c r="J252" s="10">
        <v>32671</v>
      </c>
      <c r="K252" s="9">
        <v>2591</v>
      </c>
      <c r="AD252" s="13"/>
      <c r="AE252" s="14">
        <v>240</v>
      </c>
      <c r="AF252" s="14" t="s">
        <v>292</v>
      </c>
      <c r="AG252" s="14" t="s">
        <v>20</v>
      </c>
      <c r="AH252" s="14" t="s">
        <v>660</v>
      </c>
      <c r="AI252" s="9">
        <v>100373</v>
      </c>
      <c r="AJ252" s="34">
        <v>21897</v>
      </c>
      <c r="AK252" s="9">
        <v>488</v>
      </c>
    </row>
    <row r="253" spans="5:37" x14ac:dyDescent="0.25">
      <c r="E253">
        <v>250</v>
      </c>
      <c r="F253" t="s">
        <v>302</v>
      </c>
      <c r="G253" t="s">
        <v>21</v>
      </c>
      <c r="H253" t="s">
        <v>658</v>
      </c>
      <c r="I253" s="9">
        <v>98203</v>
      </c>
      <c r="J253" s="10">
        <v>33675</v>
      </c>
      <c r="K253" s="9">
        <v>2361</v>
      </c>
      <c r="AD253" s="13"/>
      <c r="AE253" s="14">
        <v>241</v>
      </c>
      <c r="AF253" s="14" t="s">
        <v>293</v>
      </c>
      <c r="AG253" s="14" t="s">
        <v>21</v>
      </c>
      <c r="AH253" s="14" t="s">
        <v>649</v>
      </c>
      <c r="AI253" s="9">
        <v>26166</v>
      </c>
      <c r="AJ253" s="34">
        <v>7643</v>
      </c>
      <c r="AK253" s="9">
        <v>229</v>
      </c>
    </row>
    <row r="254" spans="5:37" x14ac:dyDescent="0.25">
      <c r="E254">
        <v>251</v>
      </c>
      <c r="F254" t="s">
        <v>303</v>
      </c>
      <c r="G254" t="s">
        <v>21</v>
      </c>
      <c r="H254" t="s">
        <v>659</v>
      </c>
      <c r="I254" s="9">
        <v>86547</v>
      </c>
      <c r="J254" s="10">
        <v>28474</v>
      </c>
      <c r="K254" s="9">
        <v>1843</v>
      </c>
      <c r="AD254" s="13"/>
      <c r="AE254" s="14">
        <v>242</v>
      </c>
      <c r="AF254" s="14" t="s">
        <v>294</v>
      </c>
      <c r="AG254" s="14" t="s">
        <v>21</v>
      </c>
      <c r="AH254" s="14" t="s">
        <v>650</v>
      </c>
      <c r="AI254" s="9">
        <v>118173</v>
      </c>
      <c r="AJ254" s="34">
        <v>42616</v>
      </c>
      <c r="AK254" s="9">
        <v>3895</v>
      </c>
    </row>
    <row r="255" spans="5:37" x14ac:dyDescent="0.25">
      <c r="E255">
        <v>252</v>
      </c>
      <c r="F255" t="s">
        <v>304</v>
      </c>
      <c r="G255" t="s">
        <v>21</v>
      </c>
      <c r="H255" t="s">
        <v>660</v>
      </c>
      <c r="I255" s="9">
        <v>135894</v>
      </c>
      <c r="J255" s="10">
        <v>33780</v>
      </c>
      <c r="K255" s="9">
        <v>2008</v>
      </c>
      <c r="AD255" s="13"/>
      <c r="AE255" s="14">
        <v>243</v>
      </c>
      <c r="AF255" s="14" t="s">
        <v>295</v>
      </c>
      <c r="AG255" s="14" t="s">
        <v>21</v>
      </c>
      <c r="AH255" s="14" t="s">
        <v>651</v>
      </c>
      <c r="AI255" s="9">
        <v>53947</v>
      </c>
      <c r="AJ255" s="34">
        <v>11108</v>
      </c>
      <c r="AK255" s="9">
        <v>691</v>
      </c>
    </row>
    <row r="256" spans="5:37" x14ac:dyDescent="0.25">
      <c r="E256">
        <v>253</v>
      </c>
      <c r="F256" t="s">
        <v>305</v>
      </c>
      <c r="G256" t="s">
        <v>22</v>
      </c>
      <c r="H256" t="s">
        <v>649</v>
      </c>
      <c r="I256" s="9">
        <v>99675</v>
      </c>
      <c r="J256" s="10">
        <v>29642</v>
      </c>
      <c r="K256" s="9">
        <v>124</v>
      </c>
      <c r="AD256" s="13"/>
      <c r="AE256" s="14">
        <v>244</v>
      </c>
      <c r="AF256" s="14" t="s">
        <v>296</v>
      </c>
      <c r="AG256" s="14" t="s">
        <v>21</v>
      </c>
      <c r="AH256" s="14" t="s">
        <v>652</v>
      </c>
      <c r="AI256" s="9">
        <v>41235</v>
      </c>
      <c r="AJ256" s="34">
        <v>12994</v>
      </c>
      <c r="AK256" s="9">
        <v>291</v>
      </c>
    </row>
    <row r="257" spans="5:37" x14ac:dyDescent="0.25">
      <c r="E257">
        <v>254</v>
      </c>
      <c r="F257" t="s">
        <v>306</v>
      </c>
      <c r="G257" t="s">
        <v>22</v>
      </c>
      <c r="H257" t="s">
        <v>650</v>
      </c>
      <c r="I257" s="9">
        <v>83694</v>
      </c>
      <c r="J257" s="10">
        <v>21543</v>
      </c>
      <c r="K257" s="9">
        <v>133</v>
      </c>
      <c r="AD257" s="13"/>
      <c r="AE257" s="14">
        <v>245</v>
      </c>
      <c r="AF257" s="14" t="s">
        <v>297</v>
      </c>
      <c r="AG257" s="14" t="s">
        <v>21</v>
      </c>
      <c r="AH257" s="14" t="s">
        <v>653</v>
      </c>
      <c r="AI257" s="9">
        <v>136742</v>
      </c>
      <c r="AJ257" s="34">
        <v>37275</v>
      </c>
      <c r="AK257" s="9">
        <v>2749</v>
      </c>
    </row>
    <row r="258" spans="5:37" x14ac:dyDescent="0.25">
      <c r="E258">
        <v>255</v>
      </c>
      <c r="F258" t="s">
        <v>307</v>
      </c>
      <c r="G258" t="s">
        <v>22</v>
      </c>
      <c r="H258" t="s">
        <v>651</v>
      </c>
      <c r="I258" s="9">
        <v>65520</v>
      </c>
      <c r="J258" s="10">
        <v>23883</v>
      </c>
      <c r="K258" s="9">
        <v>1249</v>
      </c>
      <c r="AD258" s="13"/>
      <c r="AE258" s="14">
        <v>246</v>
      </c>
      <c r="AF258" s="14" t="s">
        <v>298</v>
      </c>
      <c r="AG258" s="14" t="s">
        <v>21</v>
      </c>
      <c r="AH258" s="14" t="s">
        <v>654</v>
      </c>
      <c r="AI258" s="9">
        <v>122807</v>
      </c>
      <c r="AJ258" s="34">
        <v>31045</v>
      </c>
      <c r="AK258" s="9">
        <v>1321</v>
      </c>
    </row>
    <row r="259" spans="5:37" x14ac:dyDescent="0.25">
      <c r="E259">
        <v>256</v>
      </c>
      <c r="F259" t="s">
        <v>308</v>
      </c>
      <c r="G259" t="s">
        <v>22</v>
      </c>
      <c r="H259" t="s">
        <v>652</v>
      </c>
      <c r="I259" s="9">
        <v>132632</v>
      </c>
      <c r="J259" s="10">
        <v>38951</v>
      </c>
      <c r="K259" s="9">
        <v>821</v>
      </c>
      <c r="AD259" s="13"/>
      <c r="AE259" s="14">
        <v>247</v>
      </c>
      <c r="AF259" s="14" t="s">
        <v>299</v>
      </c>
      <c r="AG259" s="14" t="s">
        <v>21</v>
      </c>
      <c r="AH259" s="14" t="s">
        <v>655</v>
      </c>
      <c r="AI259" s="9">
        <v>12687</v>
      </c>
      <c r="AJ259" s="34">
        <v>4060</v>
      </c>
      <c r="AK259" s="9">
        <v>246</v>
      </c>
    </row>
    <row r="260" spans="5:37" x14ac:dyDescent="0.25">
      <c r="E260">
        <v>257</v>
      </c>
      <c r="F260" t="s">
        <v>309</v>
      </c>
      <c r="G260" t="s">
        <v>22</v>
      </c>
      <c r="H260" t="s">
        <v>653</v>
      </c>
      <c r="I260" s="9">
        <v>65031</v>
      </c>
      <c r="J260" s="10">
        <v>17570</v>
      </c>
      <c r="K260" s="9">
        <v>1317</v>
      </c>
      <c r="AD260" s="13"/>
      <c r="AE260" s="14">
        <v>248</v>
      </c>
      <c r="AF260" s="14" t="s">
        <v>300</v>
      </c>
      <c r="AG260" s="14" t="s">
        <v>21</v>
      </c>
      <c r="AH260" s="14" t="s">
        <v>656</v>
      </c>
      <c r="AI260" s="9">
        <v>15046</v>
      </c>
      <c r="AJ260" s="34">
        <v>5449</v>
      </c>
      <c r="AK260" s="9">
        <v>229</v>
      </c>
    </row>
    <row r="261" spans="5:37" x14ac:dyDescent="0.25">
      <c r="E261">
        <v>258</v>
      </c>
      <c r="F261" t="s">
        <v>310</v>
      </c>
      <c r="G261" t="s">
        <v>22</v>
      </c>
      <c r="H261" t="s">
        <v>654</v>
      </c>
      <c r="I261" s="9">
        <v>85627</v>
      </c>
      <c r="J261" s="10">
        <v>26284</v>
      </c>
      <c r="K261" s="9">
        <v>1572</v>
      </c>
      <c r="AD261" s="13"/>
      <c r="AE261" s="14">
        <v>249</v>
      </c>
      <c r="AF261" s="14" t="s">
        <v>301</v>
      </c>
      <c r="AG261" s="14" t="s">
        <v>21</v>
      </c>
      <c r="AH261" s="14" t="s">
        <v>657</v>
      </c>
      <c r="AI261" s="9">
        <v>99138</v>
      </c>
      <c r="AJ261" s="34">
        <v>32671</v>
      </c>
      <c r="AK261" s="9">
        <v>2591</v>
      </c>
    </row>
    <row r="262" spans="5:37" x14ac:dyDescent="0.25">
      <c r="E262">
        <v>259</v>
      </c>
      <c r="F262">
        <v>131346464827</v>
      </c>
      <c r="G262" t="s">
        <v>22</v>
      </c>
      <c r="H262" t="s">
        <v>655</v>
      </c>
      <c r="I262" s="9">
        <v>40446</v>
      </c>
      <c r="J262" s="10">
        <v>8475</v>
      </c>
      <c r="K262" s="9">
        <v>589</v>
      </c>
      <c r="AD262" s="13"/>
      <c r="AE262" s="14">
        <v>250</v>
      </c>
      <c r="AF262" s="14" t="s">
        <v>302</v>
      </c>
      <c r="AG262" s="14" t="s">
        <v>21</v>
      </c>
      <c r="AH262" s="14" t="s">
        <v>658</v>
      </c>
      <c r="AI262" s="9">
        <v>98203</v>
      </c>
      <c r="AJ262" s="34">
        <v>33675</v>
      </c>
      <c r="AK262" s="9">
        <v>2361</v>
      </c>
    </row>
    <row r="263" spans="5:37" x14ac:dyDescent="0.25">
      <c r="E263">
        <v>260</v>
      </c>
      <c r="F263" t="s">
        <v>311</v>
      </c>
      <c r="G263" t="s">
        <v>22</v>
      </c>
      <c r="H263" t="s">
        <v>656</v>
      </c>
      <c r="I263" s="9">
        <v>128202</v>
      </c>
      <c r="J263" s="10">
        <v>47695</v>
      </c>
      <c r="K263" s="9">
        <v>1917</v>
      </c>
      <c r="AD263" s="13"/>
      <c r="AE263" s="14">
        <v>251</v>
      </c>
      <c r="AF263" s="14" t="s">
        <v>303</v>
      </c>
      <c r="AG263" s="14" t="s">
        <v>21</v>
      </c>
      <c r="AH263" s="14" t="s">
        <v>659</v>
      </c>
      <c r="AI263" s="9">
        <v>86547</v>
      </c>
      <c r="AJ263" s="34">
        <v>28474</v>
      </c>
      <c r="AK263" s="9">
        <v>1843</v>
      </c>
    </row>
    <row r="264" spans="5:37" x14ac:dyDescent="0.25">
      <c r="E264">
        <v>261</v>
      </c>
      <c r="F264" t="s">
        <v>312</v>
      </c>
      <c r="G264" t="s">
        <v>22</v>
      </c>
      <c r="H264" t="s">
        <v>657</v>
      </c>
      <c r="I264" s="9">
        <v>103803</v>
      </c>
      <c r="J264" s="10">
        <v>32999</v>
      </c>
      <c r="K264" s="9">
        <v>1742</v>
      </c>
      <c r="AD264" s="13"/>
      <c r="AE264" s="14">
        <v>252</v>
      </c>
      <c r="AF264" s="14" t="s">
        <v>304</v>
      </c>
      <c r="AG264" s="14" t="s">
        <v>21</v>
      </c>
      <c r="AH264" s="14" t="s">
        <v>660</v>
      </c>
      <c r="AI264" s="9">
        <v>135894</v>
      </c>
      <c r="AJ264" s="34">
        <v>33780</v>
      </c>
      <c r="AK264" s="9">
        <v>2008</v>
      </c>
    </row>
    <row r="265" spans="5:37" x14ac:dyDescent="0.25">
      <c r="E265">
        <v>262</v>
      </c>
      <c r="F265" t="s">
        <v>313</v>
      </c>
      <c r="G265" t="s">
        <v>22</v>
      </c>
      <c r="H265" t="s">
        <v>658</v>
      </c>
      <c r="I265" s="9">
        <v>137073</v>
      </c>
      <c r="J265" s="10">
        <v>49982</v>
      </c>
      <c r="K265" s="9">
        <v>647</v>
      </c>
      <c r="AD265" s="13"/>
      <c r="AE265" s="14">
        <v>253</v>
      </c>
      <c r="AF265" s="14" t="s">
        <v>305</v>
      </c>
      <c r="AG265" s="14" t="s">
        <v>22</v>
      </c>
      <c r="AH265" s="14" t="s">
        <v>649</v>
      </c>
      <c r="AI265" s="9">
        <v>99675</v>
      </c>
      <c r="AJ265" s="34">
        <v>29642</v>
      </c>
      <c r="AK265" s="9">
        <v>124</v>
      </c>
    </row>
    <row r="266" spans="5:37" x14ac:dyDescent="0.25">
      <c r="E266">
        <v>263</v>
      </c>
      <c r="F266" t="s">
        <v>314</v>
      </c>
      <c r="G266" t="s">
        <v>22</v>
      </c>
      <c r="H266" t="s">
        <v>659</v>
      </c>
      <c r="I266" s="9">
        <v>85712</v>
      </c>
      <c r="J266" s="10">
        <v>21229</v>
      </c>
      <c r="K266" s="9">
        <v>1382</v>
      </c>
      <c r="AD266" s="13"/>
      <c r="AE266" s="14">
        <v>254</v>
      </c>
      <c r="AF266" s="14" t="s">
        <v>306</v>
      </c>
      <c r="AG266" s="14" t="s">
        <v>22</v>
      </c>
      <c r="AH266" s="14" t="s">
        <v>650</v>
      </c>
      <c r="AI266" s="9">
        <v>83694</v>
      </c>
      <c r="AJ266" s="34">
        <v>21543</v>
      </c>
      <c r="AK266" s="9">
        <v>133</v>
      </c>
    </row>
    <row r="267" spans="5:37" x14ac:dyDescent="0.25">
      <c r="E267">
        <v>264</v>
      </c>
      <c r="F267" t="s">
        <v>315</v>
      </c>
      <c r="G267" t="s">
        <v>22</v>
      </c>
      <c r="H267" t="s">
        <v>660</v>
      </c>
      <c r="I267" s="9">
        <v>55117</v>
      </c>
      <c r="J267" s="10">
        <v>20733</v>
      </c>
      <c r="K267" s="9">
        <v>1216</v>
      </c>
      <c r="AD267" s="13"/>
      <c r="AE267" s="14">
        <v>255</v>
      </c>
      <c r="AF267" s="14" t="s">
        <v>307</v>
      </c>
      <c r="AG267" s="14" t="s">
        <v>22</v>
      </c>
      <c r="AH267" s="14" t="s">
        <v>651</v>
      </c>
      <c r="AI267" s="9">
        <v>65520</v>
      </c>
      <c r="AJ267" s="34">
        <v>23883</v>
      </c>
      <c r="AK267" s="9">
        <v>1249</v>
      </c>
    </row>
    <row r="268" spans="5:37" x14ac:dyDescent="0.25">
      <c r="E268">
        <v>265</v>
      </c>
      <c r="F268" t="s">
        <v>316</v>
      </c>
      <c r="G268" t="s">
        <v>23</v>
      </c>
      <c r="H268" t="s">
        <v>649</v>
      </c>
      <c r="I268" s="9">
        <v>84981</v>
      </c>
      <c r="J268" s="10">
        <v>30858</v>
      </c>
      <c r="K268" s="9">
        <v>76</v>
      </c>
      <c r="AD268" s="13"/>
      <c r="AE268" s="14">
        <v>256</v>
      </c>
      <c r="AF268" s="14" t="s">
        <v>308</v>
      </c>
      <c r="AG268" s="14" t="s">
        <v>22</v>
      </c>
      <c r="AH268" s="14" t="s">
        <v>652</v>
      </c>
      <c r="AI268" s="9">
        <v>132632</v>
      </c>
      <c r="AJ268" s="34">
        <v>38951</v>
      </c>
      <c r="AK268" s="9">
        <v>821</v>
      </c>
    </row>
    <row r="269" spans="5:37" x14ac:dyDescent="0.25">
      <c r="E269">
        <v>266</v>
      </c>
      <c r="F269" t="s">
        <v>317</v>
      </c>
      <c r="G269" t="s">
        <v>23</v>
      </c>
      <c r="H269" t="s">
        <v>650</v>
      </c>
      <c r="I269" s="9">
        <v>42256</v>
      </c>
      <c r="J269" s="10">
        <v>14032</v>
      </c>
      <c r="K269" s="9">
        <v>1049</v>
      </c>
      <c r="AD269" s="13"/>
      <c r="AE269" s="14">
        <v>257</v>
      </c>
      <c r="AF269" s="14" t="s">
        <v>309</v>
      </c>
      <c r="AG269" s="14" t="s">
        <v>22</v>
      </c>
      <c r="AH269" s="14" t="s">
        <v>653</v>
      </c>
      <c r="AI269" s="9">
        <v>65031</v>
      </c>
      <c r="AJ269" s="34">
        <v>17570</v>
      </c>
      <c r="AK269" s="9">
        <v>1317</v>
      </c>
    </row>
    <row r="270" spans="5:37" x14ac:dyDescent="0.25">
      <c r="E270">
        <v>267</v>
      </c>
      <c r="F270" t="s">
        <v>318</v>
      </c>
      <c r="G270" t="s">
        <v>23</v>
      </c>
      <c r="H270" t="s">
        <v>651</v>
      </c>
      <c r="I270" s="9">
        <v>114328</v>
      </c>
      <c r="J270" s="10">
        <v>30204</v>
      </c>
      <c r="K270" s="9">
        <v>2154</v>
      </c>
      <c r="AD270" s="13"/>
      <c r="AE270" s="14">
        <v>258</v>
      </c>
      <c r="AF270" s="14" t="s">
        <v>310</v>
      </c>
      <c r="AG270" s="14" t="s">
        <v>22</v>
      </c>
      <c r="AH270" s="14" t="s">
        <v>654</v>
      </c>
      <c r="AI270" s="9">
        <v>85627</v>
      </c>
      <c r="AJ270" s="34">
        <v>26284</v>
      </c>
      <c r="AK270" s="9">
        <v>1572</v>
      </c>
    </row>
    <row r="271" spans="5:37" x14ac:dyDescent="0.25">
      <c r="E271">
        <v>268</v>
      </c>
      <c r="F271" t="s">
        <v>319</v>
      </c>
      <c r="G271" t="s">
        <v>23</v>
      </c>
      <c r="H271" t="s">
        <v>652</v>
      </c>
      <c r="I271" s="9">
        <v>93546</v>
      </c>
      <c r="J271" s="10">
        <v>28451</v>
      </c>
      <c r="K271" s="9">
        <v>462</v>
      </c>
      <c r="AD271" s="13"/>
      <c r="AE271" s="14">
        <v>259</v>
      </c>
      <c r="AF271" s="14">
        <v>131346464827</v>
      </c>
      <c r="AG271" s="14" t="s">
        <v>22</v>
      </c>
      <c r="AH271" s="14" t="s">
        <v>655</v>
      </c>
      <c r="AI271" s="9">
        <v>40446</v>
      </c>
      <c r="AJ271" s="34">
        <v>8475</v>
      </c>
      <c r="AK271" s="9">
        <v>589</v>
      </c>
    </row>
    <row r="272" spans="5:37" x14ac:dyDescent="0.25">
      <c r="E272">
        <v>269</v>
      </c>
      <c r="F272" t="s">
        <v>320</v>
      </c>
      <c r="G272" t="s">
        <v>23</v>
      </c>
      <c r="H272" t="s">
        <v>653</v>
      </c>
      <c r="I272" s="9">
        <v>123554</v>
      </c>
      <c r="J272" s="10">
        <v>26047</v>
      </c>
      <c r="K272" s="9">
        <v>1004</v>
      </c>
      <c r="AD272" s="13"/>
      <c r="AE272" s="14">
        <v>260</v>
      </c>
      <c r="AF272" s="14" t="s">
        <v>311</v>
      </c>
      <c r="AG272" s="14" t="s">
        <v>22</v>
      </c>
      <c r="AH272" s="14" t="s">
        <v>656</v>
      </c>
      <c r="AI272" s="9">
        <v>128202</v>
      </c>
      <c r="AJ272" s="34">
        <v>47695</v>
      </c>
      <c r="AK272" s="9">
        <v>1917</v>
      </c>
    </row>
    <row r="273" spans="5:37" x14ac:dyDescent="0.25">
      <c r="E273">
        <v>270</v>
      </c>
      <c r="F273" t="s">
        <v>321</v>
      </c>
      <c r="G273" t="s">
        <v>23</v>
      </c>
      <c r="H273" t="s">
        <v>654</v>
      </c>
      <c r="I273" s="9">
        <v>36450</v>
      </c>
      <c r="J273" s="10">
        <v>12339</v>
      </c>
      <c r="K273" s="9">
        <v>806</v>
      </c>
      <c r="AD273" s="13"/>
      <c r="AE273" s="14">
        <v>261</v>
      </c>
      <c r="AF273" s="14" t="s">
        <v>312</v>
      </c>
      <c r="AG273" s="14" t="s">
        <v>22</v>
      </c>
      <c r="AH273" s="14" t="s">
        <v>657</v>
      </c>
      <c r="AI273" s="9">
        <v>103803</v>
      </c>
      <c r="AJ273" s="34">
        <v>32999</v>
      </c>
      <c r="AK273" s="9">
        <v>1742</v>
      </c>
    </row>
    <row r="274" spans="5:37" x14ac:dyDescent="0.25">
      <c r="E274">
        <v>271</v>
      </c>
      <c r="F274" t="s">
        <v>322</v>
      </c>
      <c r="G274" t="s">
        <v>23</v>
      </c>
      <c r="H274" t="s">
        <v>655</v>
      </c>
      <c r="I274" s="9">
        <v>131757</v>
      </c>
      <c r="J274" s="10">
        <v>31760</v>
      </c>
      <c r="K274" s="9">
        <v>1955</v>
      </c>
      <c r="AD274" s="13"/>
      <c r="AE274" s="14">
        <v>262</v>
      </c>
      <c r="AF274" s="14" t="s">
        <v>313</v>
      </c>
      <c r="AG274" s="14" t="s">
        <v>22</v>
      </c>
      <c r="AH274" s="14" t="s">
        <v>658</v>
      </c>
      <c r="AI274" s="9">
        <v>137073</v>
      </c>
      <c r="AJ274" s="34">
        <v>49982</v>
      </c>
      <c r="AK274" s="9">
        <v>647</v>
      </c>
    </row>
    <row r="275" spans="5:37" x14ac:dyDescent="0.25">
      <c r="E275">
        <v>272</v>
      </c>
      <c r="F275" t="s">
        <v>323</v>
      </c>
      <c r="G275" t="s">
        <v>23</v>
      </c>
      <c r="H275" t="s">
        <v>656</v>
      </c>
      <c r="I275" s="9">
        <v>120588</v>
      </c>
      <c r="J275" s="10">
        <v>45491</v>
      </c>
      <c r="K275" s="9">
        <v>3315</v>
      </c>
      <c r="AD275" s="13"/>
      <c r="AE275" s="14">
        <v>263</v>
      </c>
      <c r="AF275" s="14" t="s">
        <v>314</v>
      </c>
      <c r="AG275" s="14" t="s">
        <v>22</v>
      </c>
      <c r="AH275" s="14" t="s">
        <v>659</v>
      </c>
      <c r="AI275" s="9">
        <v>85712</v>
      </c>
      <c r="AJ275" s="34">
        <v>21229</v>
      </c>
      <c r="AK275" s="9">
        <v>1382</v>
      </c>
    </row>
    <row r="276" spans="5:37" x14ac:dyDescent="0.25">
      <c r="E276">
        <v>273</v>
      </c>
      <c r="F276" t="s">
        <v>324</v>
      </c>
      <c r="G276" t="s">
        <v>23</v>
      </c>
      <c r="H276" t="s">
        <v>657</v>
      </c>
      <c r="I276" s="9">
        <v>75594</v>
      </c>
      <c r="J276" s="10">
        <v>26419</v>
      </c>
      <c r="K276" s="9">
        <v>1244</v>
      </c>
      <c r="AD276" s="13"/>
      <c r="AE276" s="14">
        <v>264</v>
      </c>
      <c r="AF276" s="14" t="s">
        <v>315</v>
      </c>
      <c r="AG276" s="14" t="s">
        <v>22</v>
      </c>
      <c r="AH276" s="14" t="s">
        <v>660</v>
      </c>
      <c r="AI276" s="9">
        <v>55117</v>
      </c>
      <c r="AJ276" s="34">
        <v>20733</v>
      </c>
      <c r="AK276" s="9">
        <v>1216</v>
      </c>
    </row>
    <row r="277" spans="5:37" x14ac:dyDescent="0.25">
      <c r="E277">
        <v>274</v>
      </c>
      <c r="F277" t="s">
        <v>325</v>
      </c>
      <c r="G277" t="s">
        <v>23</v>
      </c>
      <c r="H277" t="s">
        <v>658</v>
      </c>
      <c r="I277" s="9">
        <v>53691</v>
      </c>
      <c r="J277" s="10">
        <v>17445</v>
      </c>
      <c r="K277" s="9">
        <v>455</v>
      </c>
      <c r="AD277" s="13"/>
      <c r="AE277" s="14">
        <v>265</v>
      </c>
      <c r="AF277" s="14" t="s">
        <v>316</v>
      </c>
      <c r="AG277" s="14" t="s">
        <v>23</v>
      </c>
      <c r="AH277" s="14" t="s">
        <v>649</v>
      </c>
      <c r="AI277" s="9">
        <v>84981</v>
      </c>
      <c r="AJ277" s="34">
        <v>30858</v>
      </c>
      <c r="AK277" s="9">
        <v>76</v>
      </c>
    </row>
    <row r="278" spans="5:37" x14ac:dyDescent="0.25">
      <c r="E278">
        <v>275</v>
      </c>
      <c r="F278" t="s">
        <v>326</v>
      </c>
      <c r="G278" t="s">
        <v>23</v>
      </c>
      <c r="H278" t="s">
        <v>659</v>
      </c>
      <c r="I278" s="9">
        <v>15697</v>
      </c>
      <c r="J278" s="10">
        <v>5771</v>
      </c>
      <c r="K278" s="9">
        <v>334</v>
      </c>
      <c r="AD278" s="13"/>
      <c r="AE278" s="14">
        <v>266</v>
      </c>
      <c r="AF278" s="14" t="s">
        <v>317</v>
      </c>
      <c r="AG278" s="14" t="s">
        <v>23</v>
      </c>
      <c r="AH278" s="14" t="s">
        <v>650</v>
      </c>
      <c r="AI278" s="9">
        <v>42256</v>
      </c>
      <c r="AJ278" s="34">
        <v>14032</v>
      </c>
      <c r="AK278" s="9">
        <v>1049</v>
      </c>
    </row>
    <row r="279" spans="5:37" x14ac:dyDescent="0.25">
      <c r="E279">
        <v>276</v>
      </c>
      <c r="F279" t="s">
        <v>327</v>
      </c>
      <c r="G279" t="s">
        <v>23</v>
      </c>
      <c r="H279" t="s">
        <v>660</v>
      </c>
      <c r="I279" s="9">
        <v>100486</v>
      </c>
      <c r="J279" s="10">
        <v>20216</v>
      </c>
      <c r="K279" s="9">
        <v>817</v>
      </c>
      <c r="AD279" s="13"/>
      <c r="AE279" s="14">
        <v>267</v>
      </c>
      <c r="AF279" s="14" t="s">
        <v>318</v>
      </c>
      <c r="AG279" s="14" t="s">
        <v>23</v>
      </c>
      <c r="AH279" s="14" t="s">
        <v>651</v>
      </c>
      <c r="AI279" s="9">
        <v>114328</v>
      </c>
      <c r="AJ279" s="34">
        <v>30204</v>
      </c>
      <c r="AK279" s="9">
        <v>2154</v>
      </c>
    </row>
    <row r="280" spans="5:37" x14ac:dyDescent="0.25">
      <c r="E280">
        <v>277</v>
      </c>
      <c r="F280" t="s">
        <v>328</v>
      </c>
      <c r="G280" t="s">
        <v>24</v>
      </c>
      <c r="H280" t="s">
        <v>649</v>
      </c>
      <c r="I280" s="9">
        <v>67992</v>
      </c>
      <c r="J280" s="10">
        <v>26375</v>
      </c>
      <c r="K280" s="9">
        <v>1722</v>
      </c>
      <c r="AD280" s="13"/>
      <c r="AE280" s="14">
        <v>268</v>
      </c>
      <c r="AF280" s="14" t="s">
        <v>319</v>
      </c>
      <c r="AG280" s="14" t="s">
        <v>23</v>
      </c>
      <c r="AH280" s="14" t="s">
        <v>652</v>
      </c>
      <c r="AI280" s="9">
        <v>93546</v>
      </c>
      <c r="AJ280" s="34">
        <v>28451</v>
      </c>
      <c r="AK280" s="9">
        <v>462</v>
      </c>
    </row>
    <row r="281" spans="5:37" x14ac:dyDescent="0.25">
      <c r="E281">
        <v>278</v>
      </c>
      <c r="F281" t="s">
        <v>329</v>
      </c>
      <c r="G281" t="s">
        <v>24</v>
      </c>
      <c r="H281" t="s">
        <v>650</v>
      </c>
      <c r="I281" s="9">
        <v>121420</v>
      </c>
      <c r="J281" s="10">
        <v>32403</v>
      </c>
      <c r="K281" s="9">
        <v>88</v>
      </c>
      <c r="AD281" s="13"/>
      <c r="AE281" s="14">
        <v>269</v>
      </c>
      <c r="AF281" s="14" t="s">
        <v>320</v>
      </c>
      <c r="AG281" s="14" t="s">
        <v>23</v>
      </c>
      <c r="AH281" s="14" t="s">
        <v>653</v>
      </c>
      <c r="AI281" s="9">
        <v>123554</v>
      </c>
      <c r="AJ281" s="34">
        <v>26047</v>
      </c>
      <c r="AK281" s="9">
        <v>1004</v>
      </c>
    </row>
    <row r="282" spans="5:37" x14ac:dyDescent="0.25">
      <c r="E282">
        <v>279</v>
      </c>
      <c r="F282" t="s">
        <v>330</v>
      </c>
      <c r="G282" t="s">
        <v>24</v>
      </c>
      <c r="H282" t="s">
        <v>651</v>
      </c>
      <c r="I282" s="9">
        <v>54813</v>
      </c>
      <c r="J282" s="10">
        <v>11909</v>
      </c>
      <c r="K282" s="9">
        <v>1040</v>
      </c>
      <c r="AD282" s="13"/>
      <c r="AE282" s="14">
        <v>270</v>
      </c>
      <c r="AF282" s="14" t="s">
        <v>321</v>
      </c>
      <c r="AG282" s="14" t="s">
        <v>23</v>
      </c>
      <c r="AH282" s="14" t="s">
        <v>654</v>
      </c>
      <c r="AI282" s="9">
        <v>36450</v>
      </c>
      <c r="AJ282" s="34">
        <v>12339</v>
      </c>
      <c r="AK282" s="9">
        <v>806</v>
      </c>
    </row>
    <row r="283" spans="5:37" x14ac:dyDescent="0.25">
      <c r="E283">
        <v>280</v>
      </c>
      <c r="F283" t="s">
        <v>331</v>
      </c>
      <c r="G283" t="s">
        <v>24</v>
      </c>
      <c r="H283" t="s">
        <v>652</v>
      </c>
      <c r="I283" s="9">
        <v>88867</v>
      </c>
      <c r="J283" s="10">
        <v>27760</v>
      </c>
      <c r="K283" s="9">
        <v>113</v>
      </c>
      <c r="AD283" s="13"/>
      <c r="AE283" s="14">
        <v>271</v>
      </c>
      <c r="AF283" s="14" t="s">
        <v>322</v>
      </c>
      <c r="AG283" s="14" t="s">
        <v>23</v>
      </c>
      <c r="AH283" s="14" t="s">
        <v>655</v>
      </c>
      <c r="AI283" s="9">
        <v>131757</v>
      </c>
      <c r="AJ283" s="34">
        <v>31760</v>
      </c>
      <c r="AK283" s="9">
        <v>1955</v>
      </c>
    </row>
    <row r="284" spans="5:37" x14ac:dyDescent="0.25">
      <c r="E284">
        <v>281</v>
      </c>
      <c r="F284" t="s">
        <v>332</v>
      </c>
      <c r="G284" t="s">
        <v>24</v>
      </c>
      <c r="H284" t="s">
        <v>653</v>
      </c>
      <c r="I284" s="9">
        <v>79294</v>
      </c>
      <c r="J284" s="10">
        <v>22260</v>
      </c>
      <c r="K284" s="9">
        <v>1695</v>
      </c>
      <c r="AD284" s="13"/>
      <c r="AE284" s="14">
        <v>272</v>
      </c>
      <c r="AF284" s="14" t="s">
        <v>323</v>
      </c>
      <c r="AG284" s="14" t="s">
        <v>23</v>
      </c>
      <c r="AH284" s="14" t="s">
        <v>656</v>
      </c>
      <c r="AI284" s="9">
        <v>120588</v>
      </c>
      <c r="AJ284" s="34">
        <v>45491</v>
      </c>
      <c r="AK284" s="9">
        <v>3315</v>
      </c>
    </row>
    <row r="285" spans="5:37" x14ac:dyDescent="0.25">
      <c r="E285">
        <v>282</v>
      </c>
      <c r="F285" t="s">
        <v>333</v>
      </c>
      <c r="G285" t="s">
        <v>24</v>
      </c>
      <c r="H285" t="s">
        <v>654</v>
      </c>
      <c r="I285" s="9">
        <v>23145</v>
      </c>
      <c r="J285" s="10">
        <v>9066</v>
      </c>
      <c r="K285" s="9">
        <v>155</v>
      </c>
      <c r="AD285" s="13"/>
      <c r="AE285" s="14">
        <v>273</v>
      </c>
      <c r="AF285" s="14" t="s">
        <v>324</v>
      </c>
      <c r="AG285" s="14" t="s">
        <v>23</v>
      </c>
      <c r="AH285" s="14" t="s">
        <v>657</v>
      </c>
      <c r="AI285" s="9">
        <v>75594</v>
      </c>
      <c r="AJ285" s="34">
        <v>26419</v>
      </c>
      <c r="AK285" s="9">
        <v>1244</v>
      </c>
    </row>
    <row r="286" spans="5:37" x14ac:dyDescent="0.25">
      <c r="E286">
        <v>283</v>
      </c>
      <c r="F286" t="s">
        <v>334</v>
      </c>
      <c r="G286" t="s">
        <v>24</v>
      </c>
      <c r="H286" t="s">
        <v>655</v>
      </c>
      <c r="I286" s="9">
        <v>116712</v>
      </c>
      <c r="J286" s="10">
        <v>29602</v>
      </c>
      <c r="K286" s="9">
        <v>841</v>
      </c>
      <c r="AD286" s="13"/>
      <c r="AE286" s="14">
        <v>274</v>
      </c>
      <c r="AF286" s="14" t="s">
        <v>325</v>
      </c>
      <c r="AG286" s="14" t="s">
        <v>23</v>
      </c>
      <c r="AH286" s="14" t="s">
        <v>658</v>
      </c>
      <c r="AI286" s="9">
        <v>53691</v>
      </c>
      <c r="AJ286" s="34">
        <v>17445</v>
      </c>
      <c r="AK286" s="9">
        <v>455</v>
      </c>
    </row>
    <row r="287" spans="5:37" x14ac:dyDescent="0.25">
      <c r="E287">
        <v>284</v>
      </c>
      <c r="F287" t="s">
        <v>335</v>
      </c>
      <c r="G287" t="s">
        <v>24</v>
      </c>
      <c r="H287" t="s">
        <v>656</v>
      </c>
      <c r="I287" s="9">
        <v>146478</v>
      </c>
      <c r="J287" s="10">
        <v>46700</v>
      </c>
      <c r="K287" s="9">
        <v>3276</v>
      </c>
      <c r="AD287" s="13"/>
      <c r="AE287" s="14">
        <v>275</v>
      </c>
      <c r="AF287" s="14" t="s">
        <v>326</v>
      </c>
      <c r="AG287" s="14" t="s">
        <v>23</v>
      </c>
      <c r="AH287" s="14" t="s">
        <v>659</v>
      </c>
      <c r="AI287" s="9">
        <v>15697</v>
      </c>
      <c r="AJ287" s="34">
        <v>5771</v>
      </c>
      <c r="AK287" s="9">
        <v>334</v>
      </c>
    </row>
    <row r="288" spans="5:37" x14ac:dyDescent="0.25">
      <c r="E288">
        <v>285</v>
      </c>
      <c r="F288" t="s">
        <v>336</v>
      </c>
      <c r="G288" t="s">
        <v>24</v>
      </c>
      <c r="H288" t="s">
        <v>657</v>
      </c>
      <c r="I288" s="9">
        <v>117997</v>
      </c>
      <c r="J288" s="10">
        <v>41697</v>
      </c>
      <c r="K288" s="9">
        <v>2541</v>
      </c>
      <c r="AD288" s="13"/>
      <c r="AE288" s="14">
        <v>276</v>
      </c>
      <c r="AF288" s="14" t="s">
        <v>327</v>
      </c>
      <c r="AG288" s="14" t="s">
        <v>23</v>
      </c>
      <c r="AH288" s="14" t="s">
        <v>660</v>
      </c>
      <c r="AI288" s="9">
        <v>100486</v>
      </c>
      <c r="AJ288" s="34">
        <v>20216</v>
      </c>
      <c r="AK288" s="9">
        <v>817</v>
      </c>
    </row>
    <row r="289" spans="5:37" x14ac:dyDescent="0.25">
      <c r="E289">
        <v>286</v>
      </c>
      <c r="F289" t="s">
        <v>337</v>
      </c>
      <c r="G289" t="s">
        <v>24</v>
      </c>
      <c r="H289" t="s">
        <v>658</v>
      </c>
      <c r="I289" s="9">
        <v>97789</v>
      </c>
      <c r="J289" s="10">
        <v>37484</v>
      </c>
      <c r="K289" s="9">
        <v>2772</v>
      </c>
      <c r="AD289" s="13"/>
      <c r="AE289" s="14">
        <v>277</v>
      </c>
      <c r="AF289" s="14" t="s">
        <v>328</v>
      </c>
      <c r="AG289" s="14" t="s">
        <v>24</v>
      </c>
      <c r="AH289" s="14" t="s">
        <v>649</v>
      </c>
      <c r="AI289" s="9">
        <v>67992</v>
      </c>
      <c r="AJ289" s="34">
        <v>26375</v>
      </c>
      <c r="AK289" s="9">
        <v>1722</v>
      </c>
    </row>
    <row r="290" spans="5:37" x14ac:dyDescent="0.25">
      <c r="E290">
        <v>287</v>
      </c>
      <c r="F290" t="s">
        <v>338</v>
      </c>
      <c r="G290" t="s">
        <v>24</v>
      </c>
      <c r="H290" t="s">
        <v>659</v>
      </c>
      <c r="I290" s="9">
        <v>75665</v>
      </c>
      <c r="J290" s="10">
        <v>18560</v>
      </c>
      <c r="K290" s="9">
        <v>898</v>
      </c>
      <c r="AD290" s="13"/>
      <c r="AE290" s="14">
        <v>278</v>
      </c>
      <c r="AF290" s="14" t="s">
        <v>329</v>
      </c>
      <c r="AG290" s="14" t="s">
        <v>24</v>
      </c>
      <c r="AH290" s="14" t="s">
        <v>650</v>
      </c>
      <c r="AI290" s="9">
        <v>121420</v>
      </c>
      <c r="AJ290" s="34">
        <v>32403</v>
      </c>
      <c r="AK290" s="9">
        <v>88</v>
      </c>
    </row>
    <row r="291" spans="5:37" x14ac:dyDescent="0.25">
      <c r="E291">
        <v>288</v>
      </c>
      <c r="F291" t="s">
        <v>339</v>
      </c>
      <c r="G291" t="s">
        <v>24</v>
      </c>
      <c r="H291" t="s">
        <v>660</v>
      </c>
      <c r="I291" s="9">
        <v>87184</v>
      </c>
      <c r="J291" s="10">
        <v>23927</v>
      </c>
      <c r="K291" s="9">
        <v>354</v>
      </c>
      <c r="AD291" s="13"/>
      <c r="AE291" s="14">
        <v>279</v>
      </c>
      <c r="AF291" s="14" t="s">
        <v>330</v>
      </c>
      <c r="AG291" s="14" t="s">
        <v>24</v>
      </c>
      <c r="AH291" s="14" t="s">
        <v>651</v>
      </c>
      <c r="AI291" s="9">
        <v>54813</v>
      </c>
      <c r="AJ291" s="34">
        <v>11909</v>
      </c>
      <c r="AK291" s="9">
        <v>1040</v>
      </c>
    </row>
    <row r="292" spans="5:37" x14ac:dyDescent="0.25">
      <c r="E292">
        <v>289</v>
      </c>
      <c r="F292" t="s">
        <v>340</v>
      </c>
      <c r="G292" t="s">
        <v>25</v>
      </c>
      <c r="H292" t="s">
        <v>649</v>
      </c>
      <c r="I292" s="9">
        <v>66604</v>
      </c>
      <c r="J292" s="10">
        <v>15730</v>
      </c>
      <c r="K292" s="9">
        <v>675</v>
      </c>
      <c r="AD292" s="13"/>
      <c r="AE292" s="14">
        <v>280</v>
      </c>
      <c r="AF292" s="14" t="s">
        <v>331</v>
      </c>
      <c r="AG292" s="14" t="s">
        <v>24</v>
      </c>
      <c r="AH292" s="14" t="s">
        <v>652</v>
      </c>
      <c r="AI292" s="9">
        <v>88867</v>
      </c>
      <c r="AJ292" s="34">
        <v>27760</v>
      </c>
      <c r="AK292" s="9">
        <v>113</v>
      </c>
    </row>
    <row r="293" spans="5:37" x14ac:dyDescent="0.25">
      <c r="E293">
        <v>290</v>
      </c>
      <c r="F293" t="s">
        <v>341</v>
      </c>
      <c r="G293" t="s">
        <v>25</v>
      </c>
      <c r="H293" t="s">
        <v>650</v>
      </c>
      <c r="I293" s="9">
        <v>123687</v>
      </c>
      <c r="J293" s="10">
        <v>46974</v>
      </c>
      <c r="K293" s="9">
        <v>4103</v>
      </c>
      <c r="AD293" s="13"/>
      <c r="AE293" s="14">
        <v>281</v>
      </c>
      <c r="AF293" s="14" t="s">
        <v>332</v>
      </c>
      <c r="AG293" s="14" t="s">
        <v>24</v>
      </c>
      <c r="AH293" s="14" t="s">
        <v>653</v>
      </c>
      <c r="AI293" s="9">
        <v>79294</v>
      </c>
      <c r="AJ293" s="34">
        <v>22260</v>
      </c>
      <c r="AK293" s="9">
        <v>1695</v>
      </c>
    </row>
    <row r="294" spans="5:37" x14ac:dyDescent="0.25">
      <c r="E294">
        <v>291</v>
      </c>
      <c r="F294" t="s">
        <v>342</v>
      </c>
      <c r="G294" t="s">
        <v>25</v>
      </c>
      <c r="H294" t="s">
        <v>651</v>
      </c>
      <c r="I294" s="9">
        <v>73503</v>
      </c>
      <c r="J294" s="10">
        <v>26795</v>
      </c>
      <c r="K294" s="9">
        <v>216</v>
      </c>
      <c r="AD294" s="13"/>
      <c r="AE294" s="14">
        <v>282</v>
      </c>
      <c r="AF294" s="14" t="s">
        <v>333</v>
      </c>
      <c r="AG294" s="14" t="s">
        <v>24</v>
      </c>
      <c r="AH294" s="14" t="s">
        <v>654</v>
      </c>
      <c r="AI294" s="9">
        <v>23145</v>
      </c>
      <c r="AJ294" s="34">
        <v>9066</v>
      </c>
      <c r="AK294" s="9">
        <v>155</v>
      </c>
    </row>
    <row r="295" spans="5:37" x14ac:dyDescent="0.25">
      <c r="E295">
        <v>292</v>
      </c>
      <c r="F295" t="s">
        <v>343</v>
      </c>
      <c r="G295" t="s">
        <v>25</v>
      </c>
      <c r="H295" t="s">
        <v>652</v>
      </c>
      <c r="I295" s="9">
        <v>26933</v>
      </c>
      <c r="J295" s="10">
        <v>9721</v>
      </c>
      <c r="K295" s="9">
        <v>477</v>
      </c>
      <c r="AD295" s="13"/>
      <c r="AE295" s="14">
        <v>283</v>
      </c>
      <c r="AF295" s="14" t="s">
        <v>334</v>
      </c>
      <c r="AG295" s="14" t="s">
        <v>24</v>
      </c>
      <c r="AH295" s="14" t="s">
        <v>655</v>
      </c>
      <c r="AI295" s="9">
        <v>116712</v>
      </c>
      <c r="AJ295" s="34">
        <v>29602</v>
      </c>
      <c r="AK295" s="9">
        <v>841</v>
      </c>
    </row>
    <row r="296" spans="5:37" x14ac:dyDescent="0.25">
      <c r="E296">
        <v>293</v>
      </c>
      <c r="F296" t="s">
        <v>344</v>
      </c>
      <c r="G296" t="s">
        <v>25</v>
      </c>
      <c r="H296" t="s">
        <v>653</v>
      </c>
      <c r="I296" s="9">
        <v>124965</v>
      </c>
      <c r="J296" s="10">
        <v>29501</v>
      </c>
      <c r="K296" s="9">
        <v>878</v>
      </c>
      <c r="AD296" s="13"/>
      <c r="AE296" s="14">
        <v>284</v>
      </c>
      <c r="AF296" s="14" t="s">
        <v>335</v>
      </c>
      <c r="AG296" s="14" t="s">
        <v>24</v>
      </c>
      <c r="AH296" s="14" t="s">
        <v>656</v>
      </c>
      <c r="AI296" s="9">
        <v>146478</v>
      </c>
      <c r="AJ296" s="34">
        <v>46700</v>
      </c>
      <c r="AK296" s="9">
        <v>3276</v>
      </c>
    </row>
    <row r="297" spans="5:37" x14ac:dyDescent="0.25">
      <c r="E297">
        <v>294</v>
      </c>
      <c r="F297" t="s">
        <v>345</v>
      </c>
      <c r="G297" t="s">
        <v>25</v>
      </c>
      <c r="H297" t="s">
        <v>654</v>
      </c>
      <c r="I297" s="9">
        <v>99979</v>
      </c>
      <c r="J297" s="10">
        <v>22066</v>
      </c>
      <c r="K297" s="9">
        <v>1953</v>
      </c>
      <c r="AD297" s="13"/>
      <c r="AE297" s="14">
        <v>285</v>
      </c>
      <c r="AF297" s="14" t="s">
        <v>336</v>
      </c>
      <c r="AG297" s="14" t="s">
        <v>24</v>
      </c>
      <c r="AH297" s="14" t="s">
        <v>657</v>
      </c>
      <c r="AI297" s="9">
        <v>117997</v>
      </c>
      <c r="AJ297" s="34">
        <v>41697</v>
      </c>
      <c r="AK297" s="9">
        <v>2541</v>
      </c>
    </row>
    <row r="298" spans="5:37" x14ac:dyDescent="0.25">
      <c r="E298">
        <v>295</v>
      </c>
      <c r="F298" t="s">
        <v>346</v>
      </c>
      <c r="G298" t="s">
        <v>25</v>
      </c>
      <c r="H298" t="s">
        <v>655</v>
      </c>
      <c r="I298" s="9">
        <v>52319</v>
      </c>
      <c r="J298" s="10">
        <v>20619</v>
      </c>
      <c r="K298" s="9">
        <v>1747</v>
      </c>
      <c r="AD298" s="13"/>
      <c r="AE298" s="14">
        <v>286</v>
      </c>
      <c r="AF298" s="14" t="s">
        <v>337</v>
      </c>
      <c r="AG298" s="14" t="s">
        <v>24</v>
      </c>
      <c r="AH298" s="14" t="s">
        <v>658</v>
      </c>
      <c r="AI298" s="9">
        <v>97789</v>
      </c>
      <c r="AJ298" s="34">
        <v>37484</v>
      </c>
      <c r="AK298" s="9">
        <v>2772</v>
      </c>
    </row>
    <row r="299" spans="5:37" x14ac:dyDescent="0.25">
      <c r="E299">
        <v>296</v>
      </c>
      <c r="F299" t="s">
        <v>347</v>
      </c>
      <c r="G299" t="s">
        <v>25</v>
      </c>
      <c r="H299" t="s">
        <v>656</v>
      </c>
      <c r="I299" s="9">
        <v>116093</v>
      </c>
      <c r="J299" s="10">
        <v>32871</v>
      </c>
      <c r="K299" s="9">
        <v>2148</v>
      </c>
      <c r="AD299" s="13"/>
      <c r="AE299" s="14">
        <v>287</v>
      </c>
      <c r="AF299" s="14" t="s">
        <v>338</v>
      </c>
      <c r="AG299" s="14" t="s">
        <v>24</v>
      </c>
      <c r="AH299" s="14" t="s">
        <v>659</v>
      </c>
      <c r="AI299" s="9">
        <v>75665</v>
      </c>
      <c r="AJ299" s="34">
        <v>18560</v>
      </c>
      <c r="AK299" s="9">
        <v>898</v>
      </c>
    </row>
    <row r="300" spans="5:37" x14ac:dyDescent="0.25">
      <c r="E300">
        <v>297</v>
      </c>
      <c r="F300" t="s">
        <v>348</v>
      </c>
      <c r="G300" t="s">
        <v>25</v>
      </c>
      <c r="H300" t="s">
        <v>657</v>
      </c>
      <c r="I300" s="9">
        <v>39926</v>
      </c>
      <c r="J300" s="10">
        <v>15200</v>
      </c>
      <c r="K300" s="9">
        <v>1158</v>
      </c>
      <c r="AD300" s="13"/>
      <c r="AE300" s="14">
        <v>288</v>
      </c>
      <c r="AF300" s="14" t="s">
        <v>339</v>
      </c>
      <c r="AG300" s="14" t="s">
        <v>24</v>
      </c>
      <c r="AH300" s="14" t="s">
        <v>660</v>
      </c>
      <c r="AI300" s="9">
        <v>87184</v>
      </c>
      <c r="AJ300" s="34">
        <v>23927</v>
      </c>
      <c r="AK300" s="9">
        <v>354</v>
      </c>
    </row>
    <row r="301" spans="5:37" x14ac:dyDescent="0.25">
      <c r="E301">
        <v>298</v>
      </c>
      <c r="F301" t="s">
        <v>349</v>
      </c>
      <c r="G301" t="s">
        <v>25</v>
      </c>
      <c r="H301" t="s">
        <v>658</v>
      </c>
      <c r="I301" s="9">
        <v>107488</v>
      </c>
      <c r="J301" s="10">
        <v>25411</v>
      </c>
      <c r="K301" s="9">
        <v>2333</v>
      </c>
      <c r="AD301" s="13"/>
      <c r="AE301" s="14">
        <v>289</v>
      </c>
      <c r="AF301" s="14" t="s">
        <v>340</v>
      </c>
      <c r="AG301" s="14" t="s">
        <v>25</v>
      </c>
      <c r="AH301" s="14" t="s">
        <v>649</v>
      </c>
      <c r="AI301" s="9">
        <v>66604</v>
      </c>
      <c r="AJ301" s="34">
        <v>15730</v>
      </c>
      <c r="AK301" s="9">
        <v>675</v>
      </c>
    </row>
    <row r="302" spans="5:37" x14ac:dyDescent="0.25">
      <c r="E302">
        <v>299</v>
      </c>
      <c r="F302" t="s">
        <v>350</v>
      </c>
      <c r="G302" t="s">
        <v>25</v>
      </c>
      <c r="H302" t="s">
        <v>659</v>
      </c>
      <c r="I302" s="9">
        <v>131616</v>
      </c>
      <c r="J302" s="10">
        <v>49197</v>
      </c>
      <c r="K302" s="9">
        <v>2457</v>
      </c>
      <c r="AD302" s="13"/>
      <c r="AE302" s="14">
        <v>290</v>
      </c>
      <c r="AF302" s="14" t="s">
        <v>341</v>
      </c>
      <c r="AG302" s="14" t="s">
        <v>25</v>
      </c>
      <c r="AH302" s="14" t="s">
        <v>650</v>
      </c>
      <c r="AI302" s="9">
        <v>123687</v>
      </c>
      <c r="AJ302" s="34">
        <v>46974</v>
      </c>
      <c r="AK302" s="9">
        <v>4103</v>
      </c>
    </row>
    <row r="303" spans="5:37" x14ac:dyDescent="0.25">
      <c r="E303">
        <v>300</v>
      </c>
      <c r="F303" t="s">
        <v>351</v>
      </c>
      <c r="G303" t="s">
        <v>25</v>
      </c>
      <c r="H303" t="s">
        <v>660</v>
      </c>
      <c r="I303" s="9">
        <v>38288</v>
      </c>
      <c r="J303" s="10">
        <v>12227</v>
      </c>
      <c r="K303" s="9">
        <v>1039</v>
      </c>
      <c r="AD303" s="13"/>
      <c r="AE303" s="14">
        <v>291</v>
      </c>
      <c r="AF303" s="14" t="s">
        <v>342</v>
      </c>
      <c r="AG303" s="14" t="s">
        <v>25</v>
      </c>
      <c r="AH303" s="14" t="s">
        <v>651</v>
      </c>
      <c r="AI303" s="9">
        <v>73503</v>
      </c>
      <c r="AJ303" s="34">
        <v>26795</v>
      </c>
      <c r="AK303" s="9">
        <v>216</v>
      </c>
    </row>
    <row r="304" spans="5:37" x14ac:dyDescent="0.25">
      <c r="E304">
        <v>301</v>
      </c>
      <c r="F304" t="s">
        <v>352</v>
      </c>
      <c r="G304" t="s">
        <v>26</v>
      </c>
      <c r="H304" t="s">
        <v>649</v>
      </c>
      <c r="I304" s="9">
        <v>116205</v>
      </c>
      <c r="J304" s="10">
        <v>30961</v>
      </c>
      <c r="K304" s="9">
        <v>1626</v>
      </c>
      <c r="AD304" s="13"/>
      <c r="AE304" s="14">
        <v>292</v>
      </c>
      <c r="AF304" s="14" t="s">
        <v>343</v>
      </c>
      <c r="AG304" s="14" t="s">
        <v>25</v>
      </c>
      <c r="AH304" s="14" t="s">
        <v>652</v>
      </c>
      <c r="AI304" s="9">
        <v>26933</v>
      </c>
      <c r="AJ304" s="34">
        <v>9721</v>
      </c>
      <c r="AK304" s="9">
        <v>477</v>
      </c>
    </row>
    <row r="305" spans="5:37" x14ac:dyDescent="0.25">
      <c r="E305">
        <v>302</v>
      </c>
      <c r="F305" t="s">
        <v>353</v>
      </c>
      <c r="G305" t="s">
        <v>26</v>
      </c>
      <c r="H305" t="s">
        <v>650</v>
      </c>
      <c r="I305" s="9">
        <v>110845</v>
      </c>
      <c r="J305" s="10">
        <v>35901</v>
      </c>
      <c r="K305" s="9">
        <v>1446</v>
      </c>
      <c r="AD305" s="13"/>
      <c r="AE305" s="14">
        <v>293</v>
      </c>
      <c r="AF305" s="14" t="s">
        <v>344</v>
      </c>
      <c r="AG305" s="14" t="s">
        <v>25</v>
      </c>
      <c r="AH305" s="14" t="s">
        <v>653</v>
      </c>
      <c r="AI305" s="9">
        <v>124965</v>
      </c>
      <c r="AJ305" s="34">
        <v>29501</v>
      </c>
      <c r="AK305" s="9">
        <v>878</v>
      </c>
    </row>
    <row r="306" spans="5:37" x14ac:dyDescent="0.25">
      <c r="E306">
        <v>303</v>
      </c>
      <c r="F306" t="s">
        <v>354</v>
      </c>
      <c r="G306" t="s">
        <v>26</v>
      </c>
      <c r="H306" t="s">
        <v>651</v>
      </c>
      <c r="I306" s="9">
        <v>99527</v>
      </c>
      <c r="J306" s="10">
        <v>20990</v>
      </c>
      <c r="K306" s="9">
        <v>488</v>
      </c>
      <c r="AD306" s="13"/>
      <c r="AE306" s="14">
        <v>294</v>
      </c>
      <c r="AF306" s="14" t="s">
        <v>345</v>
      </c>
      <c r="AG306" s="14" t="s">
        <v>25</v>
      </c>
      <c r="AH306" s="14" t="s">
        <v>654</v>
      </c>
      <c r="AI306" s="9">
        <v>99979</v>
      </c>
      <c r="AJ306" s="34">
        <v>22066</v>
      </c>
      <c r="AK306" s="9">
        <v>1953</v>
      </c>
    </row>
    <row r="307" spans="5:37" x14ac:dyDescent="0.25">
      <c r="E307">
        <v>304</v>
      </c>
      <c r="F307" t="s">
        <v>355</v>
      </c>
      <c r="G307" t="s">
        <v>26</v>
      </c>
      <c r="H307" t="s">
        <v>652</v>
      </c>
      <c r="I307" s="9">
        <v>118902</v>
      </c>
      <c r="J307" s="10">
        <v>41950</v>
      </c>
      <c r="K307" s="9">
        <v>3145</v>
      </c>
      <c r="AD307" s="13"/>
      <c r="AE307" s="14">
        <v>295</v>
      </c>
      <c r="AF307" s="14" t="s">
        <v>346</v>
      </c>
      <c r="AG307" s="14" t="s">
        <v>25</v>
      </c>
      <c r="AH307" s="14" t="s">
        <v>655</v>
      </c>
      <c r="AI307" s="9">
        <v>52319</v>
      </c>
      <c r="AJ307" s="34">
        <v>20619</v>
      </c>
      <c r="AK307" s="9">
        <v>1747</v>
      </c>
    </row>
    <row r="308" spans="5:37" x14ac:dyDescent="0.25">
      <c r="E308">
        <v>305</v>
      </c>
      <c r="F308" t="s">
        <v>356</v>
      </c>
      <c r="G308" t="s">
        <v>26</v>
      </c>
      <c r="H308" t="s">
        <v>653</v>
      </c>
      <c r="I308" s="9">
        <v>29566</v>
      </c>
      <c r="J308" s="10">
        <v>11323</v>
      </c>
      <c r="K308" s="9">
        <v>461</v>
      </c>
      <c r="AD308" s="13"/>
      <c r="AE308" s="14">
        <v>296</v>
      </c>
      <c r="AF308" s="14" t="s">
        <v>347</v>
      </c>
      <c r="AG308" s="14" t="s">
        <v>25</v>
      </c>
      <c r="AH308" s="14" t="s">
        <v>656</v>
      </c>
      <c r="AI308" s="9">
        <v>116093</v>
      </c>
      <c r="AJ308" s="34">
        <v>32871</v>
      </c>
      <c r="AK308" s="9">
        <v>2148</v>
      </c>
    </row>
    <row r="309" spans="5:37" x14ac:dyDescent="0.25">
      <c r="E309">
        <v>306</v>
      </c>
      <c r="F309" t="s">
        <v>357</v>
      </c>
      <c r="G309" t="s">
        <v>26</v>
      </c>
      <c r="H309" t="s">
        <v>654</v>
      </c>
      <c r="I309" s="9">
        <v>83664</v>
      </c>
      <c r="J309" s="10">
        <v>30480</v>
      </c>
      <c r="K309" s="9">
        <v>1526</v>
      </c>
      <c r="AD309" s="13"/>
      <c r="AE309" s="14">
        <v>297</v>
      </c>
      <c r="AF309" s="14" t="s">
        <v>348</v>
      </c>
      <c r="AG309" s="14" t="s">
        <v>25</v>
      </c>
      <c r="AH309" s="14" t="s">
        <v>657</v>
      </c>
      <c r="AI309" s="9">
        <v>39926</v>
      </c>
      <c r="AJ309" s="34">
        <v>15200</v>
      </c>
      <c r="AK309" s="9">
        <v>1158</v>
      </c>
    </row>
    <row r="310" spans="5:37" x14ac:dyDescent="0.25">
      <c r="E310">
        <v>307</v>
      </c>
      <c r="F310" t="s">
        <v>358</v>
      </c>
      <c r="G310" t="s">
        <v>26</v>
      </c>
      <c r="H310" t="s">
        <v>655</v>
      </c>
      <c r="I310" s="9">
        <v>66711</v>
      </c>
      <c r="J310" s="10">
        <v>18097</v>
      </c>
      <c r="K310" s="9">
        <v>342</v>
      </c>
      <c r="AD310" s="13"/>
      <c r="AE310" s="14">
        <v>298</v>
      </c>
      <c r="AF310" s="14" t="s">
        <v>349</v>
      </c>
      <c r="AG310" s="14" t="s">
        <v>25</v>
      </c>
      <c r="AH310" s="14" t="s">
        <v>658</v>
      </c>
      <c r="AI310" s="9">
        <v>107488</v>
      </c>
      <c r="AJ310" s="34">
        <v>25411</v>
      </c>
      <c r="AK310" s="9">
        <v>2333</v>
      </c>
    </row>
    <row r="311" spans="5:37" x14ac:dyDescent="0.25">
      <c r="E311">
        <v>308</v>
      </c>
      <c r="F311" t="s">
        <v>359</v>
      </c>
      <c r="G311" t="s">
        <v>26</v>
      </c>
      <c r="H311" t="s">
        <v>656</v>
      </c>
      <c r="I311" s="9">
        <v>80549</v>
      </c>
      <c r="J311" s="10">
        <v>29156</v>
      </c>
      <c r="K311" s="9">
        <v>2799</v>
      </c>
      <c r="AD311" s="13"/>
      <c r="AE311" s="14">
        <v>299</v>
      </c>
      <c r="AF311" s="14" t="s">
        <v>350</v>
      </c>
      <c r="AG311" s="14" t="s">
        <v>25</v>
      </c>
      <c r="AH311" s="14" t="s">
        <v>659</v>
      </c>
      <c r="AI311" s="9">
        <v>131616</v>
      </c>
      <c r="AJ311" s="34">
        <v>49197</v>
      </c>
      <c r="AK311" s="9">
        <v>2457</v>
      </c>
    </row>
    <row r="312" spans="5:37" x14ac:dyDescent="0.25">
      <c r="E312">
        <v>309</v>
      </c>
      <c r="F312" t="s">
        <v>360</v>
      </c>
      <c r="G312" t="s">
        <v>26</v>
      </c>
      <c r="H312" t="s">
        <v>657</v>
      </c>
      <c r="I312" s="9">
        <v>136503</v>
      </c>
      <c r="J312" s="10">
        <v>32902</v>
      </c>
      <c r="K312" s="9">
        <v>864</v>
      </c>
      <c r="AD312" s="13"/>
      <c r="AE312" s="14">
        <v>300</v>
      </c>
      <c r="AF312" s="14" t="s">
        <v>351</v>
      </c>
      <c r="AG312" s="14" t="s">
        <v>25</v>
      </c>
      <c r="AH312" s="14" t="s">
        <v>660</v>
      </c>
      <c r="AI312" s="9">
        <v>38288</v>
      </c>
      <c r="AJ312" s="34">
        <v>12227</v>
      </c>
      <c r="AK312" s="9">
        <v>1039</v>
      </c>
    </row>
    <row r="313" spans="5:37" x14ac:dyDescent="0.25">
      <c r="E313">
        <v>310</v>
      </c>
      <c r="F313" t="s">
        <v>361</v>
      </c>
      <c r="G313" t="s">
        <v>26</v>
      </c>
      <c r="H313" t="s">
        <v>658</v>
      </c>
      <c r="I313" s="9">
        <v>36867</v>
      </c>
      <c r="J313" s="10">
        <v>12730</v>
      </c>
      <c r="K313" s="9">
        <v>954</v>
      </c>
      <c r="AD313" s="13"/>
      <c r="AE313" s="14">
        <v>301</v>
      </c>
      <c r="AF313" s="14" t="s">
        <v>352</v>
      </c>
      <c r="AG313" s="14" t="s">
        <v>26</v>
      </c>
      <c r="AH313" s="14" t="s">
        <v>649</v>
      </c>
      <c r="AI313" s="9">
        <v>116205</v>
      </c>
      <c r="AJ313" s="34">
        <v>30961</v>
      </c>
      <c r="AK313" s="9">
        <v>1626</v>
      </c>
    </row>
    <row r="314" spans="5:37" x14ac:dyDescent="0.25">
      <c r="E314">
        <v>311</v>
      </c>
      <c r="F314" t="s">
        <v>362</v>
      </c>
      <c r="G314" t="s">
        <v>26</v>
      </c>
      <c r="H314" t="s">
        <v>659</v>
      </c>
      <c r="I314" s="9">
        <v>56334</v>
      </c>
      <c r="J314" s="10">
        <v>21181</v>
      </c>
      <c r="K314" s="9">
        <v>1952</v>
      </c>
      <c r="AD314" s="13"/>
      <c r="AE314" s="14">
        <v>302</v>
      </c>
      <c r="AF314" s="14" t="s">
        <v>353</v>
      </c>
      <c r="AG314" s="14" t="s">
        <v>26</v>
      </c>
      <c r="AH314" s="14" t="s">
        <v>650</v>
      </c>
      <c r="AI314" s="9">
        <v>110845</v>
      </c>
      <c r="AJ314" s="34">
        <v>35901</v>
      </c>
      <c r="AK314" s="9">
        <v>1446</v>
      </c>
    </row>
    <row r="315" spans="5:37" x14ac:dyDescent="0.25">
      <c r="E315">
        <v>312</v>
      </c>
      <c r="F315" t="s">
        <v>363</v>
      </c>
      <c r="G315" t="s">
        <v>26</v>
      </c>
      <c r="H315" t="s">
        <v>660</v>
      </c>
      <c r="I315" s="9">
        <v>74300</v>
      </c>
      <c r="J315" s="10">
        <v>25681</v>
      </c>
      <c r="K315" s="9">
        <v>137</v>
      </c>
      <c r="AD315" s="13"/>
      <c r="AE315" s="14">
        <v>303</v>
      </c>
      <c r="AF315" s="14" t="s">
        <v>354</v>
      </c>
      <c r="AG315" s="14" t="s">
        <v>26</v>
      </c>
      <c r="AH315" s="14" t="s">
        <v>651</v>
      </c>
      <c r="AI315" s="9">
        <v>99527</v>
      </c>
      <c r="AJ315" s="34">
        <v>20990</v>
      </c>
      <c r="AK315" s="9">
        <v>488</v>
      </c>
    </row>
    <row r="316" spans="5:37" x14ac:dyDescent="0.25">
      <c r="E316">
        <v>313</v>
      </c>
      <c r="F316" t="s">
        <v>364</v>
      </c>
      <c r="G316" t="s">
        <v>27</v>
      </c>
      <c r="H316" t="s">
        <v>649</v>
      </c>
      <c r="I316" s="9">
        <v>59506</v>
      </c>
      <c r="J316" s="10">
        <v>23654</v>
      </c>
      <c r="K316" s="9">
        <v>718</v>
      </c>
      <c r="AD316" s="13"/>
      <c r="AE316" s="14">
        <v>304</v>
      </c>
      <c r="AF316" s="14" t="s">
        <v>355</v>
      </c>
      <c r="AG316" s="14" t="s">
        <v>26</v>
      </c>
      <c r="AH316" s="14" t="s">
        <v>652</v>
      </c>
      <c r="AI316" s="9">
        <v>118902</v>
      </c>
      <c r="AJ316" s="34">
        <v>41950</v>
      </c>
      <c r="AK316" s="9">
        <v>3145</v>
      </c>
    </row>
    <row r="317" spans="5:37" x14ac:dyDescent="0.25">
      <c r="E317">
        <v>314</v>
      </c>
      <c r="F317" t="s">
        <v>365</v>
      </c>
      <c r="G317" t="s">
        <v>27</v>
      </c>
      <c r="H317" t="s">
        <v>650</v>
      </c>
      <c r="I317" s="9">
        <v>131798</v>
      </c>
      <c r="J317" s="10">
        <v>31335</v>
      </c>
      <c r="K317" s="9">
        <v>918</v>
      </c>
      <c r="AD317" s="13"/>
      <c r="AE317" s="14">
        <v>305</v>
      </c>
      <c r="AF317" s="14" t="s">
        <v>356</v>
      </c>
      <c r="AG317" s="14" t="s">
        <v>26</v>
      </c>
      <c r="AH317" s="14" t="s">
        <v>653</v>
      </c>
      <c r="AI317" s="9">
        <v>29566</v>
      </c>
      <c r="AJ317" s="34">
        <v>11323</v>
      </c>
      <c r="AK317" s="9">
        <v>461</v>
      </c>
    </row>
    <row r="318" spans="5:37" x14ac:dyDescent="0.25">
      <c r="E318">
        <v>315</v>
      </c>
      <c r="F318" t="s">
        <v>366</v>
      </c>
      <c r="G318" t="s">
        <v>27</v>
      </c>
      <c r="H318" t="s">
        <v>651</v>
      </c>
      <c r="I318" s="9">
        <v>117239</v>
      </c>
      <c r="J318" s="10">
        <v>42475</v>
      </c>
      <c r="K318" s="9">
        <v>2892</v>
      </c>
      <c r="AD318" s="13"/>
      <c r="AE318" s="14">
        <v>306</v>
      </c>
      <c r="AF318" s="14" t="s">
        <v>357</v>
      </c>
      <c r="AG318" s="14" t="s">
        <v>26</v>
      </c>
      <c r="AH318" s="14" t="s">
        <v>654</v>
      </c>
      <c r="AI318" s="9">
        <v>83664</v>
      </c>
      <c r="AJ318" s="34">
        <v>30480</v>
      </c>
      <c r="AK318" s="9">
        <v>1526</v>
      </c>
    </row>
    <row r="319" spans="5:37" x14ac:dyDescent="0.25">
      <c r="E319">
        <v>316</v>
      </c>
      <c r="F319" t="s">
        <v>367</v>
      </c>
      <c r="G319" t="s">
        <v>27</v>
      </c>
      <c r="H319" t="s">
        <v>652</v>
      </c>
      <c r="I319" s="9">
        <v>145381</v>
      </c>
      <c r="J319" s="10">
        <v>30458</v>
      </c>
      <c r="K319" s="9">
        <v>1711</v>
      </c>
      <c r="AD319" s="13"/>
      <c r="AE319" s="14">
        <v>307</v>
      </c>
      <c r="AF319" s="14" t="s">
        <v>358</v>
      </c>
      <c r="AG319" s="14" t="s">
        <v>26</v>
      </c>
      <c r="AH319" s="14" t="s">
        <v>655</v>
      </c>
      <c r="AI319" s="9">
        <v>66711</v>
      </c>
      <c r="AJ319" s="34">
        <v>18097</v>
      </c>
      <c r="AK319" s="9">
        <v>342</v>
      </c>
    </row>
    <row r="320" spans="5:37" x14ac:dyDescent="0.25">
      <c r="E320">
        <v>317</v>
      </c>
      <c r="F320" t="s">
        <v>368</v>
      </c>
      <c r="G320" t="s">
        <v>27</v>
      </c>
      <c r="H320" t="s">
        <v>653</v>
      </c>
      <c r="I320" s="9">
        <v>49576</v>
      </c>
      <c r="J320" s="10">
        <v>13286</v>
      </c>
      <c r="K320" s="9">
        <v>664</v>
      </c>
      <c r="AD320" s="13"/>
      <c r="AE320" s="14">
        <v>308</v>
      </c>
      <c r="AF320" s="14" t="s">
        <v>359</v>
      </c>
      <c r="AG320" s="14" t="s">
        <v>26</v>
      </c>
      <c r="AH320" s="14" t="s">
        <v>656</v>
      </c>
      <c r="AI320" s="9">
        <v>80549</v>
      </c>
      <c r="AJ320" s="34">
        <v>29156</v>
      </c>
      <c r="AK320" s="9">
        <v>2799</v>
      </c>
    </row>
    <row r="321" spans="5:37" x14ac:dyDescent="0.25">
      <c r="E321">
        <v>318</v>
      </c>
      <c r="F321" t="s">
        <v>369</v>
      </c>
      <c r="G321" t="s">
        <v>27</v>
      </c>
      <c r="H321" t="s">
        <v>654</v>
      </c>
      <c r="I321" s="9">
        <v>108085</v>
      </c>
      <c r="J321" s="10">
        <v>38057</v>
      </c>
      <c r="K321" s="9">
        <v>858</v>
      </c>
      <c r="AD321" s="13"/>
      <c r="AE321" s="14">
        <v>309</v>
      </c>
      <c r="AF321" s="14" t="s">
        <v>360</v>
      </c>
      <c r="AG321" s="14" t="s">
        <v>26</v>
      </c>
      <c r="AH321" s="14" t="s">
        <v>657</v>
      </c>
      <c r="AI321" s="9">
        <v>136503</v>
      </c>
      <c r="AJ321" s="34">
        <v>32902</v>
      </c>
      <c r="AK321" s="9">
        <v>864</v>
      </c>
    </row>
    <row r="322" spans="5:37" x14ac:dyDescent="0.25">
      <c r="E322">
        <v>319</v>
      </c>
      <c r="F322" t="s">
        <v>370</v>
      </c>
      <c r="G322" t="s">
        <v>27</v>
      </c>
      <c r="H322" t="s">
        <v>655</v>
      </c>
      <c r="I322" s="9">
        <v>69645</v>
      </c>
      <c r="J322" s="10">
        <v>20778</v>
      </c>
      <c r="K322" s="9">
        <v>234</v>
      </c>
      <c r="AD322" s="13"/>
      <c r="AE322" s="14">
        <v>310</v>
      </c>
      <c r="AF322" s="14" t="s">
        <v>361</v>
      </c>
      <c r="AG322" s="14" t="s">
        <v>26</v>
      </c>
      <c r="AH322" s="14" t="s">
        <v>658</v>
      </c>
      <c r="AI322" s="9">
        <v>36867</v>
      </c>
      <c r="AJ322" s="34">
        <v>12730</v>
      </c>
      <c r="AK322" s="9">
        <v>954</v>
      </c>
    </row>
    <row r="323" spans="5:37" x14ac:dyDescent="0.25">
      <c r="E323">
        <v>320</v>
      </c>
      <c r="F323" t="s">
        <v>371</v>
      </c>
      <c r="G323" t="s">
        <v>27</v>
      </c>
      <c r="H323" t="s">
        <v>656</v>
      </c>
      <c r="I323" s="9">
        <v>73181</v>
      </c>
      <c r="J323" s="10">
        <v>19944</v>
      </c>
      <c r="K323" s="9">
        <v>299</v>
      </c>
      <c r="AD323" s="13"/>
      <c r="AE323" s="14">
        <v>311</v>
      </c>
      <c r="AF323" s="14" t="s">
        <v>362</v>
      </c>
      <c r="AG323" s="14" t="s">
        <v>26</v>
      </c>
      <c r="AH323" s="14" t="s">
        <v>659</v>
      </c>
      <c r="AI323" s="9">
        <v>56334</v>
      </c>
      <c r="AJ323" s="34">
        <v>21181</v>
      </c>
      <c r="AK323" s="9">
        <v>1952</v>
      </c>
    </row>
    <row r="324" spans="5:37" x14ac:dyDescent="0.25">
      <c r="E324">
        <v>321</v>
      </c>
      <c r="F324" t="s">
        <v>372</v>
      </c>
      <c r="G324" t="s">
        <v>27</v>
      </c>
      <c r="H324" t="s">
        <v>657</v>
      </c>
      <c r="I324" s="9">
        <v>33155</v>
      </c>
      <c r="J324" s="10">
        <v>12729</v>
      </c>
      <c r="K324" s="9">
        <v>1148</v>
      </c>
      <c r="AD324" s="13"/>
      <c r="AE324" s="14">
        <v>312</v>
      </c>
      <c r="AF324" s="14" t="s">
        <v>363</v>
      </c>
      <c r="AG324" s="14" t="s">
        <v>26</v>
      </c>
      <c r="AH324" s="14" t="s">
        <v>660</v>
      </c>
      <c r="AI324" s="9">
        <v>74300</v>
      </c>
      <c r="AJ324" s="34">
        <v>25681</v>
      </c>
      <c r="AK324" s="9">
        <v>137</v>
      </c>
    </row>
    <row r="325" spans="5:37" x14ac:dyDescent="0.25">
      <c r="E325">
        <v>322</v>
      </c>
      <c r="F325" t="s">
        <v>373</v>
      </c>
      <c r="G325" t="s">
        <v>27</v>
      </c>
      <c r="H325" t="s">
        <v>658</v>
      </c>
      <c r="I325" s="9">
        <v>30246</v>
      </c>
      <c r="J325" s="10">
        <v>8200</v>
      </c>
      <c r="K325" s="9">
        <v>559</v>
      </c>
      <c r="AD325" s="13"/>
      <c r="AE325" s="14">
        <v>313</v>
      </c>
      <c r="AF325" s="14" t="s">
        <v>364</v>
      </c>
      <c r="AG325" s="14" t="s">
        <v>27</v>
      </c>
      <c r="AH325" s="14" t="s">
        <v>649</v>
      </c>
      <c r="AI325" s="9">
        <v>59506</v>
      </c>
      <c r="AJ325" s="34">
        <v>23654</v>
      </c>
      <c r="AK325" s="9">
        <v>718</v>
      </c>
    </row>
    <row r="326" spans="5:37" x14ac:dyDescent="0.25">
      <c r="E326">
        <v>323</v>
      </c>
      <c r="F326" t="s">
        <v>374</v>
      </c>
      <c r="G326" t="s">
        <v>27</v>
      </c>
      <c r="H326" t="s">
        <v>659</v>
      </c>
      <c r="I326" s="9">
        <v>74986</v>
      </c>
      <c r="J326" s="10">
        <v>20508</v>
      </c>
      <c r="K326" s="9">
        <v>1352</v>
      </c>
      <c r="AD326" s="13"/>
      <c r="AE326" s="14">
        <v>314</v>
      </c>
      <c r="AF326" s="14" t="s">
        <v>365</v>
      </c>
      <c r="AG326" s="14" t="s">
        <v>27</v>
      </c>
      <c r="AH326" s="14" t="s">
        <v>650</v>
      </c>
      <c r="AI326" s="9">
        <v>131798</v>
      </c>
      <c r="AJ326" s="34">
        <v>31335</v>
      </c>
      <c r="AK326" s="9">
        <v>918</v>
      </c>
    </row>
    <row r="327" spans="5:37" x14ac:dyDescent="0.25">
      <c r="E327">
        <v>324</v>
      </c>
      <c r="F327" t="s">
        <v>375</v>
      </c>
      <c r="G327" t="s">
        <v>27</v>
      </c>
      <c r="H327" t="s">
        <v>660</v>
      </c>
      <c r="I327" s="9">
        <v>62988</v>
      </c>
      <c r="J327" s="10">
        <v>22160</v>
      </c>
      <c r="K327" s="9">
        <v>715</v>
      </c>
      <c r="AD327" s="13"/>
      <c r="AE327" s="14">
        <v>315</v>
      </c>
      <c r="AF327" s="14" t="s">
        <v>366</v>
      </c>
      <c r="AG327" s="14" t="s">
        <v>27</v>
      </c>
      <c r="AH327" s="14" t="s">
        <v>651</v>
      </c>
      <c r="AI327" s="9">
        <v>117239</v>
      </c>
      <c r="AJ327" s="34">
        <v>42475</v>
      </c>
      <c r="AK327" s="9">
        <v>2892</v>
      </c>
    </row>
    <row r="328" spans="5:37" x14ac:dyDescent="0.25">
      <c r="E328">
        <v>325</v>
      </c>
      <c r="F328" t="s">
        <v>376</v>
      </c>
      <c r="G328" t="s">
        <v>28</v>
      </c>
      <c r="H328" t="s">
        <v>649</v>
      </c>
      <c r="I328" s="9">
        <v>142213</v>
      </c>
      <c r="J328" s="10">
        <v>33345</v>
      </c>
      <c r="K328" s="9">
        <v>955</v>
      </c>
      <c r="AD328" s="13"/>
      <c r="AE328" s="14">
        <v>316</v>
      </c>
      <c r="AF328" s="14" t="s">
        <v>367</v>
      </c>
      <c r="AG328" s="14" t="s">
        <v>27</v>
      </c>
      <c r="AH328" s="14" t="s">
        <v>652</v>
      </c>
      <c r="AI328" s="9">
        <v>145381</v>
      </c>
      <c r="AJ328" s="34">
        <v>30458</v>
      </c>
      <c r="AK328" s="9">
        <v>1711</v>
      </c>
    </row>
    <row r="329" spans="5:37" x14ac:dyDescent="0.25">
      <c r="E329">
        <v>326</v>
      </c>
      <c r="F329" t="s">
        <v>377</v>
      </c>
      <c r="G329" t="s">
        <v>28</v>
      </c>
      <c r="H329" t="s">
        <v>650</v>
      </c>
      <c r="I329" s="9">
        <v>77063</v>
      </c>
      <c r="J329" s="10">
        <v>21841</v>
      </c>
      <c r="K329" s="9">
        <v>1663</v>
      </c>
      <c r="AD329" s="13"/>
      <c r="AE329" s="14">
        <v>317</v>
      </c>
      <c r="AF329" s="14" t="s">
        <v>368</v>
      </c>
      <c r="AG329" s="14" t="s">
        <v>27</v>
      </c>
      <c r="AH329" s="14" t="s">
        <v>653</v>
      </c>
      <c r="AI329" s="9">
        <v>49576</v>
      </c>
      <c r="AJ329" s="34">
        <v>13286</v>
      </c>
      <c r="AK329" s="9">
        <v>664</v>
      </c>
    </row>
    <row r="330" spans="5:37" x14ac:dyDescent="0.25">
      <c r="E330">
        <v>327</v>
      </c>
      <c r="F330" t="s">
        <v>378</v>
      </c>
      <c r="G330" t="s">
        <v>28</v>
      </c>
      <c r="H330" t="s">
        <v>651</v>
      </c>
      <c r="I330" s="9">
        <v>54340</v>
      </c>
      <c r="J330" s="10">
        <v>19937</v>
      </c>
      <c r="K330" s="9">
        <v>398</v>
      </c>
      <c r="AD330" s="13"/>
      <c r="AE330" s="14">
        <v>318</v>
      </c>
      <c r="AF330" s="14" t="s">
        <v>369</v>
      </c>
      <c r="AG330" s="14" t="s">
        <v>27</v>
      </c>
      <c r="AH330" s="14" t="s">
        <v>654</v>
      </c>
      <c r="AI330" s="9">
        <v>108085</v>
      </c>
      <c r="AJ330" s="34">
        <v>38057</v>
      </c>
      <c r="AK330" s="9">
        <v>858</v>
      </c>
    </row>
    <row r="331" spans="5:37" x14ac:dyDescent="0.25">
      <c r="E331">
        <v>328</v>
      </c>
      <c r="F331" t="s">
        <v>379</v>
      </c>
      <c r="G331" t="s">
        <v>28</v>
      </c>
      <c r="H331" t="s">
        <v>652</v>
      </c>
      <c r="I331" s="9">
        <v>67755</v>
      </c>
      <c r="J331" s="10">
        <v>20663</v>
      </c>
      <c r="K331" s="9">
        <v>296</v>
      </c>
      <c r="AD331" s="13"/>
      <c r="AE331" s="14">
        <v>319</v>
      </c>
      <c r="AF331" s="14" t="s">
        <v>370</v>
      </c>
      <c r="AG331" s="14" t="s">
        <v>27</v>
      </c>
      <c r="AH331" s="14" t="s">
        <v>655</v>
      </c>
      <c r="AI331" s="9">
        <v>69645</v>
      </c>
      <c r="AJ331" s="34">
        <v>20778</v>
      </c>
      <c r="AK331" s="9">
        <v>234</v>
      </c>
    </row>
    <row r="332" spans="5:37" x14ac:dyDescent="0.25">
      <c r="E332">
        <v>329</v>
      </c>
      <c r="F332" t="s">
        <v>380</v>
      </c>
      <c r="G332" t="s">
        <v>28</v>
      </c>
      <c r="H332" t="s">
        <v>653</v>
      </c>
      <c r="I332" s="9">
        <v>130932</v>
      </c>
      <c r="J332" s="10">
        <v>35036</v>
      </c>
      <c r="K332" s="9">
        <v>2543</v>
      </c>
      <c r="AD332" s="13"/>
      <c r="AE332" s="14">
        <v>320</v>
      </c>
      <c r="AF332" s="14" t="s">
        <v>371</v>
      </c>
      <c r="AG332" s="14" t="s">
        <v>27</v>
      </c>
      <c r="AH332" s="14" t="s">
        <v>656</v>
      </c>
      <c r="AI332" s="9">
        <v>73181</v>
      </c>
      <c r="AJ332" s="34">
        <v>19944</v>
      </c>
      <c r="AK332" s="9">
        <v>299</v>
      </c>
    </row>
    <row r="333" spans="5:37" x14ac:dyDescent="0.25">
      <c r="E333">
        <v>330</v>
      </c>
      <c r="F333" t="s">
        <v>381</v>
      </c>
      <c r="G333" t="s">
        <v>28</v>
      </c>
      <c r="H333" t="s">
        <v>654</v>
      </c>
      <c r="I333" s="9">
        <v>127437</v>
      </c>
      <c r="J333" s="10">
        <v>42902</v>
      </c>
      <c r="K333" s="9">
        <v>3803</v>
      </c>
      <c r="AD333" s="13"/>
      <c r="AE333" s="14">
        <v>321</v>
      </c>
      <c r="AF333" s="14" t="s">
        <v>372</v>
      </c>
      <c r="AG333" s="14" t="s">
        <v>27</v>
      </c>
      <c r="AH333" s="14" t="s">
        <v>657</v>
      </c>
      <c r="AI333" s="9">
        <v>33155</v>
      </c>
      <c r="AJ333" s="34">
        <v>12729</v>
      </c>
      <c r="AK333" s="9">
        <v>1148</v>
      </c>
    </row>
    <row r="334" spans="5:37" x14ac:dyDescent="0.25">
      <c r="E334">
        <v>331</v>
      </c>
      <c r="F334" t="s">
        <v>382</v>
      </c>
      <c r="G334" t="s">
        <v>28</v>
      </c>
      <c r="H334" t="s">
        <v>655</v>
      </c>
      <c r="I334" s="9">
        <v>118625</v>
      </c>
      <c r="J334" s="10">
        <v>36558</v>
      </c>
      <c r="K334" s="9">
        <v>3491</v>
      </c>
      <c r="AD334" s="13"/>
      <c r="AE334" s="14">
        <v>322</v>
      </c>
      <c r="AF334" s="14" t="s">
        <v>373</v>
      </c>
      <c r="AG334" s="14" t="s">
        <v>27</v>
      </c>
      <c r="AH334" s="14" t="s">
        <v>658</v>
      </c>
      <c r="AI334" s="9">
        <v>30246</v>
      </c>
      <c r="AJ334" s="34">
        <v>8200</v>
      </c>
      <c r="AK334" s="9">
        <v>559</v>
      </c>
    </row>
    <row r="335" spans="5:37" x14ac:dyDescent="0.25">
      <c r="E335">
        <v>332</v>
      </c>
      <c r="F335" t="s">
        <v>383</v>
      </c>
      <c r="G335" t="s">
        <v>28</v>
      </c>
      <c r="H335" t="s">
        <v>656</v>
      </c>
      <c r="I335" s="9">
        <v>44798</v>
      </c>
      <c r="J335" s="10">
        <v>14378</v>
      </c>
      <c r="K335" s="9">
        <v>1333</v>
      </c>
      <c r="AD335" s="13"/>
      <c r="AE335" s="14">
        <v>323</v>
      </c>
      <c r="AF335" s="14" t="s">
        <v>374</v>
      </c>
      <c r="AG335" s="14" t="s">
        <v>27</v>
      </c>
      <c r="AH335" s="14" t="s">
        <v>659</v>
      </c>
      <c r="AI335" s="9">
        <v>74986</v>
      </c>
      <c r="AJ335" s="34">
        <v>20508</v>
      </c>
      <c r="AK335" s="9">
        <v>1352</v>
      </c>
    </row>
    <row r="336" spans="5:37" x14ac:dyDescent="0.25">
      <c r="E336">
        <v>333</v>
      </c>
      <c r="F336" t="s">
        <v>384</v>
      </c>
      <c r="G336" t="s">
        <v>28</v>
      </c>
      <c r="H336" t="s">
        <v>657</v>
      </c>
      <c r="I336" s="9">
        <v>134241</v>
      </c>
      <c r="J336" s="10">
        <v>40229</v>
      </c>
      <c r="K336" s="9">
        <v>834</v>
      </c>
      <c r="AD336" s="13"/>
      <c r="AE336" s="14">
        <v>324</v>
      </c>
      <c r="AF336" s="14" t="s">
        <v>375</v>
      </c>
      <c r="AG336" s="14" t="s">
        <v>27</v>
      </c>
      <c r="AH336" s="14" t="s">
        <v>660</v>
      </c>
      <c r="AI336" s="9">
        <v>62988</v>
      </c>
      <c r="AJ336" s="34">
        <v>22160</v>
      </c>
      <c r="AK336" s="9">
        <v>715</v>
      </c>
    </row>
    <row r="337" spans="5:37" x14ac:dyDescent="0.25">
      <c r="E337">
        <v>334</v>
      </c>
      <c r="F337" t="s">
        <v>385</v>
      </c>
      <c r="G337" t="s">
        <v>28</v>
      </c>
      <c r="H337" t="s">
        <v>658</v>
      </c>
      <c r="I337" s="9">
        <v>77138</v>
      </c>
      <c r="J337" s="10">
        <v>28909</v>
      </c>
      <c r="K337" s="9">
        <v>1916</v>
      </c>
      <c r="AD337" s="13"/>
      <c r="AE337" s="14">
        <v>325</v>
      </c>
      <c r="AF337" s="14" t="s">
        <v>376</v>
      </c>
      <c r="AG337" s="14" t="s">
        <v>28</v>
      </c>
      <c r="AH337" s="14" t="s">
        <v>649</v>
      </c>
      <c r="AI337" s="9">
        <v>142213</v>
      </c>
      <c r="AJ337" s="34">
        <v>33345</v>
      </c>
      <c r="AK337" s="9">
        <v>955</v>
      </c>
    </row>
    <row r="338" spans="5:37" x14ac:dyDescent="0.25">
      <c r="E338">
        <v>335</v>
      </c>
      <c r="F338">
        <v>6.0293700699999998E+105</v>
      </c>
      <c r="G338" t="s">
        <v>28</v>
      </c>
      <c r="H338" t="s">
        <v>659</v>
      </c>
      <c r="I338" s="9">
        <v>12697</v>
      </c>
      <c r="J338" s="10">
        <v>3329</v>
      </c>
      <c r="K338" s="9">
        <v>154</v>
      </c>
      <c r="AD338" s="13"/>
      <c r="AE338" s="14">
        <v>326</v>
      </c>
      <c r="AF338" s="14" t="s">
        <v>377</v>
      </c>
      <c r="AG338" s="14" t="s">
        <v>28</v>
      </c>
      <c r="AH338" s="14" t="s">
        <v>650</v>
      </c>
      <c r="AI338" s="9">
        <v>77063</v>
      </c>
      <c r="AJ338" s="34">
        <v>21841</v>
      </c>
      <c r="AK338" s="9">
        <v>1663</v>
      </c>
    </row>
    <row r="339" spans="5:37" x14ac:dyDescent="0.25">
      <c r="E339">
        <v>336</v>
      </c>
      <c r="F339" t="s">
        <v>386</v>
      </c>
      <c r="G339" t="s">
        <v>28</v>
      </c>
      <c r="H339" t="s">
        <v>660</v>
      </c>
      <c r="I339" s="9">
        <v>16054</v>
      </c>
      <c r="J339" s="10">
        <v>6128</v>
      </c>
      <c r="K339" s="9">
        <v>476</v>
      </c>
      <c r="AD339" s="13"/>
      <c r="AE339" s="14">
        <v>327</v>
      </c>
      <c r="AF339" s="14" t="s">
        <v>378</v>
      </c>
      <c r="AG339" s="14" t="s">
        <v>28</v>
      </c>
      <c r="AH339" s="14" t="s">
        <v>651</v>
      </c>
      <c r="AI339" s="9">
        <v>54340</v>
      </c>
      <c r="AJ339" s="34">
        <v>19937</v>
      </c>
      <c r="AK339" s="9">
        <v>398</v>
      </c>
    </row>
    <row r="340" spans="5:37" x14ac:dyDescent="0.25">
      <c r="E340">
        <v>337</v>
      </c>
      <c r="F340" t="s">
        <v>387</v>
      </c>
      <c r="G340" t="s">
        <v>29</v>
      </c>
      <c r="H340" t="s">
        <v>649</v>
      </c>
      <c r="I340" s="9">
        <v>30835</v>
      </c>
      <c r="J340" s="10">
        <v>11708</v>
      </c>
      <c r="K340" s="9">
        <v>996</v>
      </c>
      <c r="AD340" s="13"/>
      <c r="AE340" s="14">
        <v>328</v>
      </c>
      <c r="AF340" s="14" t="s">
        <v>379</v>
      </c>
      <c r="AG340" s="14" t="s">
        <v>28</v>
      </c>
      <c r="AH340" s="14" t="s">
        <v>652</v>
      </c>
      <c r="AI340" s="9">
        <v>67755</v>
      </c>
      <c r="AJ340" s="34">
        <v>20663</v>
      </c>
      <c r="AK340" s="9">
        <v>296</v>
      </c>
    </row>
    <row r="341" spans="5:37" x14ac:dyDescent="0.25">
      <c r="E341">
        <v>338</v>
      </c>
      <c r="F341" t="s">
        <v>388</v>
      </c>
      <c r="G341" t="s">
        <v>29</v>
      </c>
      <c r="H341" t="s">
        <v>650</v>
      </c>
      <c r="I341" s="9">
        <v>41219</v>
      </c>
      <c r="J341" s="10">
        <v>11873</v>
      </c>
      <c r="K341" s="9">
        <v>720</v>
      </c>
      <c r="AD341" s="13"/>
      <c r="AE341" s="14">
        <v>329</v>
      </c>
      <c r="AF341" s="14" t="s">
        <v>380</v>
      </c>
      <c r="AG341" s="14" t="s">
        <v>28</v>
      </c>
      <c r="AH341" s="14" t="s">
        <v>653</v>
      </c>
      <c r="AI341" s="9">
        <v>130932</v>
      </c>
      <c r="AJ341" s="34">
        <v>35036</v>
      </c>
      <c r="AK341" s="9">
        <v>2543</v>
      </c>
    </row>
    <row r="342" spans="5:37" x14ac:dyDescent="0.25">
      <c r="E342">
        <v>339</v>
      </c>
      <c r="F342" t="s">
        <v>389</v>
      </c>
      <c r="G342" t="s">
        <v>29</v>
      </c>
      <c r="H342" t="s">
        <v>651</v>
      </c>
      <c r="I342" s="9">
        <v>122290</v>
      </c>
      <c r="J342" s="10">
        <v>29023</v>
      </c>
      <c r="K342" s="9">
        <v>1600</v>
      </c>
      <c r="AD342" s="13"/>
      <c r="AE342" s="14">
        <v>330</v>
      </c>
      <c r="AF342" s="14" t="s">
        <v>381</v>
      </c>
      <c r="AG342" s="14" t="s">
        <v>28</v>
      </c>
      <c r="AH342" s="14" t="s">
        <v>654</v>
      </c>
      <c r="AI342" s="9">
        <v>127437</v>
      </c>
      <c r="AJ342" s="34">
        <v>42902</v>
      </c>
      <c r="AK342" s="9">
        <v>3803</v>
      </c>
    </row>
    <row r="343" spans="5:37" x14ac:dyDescent="0.25">
      <c r="E343">
        <v>340</v>
      </c>
      <c r="F343" t="s">
        <v>390</v>
      </c>
      <c r="G343" t="s">
        <v>29</v>
      </c>
      <c r="H343" t="s">
        <v>652</v>
      </c>
      <c r="I343" s="9">
        <v>13072</v>
      </c>
      <c r="J343" s="10">
        <v>4500</v>
      </c>
      <c r="K343" s="9">
        <v>230</v>
      </c>
      <c r="AD343" s="13"/>
      <c r="AE343" s="14">
        <v>331</v>
      </c>
      <c r="AF343" s="14" t="s">
        <v>382</v>
      </c>
      <c r="AG343" s="14" t="s">
        <v>28</v>
      </c>
      <c r="AH343" s="14" t="s">
        <v>655</v>
      </c>
      <c r="AI343" s="9">
        <v>118625</v>
      </c>
      <c r="AJ343" s="34">
        <v>36558</v>
      </c>
      <c r="AK343" s="9">
        <v>3491</v>
      </c>
    </row>
    <row r="344" spans="5:37" x14ac:dyDescent="0.25">
      <c r="E344">
        <v>341</v>
      </c>
      <c r="F344" t="s">
        <v>391</v>
      </c>
      <c r="G344" t="s">
        <v>29</v>
      </c>
      <c r="H344" t="s">
        <v>653</v>
      </c>
      <c r="I344" s="9">
        <v>17719</v>
      </c>
      <c r="J344" s="10">
        <v>4805</v>
      </c>
      <c r="K344" s="9">
        <v>77</v>
      </c>
      <c r="AD344" s="13"/>
      <c r="AE344" s="14">
        <v>332</v>
      </c>
      <c r="AF344" s="14" t="s">
        <v>383</v>
      </c>
      <c r="AG344" s="14" t="s">
        <v>28</v>
      </c>
      <c r="AH344" s="14" t="s">
        <v>656</v>
      </c>
      <c r="AI344" s="9">
        <v>44798</v>
      </c>
      <c r="AJ344" s="34">
        <v>14378</v>
      </c>
      <c r="AK344" s="9">
        <v>1333</v>
      </c>
    </row>
    <row r="345" spans="5:37" x14ac:dyDescent="0.25">
      <c r="E345">
        <v>342</v>
      </c>
      <c r="F345" t="s">
        <v>392</v>
      </c>
      <c r="G345" t="s">
        <v>29</v>
      </c>
      <c r="H345" t="s">
        <v>654</v>
      </c>
      <c r="I345" s="9">
        <v>91240</v>
      </c>
      <c r="J345" s="10">
        <v>21646</v>
      </c>
      <c r="K345" s="9">
        <v>28</v>
      </c>
      <c r="AD345" s="13"/>
      <c r="AE345" s="14">
        <v>333</v>
      </c>
      <c r="AF345" s="14" t="s">
        <v>384</v>
      </c>
      <c r="AG345" s="14" t="s">
        <v>28</v>
      </c>
      <c r="AH345" s="14" t="s">
        <v>657</v>
      </c>
      <c r="AI345" s="9">
        <v>134241</v>
      </c>
      <c r="AJ345" s="34">
        <v>40229</v>
      </c>
      <c r="AK345" s="9">
        <v>834</v>
      </c>
    </row>
    <row r="346" spans="5:37" x14ac:dyDescent="0.25">
      <c r="E346">
        <v>343</v>
      </c>
      <c r="F346" t="s">
        <v>393</v>
      </c>
      <c r="G346" t="s">
        <v>29</v>
      </c>
      <c r="H346" t="s">
        <v>655</v>
      </c>
      <c r="I346" s="9">
        <v>26142</v>
      </c>
      <c r="J346" s="10">
        <v>9661</v>
      </c>
      <c r="K346" s="9">
        <v>158</v>
      </c>
      <c r="AD346" s="13"/>
      <c r="AE346" s="14">
        <v>334</v>
      </c>
      <c r="AF346" s="14" t="s">
        <v>385</v>
      </c>
      <c r="AG346" s="14" t="s">
        <v>28</v>
      </c>
      <c r="AH346" s="14" t="s">
        <v>658</v>
      </c>
      <c r="AI346" s="9">
        <v>77138</v>
      </c>
      <c r="AJ346" s="34">
        <v>28909</v>
      </c>
      <c r="AK346" s="9">
        <v>1916</v>
      </c>
    </row>
    <row r="347" spans="5:37" x14ac:dyDescent="0.25">
      <c r="E347">
        <v>344</v>
      </c>
      <c r="F347" t="s">
        <v>394</v>
      </c>
      <c r="G347" t="s">
        <v>29</v>
      </c>
      <c r="H347" t="s">
        <v>656</v>
      </c>
      <c r="I347" s="9">
        <v>59248</v>
      </c>
      <c r="J347" s="10">
        <v>17293</v>
      </c>
      <c r="K347" s="9">
        <v>1080</v>
      </c>
      <c r="AD347" s="13"/>
      <c r="AE347" s="14">
        <v>335</v>
      </c>
      <c r="AF347" s="14">
        <v>6.0293700699999998E+105</v>
      </c>
      <c r="AG347" s="14" t="s">
        <v>28</v>
      </c>
      <c r="AH347" s="14" t="s">
        <v>659</v>
      </c>
      <c r="AI347" s="9">
        <v>12697</v>
      </c>
      <c r="AJ347" s="34">
        <v>3329</v>
      </c>
      <c r="AK347" s="9">
        <v>154</v>
      </c>
    </row>
    <row r="348" spans="5:37" x14ac:dyDescent="0.25">
      <c r="E348">
        <v>345</v>
      </c>
      <c r="F348" t="s">
        <v>395</v>
      </c>
      <c r="G348" t="s">
        <v>29</v>
      </c>
      <c r="H348" t="s">
        <v>657</v>
      </c>
      <c r="I348" s="9">
        <v>141244</v>
      </c>
      <c r="J348" s="10">
        <v>37896</v>
      </c>
      <c r="K348" s="9">
        <v>1806</v>
      </c>
      <c r="AD348" s="13"/>
      <c r="AE348" s="14">
        <v>336</v>
      </c>
      <c r="AF348" s="14" t="s">
        <v>386</v>
      </c>
      <c r="AG348" s="14" t="s">
        <v>28</v>
      </c>
      <c r="AH348" s="14" t="s">
        <v>660</v>
      </c>
      <c r="AI348" s="9">
        <v>16054</v>
      </c>
      <c r="AJ348" s="34">
        <v>6128</v>
      </c>
      <c r="AK348" s="9">
        <v>476</v>
      </c>
    </row>
    <row r="349" spans="5:37" x14ac:dyDescent="0.25">
      <c r="E349">
        <v>346</v>
      </c>
      <c r="F349" t="s">
        <v>396</v>
      </c>
      <c r="G349" t="s">
        <v>29</v>
      </c>
      <c r="H349" t="s">
        <v>658</v>
      </c>
      <c r="I349" s="9">
        <v>118211</v>
      </c>
      <c r="J349" s="10">
        <v>27001</v>
      </c>
      <c r="K349" s="9">
        <v>2535</v>
      </c>
      <c r="AD349" s="13"/>
      <c r="AE349" s="14">
        <v>337</v>
      </c>
      <c r="AF349" s="14" t="s">
        <v>387</v>
      </c>
      <c r="AG349" s="14" t="s">
        <v>29</v>
      </c>
      <c r="AH349" s="14" t="s">
        <v>649</v>
      </c>
      <c r="AI349" s="9">
        <v>30835</v>
      </c>
      <c r="AJ349" s="34">
        <v>11708</v>
      </c>
      <c r="AK349" s="9">
        <v>996</v>
      </c>
    </row>
    <row r="350" spans="5:37" x14ac:dyDescent="0.25">
      <c r="E350">
        <v>347</v>
      </c>
      <c r="F350" t="s">
        <v>397</v>
      </c>
      <c r="G350" t="s">
        <v>29</v>
      </c>
      <c r="H350" t="s">
        <v>659</v>
      </c>
      <c r="I350" s="9">
        <v>104859</v>
      </c>
      <c r="J350" s="10">
        <v>26437</v>
      </c>
      <c r="K350" s="9">
        <v>179</v>
      </c>
      <c r="AD350" s="13"/>
      <c r="AE350" s="14">
        <v>338</v>
      </c>
      <c r="AF350" s="14" t="s">
        <v>388</v>
      </c>
      <c r="AG350" s="14" t="s">
        <v>29</v>
      </c>
      <c r="AH350" s="14" t="s">
        <v>650</v>
      </c>
      <c r="AI350" s="9">
        <v>41219</v>
      </c>
      <c r="AJ350" s="34">
        <v>11873</v>
      </c>
      <c r="AK350" s="9">
        <v>720</v>
      </c>
    </row>
    <row r="351" spans="5:37" x14ac:dyDescent="0.25">
      <c r="E351">
        <v>348</v>
      </c>
      <c r="F351" t="s">
        <v>398</v>
      </c>
      <c r="G351" t="s">
        <v>29</v>
      </c>
      <c r="H351" t="s">
        <v>660</v>
      </c>
      <c r="I351" s="9">
        <v>81175</v>
      </c>
      <c r="J351" s="10">
        <v>16884</v>
      </c>
      <c r="K351" s="9">
        <v>1583</v>
      </c>
      <c r="AD351" s="13"/>
      <c r="AE351" s="14">
        <v>339</v>
      </c>
      <c r="AF351" s="14" t="s">
        <v>389</v>
      </c>
      <c r="AG351" s="14" t="s">
        <v>29</v>
      </c>
      <c r="AH351" s="14" t="s">
        <v>651</v>
      </c>
      <c r="AI351" s="9">
        <v>122290</v>
      </c>
      <c r="AJ351" s="34">
        <v>29023</v>
      </c>
      <c r="AK351" s="9">
        <v>1600</v>
      </c>
    </row>
    <row r="352" spans="5:37" x14ac:dyDescent="0.25">
      <c r="E352">
        <v>349</v>
      </c>
      <c r="F352" t="s">
        <v>399</v>
      </c>
      <c r="G352" t="s">
        <v>30</v>
      </c>
      <c r="H352" t="s">
        <v>649</v>
      </c>
      <c r="I352" s="9">
        <v>30403</v>
      </c>
      <c r="J352" s="10">
        <v>9043</v>
      </c>
      <c r="K352" s="9">
        <v>108</v>
      </c>
      <c r="AD352" s="13"/>
      <c r="AE352" s="14">
        <v>340</v>
      </c>
      <c r="AF352" s="14" t="s">
        <v>390</v>
      </c>
      <c r="AG352" s="14" t="s">
        <v>29</v>
      </c>
      <c r="AH352" s="14" t="s">
        <v>652</v>
      </c>
      <c r="AI352" s="9">
        <v>13072</v>
      </c>
      <c r="AJ352" s="34">
        <v>4500</v>
      </c>
      <c r="AK352" s="9">
        <v>230</v>
      </c>
    </row>
    <row r="353" spans="5:37" x14ac:dyDescent="0.25">
      <c r="E353">
        <v>350</v>
      </c>
      <c r="F353" t="s">
        <v>400</v>
      </c>
      <c r="G353" t="s">
        <v>30</v>
      </c>
      <c r="H353" t="s">
        <v>650</v>
      </c>
      <c r="I353" s="9">
        <v>73927</v>
      </c>
      <c r="J353" s="10">
        <v>28593</v>
      </c>
      <c r="K353" s="9">
        <v>1555</v>
      </c>
      <c r="AD353" s="13"/>
      <c r="AE353" s="14">
        <v>341</v>
      </c>
      <c r="AF353" s="14" t="s">
        <v>391</v>
      </c>
      <c r="AG353" s="14" t="s">
        <v>29</v>
      </c>
      <c r="AH353" s="14" t="s">
        <v>653</v>
      </c>
      <c r="AI353" s="9">
        <v>17719</v>
      </c>
      <c r="AJ353" s="34">
        <v>4805</v>
      </c>
      <c r="AK353" s="9">
        <v>77</v>
      </c>
    </row>
    <row r="354" spans="5:37" x14ac:dyDescent="0.25">
      <c r="E354">
        <v>351</v>
      </c>
      <c r="F354" t="s">
        <v>401</v>
      </c>
      <c r="G354" t="s">
        <v>30</v>
      </c>
      <c r="H354" t="s">
        <v>651</v>
      </c>
      <c r="I354" s="9">
        <v>25379</v>
      </c>
      <c r="J354" s="10">
        <v>5847</v>
      </c>
      <c r="K354" s="9">
        <v>451</v>
      </c>
      <c r="AD354" s="13"/>
      <c r="AE354" s="14">
        <v>342</v>
      </c>
      <c r="AF354" s="14" t="s">
        <v>392</v>
      </c>
      <c r="AG354" s="14" t="s">
        <v>29</v>
      </c>
      <c r="AH354" s="14" t="s">
        <v>654</v>
      </c>
      <c r="AI354" s="9">
        <v>91240</v>
      </c>
      <c r="AJ354" s="34">
        <v>21646</v>
      </c>
      <c r="AK354" s="9">
        <v>28</v>
      </c>
    </row>
    <row r="355" spans="5:37" x14ac:dyDescent="0.25">
      <c r="E355">
        <v>352</v>
      </c>
      <c r="F355" t="s">
        <v>402</v>
      </c>
      <c r="G355" t="s">
        <v>30</v>
      </c>
      <c r="H355" t="s">
        <v>652</v>
      </c>
      <c r="I355" s="9">
        <v>115458</v>
      </c>
      <c r="J355" s="10">
        <v>30956</v>
      </c>
      <c r="K355" s="9">
        <v>1281</v>
      </c>
      <c r="AD355" s="13"/>
      <c r="AE355" s="14">
        <v>343</v>
      </c>
      <c r="AF355" s="14" t="s">
        <v>393</v>
      </c>
      <c r="AG355" s="14" t="s">
        <v>29</v>
      </c>
      <c r="AH355" s="14" t="s">
        <v>655</v>
      </c>
      <c r="AI355" s="9">
        <v>26142</v>
      </c>
      <c r="AJ355" s="34">
        <v>9661</v>
      </c>
      <c r="AK355" s="9">
        <v>158</v>
      </c>
    </row>
    <row r="356" spans="5:37" x14ac:dyDescent="0.25">
      <c r="E356">
        <v>353</v>
      </c>
      <c r="F356">
        <v>463285891454</v>
      </c>
      <c r="G356" t="s">
        <v>30</v>
      </c>
      <c r="H356" t="s">
        <v>653</v>
      </c>
      <c r="I356" s="9">
        <v>87254</v>
      </c>
      <c r="J356" s="10">
        <v>30841</v>
      </c>
      <c r="K356" s="9">
        <v>378</v>
      </c>
      <c r="AD356" s="13"/>
      <c r="AE356" s="14">
        <v>344</v>
      </c>
      <c r="AF356" s="14" t="s">
        <v>394</v>
      </c>
      <c r="AG356" s="14" t="s">
        <v>29</v>
      </c>
      <c r="AH356" s="14" t="s">
        <v>656</v>
      </c>
      <c r="AI356" s="9">
        <v>59248</v>
      </c>
      <c r="AJ356" s="34">
        <v>17293</v>
      </c>
      <c r="AK356" s="9">
        <v>1080</v>
      </c>
    </row>
    <row r="357" spans="5:37" x14ac:dyDescent="0.25">
      <c r="E357">
        <v>354</v>
      </c>
      <c r="F357" t="s">
        <v>403</v>
      </c>
      <c r="G357" t="s">
        <v>30</v>
      </c>
      <c r="H357" t="s">
        <v>654</v>
      </c>
      <c r="I357" s="9">
        <v>133104</v>
      </c>
      <c r="J357" s="10">
        <v>28288</v>
      </c>
      <c r="K357" s="9">
        <v>2750</v>
      </c>
      <c r="AD357" s="13"/>
      <c r="AE357" s="14">
        <v>345</v>
      </c>
      <c r="AF357" s="14" t="s">
        <v>395</v>
      </c>
      <c r="AG357" s="14" t="s">
        <v>29</v>
      </c>
      <c r="AH357" s="14" t="s">
        <v>657</v>
      </c>
      <c r="AI357" s="9">
        <v>141244</v>
      </c>
      <c r="AJ357" s="34">
        <v>37896</v>
      </c>
      <c r="AK357" s="9">
        <v>1806</v>
      </c>
    </row>
    <row r="358" spans="5:37" x14ac:dyDescent="0.25">
      <c r="E358">
        <v>355</v>
      </c>
      <c r="F358" t="s">
        <v>404</v>
      </c>
      <c r="G358" t="s">
        <v>30</v>
      </c>
      <c r="H358" t="s">
        <v>655</v>
      </c>
      <c r="I358" s="9">
        <v>118760</v>
      </c>
      <c r="J358" s="10">
        <v>28691</v>
      </c>
      <c r="K358" s="9">
        <v>55</v>
      </c>
      <c r="AD358" s="13"/>
      <c r="AE358" s="14">
        <v>346</v>
      </c>
      <c r="AF358" s="14" t="s">
        <v>396</v>
      </c>
      <c r="AG358" s="14" t="s">
        <v>29</v>
      </c>
      <c r="AH358" s="14" t="s">
        <v>658</v>
      </c>
      <c r="AI358" s="9">
        <v>118211</v>
      </c>
      <c r="AJ358" s="34">
        <v>27001</v>
      </c>
      <c r="AK358" s="9">
        <v>2535</v>
      </c>
    </row>
    <row r="359" spans="5:37" x14ac:dyDescent="0.25">
      <c r="E359">
        <v>356</v>
      </c>
      <c r="F359" t="s">
        <v>405</v>
      </c>
      <c r="G359" t="s">
        <v>30</v>
      </c>
      <c r="H359" t="s">
        <v>656</v>
      </c>
      <c r="I359" s="9">
        <v>10141</v>
      </c>
      <c r="J359" s="10">
        <v>2628</v>
      </c>
      <c r="K359" s="9">
        <v>132</v>
      </c>
      <c r="AD359" s="13"/>
      <c r="AE359" s="14">
        <v>347</v>
      </c>
      <c r="AF359" s="14" t="s">
        <v>397</v>
      </c>
      <c r="AG359" s="14" t="s">
        <v>29</v>
      </c>
      <c r="AH359" s="14" t="s">
        <v>659</v>
      </c>
      <c r="AI359" s="9">
        <v>104859</v>
      </c>
      <c r="AJ359" s="34">
        <v>26437</v>
      </c>
      <c r="AK359" s="9">
        <v>179</v>
      </c>
    </row>
    <row r="360" spans="5:37" x14ac:dyDescent="0.25">
      <c r="E360">
        <v>357</v>
      </c>
      <c r="F360" t="s">
        <v>406</v>
      </c>
      <c r="G360" t="s">
        <v>30</v>
      </c>
      <c r="H360" t="s">
        <v>657</v>
      </c>
      <c r="I360" s="9">
        <v>37757</v>
      </c>
      <c r="J360" s="10">
        <v>11520</v>
      </c>
      <c r="K360" s="9">
        <v>263</v>
      </c>
      <c r="AD360" s="13"/>
      <c r="AE360" s="14">
        <v>348</v>
      </c>
      <c r="AF360" s="14" t="s">
        <v>398</v>
      </c>
      <c r="AG360" s="14" t="s">
        <v>29</v>
      </c>
      <c r="AH360" s="14" t="s">
        <v>660</v>
      </c>
      <c r="AI360" s="9">
        <v>81175</v>
      </c>
      <c r="AJ360" s="34">
        <v>16884</v>
      </c>
      <c r="AK360" s="9">
        <v>1583</v>
      </c>
    </row>
    <row r="361" spans="5:37" x14ac:dyDescent="0.25">
      <c r="E361">
        <v>358</v>
      </c>
      <c r="F361" t="s">
        <v>407</v>
      </c>
      <c r="G361" t="s">
        <v>30</v>
      </c>
      <c r="H361" t="s">
        <v>658</v>
      </c>
      <c r="I361" s="9">
        <v>75371</v>
      </c>
      <c r="J361" s="10">
        <v>16090</v>
      </c>
      <c r="K361" s="9">
        <v>800</v>
      </c>
      <c r="AD361" s="13"/>
      <c r="AE361" s="14">
        <v>349</v>
      </c>
      <c r="AF361" s="14" t="s">
        <v>399</v>
      </c>
      <c r="AG361" s="14" t="s">
        <v>30</v>
      </c>
      <c r="AH361" s="14" t="s">
        <v>649</v>
      </c>
      <c r="AI361" s="9">
        <v>30403</v>
      </c>
      <c r="AJ361" s="34">
        <v>9043</v>
      </c>
      <c r="AK361" s="9">
        <v>108</v>
      </c>
    </row>
    <row r="362" spans="5:37" x14ac:dyDescent="0.25">
      <c r="E362">
        <v>359</v>
      </c>
      <c r="F362" t="s">
        <v>408</v>
      </c>
      <c r="G362" t="s">
        <v>30</v>
      </c>
      <c r="H362" t="s">
        <v>659</v>
      </c>
      <c r="I362" s="9">
        <v>149969</v>
      </c>
      <c r="J362" s="10">
        <v>56865</v>
      </c>
      <c r="K362" s="9">
        <v>1745</v>
      </c>
      <c r="AD362" s="13"/>
      <c r="AE362" s="14">
        <v>350</v>
      </c>
      <c r="AF362" s="14" t="s">
        <v>400</v>
      </c>
      <c r="AG362" s="14" t="s">
        <v>30</v>
      </c>
      <c r="AH362" s="14" t="s">
        <v>650</v>
      </c>
      <c r="AI362" s="9">
        <v>73927</v>
      </c>
      <c r="AJ362" s="34">
        <v>28593</v>
      </c>
      <c r="AK362" s="9">
        <v>1555</v>
      </c>
    </row>
    <row r="363" spans="5:37" x14ac:dyDescent="0.25">
      <c r="E363">
        <v>360</v>
      </c>
      <c r="F363" t="s">
        <v>409</v>
      </c>
      <c r="G363" t="s">
        <v>30</v>
      </c>
      <c r="H363" t="s">
        <v>660</v>
      </c>
      <c r="I363" s="9">
        <v>105703</v>
      </c>
      <c r="J363" s="10">
        <v>25231</v>
      </c>
      <c r="K363" s="9">
        <v>1750</v>
      </c>
      <c r="AD363" s="13"/>
      <c r="AE363" s="14">
        <v>351</v>
      </c>
      <c r="AF363" s="14" t="s">
        <v>401</v>
      </c>
      <c r="AG363" s="14" t="s">
        <v>30</v>
      </c>
      <c r="AH363" s="14" t="s">
        <v>651</v>
      </c>
      <c r="AI363" s="9">
        <v>25379</v>
      </c>
      <c r="AJ363" s="34">
        <v>5847</v>
      </c>
      <c r="AK363" s="9">
        <v>451</v>
      </c>
    </row>
    <row r="364" spans="5:37" x14ac:dyDescent="0.25">
      <c r="E364">
        <v>361</v>
      </c>
      <c r="F364" t="s">
        <v>410</v>
      </c>
      <c r="G364" t="s">
        <v>31</v>
      </c>
      <c r="H364" t="s">
        <v>649</v>
      </c>
      <c r="I364" s="9">
        <v>16892</v>
      </c>
      <c r="J364" s="10">
        <v>5922</v>
      </c>
      <c r="K364" s="9">
        <v>244</v>
      </c>
      <c r="AD364" s="13"/>
      <c r="AE364" s="14">
        <v>352</v>
      </c>
      <c r="AF364" s="14" t="s">
        <v>402</v>
      </c>
      <c r="AG364" s="14" t="s">
        <v>30</v>
      </c>
      <c r="AH364" s="14" t="s">
        <v>652</v>
      </c>
      <c r="AI364" s="9">
        <v>115458</v>
      </c>
      <c r="AJ364" s="34">
        <v>30956</v>
      </c>
      <c r="AK364" s="9">
        <v>1281</v>
      </c>
    </row>
    <row r="365" spans="5:37" x14ac:dyDescent="0.25">
      <c r="E365">
        <v>362</v>
      </c>
      <c r="F365" t="s">
        <v>411</v>
      </c>
      <c r="G365" t="s">
        <v>31</v>
      </c>
      <c r="H365" t="s">
        <v>650</v>
      </c>
      <c r="I365" s="9">
        <v>91036</v>
      </c>
      <c r="J365" s="10">
        <v>20019</v>
      </c>
      <c r="K365" s="9">
        <v>67</v>
      </c>
      <c r="AD365" s="13"/>
      <c r="AE365" s="14">
        <v>353</v>
      </c>
      <c r="AF365" s="14">
        <v>463285891454</v>
      </c>
      <c r="AG365" s="14" t="s">
        <v>30</v>
      </c>
      <c r="AH365" s="14" t="s">
        <v>653</v>
      </c>
      <c r="AI365" s="9">
        <v>87254</v>
      </c>
      <c r="AJ365" s="34">
        <v>30841</v>
      </c>
      <c r="AK365" s="9">
        <v>378</v>
      </c>
    </row>
    <row r="366" spans="5:37" x14ac:dyDescent="0.25">
      <c r="E366">
        <v>363</v>
      </c>
      <c r="F366" t="s">
        <v>412</v>
      </c>
      <c r="G366" t="s">
        <v>31</v>
      </c>
      <c r="H366" t="s">
        <v>651</v>
      </c>
      <c r="I366" s="9">
        <v>148727</v>
      </c>
      <c r="J366" s="10">
        <v>50801</v>
      </c>
      <c r="K366" s="9">
        <v>415</v>
      </c>
      <c r="AD366" s="13"/>
      <c r="AE366" s="14">
        <v>354</v>
      </c>
      <c r="AF366" s="14" t="s">
        <v>403</v>
      </c>
      <c r="AG366" s="14" t="s">
        <v>30</v>
      </c>
      <c r="AH366" s="14" t="s">
        <v>654</v>
      </c>
      <c r="AI366" s="9">
        <v>133104</v>
      </c>
      <c r="AJ366" s="34">
        <v>28288</v>
      </c>
      <c r="AK366" s="9">
        <v>2750</v>
      </c>
    </row>
    <row r="367" spans="5:37" x14ac:dyDescent="0.25">
      <c r="E367">
        <v>364</v>
      </c>
      <c r="F367" t="s">
        <v>413</v>
      </c>
      <c r="G367" t="s">
        <v>31</v>
      </c>
      <c r="H367" t="s">
        <v>652</v>
      </c>
      <c r="I367" s="9">
        <v>59900</v>
      </c>
      <c r="J367" s="10">
        <v>13173</v>
      </c>
      <c r="K367" s="9">
        <v>670</v>
      </c>
      <c r="AD367" s="13"/>
      <c r="AE367" s="14">
        <v>355</v>
      </c>
      <c r="AF367" s="14" t="s">
        <v>404</v>
      </c>
      <c r="AG367" s="14" t="s">
        <v>30</v>
      </c>
      <c r="AH367" s="14" t="s">
        <v>655</v>
      </c>
      <c r="AI367" s="9">
        <v>118760</v>
      </c>
      <c r="AJ367" s="34">
        <v>28691</v>
      </c>
      <c r="AK367" s="9">
        <v>55</v>
      </c>
    </row>
    <row r="368" spans="5:37" x14ac:dyDescent="0.25">
      <c r="E368">
        <v>365</v>
      </c>
      <c r="F368" t="s">
        <v>414</v>
      </c>
      <c r="G368" t="s">
        <v>31</v>
      </c>
      <c r="H368" t="s">
        <v>653</v>
      </c>
      <c r="I368" s="9">
        <v>26272</v>
      </c>
      <c r="J368" s="10">
        <v>8249</v>
      </c>
      <c r="K368" s="9">
        <v>317</v>
      </c>
      <c r="AD368" s="13"/>
      <c r="AE368" s="14">
        <v>356</v>
      </c>
      <c r="AF368" s="14" t="s">
        <v>405</v>
      </c>
      <c r="AG368" s="14" t="s">
        <v>30</v>
      </c>
      <c r="AH368" s="14" t="s">
        <v>656</v>
      </c>
      <c r="AI368" s="9">
        <v>10141</v>
      </c>
      <c r="AJ368" s="34">
        <v>2628</v>
      </c>
      <c r="AK368" s="9">
        <v>132</v>
      </c>
    </row>
    <row r="369" spans="5:37" x14ac:dyDescent="0.25">
      <c r="E369">
        <v>366</v>
      </c>
      <c r="F369" t="s">
        <v>415</v>
      </c>
      <c r="G369" t="s">
        <v>31</v>
      </c>
      <c r="H369" t="s">
        <v>654</v>
      </c>
      <c r="I369" s="9">
        <v>46883</v>
      </c>
      <c r="J369" s="10">
        <v>10029</v>
      </c>
      <c r="K369" s="9">
        <v>464</v>
      </c>
      <c r="AD369" s="13"/>
      <c r="AE369" s="14">
        <v>357</v>
      </c>
      <c r="AF369" s="14" t="s">
        <v>406</v>
      </c>
      <c r="AG369" s="14" t="s">
        <v>30</v>
      </c>
      <c r="AH369" s="14" t="s">
        <v>657</v>
      </c>
      <c r="AI369" s="9">
        <v>37757</v>
      </c>
      <c r="AJ369" s="34">
        <v>11520</v>
      </c>
      <c r="AK369" s="9">
        <v>263</v>
      </c>
    </row>
    <row r="370" spans="5:37" x14ac:dyDescent="0.25">
      <c r="E370">
        <v>367</v>
      </c>
      <c r="F370" t="s">
        <v>416</v>
      </c>
      <c r="G370" t="s">
        <v>31</v>
      </c>
      <c r="H370" t="s">
        <v>655</v>
      </c>
      <c r="I370" s="9">
        <v>116872</v>
      </c>
      <c r="J370" s="10">
        <v>39492</v>
      </c>
      <c r="K370" s="9">
        <v>1337</v>
      </c>
      <c r="AD370" s="13"/>
      <c r="AE370" s="14">
        <v>358</v>
      </c>
      <c r="AF370" s="14" t="s">
        <v>407</v>
      </c>
      <c r="AG370" s="14" t="s">
        <v>30</v>
      </c>
      <c r="AH370" s="14" t="s">
        <v>658</v>
      </c>
      <c r="AI370" s="9">
        <v>75371</v>
      </c>
      <c r="AJ370" s="34">
        <v>16090</v>
      </c>
      <c r="AK370" s="9">
        <v>800</v>
      </c>
    </row>
    <row r="371" spans="5:37" x14ac:dyDescent="0.25">
      <c r="E371">
        <v>368</v>
      </c>
      <c r="F371" t="s">
        <v>417</v>
      </c>
      <c r="G371" t="s">
        <v>31</v>
      </c>
      <c r="H371" t="s">
        <v>656</v>
      </c>
      <c r="I371" s="9">
        <v>24344</v>
      </c>
      <c r="J371" s="10">
        <v>5569</v>
      </c>
      <c r="K371" s="9">
        <v>83</v>
      </c>
      <c r="AD371" s="13"/>
      <c r="AE371" s="14">
        <v>359</v>
      </c>
      <c r="AF371" s="14" t="s">
        <v>408</v>
      </c>
      <c r="AG371" s="14" t="s">
        <v>30</v>
      </c>
      <c r="AH371" s="14" t="s">
        <v>659</v>
      </c>
      <c r="AI371" s="9">
        <v>149969</v>
      </c>
      <c r="AJ371" s="34">
        <v>56865</v>
      </c>
      <c r="AK371" s="9">
        <v>1745</v>
      </c>
    </row>
    <row r="372" spans="5:37" x14ac:dyDescent="0.25">
      <c r="E372">
        <v>369</v>
      </c>
      <c r="F372" t="s">
        <v>418</v>
      </c>
      <c r="G372" t="s">
        <v>31</v>
      </c>
      <c r="H372" t="s">
        <v>657</v>
      </c>
      <c r="I372" s="9">
        <v>43798</v>
      </c>
      <c r="J372" s="10">
        <v>15058</v>
      </c>
      <c r="K372" s="9">
        <v>834</v>
      </c>
      <c r="AD372" s="13"/>
      <c r="AE372" s="14">
        <v>360</v>
      </c>
      <c r="AF372" s="14" t="s">
        <v>409</v>
      </c>
      <c r="AG372" s="14" t="s">
        <v>30</v>
      </c>
      <c r="AH372" s="14" t="s">
        <v>660</v>
      </c>
      <c r="AI372" s="9">
        <v>105703</v>
      </c>
      <c r="AJ372" s="34">
        <v>25231</v>
      </c>
      <c r="AK372" s="9">
        <v>1750</v>
      </c>
    </row>
    <row r="373" spans="5:37" x14ac:dyDescent="0.25">
      <c r="E373">
        <v>370</v>
      </c>
      <c r="F373" t="s">
        <v>419</v>
      </c>
      <c r="G373" t="s">
        <v>31</v>
      </c>
      <c r="H373" t="s">
        <v>658</v>
      </c>
      <c r="I373" s="9">
        <v>129068</v>
      </c>
      <c r="J373" s="10">
        <v>49347</v>
      </c>
      <c r="K373" s="9">
        <v>1365</v>
      </c>
      <c r="AD373" s="13"/>
      <c r="AE373" s="14">
        <v>361</v>
      </c>
      <c r="AF373" s="14" t="s">
        <v>410</v>
      </c>
      <c r="AG373" s="14" t="s">
        <v>31</v>
      </c>
      <c r="AH373" s="14" t="s">
        <v>649</v>
      </c>
      <c r="AI373" s="9">
        <v>16892</v>
      </c>
      <c r="AJ373" s="34">
        <v>5922</v>
      </c>
      <c r="AK373" s="9">
        <v>244</v>
      </c>
    </row>
    <row r="374" spans="5:37" x14ac:dyDescent="0.25">
      <c r="E374">
        <v>371</v>
      </c>
      <c r="F374" t="s">
        <v>420</v>
      </c>
      <c r="G374" t="s">
        <v>31</v>
      </c>
      <c r="H374" t="s">
        <v>659</v>
      </c>
      <c r="I374" s="9">
        <v>89640</v>
      </c>
      <c r="J374" s="10">
        <v>34676</v>
      </c>
      <c r="K374" s="9">
        <v>2302</v>
      </c>
      <c r="AD374" s="13"/>
      <c r="AE374" s="14">
        <v>362</v>
      </c>
      <c r="AF374" s="14" t="s">
        <v>411</v>
      </c>
      <c r="AG374" s="14" t="s">
        <v>31</v>
      </c>
      <c r="AH374" s="14" t="s">
        <v>650</v>
      </c>
      <c r="AI374" s="9">
        <v>91036</v>
      </c>
      <c r="AJ374" s="34">
        <v>20019</v>
      </c>
      <c r="AK374" s="9">
        <v>67</v>
      </c>
    </row>
    <row r="375" spans="5:37" x14ac:dyDescent="0.25">
      <c r="E375">
        <v>372</v>
      </c>
      <c r="F375" t="s">
        <v>421</v>
      </c>
      <c r="G375" t="s">
        <v>31</v>
      </c>
      <c r="H375" t="s">
        <v>660</v>
      </c>
      <c r="I375" s="9">
        <v>118732</v>
      </c>
      <c r="J375" s="10">
        <v>27049</v>
      </c>
      <c r="K375" s="9">
        <v>2321</v>
      </c>
      <c r="AD375" s="13"/>
      <c r="AE375" s="14">
        <v>363</v>
      </c>
      <c r="AF375" s="14" t="s">
        <v>412</v>
      </c>
      <c r="AG375" s="14" t="s">
        <v>31</v>
      </c>
      <c r="AH375" s="14" t="s">
        <v>651</v>
      </c>
      <c r="AI375" s="9">
        <v>148727</v>
      </c>
      <c r="AJ375" s="34">
        <v>50801</v>
      </c>
      <c r="AK375" s="9">
        <v>415</v>
      </c>
    </row>
    <row r="376" spans="5:37" x14ac:dyDescent="0.25">
      <c r="E376">
        <v>373</v>
      </c>
      <c r="F376" t="s">
        <v>422</v>
      </c>
      <c r="G376" t="s">
        <v>32</v>
      </c>
      <c r="H376" t="s">
        <v>649</v>
      </c>
      <c r="I376" s="9">
        <v>32506</v>
      </c>
      <c r="J376" s="10">
        <v>12941</v>
      </c>
      <c r="K376" s="9">
        <v>220</v>
      </c>
      <c r="AD376" s="13"/>
      <c r="AE376" s="14">
        <v>364</v>
      </c>
      <c r="AF376" s="14" t="s">
        <v>413</v>
      </c>
      <c r="AG376" s="14" t="s">
        <v>31</v>
      </c>
      <c r="AH376" s="14" t="s">
        <v>652</v>
      </c>
      <c r="AI376" s="9">
        <v>59900</v>
      </c>
      <c r="AJ376" s="34">
        <v>13173</v>
      </c>
      <c r="AK376" s="9">
        <v>670</v>
      </c>
    </row>
    <row r="377" spans="5:37" x14ac:dyDescent="0.25">
      <c r="E377">
        <v>374</v>
      </c>
      <c r="F377" t="s">
        <v>423</v>
      </c>
      <c r="G377" t="s">
        <v>32</v>
      </c>
      <c r="H377" t="s">
        <v>650</v>
      </c>
      <c r="I377" s="9">
        <v>84030</v>
      </c>
      <c r="J377" s="10">
        <v>24019</v>
      </c>
      <c r="K377" s="9">
        <v>1738</v>
      </c>
      <c r="AD377" s="13"/>
      <c r="AE377" s="14">
        <v>365</v>
      </c>
      <c r="AF377" s="14" t="s">
        <v>414</v>
      </c>
      <c r="AG377" s="14" t="s">
        <v>31</v>
      </c>
      <c r="AH377" s="14" t="s">
        <v>653</v>
      </c>
      <c r="AI377" s="9">
        <v>26272</v>
      </c>
      <c r="AJ377" s="34">
        <v>8249</v>
      </c>
      <c r="AK377" s="9">
        <v>317</v>
      </c>
    </row>
    <row r="378" spans="5:37" x14ac:dyDescent="0.25">
      <c r="E378">
        <v>375</v>
      </c>
      <c r="F378" t="s">
        <v>424</v>
      </c>
      <c r="G378" t="s">
        <v>32</v>
      </c>
      <c r="H378" t="s">
        <v>651</v>
      </c>
      <c r="I378" s="9">
        <v>120819</v>
      </c>
      <c r="J378" s="10">
        <v>37488</v>
      </c>
      <c r="K378" s="9">
        <v>183</v>
      </c>
      <c r="AD378" s="13"/>
      <c r="AE378" s="14">
        <v>366</v>
      </c>
      <c r="AF378" s="14" t="s">
        <v>415</v>
      </c>
      <c r="AG378" s="14" t="s">
        <v>31</v>
      </c>
      <c r="AH378" s="14" t="s">
        <v>654</v>
      </c>
      <c r="AI378" s="9">
        <v>46883</v>
      </c>
      <c r="AJ378" s="34">
        <v>10029</v>
      </c>
      <c r="AK378" s="9">
        <v>464</v>
      </c>
    </row>
    <row r="379" spans="5:37" x14ac:dyDescent="0.25">
      <c r="E379">
        <v>376</v>
      </c>
      <c r="F379" t="s">
        <v>425</v>
      </c>
      <c r="G379" t="s">
        <v>32</v>
      </c>
      <c r="H379" t="s">
        <v>652</v>
      </c>
      <c r="I379" s="9">
        <v>119197</v>
      </c>
      <c r="J379" s="10">
        <v>24490</v>
      </c>
      <c r="K379" s="9">
        <v>2144</v>
      </c>
      <c r="AD379" s="13"/>
      <c r="AE379" s="14">
        <v>367</v>
      </c>
      <c r="AF379" s="14" t="s">
        <v>416</v>
      </c>
      <c r="AG379" s="14" t="s">
        <v>31</v>
      </c>
      <c r="AH379" s="14" t="s">
        <v>655</v>
      </c>
      <c r="AI379" s="9">
        <v>116872</v>
      </c>
      <c r="AJ379" s="34">
        <v>39492</v>
      </c>
      <c r="AK379" s="9">
        <v>1337</v>
      </c>
    </row>
    <row r="380" spans="5:37" x14ac:dyDescent="0.25">
      <c r="E380">
        <v>377</v>
      </c>
      <c r="F380" t="s">
        <v>426</v>
      </c>
      <c r="G380" t="s">
        <v>32</v>
      </c>
      <c r="H380" t="s">
        <v>653</v>
      </c>
      <c r="I380" s="9">
        <v>12121</v>
      </c>
      <c r="J380" s="10">
        <v>3918</v>
      </c>
      <c r="K380" s="9">
        <v>355</v>
      </c>
      <c r="AD380" s="13"/>
      <c r="AE380" s="14">
        <v>368</v>
      </c>
      <c r="AF380" s="14" t="s">
        <v>417</v>
      </c>
      <c r="AG380" s="14" t="s">
        <v>31</v>
      </c>
      <c r="AH380" s="14" t="s">
        <v>656</v>
      </c>
      <c r="AI380" s="9">
        <v>24344</v>
      </c>
      <c r="AJ380" s="34">
        <v>5569</v>
      </c>
      <c r="AK380" s="9">
        <v>83</v>
      </c>
    </row>
    <row r="381" spans="5:37" x14ac:dyDescent="0.25">
      <c r="E381">
        <v>378</v>
      </c>
      <c r="F381" t="s">
        <v>427</v>
      </c>
      <c r="G381" t="s">
        <v>32</v>
      </c>
      <c r="H381" t="s">
        <v>654</v>
      </c>
      <c r="I381" s="9">
        <v>10032</v>
      </c>
      <c r="J381" s="10">
        <v>2969</v>
      </c>
      <c r="K381" s="9">
        <v>241</v>
      </c>
      <c r="AD381" s="13"/>
      <c r="AE381" s="14">
        <v>369</v>
      </c>
      <c r="AF381" s="14" t="s">
        <v>418</v>
      </c>
      <c r="AG381" s="14" t="s">
        <v>31</v>
      </c>
      <c r="AH381" s="14" t="s">
        <v>657</v>
      </c>
      <c r="AI381" s="9">
        <v>43798</v>
      </c>
      <c r="AJ381" s="34">
        <v>15058</v>
      </c>
      <c r="AK381" s="9">
        <v>834</v>
      </c>
    </row>
    <row r="382" spans="5:37" x14ac:dyDescent="0.25">
      <c r="E382">
        <v>379</v>
      </c>
      <c r="F382" t="s">
        <v>428</v>
      </c>
      <c r="G382" t="s">
        <v>32</v>
      </c>
      <c r="H382" t="s">
        <v>655</v>
      </c>
      <c r="I382" s="9">
        <v>99818</v>
      </c>
      <c r="J382" s="10">
        <v>33925</v>
      </c>
      <c r="K382" s="9">
        <v>2251</v>
      </c>
      <c r="AD382" s="13"/>
      <c r="AE382" s="14">
        <v>370</v>
      </c>
      <c r="AF382" s="14" t="s">
        <v>419</v>
      </c>
      <c r="AG382" s="14" t="s">
        <v>31</v>
      </c>
      <c r="AH382" s="14" t="s">
        <v>658</v>
      </c>
      <c r="AI382" s="9">
        <v>129068</v>
      </c>
      <c r="AJ382" s="34">
        <v>49347</v>
      </c>
      <c r="AK382" s="9">
        <v>1365</v>
      </c>
    </row>
    <row r="383" spans="5:37" x14ac:dyDescent="0.25">
      <c r="E383">
        <v>380</v>
      </c>
      <c r="F383" t="s">
        <v>429</v>
      </c>
      <c r="G383" t="s">
        <v>32</v>
      </c>
      <c r="H383" t="s">
        <v>656</v>
      </c>
      <c r="I383" s="9">
        <v>77098</v>
      </c>
      <c r="J383" s="10">
        <v>15848</v>
      </c>
      <c r="K383" s="9">
        <v>671</v>
      </c>
      <c r="AD383" s="13"/>
      <c r="AE383" s="14">
        <v>371</v>
      </c>
      <c r="AF383" s="14" t="s">
        <v>420</v>
      </c>
      <c r="AG383" s="14" t="s">
        <v>31</v>
      </c>
      <c r="AH383" s="14" t="s">
        <v>659</v>
      </c>
      <c r="AI383" s="9">
        <v>89640</v>
      </c>
      <c r="AJ383" s="34">
        <v>34676</v>
      </c>
      <c r="AK383" s="9">
        <v>2302</v>
      </c>
    </row>
    <row r="384" spans="5:37" x14ac:dyDescent="0.25">
      <c r="E384">
        <v>381</v>
      </c>
      <c r="F384" t="s">
        <v>430</v>
      </c>
      <c r="G384" t="s">
        <v>32</v>
      </c>
      <c r="H384" t="s">
        <v>657</v>
      </c>
      <c r="I384" s="9">
        <v>115080</v>
      </c>
      <c r="J384" s="10">
        <v>34897</v>
      </c>
      <c r="K384" s="9">
        <v>63</v>
      </c>
      <c r="AD384" s="13"/>
      <c r="AE384" s="14">
        <v>372</v>
      </c>
      <c r="AF384" s="14" t="s">
        <v>421</v>
      </c>
      <c r="AG384" s="14" t="s">
        <v>31</v>
      </c>
      <c r="AH384" s="14" t="s">
        <v>660</v>
      </c>
      <c r="AI384" s="9">
        <v>118732</v>
      </c>
      <c r="AJ384" s="34">
        <v>27049</v>
      </c>
      <c r="AK384" s="9">
        <v>2321</v>
      </c>
    </row>
    <row r="385" spans="5:37" x14ac:dyDescent="0.25">
      <c r="E385">
        <v>382</v>
      </c>
      <c r="F385" t="s">
        <v>431</v>
      </c>
      <c r="G385" t="s">
        <v>32</v>
      </c>
      <c r="H385" t="s">
        <v>658</v>
      </c>
      <c r="I385" s="9">
        <v>112750</v>
      </c>
      <c r="J385" s="10">
        <v>43630</v>
      </c>
      <c r="K385" s="9">
        <v>1440</v>
      </c>
      <c r="AD385" s="13"/>
      <c r="AE385" s="14">
        <v>373</v>
      </c>
      <c r="AF385" s="14" t="s">
        <v>422</v>
      </c>
      <c r="AG385" s="14" t="s">
        <v>32</v>
      </c>
      <c r="AH385" s="14" t="s">
        <v>649</v>
      </c>
      <c r="AI385" s="9">
        <v>32506</v>
      </c>
      <c r="AJ385" s="34">
        <v>12941</v>
      </c>
      <c r="AK385" s="9">
        <v>220</v>
      </c>
    </row>
    <row r="386" spans="5:37" x14ac:dyDescent="0.25">
      <c r="E386">
        <v>383</v>
      </c>
      <c r="F386" t="s">
        <v>432</v>
      </c>
      <c r="G386" t="s">
        <v>32</v>
      </c>
      <c r="H386" t="s">
        <v>659</v>
      </c>
      <c r="I386" s="9">
        <v>44380</v>
      </c>
      <c r="J386" s="10">
        <v>14811</v>
      </c>
      <c r="K386" s="9">
        <v>1009</v>
      </c>
      <c r="AD386" s="13"/>
      <c r="AE386" s="14">
        <v>374</v>
      </c>
      <c r="AF386" s="14" t="s">
        <v>423</v>
      </c>
      <c r="AG386" s="14" t="s">
        <v>32</v>
      </c>
      <c r="AH386" s="14" t="s">
        <v>650</v>
      </c>
      <c r="AI386" s="9">
        <v>84030</v>
      </c>
      <c r="AJ386" s="34">
        <v>24019</v>
      </c>
      <c r="AK386" s="9">
        <v>1738</v>
      </c>
    </row>
    <row r="387" spans="5:37" x14ac:dyDescent="0.25">
      <c r="E387">
        <v>384</v>
      </c>
      <c r="F387" t="s">
        <v>433</v>
      </c>
      <c r="G387" t="s">
        <v>32</v>
      </c>
      <c r="H387" t="s">
        <v>660</v>
      </c>
      <c r="I387" s="9">
        <v>100483</v>
      </c>
      <c r="J387" s="10">
        <v>28289</v>
      </c>
      <c r="K387" s="9">
        <v>844</v>
      </c>
      <c r="AD387" s="13"/>
      <c r="AE387" s="14">
        <v>375</v>
      </c>
      <c r="AF387" s="14" t="s">
        <v>424</v>
      </c>
      <c r="AG387" s="14" t="s">
        <v>32</v>
      </c>
      <c r="AH387" s="14" t="s">
        <v>651</v>
      </c>
      <c r="AI387" s="9">
        <v>120819</v>
      </c>
      <c r="AJ387" s="34">
        <v>37488</v>
      </c>
      <c r="AK387" s="9">
        <v>183</v>
      </c>
    </row>
    <row r="388" spans="5:37" x14ac:dyDescent="0.25">
      <c r="E388">
        <v>385</v>
      </c>
      <c r="F388" t="s">
        <v>434</v>
      </c>
      <c r="G388" t="s">
        <v>33</v>
      </c>
      <c r="H388" t="s">
        <v>649</v>
      </c>
      <c r="I388" s="9">
        <v>32318</v>
      </c>
      <c r="J388" s="10">
        <v>12486</v>
      </c>
      <c r="K388" s="9">
        <v>587</v>
      </c>
      <c r="AD388" s="13"/>
      <c r="AE388" s="14">
        <v>376</v>
      </c>
      <c r="AF388" s="14" t="s">
        <v>425</v>
      </c>
      <c r="AG388" s="14" t="s">
        <v>32</v>
      </c>
      <c r="AH388" s="14" t="s">
        <v>652</v>
      </c>
      <c r="AI388" s="9">
        <v>119197</v>
      </c>
      <c r="AJ388" s="34">
        <v>24490</v>
      </c>
      <c r="AK388" s="9">
        <v>2144</v>
      </c>
    </row>
    <row r="389" spans="5:37" x14ac:dyDescent="0.25">
      <c r="E389">
        <v>386</v>
      </c>
      <c r="F389" t="s">
        <v>435</v>
      </c>
      <c r="G389" t="s">
        <v>33</v>
      </c>
      <c r="H389" t="s">
        <v>650</v>
      </c>
      <c r="I389" s="9">
        <v>140949</v>
      </c>
      <c r="J389" s="10">
        <v>45905</v>
      </c>
      <c r="K389" s="9">
        <v>1136</v>
      </c>
      <c r="AD389" s="13"/>
      <c r="AE389" s="14">
        <v>377</v>
      </c>
      <c r="AF389" s="14" t="s">
        <v>426</v>
      </c>
      <c r="AG389" s="14" t="s">
        <v>32</v>
      </c>
      <c r="AH389" s="14" t="s">
        <v>653</v>
      </c>
      <c r="AI389" s="9">
        <v>12121</v>
      </c>
      <c r="AJ389" s="34">
        <v>3918</v>
      </c>
      <c r="AK389" s="9">
        <v>355</v>
      </c>
    </row>
    <row r="390" spans="5:37" x14ac:dyDescent="0.25">
      <c r="E390">
        <v>387</v>
      </c>
      <c r="F390" t="s">
        <v>436</v>
      </c>
      <c r="G390" t="s">
        <v>33</v>
      </c>
      <c r="H390" t="s">
        <v>651</v>
      </c>
      <c r="I390" s="9">
        <v>85176</v>
      </c>
      <c r="J390" s="10">
        <v>29142</v>
      </c>
      <c r="K390" s="9">
        <v>605</v>
      </c>
      <c r="AD390" s="13"/>
      <c r="AE390" s="14">
        <v>378</v>
      </c>
      <c r="AF390" s="14" t="s">
        <v>427</v>
      </c>
      <c r="AG390" s="14" t="s">
        <v>32</v>
      </c>
      <c r="AH390" s="14" t="s">
        <v>654</v>
      </c>
      <c r="AI390" s="9">
        <v>10032</v>
      </c>
      <c r="AJ390" s="34">
        <v>2969</v>
      </c>
      <c r="AK390" s="9">
        <v>241</v>
      </c>
    </row>
    <row r="391" spans="5:37" x14ac:dyDescent="0.25">
      <c r="E391">
        <v>388</v>
      </c>
      <c r="F391" t="s">
        <v>437</v>
      </c>
      <c r="G391" t="s">
        <v>33</v>
      </c>
      <c r="H391" t="s">
        <v>652</v>
      </c>
      <c r="I391" s="9">
        <v>29954</v>
      </c>
      <c r="J391" s="10">
        <v>9853</v>
      </c>
      <c r="K391" s="9">
        <v>295</v>
      </c>
      <c r="AD391" s="13"/>
      <c r="AE391" s="14">
        <v>379</v>
      </c>
      <c r="AF391" s="14" t="s">
        <v>428</v>
      </c>
      <c r="AG391" s="14" t="s">
        <v>32</v>
      </c>
      <c r="AH391" s="14" t="s">
        <v>655</v>
      </c>
      <c r="AI391" s="9">
        <v>99818</v>
      </c>
      <c r="AJ391" s="34">
        <v>33925</v>
      </c>
      <c r="AK391" s="9">
        <v>2251</v>
      </c>
    </row>
    <row r="392" spans="5:37" x14ac:dyDescent="0.25">
      <c r="E392">
        <v>389</v>
      </c>
      <c r="F392" t="s">
        <v>438</v>
      </c>
      <c r="G392" t="s">
        <v>33</v>
      </c>
      <c r="H392" t="s">
        <v>653</v>
      </c>
      <c r="I392" s="9">
        <v>24249</v>
      </c>
      <c r="J392" s="10">
        <v>9103</v>
      </c>
      <c r="K392" s="9">
        <v>858</v>
      </c>
      <c r="AD392" s="13"/>
      <c r="AE392" s="14">
        <v>380</v>
      </c>
      <c r="AF392" s="14" t="s">
        <v>429</v>
      </c>
      <c r="AG392" s="14" t="s">
        <v>32</v>
      </c>
      <c r="AH392" s="14" t="s">
        <v>656</v>
      </c>
      <c r="AI392" s="9">
        <v>77098</v>
      </c>
      <c r="AJ392" s="34">
        <v>15848</v>
      </c>
      <c r="AK392" s="9">
        <v>671</v>
      </c>
    </row>
    <row r="393" spans="5:37" x14ac:dyDescent="0.25">
      <c r="E393">
        <v>390</v>
      </c>
      <c r="F393" t="s">
        <v>439</v>
      </c>
      <c r="G393" t="s">
        <v>33</v>
      </c>
      <c r="H393" t="s">
        <v>654</v>
      </c>
      <c r="I393" s="9">
        <v>140034</v>
      </c>
      <c r="J393" s="10">
        <v>40286</v>
      </c>
      <c r="K393" s="9">
        <v>1749</v>
      </c>
      <c r="AD393" s="13"/>
      <c r="AE393" s="14">
        <v>381</v>
      </c>
      <c r="AF393" s="14" t="s">
        <v>430</v>
      </c>
      <c r="AG393" s="14" t="s">
        <v>32</v>
      </c>
      <c r="AH393" s="14" t="s">
        <v>657</v>
      </c>
      <c r="AI393" s="9">
        <v>115080</v>
      </c>
      <c r="AJ393" s="34">
        <v>34897</v>
      </c>
      <c r="AK393" s="9">
        <v>63</v>
      </c>
    </row>
    <row r="394" spans="5:37" x14ac:dyDescent="0.25">
      <c r="E394">
        <v>391</v>
      </c>
      <c r="F394" t="s">
        <v>440</v>
      </c>
      <c r="G394" t="s">
        <v>33</v>
      </c>
      <c r="H394" t="s">
        <v>655</v>
      </c>
      <c r="I394" s="9">
        <v>134496</v>
      </c>
      <c r="J394" s="10">
        <v>29715</v>
      </c>
      <c r="K394" s="9">
        <v>663</v>
      </c>
      <c r="AD394" s="13"/>
      <c r="AE394" s="14">
        <v>382</v>
      </c>
      <c r="AF394" s="14" t="s">
        <v>431</v>
      </c>
      <c r="AG394" s="14" t="s">
        <v>32</v>
      </c>
      <c r="AH394" s="14" t="s">
        <v>658</v>
      </c>
      <c r="AI394" s="9">
        <v>112750</v>
      </c>
      <c r="AJ394" s="34">
        <v>43630</v>
      </c>
      <c r="AK394" s="9">
        <v>1440</v>
      </c>
    </row>
    <row r="395" spans="5:37" x14ac:dyDescent="0.25">
      <c r="E395">
        <v>392</v>
      </c>
      <c r="F395" t="s">
        <v>441</v>
      </c>
      <c r="G395" t="s">
        <v>33</v>
      </c>
      <c r="H395" t="s">
        <v>656</v>
      </c>
      <c r="I395" s="9">
        <v>145082</v>
      </c>
      <c r="J395" s="10">
        <v>49864</v>
      </c>
      <c r="K395" s="9">
        <v>686</v>
      </c>
      <c r="AD395" s="13"/>
      <c r="AE395" s="14">
        <v>383</v>
      </c>
      <c r="AF395" s="14" t="s">
        <v>432</v>
      </c>
      <c r="AG395" s="14" t="s">
        <v>32</v>
      </c>
      <c r="AH395" s="14" t="s">
        <v>659</v>
      </c>
      <c r="AI395" s="9">
        <v>44380</v>
      </c>
      <c r="AJ395" s="34">
        <v>14811</v>
      </c>
      <c r="AK395" s="9">
        <v>1009</v>
      </c>
    </row>
    <row r="396" spans="5:37" x14ac:dyDescent="0.25">
      <c r="E396">
        <v>393</v>
      </c>
      <c r="F396" t="s">
        <v>442</v>
      </c>
      <c r="G396" t="s">
        <v>33</v>
      </c>
      <c r="H396" t="s">
        <v>657</v>
      </c>
      <c r="I396" s="9">
        <v>109377</v>
      </c>
      <c r="J396" s="10">
        <v>25613</v>
      </c>
      <c r="K396" s="9">
        <v>1700</v>
      </c>
      <c r="AD396" s="13"/>
      <c r="AE396" s="14">
        <v>384</v>
      </c>
      <c r="AF396" s="14" t="s">
        <v>433</v>
      </c>
      <c r="AG396" s="14" t="s">
        <v>32</v>
      </c>
      <c r="AH396" s="14" t="s">
        <v>660</v>
      </c>
      <c r="AI396" s="9">
        <v>100483</v>
      </c>
      <c r="AJ396" s="34">
        <v>28289</v>
      </c>
      <c r="AK396" s="9">
        <v>844</v>
      </c>
    </row>
    <row r="397" spans="5:37" x14ac:dyDescent="0.25">
      <c r="E397">
        <v>394</v>
      </c>
      <c r="F397" t="s">
        <v>443</v>
      </c>
      <c r="G397" t="s">
        <v>33</v>
      </c>
      <c r="H397" t="s">
        <v>658</v>
      </c>
      <c r="I397" s="9">
        <v>94141</v>
      </c>
      <c r="J397" s="10">
        <v>26925</v>
      </c>
      <c r="K397" s="9">
        <v>1170</v>
      </c>
      <c r="AD397" s="13"/>
      <c r="AE397" s="14">
        <v>385</v>
      </c>
      <c r="AF397" s="14" t="s">
        <v>434</v>
      </c>
      <c r="AG397" s="14" t="s">
        <v>33</v>
      </c>
      <c r="AH397" s="14" t="s">
        <v>649</v>
      </c>
      <c r="AI397" s="9">
        <v>32318</v>
      </c>
      <c r="AJ397" s="34">
        <v>12486</v>
      </c>
      <c r="AK397" s="9">
        <v>587</v>
      </c>
    </row>
    <row r="398" spans="5:37" x14ac:dyDescent="0.25">
      <c r="E398">
        <v>395</v>
      </c>
      <c r="F398" t="s">
        <v>444</v>
      </c>
      <c r="G398" t="s">
        <v>33</v>
      </c>
      <c r="H398" t="s">
        <v>659</v>
      </c>
      <c r="I398" s="9">
        <v>96686</v>
      </c>
      <c r="J398" s="10">
        <v>31154</v>
      </c>
      <c r="K398" s="9">
        <v>1937</v>
      </c>
      <c r="AD398" s="13"/>
      <c r="AE398" s="14">
        <v>386</v>
      </c>
      <c r="AF398" s="14" t="s">
        <v>435</v>
      </c>
      <c r="AG398" s="14" t="s">
        <v>33</v>
      </c>
      <c r="AH398" s="14" t="s">
        <v>650</v>
      </c>
      <c r="AI398" s="9">
        <v>140949</v>
      </c>
      <c r="AJ398" s="34">
        <v>45905</v>
      </c>
      <c r="AK398" s="9">
        <v>1136</v>
      </c>
    </row>
    <row r="399" spans="5:37" x14ac:dyDescent="0.25">
      <c r="E399">
        <v>396</v>
      </c>
      <c r="F399" t="s">
        <v>445</v>
      </c>
      <c r="G399" t="s">
        <v>33</v>
      </c>
      <c r="H399" t="s">
        <v>660</v>
      </c>
      <c r="I399" s="9">
        <v>139404</v>
      </c>
      <c r="J399" s="10">
        <v>34051</v>
      </c>
      <c r="K399" s="9">
        <v>413</v>
      </c>
      <c r="AD399" s="13"/>
      <c r="AE399" s="14">
        <v>387</v>
      </c>
      <c r="AF399" s="14" t="s">
        <v>436</v>
      </c>
      <c r="AG399" s="14" t="s">
        <v>33</v>
      </c>
      <c r="AH399" s="14" t="s">
        <v>651</v>
      </c>
      <c r="AI399" s="9">
        <v>85176</v>
      </c>
      <c r="AJ399" s="34">
        <v>29142</v>
      </c>
      <c r="AK399" s="9">
        <v>605</v>
      </c>
    </row>
    <row r="400" spans="5:37" x14ac:dyDescent="0.25">
      <c r="E400">
        <v>397</v>
      </c>
      <c r="F400" t="s">
        <v>446</v>
      </c>
      <c r="G400" t="s">
        <v>34</v>
      </c>
      <c r="H400" t="s">
        <v>649</v>
      </c>
      <c r="I400" s="9">
        <v>140461</v>
      </c>
      <c r="J400" s="10">
        <v>50984</v>
      </c>
      <c r="K400" s="9">
        <v>1509</v>
      </c>
      <c r="AD400" s="13"/>
      <c r="AE400" s="14">
        <v>388</v>
      </c>
      <c r="AF400" s="14" t="s">
        <v>437</v>
      </c>
      <c r="AG400" s="14" t="s">
        <v>33</v>
      </c>
      <c r="AH400" s="14" t="s">
        <v>652</v>
      </c>
      <c r="AI400" s="9">
        <v>29954</v>
      </c>
      <c r="AJ400" s="34">
        <v>9853</v>
      </c>
      <c r="AK400" s="9">
        <v>295</v>
      </c>
    </row>
    <row r="401" spans="5:37" x14ac:dyDescent="0.25">
      <c r="E401">
        <v>398</v>
      </c>
      <c r="F401" t="s">
        <v>447</v>
      </c>
      <c r="G401" t="s">
        <v>34</v>
      </c>
      <c r="H401" t="s">
        <v>650</v>
      </c>
      <c r="I401" s="9">
        <v>24451</v>
      </c>
      <c r="J401" s="10">
        <v>7274</v>
      </c>
      <c r="K401" s="9">
        <v>299</v>
      </c>
      <c r="AD401" s="13"/>
      <c r="AE401" s="14">
        <v>389</v>
      </c>
      <c r="AF401" s="14" t="s">
        <v>438</v>
      </c>
      <c r="AG401" s="14" t="s">
        <v>33</v>
      </c>
      <c r="AH401" s="14" t="s">
        <v>653</v>
      </c>
      <c r="AI401" s="9">
        <v>24249</v>
      </c>
      <c r="AJ401" s="34">
        <v>9103</v>
      </c>
      <c r="AK401" s="9">
        <v>858</v>
      </c>
    </row>
    <row r="402" spans="5:37" x14ac:dyDescent="0.25">
      <c r="E402">
        <v>399</v>
      </c>
      <c r="F402" t="s">
        <v>448</v>
      </c>
      <c r="G402" t="s">
        <v>34</v>
      </c>
      <c r="H402" t="s">
        <v>651</v>
      </c>
      <c r="I402" s="9">
        <v>105516</v>
      </c>
      <c r="J402" s="10">
        <v>30904</v>
      </c>
      <c r="K402" s="9">
        <v>2957</v>
      </c>
      <c r="AD402" s="13"/>
      <c r="AE402" s="14">
        <v>390</v>
      </c>
      <c r="AF402" s="14" t="s">
        <v>439</v>
      </c>
      <c r="AG402" s="14" t="s">
        <v>33</v>
      </c>
      <c r="AH402" s="14" t="s">
        <v>654</v>
      </c>
      <c r="AI402" s="9">
        <v>140034</v>
      </c>
      <c r="AJ402" s="34">
        <v>40286</v>
      </c>
      <c r="AK402" s="9">
        <v>1749</v>
      </c>
    </row>
    <row r="403" spans="5:37" x14ac:dyDescent="0.25">
      <c r="E403">
        <v>400</v>
      </c>
      <c r="F403" t="s">
        <v>449</v>
      </c>
      <c r="G403" t="s">
        <v>34</v>
      </c>
      <c r="H403" t="s">
        <v>652</v>
      </c>
      <c r="I403" s="9">
        <v>106097</v>
      </c>
      <c r="J403" s="10">
        <v>42389</v>
      </c>
      <c r="K403" s="9">
        <v>3762</v>
      </c>
      <c r="AD403" s="13"/>
      <c r="AE403" s="14">
        <v>391</v>
      </c>
      <c r="AF403" s="14" t="s">
        <v>440</v>
      </c>
      <c r="AG403" s="14" t="s">
        <v>33</v>
      </c>
      <c r="AH403" s="14" t="s">
        <v>655</v>
      </c>
      <c r="AI403" s="9">
        <v>134496</v>
      </c>
      <c r="AJ403" s="34">
        <v>29715</v>
      </c>
      <c r="AK403" s="9">
        <v>663</v>
      </c>
    </row>
    <row r="404" spans="5:37" x14ac:dyDescent="0.25">
      <c r="E404">
        <v>401</v>
      </c>
      <c r="F404" t="s">
        <v>450</v>
      </c>
      <c r="G404" t="s">
        <v>34</v>
      </c>
      <c r="H404" t="s">
        <v>653</v>
      </c>
      <c r="I404" s="9">
        <v>16549</v>
      </c>
      <c r="J404" s="10">
        <v>5277</v>
      </c>
      <c r="K404" s="9">
        <v>19</v>
      </c>
      <c r="AD404" s="13"/>
      <c r="AE404" s="14">
        <v>392</v>
      </c>
      <c r="AF404" s="14" t="s">
        <v>441</v>
      </c>
      <c r="AG404" s="14" t="s">
        <v>33</v>
      </c>
      <c r="AH404" s="14" t="s">
        <v>656</v>
      </c>
      <c r="AI404" s="9">
        <v>145082</v>
      </c>
      <c r="AJ404" s="34">
        <v>49864</v>
      </c>
      <c r="AK404" s="9">
        <v>686</v>
      </c>
    </row>
    <row r="405" spans="5:37" x14ac:dyDescent="0.25">
      <c r="E405">
        <v>402</v>
      </c>
      <c r="F405" t="s">
        <v>451</v>
      </c>
      <c r="G405" t="s">
        <v>34</v>
      </c>
      <c r="H405" t="s">
        <v>654</v>
      </c>
      <c r="I405" s="9">
        <v>61928</v>
      </c>
      <c r="J405" s="10">
        <v>24633</v>
      </c>
      <c r="K405" s="9">
        <v>1342</v>
      </c>
      <c r="AD405" s="13"/>
      <c r="AE405" s="14">
        <v>393</v>
      </c>
      <c r="AF405" s="14" t="s">
        <v>442</v>
      </c>
      <c r="AG405" s="14" t="s">
        <v>33</v>
      </c>
      <c r="AH405" s="14" t="s">
        <v>657</v>
      </c>
      <c r="AI405" s="9">
        <v>109377</v>
      </c>
      <c r="AJ405" s="34">
        <v>25613</v>
      </c>
      <c r="AK405" s="9">
        <v>1700</v>
      </c>
    </row>
    <row r="406" spans="5:37" x14ac:dyDescent="0.25">
      <c r="E406">
        <v>403</v>
      </c>
      <c r="F406" t="s">
        <v>452</v>
      </c>
      <c r="G406" t="s">
        <v>34</v>
      </c>
      <c r="H406" t="s">
        <v>655</v>
      </c>
      <c r="I406" s="9">
        <v>74414</v>
      </c>
      <c r="J406" s="10">
        <v>26495</v>
      </c>
      <c r="K406" s="9">
        <v>1190</v>
      </c>
      <c r="AD406" s="13"/>
      <c r="AE406" s="14">
        <v>394</v>
      </c>
      <c r="AF406" s="14" t="s">
        <v>443</v>
      </c>
      <c r="AG406" s="14" t="s">
        <v>33</v>
      </c>
      <c r="AH406" s="14" t="s">
        <v>658</v>
      </c>
      <c r="AI406" s="9">
        <v>94141</v>
      </c>
      <c r="AJ406" s="34">
        <v>26925</v>
      </c>
      <c r="AK406" s="9">
        <v>1170</v>
      </c>
    </row>
    <row r="407" spans="5:37" x14ac:dyDescent="0.25">
      <c r="E407">
        <v>404</v>
      </c>
      <c r="F407" t="s">
        <v>453</v>
      </c>
      <c r="G407" t="s">
        <v>34</v>
      </c>
      <c r="H407" t="s">
        <v>656</v>
      </c>
      <c r="I407" s="9">
        <v>129282</v>
      </c>
      <c r="J407" s="10">
        <v>39516</v>
      </c>
      <c r="K407" s="9">
        <v>2051</v>
      </c>
      <c r="AD407" s="13"/>
      <c r="AE407" s="14">
        <v>395</v>
      </c>
      <c r="AF407" s="14" t="s">
        <v>444</v>
      </c>
      <c r="AG407" s="14" t="s">
        <v>33</v>
      </c>
      <c r="AH407" s="14" t="s">
        <v>659</v>
      </c>
      <c r="AI407" s="9">
        <v>96686</v>
      </c>
      <c r="AJ407" s="34">
        <v>31154</v>
      </c>
      <c r="AK407" s="9">
        <v>1937</v>
      </c>
    </row>
    <row r="408" spans="5:37" x14ac:dyDescent="0.25">
      <c r="E408">
        <v>405</v>
      </c>
      <c r="F408" t="s">
        <v>454</v>
      </c>
      <c r="G408" t="s">
        <v>34</v>
      </c>
      <c r="H408" t="s">
        <v>657</v>
      </c>
      <c r="I408" s="9">
        <v>60565</v>
      </c>
      <c r="J408" s="10">
        <v>22778</v>
      </c>
      <c r="K408" s="9">
        <v>762</v>
      </c>
      <c r="AD408" s="13"/>
      <c r="AE408" s="14">
        <v>396</v>
      </c>
      <c r="AF408" s="14" t="s">
        <v>445</v>
      </c>
      <c r="AG408" s="14" t="s">
        <v>33</v>
      </c>
      <c r="AH408" s="14" t="s">
        <v>660</v>
      </c>
      <c r="AI408" s="9">
        <v>139404</v>
      </c>
      <c r="AJ408" s="34">
        <v>34051</v>
      </c>
      <c r="AK408" s="9">
        <v>413</v>
      </c>
    </row>
    <row r="409" spans="5:37" x14ac:dyDescent="0.25">
      <c r="E409">
        <v>406</v>
      </c>
      <c r="F409" t="s">
        <v>455</v>
      </c>
      <c r="G409" t="s">
        <v>34</v>
      </c>
      <c r="H409" t="s">
        <v>658</v>
      </c>
      <c r="I409" s="9">
        <v>114470</v>
      </c>
      <c r="J409" s="10">
        <v>33420</v>
      </c>
      <c r="K409" s="9">
        <v>777</v>
      </c>
      <c r="AD409" s="13"/>
      <c r="AE409" s="14">
        <v>397</v>
      </c>
      <c r="AF409" s="14" t="s">
        <v>446</v>
      </c>
      <c r="AG409" s="14" t="s">
        <v>34</v>
      </c>
      <c r="AH409" s="14" t="s">
        <v>649</v>
      </c>
      <c r="AI409" s="9">
        <v>140461</v>
      </c>
      <c r="AJ409" s="34">
        <v>50984</v>
      </c>
      <c r="AK409" s="9">
        <v>1509</v>
      </c>
    </row>
    <row r="410" spans="5:37" x14ac:dyDescent="0.25">
      <c r="E410">
        <v>407</v>
      </c>
      <c r="F410" t="s">
        <v>456</v>
      </c>
      <c r="G410" t="s">
        <v>34</v>
      </c>
      <c r="H410" t="s">
        <v>659</v>
      </c>
      <c r="I410" s="9">
        <v>115357</v>
      </c>
      <c r="J410" s="10">
        <v>26300</v>
      </c>
      <c r="K410" s="9">
        <v>2426</v>
      </c>
      <c r="AD410" s="13"/>
      <c r="AE410" s="14">
        <v>398</v>
      </c>
      <c r="AF410" s="14" t="s">
        <v>447</v>
      </c>
      <c r="AG410" s="14" t="s">
        <v>34</v>
      </c>
      <c r="AH410" s="14" t="s">
        <v>650</v>
      </c>
      <c r="AI410" s="9">
        <v>24451</v>
      </c>
      <c r="AJ410" s="34">
        <v>7274</v>
      </c>
      <c r="AK410" s="9">
        <v>299</v>
      </c>
    </row>
    <row r="411" spans="5:37" x14ac:dyDescent="0.25">
      <c r="E411">
        <v>408</v>
      </c>
      <c r="F411" t="s">
        <v>457</v>
      </c>
      <c r="G411" t="s">
        <v>34</v>
      </c>
      <c r="H411" t="s">
        <v>660</v>
      </c>
      <c r="I411" s="9">
        <v>21332</v>
      </c>
      <c r="J411" s="10">
        <v>6729</v>
      </c>
      <c r="K411" s="9">
        <v>409</v>
      </c>
      <c r="AD411" s="13"/>
      <c r="AE411" s="14">
        <v>399</v>
      </c>
      <c r="AF411" s="14" t="s">
        <v>448</v>
      </c>
      <c r="AG411" s="14" t="s">
        <v>34</v>
      </c>
      <c r="AH411" s="14" t="s">
        <v>651</v>
      </c>
      <c r="AI411" s="9">
        <v>105516</v>
      </c>
      <c r="AJ411" s="34">
        <v>30904</v>
      </c>
      <c r="AK411" s="9">
        <v>2957</v>
      </c>
    </row>
    <row r="412" spans="5:37" x14ac:dyDescent="0.25">
      <c r="E412">
        <v>409</v>
      </c>
      <c r="F412" t="s">
        <v>458</v>
      </c>
      <c r="G412" t="s">
        <v>35</v>
      </c>
      <c r="H412" t="s">
        <v>649</v>
      </c>
      <c r="I412" s="9">
        <v>15566</v>
      </c>
      <c r="J412" s="10">
        <v>3982</v>
      </c>
      <c r="K412" s="9">
        <v>50</v>
      </c>
      <c r="AD412" s="13"/>
      <c r="AE412" s="14">
        <v>400</v>
      </c>
      <c r="AF412" s="14" t="s">
        <v>449</v>
      </c>
      <c r="AG412" s="14" t="s">
        <v>34</v>
      </c>
      <c r="AH412" s="14" t="s">
        <v>652</v>
      </c>
      <c r="AI412" s="9">
        <v>106097</v>
      </c>
      <c r="AJ412" s="34">
        <v>42389</v>
      </c>
      <c r="AK412" s="9">
        <v>3762</v>
      </c>
    </row>
    <row r="413" spans="5:37" x14ac:dyDescent="0.25">
      <c r="E413">
        <v>410</v>
      </c>
      <c r="F413" t="s">
        <v>459</v>
      </c>
      <c r="G413" t="s">
        <v>35</v>
      </c>
      <c r="H413" t="s">
        <v>650</v>
      </c>
      <c r="I413" s="9">
        <v>56891</v>
      </c>
      <c r="J413" s="10">
        <v>20131</v>
      </c>
      <c r="K413" s="9">
        <v>596</v>
      </c>
      <c r="AD413" s="13"/>
      <c r="AE413" s="14">
        <v>401</v>
      </c>
      <c r="AF413" s="14" t="s">
        <v>450</v>
      </c>
      <c r="AG413" s="14" t="s">
        <v>34</v>
      </c>
      <c r="AH413" s="14" t="s">
        <v>653</v>
      </c>
      <c r="AI413" s="9">
        <v>16549</v>
      </c>
      <c r="AJ413" s="34">
        <v>5277</v>
      </c>
      <c r="AK413" s="9">
        <v>19</v>
      </c>
    </row>
    <row r="414" spans="5:37" x14ac:dyDescent="0.25">
      <c r="E414">
        <v>411</v>
      </c>
      <c r="F414" t="s">
        <v>460</v>
      </c>
      <c r="G414" t="s">
        <v>35</v>
      </c>
      <c r="H414" t="s">
        <v>651</v>
      </c>
      <c r="I414" s="9">
        <v>146866</v>
      </c>
      <c r="J414" s="10">
        <v>58310</v>
      </c>
      <c r="K414" s="9">
        <v>1622</v>
      </c>
      <c r="AD414" s="13"/>
      <c r="AE414" s="14">
        <v>402</v>
      </c>
      <c r="AF414" s="14" t="s">
        <v>451</v>
      </c>
      <c r="AG414" s="14" t="s">
        <v>34</v>
      </c>
      <c r="AH414" s="14" t="s">
        <v>654</v>
      </c>
      <c r="AI414" s="9">
        <v>61928</v>
      </c>
      <c r="AJ414" s="34">
        <v>24633</v>
      </c>
      <c r="AK414" s="9">
        <v>1342</v>
      </c>
    </row>
    <row r="415" spans="5:37" x14ac:dyDescent="0.25">
      <c r="E415">
        <v>412</v>
      </c>
      <c r="F415" t="s">
        <v>461</v>
      </c>
      <c r="G415" t="s">
        <v>35</v>
      </c>
      <c r="H415" t="s">
        <v>652</v>
      </c>
      <c r="I415" s="9">
        <v>96251</v>
      </c>
      <c r="J415" s="10">
        <v>20321</v>
      </c>
      <c r="K415" s="9">
        <v>527</v>
      </c>
      <c r="AD415" s="13"/>
      <c r="AE415" s="14">
        <v>403</v>
      </c>
      <c r="AF415" s="14" t="s">
        <v>452</v>
      </c>
      <c r="AG415" s="14" t="s">
        <v>34</v>
      </c>
      <c r="AH415" s="14" t="s">
        <v>655</v>
      </c>
      <c r="AI415" s="9">
        <v>74414</v>
      </c>
      <c r="AJ415" s="34">
        <v>26495</v>
      </c>
      <c r="AK415" s="9">
        <v>1190</v>
      </c>
    </row>
    <row r="416" spans="5:37" x14ac:dyDescent="0.25">
      <c r="E416">
        <v>413</v>
      </c>
      <c r="F416" t="s">
        <v>462</v>
      </c>
      <c r="G416" t="s">
        <v>35</v>
      </c>
      <c r="H416" t="s">
        <v>653</v>
      </c>
      <c r="I416" s="9">
        <v>80348</v>
      </c>
      <c r="J416" s="10">
        <v>23825</v>
      </c>
      <c r="K416" s="9">
        <v>1662</v>
      </c>
      <c r="AD416" s="13"/>
      <c r="AE416" s="14">
        <v>404</v>
      </c>
      <c r="AF416" s="14" t="s">
        <v>453</v>
      </c>
      <c r="AG416" s="14" t="s">
        <v>34</v>
      </c>
      <c r="AH416" s="14" t="s">
        <v>656</v>
      </c>
      <c r="AI416" s="9">
        <v>129282</v>
      </c>
      <c r="AJ416" s="34">
        <v>39516</v>
      </c>
      <c r="AK416" s="9">
        <v>2051</v>
      </c>
    </row>
    <row r="417" spans="5:37" x14ac:dyDescent="0.25">
      <c r="E417">
        <v>414</v>
      </c>
      <c r="F417" t="s">
        <v>463</v>
      </c>
      <c r="G417" t="s">
        <v>35</v>
      </c>
      <c r="H417" t="s">
        <v>654</v>
      </c>
      <c r="I417" s="9">
        <v>49347</v>
      </c>
      <c r="J417" s="10">
        <v>19363</v>
      </c>
      <c r="K417" s="9">
        <v>504</v>
      </c>
      <c r="AD417" s="13"/>
      <c r="AE417" s="14">
        <v>405</v>
      </c>
      <c r="AF417" s="14" t="s">
        <v>454</v>
      </c>
      <c r="AG417" s="14" t="s">
        <v>34</v>
      </c>
      <c r="AH417" s="14" t="s">
        <v>657</v>
      </c>
      <c r="AI417" s="9">
        <v>60565</v>
      </c>
      <c r="AJ417" s="34">
        <v>22778</v>
      </c>
      <c r="AK417" s="9">
        <v>762</v>
      </c>
    </row>
    <row r="418" spans="5:37" x14ac:dyDescent="0.25">
      <c r="E418">
        <v>415</v>
      </c>
      <c r="F418" t="s">
        <v>464</v>
      </c>
      <c r="G418" t="s">
        <v>35</v>
      </c>
      <c r="H418" t="s">
        <v>655</v>
      </c>
      <c r="I418" s="9">
        <v>147349</v>
      </c>
      <c r="J418" s="10">
        <v>52218</v>
      </c>
      <c r="K418" s="9">
        <v>4394</v>
      </c>
      <c r="AD418" s="13"/>
      <c r="AE418" s="14">
        <v>406</v>
      </c>
      <c r="AF418" s="14" t="s">
        <v>455</v>
      </c>
      <c r="AG418" s="14" t="s">
        <v>34</v>
      </c>
      <c r="AH418" s="14" t="s">
        <v>658</v>
      </c>
      <c r="AI418" s="9">
        <v>114470</v>
      </c>
      <c r="AJ418" s="34">
        <v>33420</v>
      </c>
      <c r="AK418" s="9">
        <v>777</v>
      </c>
    </row>
    <row r="419" spans="5:37" x14ac:dyDescent="0.25">
      <c r="E419">
        <v>416</v>
      </c>
      <c r="F419" t="s">
        <v>465</v>
      </c>
      <c r="G419" t="s">
        <v>35</v>
      </c>
      <c r="H419" t="s">
        <v>656</v>
      </c>
      <c r="I419" s="9">
        <v>142227</v>
      </c>
      <c r="J419" s="10">
        <v>50680</v>
      </c>
      <c r="K419" s="9">
        <v>123</v>
      </c>
      <c r="AD419" s="13"/>
      <c r="AE419" s="14">
        <v>407</v>
      </c>
      <c r="AF419" s="14" t="s">
        <v>456</v>
      </c>
      <c r="AG419" s="14" t="s">
        <v>34</v>
      </c>
      <c r="AH419" s="14" t="s">
        <v>659</v>
      </c>
      <c r="AI419" s="9">
        <v>115357</v>
      </c>
      <c r="AJ419" s="34">
        <v>26300</v>
      </c>
      <c r="AK419" s="9">
        <v>2426</v>
      </c>
    </row>
    <row r="420" spans="5:37" x14ac:dyDescent="0.25">
      <c r="E420">
        <v>417</v>
      </c>
      <c r="F420" t="s">
        <v>466</v>
      </c>
      <c r="G420" t="s">
        <v>35</v>
      </c>
      <c r="H420" t="s">
        <v>657</v>
      </c>
      <c r="I420" s="9">
        <v>77924</v>
      </c>
      <c r="J420" s="10">
        <v>19268</v>
      </c>
      <c r="K420" s="9">
        <v>1847</v>
      </c>
      <c r="AD420" s="13"/>
      <c r="AE420" s="14">
        <v>408</v>
      </c>
      <c r="AF420" s="14" t="s">
        <v>457</v>
      </c>
      <c r="AG420" s="14" t="s">
        <v>34</v>
      </c>
      <c r="AH420" s="14" t="s">
        <v>660</v>
      </c>
      <c r="AI420" s="9">
        <v>21332</v>
      </c>
      <c r="AJ420" s="34">
        <v>6729</v>
      </c>
      <c r="AK420" s="9">
        <v>409</v>
      </c>
    </row>
    <row r="421" spans="5:37" x14ac:dyDescent="0.25">
      <c r="E421">
        <v>418</v>
      </c>
      <c r="F421" t="s">
        <v>467</v>
      </c>
      <c r="G421" t="s">
        <v>35</v>
      </c>
      <c r="H421" t="s">
        <v>658</v>
      </c>
      <c r="I421" s="9">
        <v>22766</v>
      </c>
      <c r="J421" s="10">
        <v>8535</v>
      </c>
      <c r="K421" s="9">
        <v>688</v>
      </c>
      <c r="AD421" s="13"/>
      <c r="AE421" s="14">
        <v>409</v>
      </c>
      <c r="AF421" s="14" t="s">
        <v>458</v>
      </c>
      <c r="AG421" s="14" t="s">
        <v>35</v>
      </c>
      <c r="AH421" s="14" t="s">
        <v>649</v>
      </c>
      <c r="AI421" s="9">
        <v>15566</v>
      </c>
      <c r="AJ421" s="34">
        <v>3982</v>
      </c>
      <c r="AK421" s="9">
        <v>50</v>
      </c>
    </row>
    <row r="422" spans="5:37" x14ac:dyDescent="0.25">
      <c r="E422">
        <v>419</v>
      </c>
      <c r="F422" t="s">
        <v>468</v>
      </c>
      <c r="G422" t="s">
        <v>35</v>
      </c>
      <c r="H422" t="s">
        <v>659</v>
      </c>
      <c r="I422" s="9">
        <v>95237</v>
      </c>
      <c r="J422" s="10">
        <v>25189</v>
      </c>
      <c r="K422" s="9">
        <v>1739</v>
      </c>
      <c r="AD422" s="13"/>
      <c r="AE422" s="14">
        <v>410</v>
      </c>
      <c r="AF422" s="14" t="s">
        <v>459</v>
      </c>
      <c r="AG422" s="14" t="s">
        <v>35</v>
      </c>
      <c r="AH422" s="14" t="s">
        <v>650</v>
      </c>
      <c r="AI422" s="9">
        <v>56891</v>
      </c>
      <c r="AJ422" s="34">
        <v>20131</v>
      </c>
      <c r="AK422" s="9">
        <v>596</v>
      </c>
    </row>
    <row r="423" spans="5:37" x14ac:dyDescent="0.25">
      <c r="E423">
        <v>420</v>
      </c>
      <c r="F423" t="s">
        <v>469</v>
      </c>
      <c r="G423" t="s">
        <v>35</v>
      </c>
      <c r="H423" t="s">
        <v>660</v>
      </c>
      <c r="I423" s="9">
        <v>61030</v>
      </c>
      <c r="J423" s="10">
        <v>24077</v>
      </c>
      <c r="K423" s="9">
        <v>1986</v>
      </c>
      <c r="AD423" s="13"/>
      <c r="AE423" s="14">
        <v>411</v>
      </c>
      <c r="AF423" s="14" t="s">
        <v>460</v>
      </c>
      <c r="AG423" s="14" t="s">
        <v>35</v>
      </c>
      <c r="AH423" s="14" t="s">
        <v>651</v>
      </c>
      <c r="AI423" s="9">
        <v>146866</v>
      </c>
      <c r="AJ423" s="34">
        <v>58310</v>
      </c>
      <c r="AK423" s="9">
        <v>1622</v>
      </c>
    </row>
    <row r="424" spans="5:37" x14ac:dyDescent="0.25">
      <c r="E424">
        <v>421</v>
      </c>
      <c r="F424" t="s">
        <v>470</v>
      </c>
      <c r="G424" t="s">
        <v>36</v>
      </c>
      <c r="H424" t="s">
        <v>649</v>
      </c>
      <c r="I424" s="9">
        <v>113116</v>
      </c>
      <c r="J424" s="10">
        <v>27080</v>
      </c>
      <c r="K424" s="9">
        <v>824</v>
      </c>
      <c r="AD424" s="13"/>
      <c r="AE424" s="14">
        <v>412</v>
      </c>
      <c r="AF424" s="14" t="s">
        <v>461</v>
      </c>
      <c r="AG424" s="14" t="s">
        <v>35</v>
      </c>
      <c r="AH424" s="14" t="s">
        <v>652</v>
      </c>
      <c r="AI424" s="9">
        <v>96251</v>
      </c>
      <c r="AJ424" s="34">
        <v>20321</v>
      </c>
      <c r="AK424" s="9">
        <v>527</v>
      </c>
    </row>
    <row r="425" spans="5:37" x14ac:dyDescent="0.25">
      <c r="E425">
        <v>422</v>
      </c>
      <c r="F425" t="s">
        <v>471</v>
      </c>
      <c r="G425" t="s">
        <v>36</v>
      </c>
      <c r="H425" t="s">
        <v>650</v>
      </c>
      <c r="I425" s="9">
        <v>81769</v>
      </c>
      <c r="J425" s="10">
        <v>29414</v>
      </c>
      <c r="K425" s="9">
        <v>2161</v>
      </c>
      <c r="AD425" s="13"/>
      <c r="AE425" s="14">
        <v>413</v>
      </c>
      <c r="AF425" s="14" t="s">
        <v>462</v>
      </c>
      <c r="AG425" s="14" t="s">
        <v>35</v>
      </c>
      <c r="AH425" s="14" t="s">
        <v>653</v>
      </c>
      <c r="AI425" s="9">
        <v>80348</v>
      </c>
      <c r="AJ425" s="34">
        <v>23825</v>
      </c>
      <c r="AK425" s="9">
        <v>1662</v>
      </c>
    </row>
    <row r="426" spans="5:37" x14ac:dyDescent="0.25">
      <c r="E426">
        <v>423</v>
      </c>
      <c r="F426" t="s">
        <v>472</v>
      </c>
      <c r="G426" t="s">
        <v>36</v>
      </c>
      <c r="H426" t="s">
        <v>651</v>
      </c>
      <c r="I426" s="9">
        <v>123624</v>
      </c>
      <c r="J426" s="10">
        <v>38381</v>
      </c>
      <c r="K426" s="9">
        <v>2823</v>
      </c>
      <c r="AD426" s="13"/>
      <c r="AE426" s="14">
        <v>414</v>
      </c>
      <c r="AF426" s="14" t="s">
        <v>463</v>
      </c>
      <c r="AG426" s="14" t="s">
        <v>35</v>
      </c>
      <c r="AH426" s="14" t="s">
        <v>654</v>
      </c>
      <c r="AI426" s="9">
        <v>49347</v>
      </c>
      <c r="AJ426" s="34">
        <v>19363</v>
      </c>
      <c r="AK426" s="9">
        <v>504</v>
      </c>
    </row>
    <row r="427" spans="5:37" x14ac:dyDescent="0.25">
      <c r="E427">
        <v>424</v>
      </c>
      <c r="F427" t="s">
        <v>473</v>
      </c>
      <c r="G427" t="s">
        <v>36</v>
      </c>
      <c r="H427" t="s">
        <v>652</v>
      </c>
      <c r="I427" s="9">
        <v>70755</v>
      </c>
      <c r="J427" s="10">
        <v>20499</v>
      </c>
      <c r="K427" s="9">
        <v>714</v>
      </c>
      <c r="AD427" s="13"/>
      <c r="AE427" s="14">
        <v>415</v>
      </c>
      <c r="AF427" s="14" t="s">
        <v>464</v>
      </c>
      <c r="AG427" s="14" t="s">
        <v>35</v>
      </c>
      <c r="AH427" s="14" t="s">
        <v>655</v>
      </c>
      <c r="AI427" s="9">
        <v>147349</v>
      </c>
      <c r="AJ427" s="34">
        <v>52218</v>
      </c>
      <c r="AK427" s="9">
        <v>4394</v>
      </c>
    </row>
    <row r="428" spans="5:37" x14ac:dyDescent="0.25">
      <c r="E428">
        <v>425</v>
      </c>
      <c r="F428" t="s">
        <v>474</v>
      </c>
      <c r="G428" t="s">
        <v>36</v>
      </c>
      <c r="H428" t="s">
        <v>653</v>
      </c>
      <c r="I428" s="9">
        <v>104748</v>
      </c>
      <c r="J428" s="10">
        <v>36925</v>
      </c>
      <c r="K428" s="9">
        <v>508</v>
      </c>
      <c r="AD428" s="13"/>
      <c r="AE428" s="14">
        <v>416</v>
      </c>
      <c r="AF428" s="14" t="s">
        <v>465</v>
      </c>
      <c r="AG428" s="14" t="s">
        <v>35</v>
      </c>
      <c r="AH428" s="14" t="s">
        <v>656</v>
      </c>
      <c r="AI428" s="9">
        <v>142227</v>
      </c>
      <c r="AJ428" s="34">
        <v>50680</v>
      </c>
      <c r="AK428" s="9">
        <v>123</v>
      </c>
    </row>
    <row r="429" spans="5:37" x14ac:dyDescent="0.25">
      <c r="E429">
        <v>426</v>
      </c>
      <c r="F429" t="s">
        <v>475</v>
      </c>
      <c r="G429" t="s">
        <v>36</v>
      </c>
      <c r="H429" t="s">
        <v>654</v>
      </c>
      <c r="I429" s="9">
        <v>34836</v>
      </c>
      <c r="J429" s="10">
        <v>12174</v>
      </c>
      <c r="K429" s="9">
        <v>1051</v>
      </c>
      <c r="AD429" s="13"/>
      <c r="AE429" s="14">
        <v>417</v>
      </c>
      <c r="AF429" s="14" t="s">
        <v>466</v>
      </c>
      <c r="AG429" s="14" t="s">
        <v>35</v>
      </c>
      <c r="AH429" s="14" t="s">
        <v>657</v>
      </c>
      <c r="AI429" s="9">
        <v>77924</v>
      </c>
      <c r="AJ429" s="34">
        <v>19268</v>
      </c>
      <c r="AK429" s="9">
        <v>1847</v>
      </c>
    </row>
    <row r="430" spans="5:37" x14ac:dyDescent="0.25">
      <c r="E430">
        <v>427</v>
      </c>
      <c r="F430" t="s">
        <v>476</v>
      </c>
      <c r="G430" t="s">
        <v>36</v>
      </c>
      <c r="H430" t="s">
        <v>655</v>
      </c>
      <c r="I430" s="9">
        <v>135736</v>
      </c>
      <c r="J430" s="10">
        <v>41501</v>
      </c>
      <c r="K430" s="9">
        <v>2458</v>
      </c>
      <c r="AD430" s="13"/>
      <c r="AE430" s="14">
        <v>418</v>
      </c>
      <c r="AF430" s="14" t="s">
        <v>467</v>
      </c>
      <c r="AG430" s="14" t="s">
        <v>35</v>
      </c>
      <c r="AH430" s="14" t="s">
        <v>658</v>
      </c>
      <c r="AI430" s="9">
        <v>22766</v>
      </c>
      <c r="AJ430" s="34">
        <v>8535</v>
      </c>
      <c r="AK430" s="9">
        <v>688</v>
      </c>
    </row>
    <row r="431" spans="5:37" x14ac:dyDescent="0.25">
      <c r="E431">
        <v>428</v>
      </c>
      <c r="F431" t="s">
        <v>477</v>
      </c>
      <c r="G431" t="s">
        <v>36</v>
      </c>
      <c r="H431" t="s">
        <v>656</v>
      </c>
      <c r="I431" s="9">
        <v>90342</v>
      </c>
      <c r="J431" s="10">
        <v>31966</v>
      </c>
      <c r="K431" s="9">
        <v>1877</v>
      </c>
      <c r="AD431" s="13"/>
      <c r="AE431" s="14">
        <v>419</v>
      </c>
      <c r="AF431" s="14" t="s">
        <v>468</v>
      </c>
      <c r="AG431" s="14" t="s">
        <v>35</v>
      </c>
      <c r="AH431" s="14" t="s">
        <v>659</v>
      </c>
      <c r="AI431" s="9">
        <v>95237</v>
      </c>
      <c r="AJ431" s="34">
        <v>25189</v>
      </c>
      <c r="AK431" s="9">
        <v>1739</v>
      </c>
    </row>
    <row r="432" spans="5:37" x14ac:dyDescent="0.25">
      <c r="E432">
        <v>429</v>
      </c>
      <c r="F432" t="s">
        <v>478</v>
      </c>
      <c r="G432" t="s">
        <v>36</v>
      </c>
      <c r="H432" t="s">
        <v>657</v>
      </c>
      <c r="I432" s="9">
        <v>31427</v>
      </c>
      <c r="J432" s="10">
        <v>11637</v>
      </c>
      <c r="K432" s="9">
        <v>866</v>
      </c>
      <c r="AD432" s="13"/>
      <c r="AE432" s="14">
        <v>420</v>
      </c>
      <c r="AF432" s="14" t="s">
        <v>469</v>
      </c>
      <c r="AG432" s="14" t="s">
        <v>35</v>
      </c>
      <c r="AH432" s="14" t="s">
        <v>660</v>
      </c>
      <c r="AI432" s="9">
        <v>61030</v>
      </c>
      <c r="AJ432" s="34">
        <v>24077</v>
      </c>
      <c r="AK432" s="9">
        <v>1986</v>
      </c>
    </row>
    <row r="433" spans="5:37" x14ac:dyDescent="0.25">
      <c r="E433">
        <v>430</v>
      </c>
      <c r="F433" t="s">
        <v>479</v>
      </c>
      <c r="G433" t="s">
        <v>36</v>
      </c>
      <c r="H433" t="s">
        <v>658</v>
      </c>
      <c r="I433" s="9">
        <v>40306</v>
      </c>
      <c r="J433" s="10">
        <v>16023</v>
      </c>
      <c r="K433" s="9">
        <v>972</v>
      </c>
      <c r="AD433" s="13"/>
      <c r="AE433" s="14">
        <v>421</v>
      </c>
      <c r="AF433" s="14" t="s">
        <v>470</v>
      </c>
      <c r="AG433" s="14" t="s">
        <v>36</v>
      </c>
      <c r="AH433" s="14" t="s">
        <v>649</v>
      </c>
      <c r="AI433" s="9">
        <v>113116</v>
      </c>
      <c r="AJ433" s="34">
        <v>27080</v>
      </c>
      <c r="AK433" s="9">
        <v>824</v>
      </c>
    </row>
    <row r="434" spans="5:37" x14ac:dyDescent="0.25">
      <c r="E434">
        <v>431</v>
      </c>
      <c r="F434" t="s">
        <v>480</v>
      </c>
      <c r="G434" t="s">
        <v>36</v>
      </c>
      <c r="H434" t="s">
        <v>659</v>
      </c>
      <c r="I434" s="9">
        <v>44348</v>
      </c>
      <c r="J434" s="10">
        <v>14091</v>
      </c>
      <c r="K434" s="9">
        <v>777</v>
      </c>
      <c r="AD434" s="13"/>
      <c r="AE434" s="14">
        <v>422</v>
      </c>
      <c r="AF434" s="14" t="s">
        <v>471</v>
      </c>
      <c r="AG434" s="14" t="s">
        <v>36</v>
      </c>
      <c r="AH434" s="14" t="s">
        <v>650</v>
      </c>
      <c r="AI434" s="9">
        <v>81769</v>
      </c>
      <c r="AJ434" s="34">
        <v>29414</v>
      </c>
      <c r="AK434" s="9">
        <v>2161</v>
      </c>
    </row>
    <row r="435" spans="5:37" x14ac:dyDescent="0.25">
      <c r="E435">
        <v>432</v>
      </c>
      <c r="F435" t="s">
        <v>481</v>
      </c>
      <c r="G435" t="s">
        <v>36</v>
      </c>
      <c r="H435" t="s">
        <v>660</v>
      </c>
      <c r="I435" s="9">
        <v>147532</v>
      </c>
      <c r="J435" s="10">
        <v>47659</v>
      </c>
      <c r="K435" s="9">
        <v>364</v>
      </c>
      <c r="AD435" s="13"/>
      <c r="AE435" s="14">
        <v>423</v>
      </c>
      <c r="AF435" s="14" t="s">
        <v>472</v>
      </c>
      <c r="AG435" s="14" t="s">
        <v>36</v>
      </c>
      <c r="AH435" s="14" t="s">
        <v>651</v>
      </c>
      <c r="AI435" s="9">
        <v>123624</v>
      </c>
      <c r="AJ435" s="34">
        <v>38381</v>
      </c>
      <c r="AK435" s="9">
        <v>2823</v>
      </c>
    </row>
    <row r="436" spans="5:37" x14ac:dyDescent="0.25">
      <c r="E436">
        <v>433</v>
      </c>
      <c r="F436" t="s">
        <v>482</v>
      </c>
      <c r="G436" t="s">
        <v>37</v>
      </c>
      <c r="H436" t="s">
        <v>649</v>
      </c>
      <c r="I436" s="9">
        <v>45765</v>
      </c>
      <c r="J436" s="10">
        <v>17942</v>
      </c>
      <c r="K436" s="9">
        <v>126</v>
      </c>
      <c r="AD436" s="13"/>
      <c r="AE436" s="14">
        <v>424</v>
      </c>
      <c r="AF436" s="14" t="s">
        <v>473</v>
      </c>
      <c r="AG436" s="14" t="s">
        <v>36</v>
      </c>
      <c r="AH436" s="14" t="s">
        <v>652</v>
      </c>
      <c r="AI436" s="9">
        <v>70755</v>
      </c>
      <c r="AJ436" s="34">
        <v>20499</v>
      </c>
      <c r="AK436" s="9">
        <v>714</v>
      </c>
    </row>
    <row r="437" spans="5:37" x14ac:dyDescent="0.25">
      <c r="E437">
        <v>434</v>
      </c>
      <c r="F437" t="s">
        <v>483</v>
      </c>
      <c r="G437" t="s">
        <v>37</v>
      </c>
      <c r="H437" t="s">
        <v>650</v>
      </c>
      <c r="I437" s="9">
        <v>95589</v>
      </c>
      <c r="J437" s="10">
        <v>29452</v>
      </c>
      <c r="K437" s="9">
        <v>569</v>
      </c>
      <c r="AD437" s="13"/>
      <c r="AE437" s="14">
        <v>425</v>
      </c>
      <c r="AF437" s="14" t="s">
        <v>474</v>
      </c>
      <c r="AG437" s="14" t="s">
        <v>36</v>
      </c>
      <c r="AH437" s="14" t="s">
        <v>653</v>
      </c>
      <c r="AI437" s="9">
        <v>104748</v>
      </c>
      <c r="AJ437" s="34">
        <v>36925</v>
      </c>
      <c r="AK437" s="9">
        <v>508</v>
      </c>
    </row>
    <row r="438" spans="5:37" x14ac:dyDescent="0.25">
      <c r="E438">
        <v>435</v>
      </c>
      <c r="F438" t="s">
        <v>484</v>
      </c>
      <c r="G438" t="s">
        <v>37</v>
      </c>
      <c r="H438" t="s">
        <v>651</v>
      </c>
      <c r="I438" s="9">
        <v>111290</v>
      </c>
      <c r="J438" s="10">
        <v>24301</v>
      </c>
      <c r="K438" s="9">
        <v>1434</v>
      </c>
      <c r="AD438" s="13"/>
      <c r="AE438" s="14">
        <v>426</v>
      </c>
      <c r="AF438" s="14" t="s">
        <v>475</v>
      </c>
      <c r="AG438" s="14" t="s">
        <v>36</v>
      </c>
      <c r="AH438" s="14" t="s">
        <v>654</v>
      </c>
      <c r="AI438" s="9">
        <v>34836</v>
      </c>
      <c r="AJ438" s="34">
        <v>12174</v>
      </c>
      <c r="AK438" s="9">
        <v>1051</v>
      </c>
    </row>
    <row r="439" spans="5:37" x14ac:dyDescent="0.25">
      <c r="E439">
        <v>436</v>
      </c>
      <c r="F439" t="s">
        <v>485</v>
      </c>
      <c r="G439" t="s">
        <v>37</v>
      </c>
      <c r="H439" t="s">
        <v>652</v>
      </c>
      <c r="I439" s="9">
        <v>62716</v>
      </c>
      <c r="J439" s="10">
        <v>15456</v>
      </c>
      <c r="K439" s="9">
        <v>1506</v>
      </c>
      <c r="AD439" s="13"/>
      <c r="AE439" s="14">
        <v>427</v>
      </c>
      <c r="AF439" s="14" t="s">
        <v>476</v>
      </c>
      <c r="AG439" s="14" t="s">
        <v>36</v>
      </c>
      <c r="AH439" s="14" t="s">
        <v>655</v>
      </c>
      <c r="AI439" s="9">
        <v>135736</v>
      </c>
      <c r="AJ439" s="34">
        <v>41501</v>
      </c>
      <c r="AK439" s="9">
        <v>2458</v>
      </c>
    </row>
    <row r="440" spans="5:37" x14ac:dyDescent="0.25">
      <c r="E440">
        <v>437</v>
      </c>
      <c r="F440" t="s">
        <v>486</v>
      </c>
      <c r="G440" t="s">
        <v>37</v>
      </c>
      <c r="H440" t="s">
        <v>653</v>
      </c>
      <c r="I440" s="9">
        <v>149308</v>
      </c>
      <c r="J440" s="10">
        <v>41526</v>
      </c>
      <c r="K440" s="9">
        <v>1612</v>
      </c>
      <c r="AD440" s="13"/>
      <c r="AE440" s="14">
        <v>428</v>
      </c>
      <c r="AF440" s="14" t="s">
        <v>477</v>
      </c>
      <c r="AG440" s="14" t="s">
        <v>36</v>
      </c>
      <c r="AH440" s="14" t="s">
        <v>656</v>
      </c>
      <c r="AI440" s="9">
        <v>90342</v>
      </c>
      <c r="AJ440" s="34">
        <v>31966</v>
      </c>
      <c r="AK440" s="9">
        <v>1877</v>
      </c>
    </row>
    <row r="441" spans="5:37" x14ac:dyDescent="0.25">
      <c r="E441">
        <v>438</v>
      </c>
      <c r="F441" t="s">
        <v>487</v>
      </c>
      <c r="G441" t="s">
        <v>37</v>
      </c>
      <c r="H441" t="s">
        <v>654</v>
      </c>
      <c r="I441" s="9">
        <v>36032</v>
      </c>
      <c r="J441" s="10">
        <v>13594</v>
      </c>
      <c r="K441" s="9">
        <v>113</v>
      </c>
      <c r="AD441" s="13"/>
      <c r="AE441" s="14">
        <v>429</v>
      </c>
      <c r="AF441" s="14" t="s">
        <v>478</v>
      </c>
      <c r="AG441" s="14" t="s">
        <v>36</v>
      </c>
      <c r="AH441" s="14" t="s">
        <v>657</v>
      </c>
      <c r="AI441" s="9">
        <v>31427</v>
      </c>
      <c r="AJ441" s="34">
        <v>11637</v>
      </c>
      <c r="AK441" s="9">
        <v>866</v>
      </c>
    </row>
    <row r="442" spans="5:37" x14ac:dyDescent="0.25">
      <c r="E442">
        <v>439</v>
      </c>
      <c r="F442" t="s">
        <v>488</v>
      </c>
      <c r="G442" t="s">
        <v>37</v>
      </c>
      <c r="H442" t="s">
        <v>655</v>
      </c>
      <c r="I442" s="9">
        <v>107052</v>
      </c>
      <c r="J442" s="10">
        <v>30331</v>
      </c>
      <c r="K442" s="9">
        <v>1080</v>
      </c>
      <c r="AD442" s="13"/>
      <c r="AE442" s="14">
        <v>430</v>
      </c>
      <c r="AF442" s="14" t="s">
        <v>479</v>
      </c>
      <c r="AG442" s="14" t="s">
        <v>36</v>
      </c>
      <c r="AH442" s="14" t="s">
        <v>658</v>
      </c>
      <c r="AI442" s="9">
        <v>40306</v>
      </c>
      <c r="AJ442" s="34">
        <v>16023</v>
      </c>
      <c r="AK442" s="9">
        <v>972</v>
      </c>
    </row>
    <row r="443" spans="5:37" x14ac:dyDescent="0.25">
      <c r="E443">
        <v>440</v>
      </c>
      <c r="F443" t="s">
        <v>489</v>
      </c>
      <c r="G443" t="s">
        <v>37</v>
      </c>
      <c r="H443" t="s">
        <v>656</v>
      </c>
      <c r="I443" s="9">
        <v>121187</v>
      </c>
      <c r="J443" s="10">
        <v>44110</v>
      </c>
      <c r="K443" s="9">
        <v>2430</v>
      </c>
      <c r="AD443" s="13"/>
      <c r="AE443" s="14">
        <v>431</v>
      </c>
      <c r="AF443" s="14" t="s">
        <v>480</v>
      </c>
      <c r="AG443" s="14" t="s">
        <v>36</v>
      </c>
      <c r="AH443" s="14" t="s">
        <v>659</v>
      </c>
      <c r="AI443" s="9">
        <v>44348</v>
      </c>
      <c r="AJ443" s="34">
        <v>14091</v>
      </c>
      <c r="AK443" s="9">
        <v>777</v>
      </c>
    </row>
    <row r="444" spans="5:37" x14ac:dyDescent="0.25">
      <c r="E444">
        <v>441</v>
      </c>
      <c r="F444" t="s">
        <v>490</v>
      </c>
      <c r="G444" t="s">
        <v>37</v>
      </c>
      <c r="H444" t="s">
        <v>657</v>
      </c>
      <c r="I444" s="9">
        <v>143619</v>
      </c>
      <c r="J444" s="10">
        <v>48755</v>
      </c>
      <c r="K444" s="9">
        <v>2174</v>
      </c>
      <c r="AD444" s="13"/>
      <c r="AE444" s="14">
        <v>432</v>
      </c>
      <c r="AF444" s="14" t="s">
        <v>481</v>
      </c>
      <c r="AG444" s="14" t="s">
        <v>36</v>
      </c>
      <c r="AH444" s="14" t="s">
        <v>660</v>
      </c>
      <c r="AI444" s="9">
        <v>147532</v>
      </c>
      <c r="AJ444" s="34">
        <v>47659</v>
      </c>
      <c r="AK444" s="9">
        <v>364</v>
      </c>
    </row>
    <row r="445" spans="5:37" x14ac:dyDescent="0.25">
      <c r="E445">
        <v>442</v>
      </c>
      <c r="F445" t="s">
        <v>491</v>
      </c>
      <c r="G445" t="s">
        <v>37</v>
      </c>
      <c r="H445" t="s">
        <v>658</v>
      </c>
      <c r="I445" s="9">
        <v>67779</v>
      </c>
      <c r="J445" s="10">
        <v>13642</v>
      </c>
      <c r="K445" s="9">
        <v>977</v>
      </c>
      <c r="AD445" s="13"/>
      <c r="AE445" s="14">
        <v>433</v>
      </c>
      <c r="AF445" s="14" t="s">
        <v>482</v>
      </c>
      <c r="AG445" s="14" t="s">
        <v>37</v>
      </c>
      <c r="AH445" s="14" t="s">
        <v>649</v>
      </c>
      <c r="AI445" s="9">
        <v>45765</v>
      </c>
      <c r="AJ445" s="34">
        <v>17942</v>
      </c>
      <c r="AK445" s="9">
        <v>126</v>
      </c>
    </row>
    <row r="446" spans="5:37" x14ac:dyDescent="0.25">
      <c r="E446">
        <v>443</v>
      </c>
      <c r="F446" t="s">
        <v>492</v>
      </c>
      <c r="G446" t="s">
        <v>37</v>
      </c>
      <c r="H446" t="s">
        <v>659</v>
      </c>
      <c r="I446" s="9">
        <v>97629</v>
      </c>
      <c r="J446" s="10">
        <v>35410</v>
      </c>
      <c r="K446" s="9">
        <v>1160</v>
      </c>
      <c r="AD446" s="13"/>
      <c r="AE446" s="14">
        <v>434</v>
      </c>
      <c r="AF446" s="14" t="s">
        <v>483</v>
      </c>
      <c r="AG446" s="14" t="s">
        <v>37</v>
      </c>
      <c r="AH446" s="14" t="s">
        <v>650</v>
      </c>
      <c r="AI446" s="9">
        <v>95589</v>
      </c>
      <c r="AJ446" s="34">
        <v>29452</v>
      </c>
      <c r="AK446" s="9">
        <v>569</v>
      </c>
    </row>
    <row r="447" spans="5:37" x14ac:dyDescent="0.25">
      <c r="E447">
        <v>444</v>
      </c>
      <c r="F447" t="s">
        <v>493</v>
      </c>
      <c r="G447" t="s">
        <v>37</v>
      </c>
      <c r="H447" t="s">
        <v>660</v>
      </c>
      <c r="I447" s="9">
        <v>22300</v>
      </c>
      <c r="J447" s="10">
        <v>6431</v>
      </c>
      <c r="K447" s="9">
        <v>340</v>
      </c>
      <c r="AD447" s="13"/>
      <c r="AE447" s="14">
        <v>435</v>
      </c>
      <c r="AF447" s="14" t="s">
        <v>484</v>
      </c>
      <c r="AG447" s="14" t="s">
        <v>37</v>
      </c>
      <c r="AH447" s="14" t="s">
        <v>651</v>
      </c>
      <c r="AI447" s="9">
        <v>111290</v>
      </c>
      <c r="AJ447" s="34">
        <v>24301</v>
      </c>
      <c r="AK447" s="9">
        <v>1434</v>
      </c>
    </row>
    <row r="448" spans="5:37" x14ac:dyDescent="0.25">
      <c r="E448">
        <v>445</v>
      </c>
      <c r="F448" t="s">
        <v>494</v>
      </c>
      <c r="G448" t="s">
        <v>38</v>
      </c>
      <c r="H448" t="s">
        <v>649</v>
      </c>
      <c r="I448" s="9">
        <v>125747</v>
      </c>
      <c r="J448" s="10">
        <v>30444</v>
      </c>
      <c r="K448" s="9">
        <v>1707</v>
      </c>
      <c r="AD448" s="13"/>
      <c r="AE448" s="14">
        <v>436</v>
      </c>
      <c r="AF448" s="14" t="s">
        <v>485</v>
      </c>
      <c r="AG448" s="14" t="s">
        <v>37</v>
      </c>
      <c r="AH448" s="14" t="s">
        <v>652</v>
      </c>
      <c r="AI448" s="9">
        <v>62716</v>
      </c>
      <c r="AJ448" s="34">
        <v>15456</v>
      </c>
      <c r="AK448" s="9">
        <v>1506</v>
      </c>
    </row>
    <row r="449" spans="5:37" x14ac:dyDescent="0.25">
      <c r="E449">
        <v>446</v>
      </c>
      <c r="F449" t="s">
        <v>495</v>
      </c>
      <c r="G449" t="s">
        <v>38</v>
      </c>
      <c r="H449" t="s">
        <v>650</v>
      </c>
      <c r="I449" s="9">
        <v>112467</v>
      </c>
      <c r="J449" s="10">
        <v>29175</v>
      </c>
      <c r="K449" s="9">
        <v>598</v>
      </c>
      <c r="AD449" s="13"/>
      <c r="AE449" s="14">
        <v>437</v>
      </c>
      <c r="AF449" s="14" t="s">
        <v>486</v>
      </c>
      <c r="AG449" s="14" t="s">
        <v>37</v>
      </c>
      <c r="AH449" s="14" t="s">
        <v>653</v>
      </c>
      <c r="AI449" s="9">
        <v>149308</v>
      </c>
      <c r="AJ449" s="34">
        <v>41526</v>
      </c>
      <c r="AK449" s="9">
        <v>1612</v>
      </c>
    </row>
    <row r="450" spans="5:37" x14ac:dyDescent="0.25">
      <c r="E450">
        <v>447</v>
      </c>
      <c r="F450" t="s">
        <v>496</v>
      </c>
      <c r="G450" t="s">
        <v>38</v>
      </c>
      <c r="H450" t="s">
        <v>651</v>
      </c>
      <c r="I450" s="9">
        <v>64199</v>
      </c>
      <c r="J450" s="10">
        <v>15167</v>
      </c>
      <c r="K450" s="9">
        <v>1143</v>
      </c>
      <c r="AD450" s="13"/>
      <c r="AE450" s="14">
        <v>438</v>
      </c>
      <c r="AF450" s="14" t="s">
        <v>487</v>
      </c>
      <c r="AG450" s="14" t="s">
        <v>37</v>
      </c>
      <c r="AH450" s="14" t="s">
        <v>654</v>
      </c>
      <c r="AI450" s="9">
        <v>36032</v>
      </c>
      <c r="AJ450" s="34">
        <v>13594</v>
      </c>
      <c r="AK450" s="9">
        <v>113</v>
      </c>
    </row>
    <row r="451" spans="5:37" x14ac:dyDescent="0.25">
      <c r="E451">
        <v>448</v>
      </c>
      <c r="F451" t="s">
        <v>497</v>
      </c>
      <c r="G451" t="s">
        <v>38</v>
      </c>
      <c r="H451" t="s">
        <v>652</v>
      </c>
      <c r="I451" s="9">
        <v>54016</v>
      </c>
      <c r="J451" s="10">
        <v>16466</v>
      </c>
      <c r="K451" s="9">
        <v>535</v>
      </c>
      <c r="AD451" s="13"/>
      <c r="AE451" s="14">
        <v>439</v>
      </c>
      <c r="AF451" s="14" t="s">
        <v>488</v>
      </c>
      <c r="AG451" s="14" t="s">
        <v>37</v>
      </c>
      <c r="AH451" s="14" t="s">
        <v>655</v>
      </c>
      <c r="AI451" s="9">
        <v>107052</v>
      </c>
      <c r="AJ451" s="34">
        <v>30331</v>
      </c>
      <c r="AK451" s="9">
        <v>1080</v>
      </c>
    </row>
    <row r="452" spans="5:37" x14ac:dyDescent="0.25">
      <c r="E452">
        <v>449</v>
      </c>
      <c r="F452" t="s">
        <v>498</v>
      </c>
      <c r="G452" t="s">
        <v>38</v>
      </c>
      <c r="H452" t="s">
        <v>653</v>
      </c>
      <c r="I452" s="9">
        <v>46223</v>
      </c>
      <c r="J452" s="10">
        <v>10019</v>
      </c>
      <c r="K452" s="9">
        <v>218</v>
      </c>
      <c r="AD452" s="13"/>
      <c r="AE452" s="14">
        <v>440</v>
      </c>
      <c r="AF452" s="14" t="s">
        <v>489</v>
      </c>
      <c r="AG452" s="14" t="s">
        <v>37</v>
      </c>
      <c r="AH452" s="14" t="s">
        <v>656</v>
      </c>
      <c r="AI452" s="9">
        <v>121187</v>
      </c>
      <c r="AJ452" s="34">
        <v>44110</v>
      </c>
      <c r="AK452" s="9">
        <v>2430</v>
      </c>
    </row>
    <row r="453" spans="5:37" x14ac:dyDescent="0.25">
      <c r="E453">
        <v>450</v>
      </c>
      <c r="F453" t="s">
        <v>499</v>
      </c>
      <c r="G453" t="s">
        <v>38</v>
      </c>
      <c r="H453" t="s">
        <v>654</v>
      </c>
      <c r="I453" s="9">
        <v>132449</v>
      </c>
      <c r="J453" s="10">
        <v>35380</v>
      </c>
      <c r="K453" s="9">
        <v>226</v>
      </c>
      <c r="AD453" s="13"/>
      <c r="AE453" s="14">
        <v>441</v>
      </c>
      <c r="AF453" s="14" t="s">
        <v>490</v>
      </c>
      <c r="AG453" s="14" t="s">
        <v>37</v>
      </c>
      <c r="AH453" s="14" t="s">
        <v>657</v>
      </c>
      <c r="AI453" s="9">
        <v>143619</v>
      </c>
      <c r="AJ453" s="34">
        <v>48755</v>
      </c>
      <c r="AK453" s="9">
        <v>2174</v>
      </c>
    </row>
    <row r="454" spans="5:37" x14ac:dyDescent="0.25">
      <c r="E454">
        <v>451</v>
      </c>
      <c r="F454" t="s">
        <v>500</v>
      </c>
      <c r="G454" t="s">
        <v>38</v>
      </c>
      <c r="H454" t="s">
        <v>655</v>
      </c>
      <c r="I454" s="9">
        <v>137361</v>
      </c>
      <c r="J454" s="10">
        <v>48764</v>
      </c>
      <c r="K454" s="9">
        <v>987</v>
      </c>
      <c r="AD454" s="13"/>
      <c r="AE454" s="14">
        <v>442</v>
      </c>
      <c r="AF454" s="14" t="s">
        <v>491</v>
      </c>
      <c r="AG454" s="14" t="s">
        <v>37</v>
      </c>
      <c r="AH454" s="14" t="s">
        <v>658</v>
      </c>
      <c r="AI454" s="9">
        <v>67779</v>
      </c>
      <c r="AJ454" s="34">
        <v>13642</v>
      </c>
      <c r="AK454" s="9">
        <v>977</v>
      </c>
    </row>
    <row r="455" spans="5:37" x14ac:dyDescent="0.25">
      <c r="E455">
        <v>452</v>
      </c>
      <c r="F455" t="s">
        <v>501</v>
      </c>
      <c r="G455" t="s">
        <v>38</v>
      </c>
      <c r="H455" t="s">
        <v>656</v>
      </c>
      <c r="I455" s="9">
        <v>21831</v>
      </c>
      <c r="J455" s="10">
        <v>6742</v>
      </c>
      <c r="K455" s="9">
        <v>99</v>
      </c>
      <c r="AD455" s="13"/>
      <c r="AE455" s="14">
        <v>443</v>
      </c>
      <c r="AF455" s="14" t="s">
        <v>492</v>
      </c>
      <c r="AG455" s="14" t="s">
        <v>37</v>
      </c>
      <c r="AH455" s="14" t="s">
        <v>659</v>
      </c>
      <c r="AI455" s="9">
        <v>97629</v>
      </c>
      <c r="AJ455" s="34">
        <v>35410</v>
      </c>
      <c r="AK455" s="9">
        <v>1160</v>
      </c>
    </row>
    <row r="456" spans="5:37" x14ac:dyDescent="0.25">
      <c r="E456">
        <v>453</v>
      </c>
      <c r="F456" t="s">
        <v>502</v>
      </c>
      <c r="G456" t="s">
        <v>38</v>
      </c>
      <c r="H456" t="s">
        <v>657</v>
      </c>
      <c r="I456" s="9">
        <v>58546</v>
      </c>
      <c r="J456" s="10">
        <v>16164</v>
      </c>
      <c r="K456" s="9">
        <v>723</v>
      </c>
      <c r="AD456" s="13"/>
      <c r="AE456" s="14">
        <v>444</v>
      </c>
      <c r="AF456" s="14" t="s">
        <v>493</v>
      </c>
      <c r="AG456" s="14" t="s">
        <v>37</v>
      </c>
      <c r="AH456" s="14" t="s">
        <v>660</v>
      </c>
      <c r="AI456" s="9">
        <v>22300</v>
      </c>
      <c r="AJ456" s="34">
        <v>6431</v>
      </c>
      <c r="AK456" s="9">
        <v>340</v>
      </c>
    </row>
    <row r="457" spans="5:37" x14ac:dyDescent="0.25">
      <c r="E457">
        <v>454</v>
      </c>
      <c r="F457" t="s">
        <v>503</v>
      </c>
      <c r="G457" t="s">
        <v>38</v>
      </c>
      <c r="H457" t="s">
        <v>658</v>
      </c>
      <c r="I457" s="9">
        <v>51960</v>
      </c>
      <c r="J457" s="10">
        <v>12780</v>
      </c>
      <c r="K457" s="9">
        <v>433</v>
      </c>
      <c r="AD457" s="13"/>
      <c r="AE457" s="14">
        <v>445</v>
      </c>
      <c r="AF457" s="14" t="s">
        <v>494</v>
      </c>
      <c r="AG457" s="14" t="s">
        <v>38</v>
      </c>
      <c r="AH457" s="14" t="s">
        <v>649</v>
      </c>
      <c r="AI457" s="9">
        <v>125747</v>
      </c>
      <c r="AJ457" s="34">
        <v>30444</v>
      </c>
      <c r="AK457" s="9">
        <v>1707</v>
      </c>
    </row>
    <row r="458" spans="5:37" x14ac:dyDescent="0.25">
      <c r="E458">
        <v>455</v>
      </c>
      <c r="F458" t="s">
        <v>504</v>
      </c>
      <c r="G458" t="s">
        <v>38</v>
      </c>
      <c r="H458" t="s">
        <v>659</v>
      </c>
      <c r="I458" s="9">
        <v>88159</v>
      </c>
      <c r="J458" s="10">
        <v>21218</v>
      </c>
      <c r="K458" s="9">
        <v>1774</v>
      </c>
      <c r="AD458" s="13"/>
      <c r="AE458" s="14">
        <v>446</v>
      </c>
      <c r="AF458" s="14" t="s">
        <v>495</v>
      </c>
      <c r="AG458" s="14" t="s">
        <v>38</v>
      </c>
      <c r="AH458" s="14" t="s">
        <v>650</v>
      </c>
      <c r="AI458" s="9">
        <v>112467</v>
      </c>
      <c r="AJ458" s="34">
        <v>29175</v>
      </c>
      <c r="AK458" s="9">
        <v>598</v>
      </c>
    </row>
    <row r="459" spans="5:37" x14ac:dyDescent="0.25">
      <c r="E459">
        <v>456</v>
      </c>
      <c r="F459" t="s">
        <v>505</v>
      </c>
      <c r="G459" t="s">
        <v>38</v>
      </c>
      <c r="H459" t="s">
        <v>660</v>
      </c>
      <c r="I459" s="9">
        <v>111675</v>
      </c>
      <c r="J459" s="10">
        <v>29874</v>
      </c>
      <c r="K459" s="9">
        <v>873</v>
      </c>
      <c r="AD459" s="13"/>
      <c r="AE459" s="14">
        <v>447</v>
      </c>
      <c r="AF459" s="14" t="s">
        <v>496</v>
      </c>
      <c r="AG459" s="14" t="s">
        <v>38</v>
      </c>
      <c r="AH459" s="14" t="s">
        <v>651</v>
      </c>
      <c r="AI459" s="9">
        <v>64199</v>
      </c>
      <c r="AJ459" s="34">
        <v>15167</v>
      </c>
      <c r="AK459" s="9">
        <v>1143</v>
      </c>
    </row>
    <row r="460" spans="5:37" x14ac:dyDescent="0.25">
      <c r="E460">
        <v>457</v>
      </c>
      <c r="F460" t="s">
        <v>506</v>
      </c>
      <c r="G460" t="s">
        <v>39</v>
      </c>
      <c r="H460" t="s">
        <v>649</v>
      </c>
      <c r="I460" s="9">
        <v>72977</v>
      </c>
      <c r="J460" s="10">
        <v>26807</v>
      </c>
      <c r="K460" s="9">
        <v>523</v>
      </c>
      <c r="AD460" s="13"/>
      <c r="AE460" s="14">
        <v>448</v>
      </c>
      <c r="AF460" s="14" t="s">
        <v>497</v>
      </c>
      <c r="AG460" s="14" t="s">
        <v>38</v>
      </c>
      <c r="AH460" s="14" t="s">
        <v>652</v>
      </c>
      <c r="AI460" s="9">
        <v>54016</v>
      </c>
      <c r="AJ460" s="34">
        <v>16466</v>
      </c>
      <c r="AK460" s="9">
        <v>535</v>
      </c>
    </row>
    <row r="461" spans="5:37" x14ac:dyDescent="0.25">
      <c r="E461">
        <v>458</v>
      </c>
      <c r="F461" t="s">
        <v>507</v>
      </c>
      <c r="G461" t="s">
        <v>39</v>
      </c>
      <c r="H461" t="s">
        <v>650</v>
      </c>
      <c r="I461" s="9">
        <v>146235</v>
      </c>
      <c r="J461" s="10">
        <v>48999</v>
      </c>
      <c r="K461" s="9">
        <v>1097</v>
      </c>
      <c r="AD461" s="13"/>
      <c r="AE461" s="14">
        <v>449</v>
      </c>
      <c r="AF461" s="14" t="s">
        <v>498</v>
      </c>
      <c r="AG461" s="14" t="s">
        <v>38</v>
      </c>
      <c r="AH461" s="14" t="s">
        <v>653</v>
      </c>
      <c r="AI461" s="9">
        <v>46223</v>
      </c>
      <c r="AJ461" s="34">
        <v>10019</v>
      </c>
      <c r="AK461" s="9">
        <v>218</v>
      </c>
    </row>
    <row r="462" spans="5:37" x14ac:dyDescent="0.25">
      <c r="E462">
        <v>459</v>
      </c>
      <c r="F462" t="s">
        <v>508</v>
      </c>
      <c r="G462" t="s">
        <v>39</v>
      </c>
      <c r="H462" t="s">
        <v>651</v>
      </c>
      <c r="I462" s="9">
        <v>107007</v>
      </c>
      <c r="J462" s="10">
        <v>37573</v>
      </c>
      <c r="K462" s="9">
        <v>2775</v>
      </c>
      <c r="AD462" s="13"/>
      <c r="AE462" s="14">
        <v>450</v>
      </c>
      <c r="AF462" s="14" t="s">
        <v>499</v>
      </c>
      <c r="AG462" s="14" t="s">
        <v>38</v>
      </c>
      <c r="AH462" s="14" t="s">
        <v>654</v>
      </c>
      <c r="AI462" s="9">
        <v>132449</v>
      </c>
      <c r="AJ462" s="34">
        <v>35380</v>
      </c>
      <c r="AK462" s="9">
        <v>226</v>
      </c>
    </row>
    <row r="463" spans="5:37" x14ac:dyDescent="0.25">
      <c r="E463">
        <v>460</v>
      </c>
      <c r="F463" t="s">
        <v>509</v>
      </c>
      <c r="G463" t="s">
        <v>39</v>
      </c>
      <c r="H463" t="s">
        <v>652</v>
      </c>
      <c r="I463" s="9">
        <v>102178</v>
      </c>
      <c r="J463" s="10">
        <v>34971</v>
      </c>
      <c r="K463" s="9">
        <v>930</v>
      </c>
      <c r="AD463" s="13"/>
      <c r="AE463" s="14">
        <v>451</v>
      </c>
      <c r="AF463" s="14" t="s">
        <v>500</v>
      </c>
      <c r="AG463" s="14" t="s">
        <v>38</v>
      </c>
      <c r="AH463" s="14" t="s">
        <v>655</v>
      </c>
      <c r="AI463" s="9">
        <v>137361</v>
      </c>
      <c r="AJ463" s="34">
        <v>48764</v>
      </c>
      <c r="AK463" s="9">
        <v>987</v>
      </c>
    </row>
    <row r="464" spans="5:37" x14ac:dyDescent="0.25">
      <c r="E464">
        <v>461</v>
      </c>
      <c r="F464" t="s">
        <v>510</v>
      </c>
      <c r="G464" t="s">
        <v>39</v>
      </c>
      <c r="H464" t="s">
        <v>653</v>
      </c>
      <c r="I464" s="9">
        <v>120672</v>
      </c>
      <c r="J464" s="10">
        <v>24971</v>
      </c>
      <c r="K464" s="9">
        <v>2428</v>
      </c>
      <c r="AD464" s="13"/>
      <c r="AE464" s="14">
        <v>452</v>
      </c>
      <c r="AF464" s="14" t="s">
        <v>501</v>
      </c>
      <c r="AG464" s="14" t="s">
        <v>38</v>
      </c>
      <c r="AH464" s="14" t="s">
        <v>656</v>
      </c>
      <c r="AI464" s="9">
        <v>21831</v>
      </c>
      <c r="AJ464" s="34">
        <v>6742</v>
      </c>
      <c r="AK464" s="9">
        <v>99</v>
      </c>
    </row>
    <row r="465" spans="5:37" x14ac:dyDescent="0.25">
      <c r="E465">
        <v>462</v>
      </c>
      <c r="F465" t="s">
        <v>511</v>
      </c>
      <c r="G465" t="s">
        <v>39</v>
      </c>
      <c r="H465" t="s">
        <v>654</v>
      </c>
      <c r="I465" s="9">
        <v>38935</v>
      </c>
      <c r="J465" s="10">
        <v>10711</v>
      </c>
      <c r="K465" s="9">
        <v>1060</v>
      </c>
      <c r="AD465" s="13"/>
      <c r="AE465" s="14">
        <v>453</v>
      </c>
      <c r="AF465" s="14" t="s">
        <v>502</v>
      </c>
      <c r="AG465" s="14" t="s">
        <v>38</v>
      </c>
      <c r="AH465" s="14" t="s">
        <v>657</v>
      </c>
      <c r="AI465" s="9">
        <v>58546</v>
      </c>
      <c r="AJ465" s="34">
        <v>16164</v>
      </c>
      <c r="AK465" s="9">
        <v>723</v>
      </c>
    </row>
    <row r="466" spans="5:37" x14ac:dyDescent="0.25">
      <c r="E466">
        <v>463</v>
      </c>
      <c r="F466" t="s">
        <v>512</v>
      </c>
      <c r="G466" t="s">
        <v>39</v>
      </c>
      <c r="H466" t="s">
        <v>655</v>
      </c>
      <c r="I466" s="9">
        <v>52514</v>
      </c>
      <c r="J466" s="10">
        <v>15391</v>
      </c>
      <c r="K466" s="9">
        <v>949</v>
      </c>
      <c r="AD466" s="13"/>
      <c r="AE466" s="14">
        <v>454</v>
      </c>
      <c r="AF466" s="14" t="s">
        <v>503</v>
      </c>
      <c r="AG466" s="14" t="s">
        <v>38</v>
      </c>
      <c r="AH466" s="14" t="s">
        <v>658</v>
      </c>
      <c r="AI466" s="9">
        <v>51960</v>
      </c>
      <c r="AJ466" s="34">
        <v>12780</v>
      </c>
      <c r="AK466" s="9">
        <v>433</v>
      </c>
    </row>
    <row r="467" spans="5:37" x14ac:dyDescent="0.25">
      <c r="E467">
        <v>464</v>
      </c>
      <c r="F467" t="s">
        <v>513</v>
      </c>
      <c r="G467" t="s">
        <v>39</v>
      </c>
      <c r="H467" t="s">
        <v>656</v>
      </c>
      <c r="I467" s="9">
        <v>51460</v>
      </c>
      <c r="J467" s="10">
        <v>18842</v>
      </c>
      <c r="K467" s="9">
        <v>29</v>
      </c>
      <c r="AD467" s="13"/>
      <c r="AE467" s="14">
        <v>455</v>
      </c>
      <c r="AF467" s="14" t="s">
        <v>504</v>
      </c>
      <c r="AG467" s="14" t="s">
        <v>38</v>
      </c>
      <c r="AH467" s="14" t="s">
        <v>659</v>
      </c>
      <c r="AI467" s="9">
        <v>88159</v>
      </c>
      <c r="AJ467" s="34">
        <v>21218</v>
      </c>
      <c r="AK467" s="9">
        <v>1774</v>
      </c>
    </row>
    <row r="468" spans="5:37" x14ac:dyDescent="0.25">
      <c r="E468">
        <v>465</v>
      </c>
      <c r="F468" t="s">
        <v>514</v>
      </c>
      <c r="G468" t="s">
        <v>39</v>
      </c>
      <c r="H468" t="s">
        <v>657</v>
      </c>
      <c r="I468" s="9">
        <v>56359</v>
      </c>
      <c r="J468" s="10">
        <v>21641</v>
      </c>
      <c r="K468" s="9">
        <v>1962</v>
      </c>
      <c r="AD468" s="13"/>
      <c r="AE468" s="14">
        <v>456</v>
      </c>
      <c r="AF468" s="14" t="s">
        <v>505</v>
      </c>
      <c r="AG468" s="14" t="s">
        <v>38</v>
      </c>
      <c r="AH468" s="14" t="s">
        <v>660</v>
      </c>
      <c r="AI468" s="9">
        <v>111675</v>
      </c>
      <c r="AJ468" s="34">
        <v>29874</v>
      </c>
      <c r="AK468" s="9">
        <v>873</v>
      </c>
    </row>
    <row r="469" spans="5:37" x14ac:dyDescent="0.25">
      <c r="E469">
        <v>466</v>
      </c>
      <c r="F469" t="s">
        <v>515</v>
      </c>
      <c r="G469" t="s">
        <v>39</v>
      </c>
      <c r="H469" t="s">
        <v>658</v>
      </c>
      <c r="I469" s="9">
        <v>94703</v>
      </c>
      <c r="J469" s="10">
        <v>29784</v>
      </c>
      <c r="K469" s="9">
        <v>339</v>
      </c>
      <c r="AD469" s="13"/>
      <c r="AE469" s="14">
        <v>457</v>
      </c>
      <c r="AF469" s="14" t="s">
        <v>506</v>
      </c>
      <c r="AG469" s="14" t="s">
        <v>39</v>
      </c>
      <c r="AH469" s="14" t="s">
        <v>649</v>
      </c>
      <c r="AI469" s="9">
        <v>72977</v>
      </c>
      <c r="AJ469" s="34">
        <v>26807</v>
      </c>
      <c r="AK469" s="9">
        <v>523</v>
      </c>
    </row>
    <row r="470" spans="5:37" x14ac:dyDescent="0.25">
      <c r="E470">
        <v>467</v>
      </c>
      <c r="F470" t="s">
        <v>516</v>
      </c>
      <c r="G470" t="s">
        <v>39</v>
      </c>
      <c r="H470" t="s">
        <v>659</v>
      </c>
      <c r="I470" s="9">
        <v>113382</v>
      </c>
      <c r="J470" s="10">
        <v>36766</v>
      </c>
      <c r="K470" s="9">
        <v>1562</v>
      </c>
      <c r="AD470" s="13"/>
      <c r="AE470" s="14">
        <v>458</v>
      </c>
      <c r="AF470" s="14" t="s">
        <v>507</v>
      </c>
      <c r="AG470" s="14" t="s">
        <v>39</v>
      </c>
      <c r="AH470" s="14" t="s">
        <v>650</v>
      </c>
      <c r="AI470" s="9">
        <v>146235</v>
      </c>
      <c r="AJ470" s="34">
        <v>48999</v>
      </c>
      <c r="AK470" s="9">
        <v>1097</v>
      </c>
    </row>
    <row r="471" spans="5:37" x14ac:dyDescent="0.25">
      <c r="E471">
        <v>468</v>
      </c>
      <c r="F471" t="s">
        <v>517</v>
      </c>
      <c r="G471" t="s">
        <v>39</v>
      </c>
      <c r="H471" t="s">
        <v>660</v>
      </c>
      <c r="I471" s="9">
        <v>129530</v>
      </c>
      <c r="J471" s="10">
        <v>51356</v>
      </c>
      <c r="K471" s="9">
        <v>848</v>
      </c>
      <c r="AD471" s="13"/>
      <c r="AE471" s="14">
        <v>459</v>
      </c>
      <c r="AF471" s="14" t="s">
        <v>508</v>
      </c>
      <c r="AG471" s="14" t="s">
        <v>39</v>
      </c>
      <c r="AH471" s="14" t="s">
        <v>651</v>
      </c>
      <c r="AI471" s="9">
        <v>107007</v>
      </c>
      <c r="AJ471" s="34">
        <v>37573</v>
      </c>
      <c r="AK471" s="9">
        <v>2775</v>
      </c>
    </row>
    <row r="472" spans="5:37" x14ac:dyDescent="0.25">
      <c r="E472">
        <v>469</v>
      </c>
      <c r="F472" t="s">
        <v>518</v>
      </c>
      <c r="G472" t="s">
        <v>40</v>
      </c>
      <c r="H472" t="s">
        <v>649</v>
      </c>
      <c r="I472" s="9">
        <v>43046</v>
      </c>
      <c r="J472" s="10">
        <v>11018</v>
      </c>
      <c r="K472" s="9">
        <v>980</v>
      </c>
      <c r="AD472" s="13"/>
      <c r="AE472" s="14">
        <v>460</v>
      </c>
      <c r="AF472" s="14" t="s">
        <v>509</v>
      </c>
      <c r="AG472" s="14" t="s">
        <v>39</v>
      </c>
      <c r="AH472" s="14" t="s">
        <v>652</v>
      </c>
      <c r="AI472" s="9">
        <v>102178</v>
      </c>
      <c r="AJ472" s="34">
        <v>34971</v>
      </c>
      <c r="AK472" s="9">
        <v>930</v>
      </c>
    </row>
    <row r="473" spans="5:37" x14ac:dyDescent="0.25">
      <c r="E473">
        <v>470</v>
      </c>
      <c r="F473" t="s">
        <v>519</v>
      </c>
      <c r="G473" t="s">
        <v>40</v>
      </c>
      <c r="H473" t="s">
        <v>650</v>
      </c>
      <c r="I473" s="9">
        <v>75386</v>
      </c>
      <c r="J473" s="10">
        <v>20700</v>
      </c>
      <c r="K473" s="9">
        <v>274</v>
      </c>
      <c r="AD473" s="13"/>
      <c r="AE473" s="14">
        <v>461</v>
      </c>
      <c r="AF473" s="14" t="s">
        <v>510</v>
      </c>
      <c r="AG473" s="14" t="s">
        <v>39</v>
      </c>
      <c r="AH473" s="14" t="s">
        <v>653</v>
      </c>
      <c r="AI473" s="9">
        <v>120672</v>
      </c>
      <c r="AJ473" s="34">
        <v>24971</v>
      </c>
      <c r="AK473" s="9">
        <v>2428</v>
      </c>
    </row>
    <row r="474" spans="5:37" x14ac:dyDescent="0.25">
      <c r="E474">
        <v>471</v>
      </c>
      <c r="F474" t="s">
        <v>520</v>
      </c>
      <c r="G474" t="s">
        <v>40</v>
      </c>
      <c r="H474" t="s">
        <v>651</v>
      </c>
      <c r="I474" s="9">
        <v>136870</v>
      </c>
      <c r="J474" s="10">
        <v>50647</v>
      </c>
      <c r="K474" s="9">
        <v>2411</v>
      </c>
      <c r="AD474" s="13"/>
      <c r="AE474" s="14">
        <v>462</v>
      </c>
      <c r="AF474" s="14" t="s">
        <v>511</v>
      </c>
      <c r="AG474" s="14" t="s">
        <v>39</v>
      </c>
      <c r="AH474" s="14" t="s">
        <v>654</v>
      </c>
      <c r="AI474" s="9">
        <v>38935</v>
      </c>
      <c r="AJ474" s="34">
        <v>10711</v>
      </c>
      <c r="AK474" s="9">
        <v>1060</v>
      </c>
    </row>
    <row r="475" spans="5:37" x14ac:dyDescent="0.25">
      <c r="E475">
        <v>472</v>
      </c>
      <c r="F475">
        <v>465924413573</v>
      </c>
      <c r="G475" t="s">
        <v>40</v>
      </c>
      <c r="H475" t="s">
        <v>652</v>
      </c>
      <c r="I475" s="9">
        <v>55549</v>
      </c>
      <c r="J475" s="10">
        <v>19142</v>
      </c>
      <c r="K475" s="9">
        <v>981</v>
      </c>
      <c r="AD475" s="13"/>
      <c r="AE475" s="14">
        <v>463</v>
      </c>
      <c r="AF475" s="14" t="s">
        <v>512</v>
      </c>
      <c r="AG475" s="14" t="s">
        <v>39</v>
      </c>
      <c r="AH475" s="14" t="s">
        <v>655</v>
      </c>
      <c r="AI475" s="9">
        <v>52514</v>
      </c>
      <c r="AJ475" s="34">
        <v>15391</v>
      </c>
      <c r="AK475" s="9">
        <v>949</v>
      </c>
    </row>
    <row r="476" spans="5:37" x14ac:dyDescent="0.25">
      <c r="E476">
        <v>473</v>
      </c>
      <c r="F476" t="s">
        <v>521</v>
      </c>
      <c r="G476" t="s">
        <v>40</v>
      </c>
      <c r="H476" t="s">
        <v>653</v>
      </c>
      <c r="I476" s="9">
        <v>122896</v>
      </c>
      <c r="J476" s="10">
        <v>41348</v>
      </c>
      <c r="K476" s="9">
        <v>690</v>
      </c>
      <c r="AD476" s="13"/>
      <c r="AE476" s="14">
        <v>464</v>
      </c>
      <c r="AF476" s="14" t="s">
        <v>513</v>
      </c>
      <c r="AG476" s="14" t="s">
        <v>39</v>
      </c>
      <c r="AH476" s="14" t="s">
        <v>656</v>
      </c>
      <c r="AI476" s="9">
        <v>51460</v>
      </c>
      <c r="AJ476" s="34">
        <v>18842</v>
      </c>
      <c r="AK476" s="9">
        <v>29</v>
      </c>
    </row>
    <row r="477" spans="5:37" x14ac:dyDescent="0.25">
      <c r="E477">
        <v>474</v>
      </c>
      <c r="F477" t="s">
        <v>522</v>
      </c>
      <c r="G477" t="s">
        <v>40</v>
      </c>
      <c r="H477" t="s">
        <v>654</v>
      </c>
      <c r="I477" s="9">
        <v>136067</v>
      </c>
      <c r="J477" s="10">
        <v>34293</v>
      </c>
      <c r="K477" s="9">
        <v>779</v>
      </c>
      <c r="AD477" s="13"/>
      <c r="AE477" s="14">
        <v>465</v>
      </c>
      <c r="AF477" s="14" t="s">
        <v>514</v>
      </c>
      <c r="AG477" s="14" t="s">
        <v>39</v>
      </c>
      <c r="AH477" s="14" t="s">
        <v>657</v>
      </c>
      <c r="AI477" s="9">
        <v>56359</v>
      </c>
      <c r="AJ477" s="34">
        <v>21641</v>
      </c>
      <c r="AK477" s="9">
        <v>1962</v>
      </c>
    </row>
    <row r="478" spans="5:37" x14ac:dyDescent="0.25">
      <c r="E478">
        <v>475</v>
      </c>
      <c r="F478" t="s">
        <v>523</v>
      </c>
      <c r="G478" t="s">
        <v>40</v>
      </c>
      <c r="H478" t="s">
        <v>655</v>
      </c>
      <c r="I478" s="9">
        <v>40615</v>
      </c>
      <c r="J478" s="10">
        <v>13089</v>
      </c>
      <c r="K478" s="9">
        <v>126</v>
      </c>
      <c r="AD478" s="13"/>
      <c r="AE478" s="14">
        <v>466</v>
      </c>
      <c r="AF478" s="14" t="s">
        <v>515</v>
      </c>
      <c r="AG478" s="14" t="s">
        <v>39</v>
      </c>
      <c r="AH478" s="14" t="s">
        <v>658</v>
      </c>
      <c r="AI478" s="9">
        <v>94703</v>
      </c>
      <c r="AJ478" s="34">
        <v>29784</v>
      </c>
      <c r="AK478" s="9">
        <v>339</v>
      </c>
    </row>
    <row r="479" spans="5:37" x14ac:dyDescent="0.25">
      <c r="E479">
        <v>476</v>
      </c>
      <c r="F479" t="s">
        <v>524</v>
      </c>
      <c r="G479" t="s">
        <v>40</v>
      </c>
      <c r="H479" t="s">
        <v>656</v>
      </c>
      <c r="I479" s="9">
        <v>20956</v>
      </c>
      <c r="J479" s="10">
        <v>7260</v>
      </c>
      <c r="K479" s="9">
        <v>565</v>
      </c>
      <c r="AD479" s="13"/>
      <c r="AE479" s="14">
        <v>467</v>
      </c>
      <c r="AF479" s="14" t="s">
        <v>516</v>
      </c>
      <c r="AG479" s="14" t="s">
        <v>39</v>
      </c>
      <c r="AH479" s="14" t="s">
        <v>659</v>
      </c>
      <c r="AI479" s="9">
        <v>113382</v>
      </c>
      <c r="AJ479" s="34">
        <v>36766</v>
      </c>
      <c r="AK479" s="9">
        <v>1562</v>
      </c>
    </row>
    <row r="480" spans="5:37" x14ac:dyDescent="0.25">
      <c r="E480">
        <v>477</v>
      </c>
      <c r="F480" t="s">
        <v>525</v>
      </c>
      <c r="G480" t="s">
        <v>40</v>
      </c>
      <c r="H480" t="s">
        <v>657</v>
      </c>
      <c r="I480" s="9">
        <v>99192</v>
      </c>
      <c r="J480" s="10">
        <v>36770</v>
      </c>
      <c r="K480" s="9">
        <v>3025</v>
      </c>
      <c r="AD480" s="13"/>
      <c r="AE480" s="14">
        <v>468</v>
      </c>
      <c r="AF480" s="14" t="s">
        <v>517</v>
      </c>
      <c r="AG480" s="14" t="s">
        <v>39</v>
      </c>
      <c r="AH480" s="14" t="s">
        <v>660</v>
      </c>
      <c r="AI480" s="9">
        <v>129530</v>
      </c>
      <c r="AJ480" s="34">
        <v>51356</v>
      </c>
      <c r="AK480" s="9">
        <v>848</v>
      </c>
    </row>
    <row r="481" spans="5:37" x14ac:dyDescent="0.25">
      <c r="E481">
        <v>478</v>
      </c>
      <c r="F481" t="s">
        <v>526</v>
      </c>
      <c r="G481" t="s">
        <v>40</v>
      </c>
      <c r="H481" t="s">
        <v>658</v>
      </c>
      <c r="I481" s="9">
        <v>127885</v>
      </c>
      <c r="J481" s="10">
        <v>29512</v>
      </c>
      <c r="K481" s="9">
        <v>554</v>
      </c>
      <c r="AD481" s="13"/>
      <c r="AE481" s="14">
        <v>469</v>
      </c>
      <c r="AF481" s="14" t="s">
        <v>518</v>
      </c>
      <c r="AG481" s="14" t="s">
        <v>40</v>
      </c>
      <c r="AH481" s="14" t="s">
        <v>649</v>
      </c>
      <c r="AI481" s="9">
        <v>43046</v>
      </c>
      <c r="AJ481" s="34">
        <v>11018</v>
      </c>
      <c r="AK481" s="9">
        <v>980</v>
      </c>
    </row>
    <row r="482" spans="5:37" x14ac:dyDescent="0.25">
      <c r="E482">
        <v>479</v>
      </c>
      <c r="F482" t="s">
        <v>527</v>
      </c>
      <c r="G482" t="s">
        <v>40</v>
      </c>
      <c r="H482" t="s">
        <v>659</v>
      </c>
      <c r="I482" s="9">
        <v>106196</v>
      </c>
      <c r="J482" s="10">
        <v>27038</v>
      </c>
      <c r="K482" s="9">
        <v>926</v>
      </c>
      <c r="AD482" s="13"/>
      <c r="AE482" s="14">
        <v>470</v>
      </c>
      <c r="AF482" s="14" t="s">
        <v>519</v>
      </c>
      <c r="AG482" s="14" t="s">
        <v>40</v>
      </c>
      <c r="AH482" s="14" t="s">
        <v>650</v>
      </c>
      <c r="AI482" s="9">
        <v>75386</v>
      </c>
      <c r="AJ482" s="34">
        <v>20700</v>
      </c>
      <c r="AK482" s="9">
        <v>274</v>
      </c>
    </row>
    <row r="483" spans="5:37" x14ac:dyDescent="0.25">
      <c r="E483">
        <v>480</v>
      </c>
      <c r="F483" t="s">
        <v>528</v>
      </c>
      <c r="G483" t="s">
        <v>40</v>
      </c>
      <c r="H483" t="s">
        <v>660</v>
      </c>
      <c r="I483" s="9">
        <v>83124</v>
      </c>
      <c r="J483" s="10">
        <v>32028</v>
      </c>
      <c r="K483" s="9">
        <v>659</v>
      </c>
      <c r="AD483" s="13"/>
      <c r="AE483" s="14">
        <v>471</v>
      </c>
      <c r="AF483" s="14" t="s">
        <v>520</v>
      </c>
      <c r="AG483" s="14" t="s">
        <v>40</v>
      </c>
      <c r="AH483" s="14" t="s">
        <v>651</v>
      </c>
      <c r="AI483" s="9">
        <v>136870</v>
      </c>
      <c r="AJ483" s="34">
        <v>50647</v>
      </c>
      <c r="AK483" s="9">
        <v>2411</v>
      </c>
    </row>
    <row r="484" spans="5:37" x14ac:dyDescent="0.25">
      <c r="E484">
        <v>481</v>
      </c>
      <c r="F484" t="s">
        <v>529</v>
      </c>
      <c r="G484" t="s">
        <v>41</v>
      </c>
      <c r="H484" t="s">
        <v>649</v>
      </c>
      <c r="I484" s="9">
        <v>101643</v>
      </c>
      <c r="J484" s="10">
        <v>26845</v>
      </c>
      <c r="K484" s="9">
        <v>1423</v>
      </c>
      <c r="AD484" s="13"/>
      <c r="AE484" s="14">
        <v>472</v>
      </c>
      <c r="AF484" s="14">
        <v>465924413573</v>
      </c>
      <c r="AG484" s="14" t="s">
        <v>40</v>
      </c>
      <c r="AH484" s="14" t="s">
        <v>652</v>
      </c>
      <c r="AI484" s="9">
        <v>55549</v>
      </c>
      <c r="AJ484" s="34">
        <v>19142</v>
      </c>
      <c r="AK484" s="9">
        <v>981</v>
      </c>
    </row>
    <row r="485" spans="5:37" x14ac:dyDescent="0.25">
      <c r="E485">
        <v>482</v>
      </c>
      <c r="F485" t="s">
        <v>530</v>
      </c>
      <c r="G485" t="s">
        <v>41</v>
      </c>
      <c r="H485" t="s">
        <v>650</v>
      </c>
      <c r="I485" s="9">
        <v>74732</v>
      </c>
      <c r="J485" s="10">
        <v>26608</v>
      </c>
      <c r="K485" s="9">
        <v>2317</v>
      </c>
      <c r="AD485" s="13"/>
      <c r="AE485" s="14">
        <v>473</v>
      </c>
      <c r="AF485" s="14" t="s">
        <v>521</v>
      </c>
      <c r="AG485" s="14" t="s">
        <v>40</v>
      </c>
      <c r="AH485" s="14" t="s">
        <v>653</v>
      </c>
      <c r="AI485" s="9">
        <v>122896</v>
      </c>
      <c r="AJ485" s="34">
        <v>41348</v>
      </c>
      <c r="AK485" s="9">
        <v>690</v>
      </c>
    </row>
    <row r="486" spans="5:37" x14ac:dyDescent="0.25">
      <c r="E486">
        <v>483</v>
      </c>
      <c r="F486" t="s">
        <v>531</v>
      </c>
      <c r="G486" t="s">
        <v>41</v>
      </c>
      <c r="H486" t="s">
        <v>651</v>
      </c>
      <c r="I486" s="9">
        <v>44785</v>
      </c>
      <c r="J486" s="10">
        <v>10281</v>
      </c>
      <c r="K486" s="9">
        <v>298</v>
      </c>
      <c r="AD486" s="13"/>
      <c r="AE486" s="14">
        <v>474</v>
      </c>
      <c r="AF486" s="14" t="s">
        <v>522</v>
      </c>
      <c r="AG486" s="14" t="s">
        <v>40</v>
      </c>
      <c r="AH486" s="14" t="s">
        <v>654</v>
      </c>
      <c r="AI486" s="9">
        <v>136067</v>
      </c>
      <c r="AJ486" s="34">
        <v>34293</v>
      </c>
      <c r="AK486" s="9">
        <v>779</v>
      </c>
    </row>
    <row r="487" spans="5:37" x14ac:dyDescent="0.25">
      <c r="E487">
        <v>484</v>
      </c>
      <c r="F487" t="s">
        <v>532</v>
      </c>
      <c r="G487" t="s">
        <v>41</v>
      </c>
      <c r="H487" t="s">
        <v>652</v>
      </c>
      <c r="I487" s="9">
        <v>46568</v>
      </c>
      <c r="J487" s="10">
        <v>15846</v>
      </c>
      <c r="K487" s="9">
        <v>940</v>
      </c>
      <c r="AD487" s="13"/>
      <c r="AE487" s="14">
        <v>475</v>
      </c>
      <c r="AF487" s="14" t="s">
        <v>523</v>
      </c>
      <c r="AG487" s="14" t="s">
        <v>40</v>
      </c>
      <c r="AH487" s="14" t="s">
        <v>655</v>
      </c>
      <c r="AI487" s="9">
        <v>40615</v>
      </c>
      <c r="AJ487" s="34">
        <v>13089</v>
      </c>
      <c r="AK487" s="9">
        <v>126</v>
      </c>
    </row>
    <row r="488" spans="5:37" x14ac:dyDescent="0.25">
      <c r="E488">
        <v>485</v>
      </c>
      <c r="F488" t="s">
        <v>533</v>
      </c>
      <c r="G488" t="s">
        <v>41</v>
      </c>
      <c r="H488" t="s">
        <v>653</v>
      </c>
      <c r="I488" s="9">
        <v>46599</v>
      </c>
      <c r="J488" s="10">
        <v>14828</v>
      </c>
      <c r="K488" s="9">
        <v>156</v>
      </c>
      <c r="AD488" s="13"/>
      <c r="AE488" s="14">
        <v>476</v>
      </c>
      <c r="AF488" s="14" t="s">
        <v>524</v>
      </c>
      <c r="AG488" s="14" t="s">
        <v>40</v>
      </c>
      <c r="AH488" s="14" t="s">
        <v>656</v>
      </c>
      <c r="AI488" s="9">
        <v>20956</v>
      </c>
      <c r="AJ488" s="34">
        <v>7260</v>
      </c>
      <c r="AK488" s="9">
        <v>565</v>
      </c>
    </row>
    <row r="489" spans="5:37" x14ac:dyDescent="0.25">
      <c r="E489">
        <v>486</v>
      </c>
      <c r="F489" t="s">
        <v>534</v>
      </c>
      <c r="G489" t="s">
        <v>41</v>
      </c>
      <c r="H489" t="s">
        <v>654</v>
      </c>
      <c r="I489" s="9">
        <v>22588</v>
      </c>
      <c r="J489" s="10">
        <v>5601</v>
      </c>
      <c r="K489" s="9">
        <v>167</v>
      </c>
      <c r="AD489" s="13"/>
      <c r="AE489" s="14">
        <v>477</v>
      </c>
      <c r="AF489" s="14" t="s">
        <v>525</v>
      </c>
      <c r="AG489" s="14" t="s">
        <v>40</v>
      </c>
      <c r="AH489" s="14" t="s">
        <v>657</v>
      </c>
      <c r="AI489" s="9">
        <v>99192</v>
      </c>
      <c r="AJ489" s="34">
        <v>36770</v>
      </c>
      <c r="AK489" s="9">
        <v>3025</v>
      </c>
    </row>
    <row r="490" spans="5:37" x14ac:dyDescent="0.25">
      <c r="E490">
        <v>487</v>
      </c>
      <c r="F490" t="s">
        <v>535</v>
      </c>
      <c r="G490" t="s">
        <v>41</v>
      </c>
      <c r="H490" t="s">
        <v>655</v>
      </c>
      <c r="I490" s="9">
        <v>10569</v>
      </c>
      <c r="J490" s="10">
        <v>3190</v>
      </c>
      <c r="K490" s="9">
        <v>73</v>
      </c>
      <c r="AD490" s="13"/>
      <c r="AE490" s="14">
        <v>478</v>
      </c>
      <c r="AF490" s="14" t="s">
        <v>526</v>
      </c>
      <c r="AG490" s="14" t="s">
        <v>40</v>
      </c>
      <c r="AH490" s="14" t="s">
        <v>658</v>
      </c>
      <c r="AI490" s="9">
        <v>127885</v>
      </c>
      <c r="AJ490" s="34">
        <v>29512</v>
      </c>
      <c r="AK490" s="9">
        <v>554</v>
      </c>
    </row>
    <row r="491" spans="5:37" x14ac:dyDescent="0.25">
      <c r="E491">
        <v>488</v>
      </c>
      <c r="F491" t="s">
        <v>536</v>
      </c>
      <c r="G491" t="s">
        <v>41</v>
      </c>
      <c r="H491" t="s">
        <v>656</v>
      </c>
      <c r="I491" s="9">
        <v>33958</v>
      </c>
      <c r="J491" s="10">
        <v>11499</v>
      </c>
      <c r="K491" s="9">
        <v>374</v>
      </c>
      <c r="AD491" s="13"/>
      <c r="AE491" s="14">
        <v>479</v>
      </c>
      <c r="AF491" s="14" t="s">
        <v>527</v>
      </c>
      <c r="AG491" s="14" t="s">
        <v>40</v>
      </c>
      <c r="AH491" s="14" t="s">
        <v>659</v>
      </c>
      <c r="AI491" s="9">
        <v>106196</v>
      </c>
      <c r="AJ491" s="34">
        <v>27038</v>
      </c>
      <c r="AK491" s="9">
        <v>926</v>
      </c>
    </row>
    <row r="492" spans="5:37" x14ac:dyDescent="0.25">
      <c r="E492">
        <v>489</v>
      </c>
      <c r="F492" t="s">
        <v>537</v>
      </c>
      <c r="G492" t="s">
        <v>41</v>
      </c>
      <c r="H492" t="s">
        <v>657</v>
      </c>
      <c r="I492" s="9">
        <v>59334</v>
      </c>
      <c r="J492" s="10">
        <v>20846</v>
      </c>
      <c r="K492" s="9">
        <v>139</v>
      </c>
      <c r="AD492" s="13"/>
      <c r="AE492" s="14">
        <v>480</v>
      </c>
      <c r="AF492" s="14" t="s">
        <v>528</v>
      </c>
      <c r="AG492" s="14" t="s">
        <v>40</v>
      </c>
      <c r="AH492" s="14" t="s">
        <v>660</v>
      </c>
      <c r="AI492" s="9">
        <v>83124</v>
      </c>
      <c r="AJ492" s="34">
        <v>32028</v>
      </c>
      <c r="AK492" s="9">
        <v>659</v>
      </c>
    </row>
    <row r="493" spans="5:37" x14ac:dyDescent="0.25">
      <c r="E493">
        <v>490</v>
      </c>
      <c r="F493" t="s">
        <v>538</v>
      </c>
      <c r="G493" t="s">
        <v>41</v>
      </c>
      <c r="H493" t="s">
        <v>658</v>
      </c>
      <c r="I493" s="9">
        <v>146945</v>
      </c>
      <c r="J493" s="10">
        <v>56093</v>
      </c>
      <c r="K493" s="9">
        <v>3330</v>
      </c>
      <c r="AD493" s="13"/>
      <c r="AE493" s="14">
        <v>481</v>
      </c>
      <c r="AF493" s="14" t="s">
        <v>529</v>
      </c>
      <c r="AG493" s="14" t="s">
        <v>41</v>
      </c>
      <c r="AH493" s="14" t="s">
        <v>649</v>
      </c>
      <c r="AI493" s="9">
        <v>101643</v>
      </c>
      <c r="AJ493" s="34">
        <v>26845</v>
      </c>
      <c r="AK493" s="9">
        <v>1423</v>
      </c>
    </row>
    <row r="494" spans="5:37" x14ac:dyDescent="0.25">
      <c r="E494">
        <v>491</v>
      </c>
      <c r="F494" t="s">
        <v>539</v>
      </c>
      <c r="G494" t="s">
        <v>41</v>
      </c>
      <c r="H494" t="s">
        <v>659</v>
      </c>
      <c r="I494" s="9">
        <v>22795</v>
      </c>
      <c r="J494" s="10">
        <v>5944</v>
      </c>
      <c r="K494" s="9">
        <v>76</v>
      </c>
      <c r="AD494" s="13"/>
      <c r="AE494" s="14">
        <v>482</v>
      </c>
      <c r="AF494" s="14" t="s">
        <v>530</v>
      </c>
      <c r="AG494" s="14" t="s">
        <v>41</v>
      </c>
      <c r="AH494" s="14" t="s">
        <v>650</v>
      </c>
      <c r="AI494" s="9">
        <v>74732</v>
      </c>
      <c r="AJ494" s="34">
        <v>26608</v>
      </c>
      <c r="AK494" s="9">
        <v>2317</v>
      </c>
    </row>
    <row r="495" spans="5:37" x14ac:dyDescent="0.25">
      <c r="E495">
        <v>492</v>
      </c>
      <c r="F495" t="s">
        <v>540</v>
      </c>
      <c r="G495" t="s">
        <v>41</v>
      </c>
      <c r="H495" t="s">
        <v>660</v>
      </c>
      <c r="I495" s="9">
        <v>14895</v>
      </c>
      <c r="J495" s="10">
        <v>4009</v>
      </c>
      <c r="K495" s="9">
        <v>207</v>
      </c>
      <c r="AD495" s="13"/>
      <c r="AE495" s="14">
        <v>483</v>
      </c>
      <c r="AF495" s="14" t="s">
        <v>531</v>
      </c>
      <c r="AG495" s="14" t="s">
        <v>41</v>
      </c>
      <c r="AH495" s="14" t="s">
        <v>651</v>
      </c>
      <c r="AI495" s="9">
        <v>44785</v>
      </c>
      <c r="AJ495" s="34">
        <v>10281</v>
      </c>
      <c r="AK495" s="9">
        <v>298</v>
      </c>
    </row>
    <row r="496" spans="5:37" x14ac:dyDescent="0.25">
      <c r="E496">
        <v>493</v>
      </c>
      <c r="F496" t="s">
        <v>541</v>
      </c>
      <c r="G496" t="s">
        <v>42</v>
      </c>
      <c r="H496" t="s">
        <v>649</v>
      </c>
      <c r="I496" s="9">
        <v>116428</v>
      </c>
      <c r="J496" s="10">
        <v>43484</v>
      </c>
      <c r="K496" s="9">
        <v>1541</v>
      </c>
      <c r="AD496" s="13"/>
      <c r="AE496" s="14">
        <v>484</v>
      </c>
      <c r="AF496" s="14" t="s">
        <v>532</v>
      </c>
      <c r="AG496" s="14" t="s">
        <v>41</v>
      </c>
      <c r="AH496" s="14" t="s">
        <v>652</v>
      </c>
      <c r="AI496" s="9">
        <v>46568</v>
      </c>
      <c r="AJ496" s="34">
        <v>15846</v>
      </c>
      <c r="AK496" s="9">
        <v>940</v>
      </c>
    </row>
    <row r="497" spans="5:37" x14ac:dyDescent="0.25">
      <c r="E497">
        <v>494</v>
      </c>
      <c r="F497" t="s">
        <v>542</v>
      </c>
      <c r="G497" t="s">
        <v>42</v>
      </c>
      <c r="H497" t="s">
        <v>650</v>
      </c>
      <c r="I497" s="9">
        <v>36195</v>
      </c>
      <c r="J497" s="10">
        <v>10967</v>
      </c>
      <c r="K497" s="9">
        <v>1047</v>
      </c>
      <c r="AD497" s="13"/>
      <c r="AE497" s="14">
        <v>485</v>
      </c>
      <c r="AF497" s="14" t="s">
        <v>533</v>
      </c>
      <c r="AG497" s="14" t="s">
        <v>41</v>
      </c>
      <c r="AH497" s="14" t="s">
        <v>653</v>
      </c>
      <c r="AI497" s="9">
        <v>46599</v>
      </c>
      <c r="AJ497" s="34">
        <v>14828</v>
      </c>
      <c r="AK497" s="9">
        <v>156</v>
      </c>
    </row>
    <row r="498" spans="5:37" x14ac:dyDescent="0.25">
      <c r="E498">
        <v>495</v>
      </c>
      <c r="F498" t="s">
        <v>543</v>
      </c>
      <c r="G498" t="s">
        <v>42</v>
      </c>
      <c r="H498" t="s">
        <v>651</v>
      </c>
      <c r="I498" s="9">
        <v>131699</v>
      </c>
      <c r="J498" s="10">
        <v>41367</v>
      </c>
      <c r="K498" s="9">
        <v>916</v>
      </c>
      <c r="AD498" s="13"/>
      <c r="AE498" s="14">
        <v>486</v>
      </c>
      <c r="AF498" s="14" t="s">
        <v>534</v>
      </c>
      <c r="AG498" s="14" t="s">
        <v>41</v>
      </c>
      <c r="AH498" s="14" t="s">
        <v>654</v>
      </c>
      <c r="AI498" s="9">
        <v>22588</v>
      </c>
      <c r="AJ498" s="34">
        <v>5601</v>
      </c>
      <c r="AK498" s="9">
        <v>167</v>
      </c>
    </row>
    <row r="499" spans="5:37" x14ac:dyDescent="0.25">
      <c r="E499">
        <v>496</v>
      </c>
      <c r="F499" t="s">
        <v>544</v>
      </c>
      <c r="G499" t="s">
        <v>42</v>
      </c>
      <c r="H499" t="s">
        <v>652</v>
      </c>
      <c r="I499" s="9">
        <v>60669</v>
      </c>
      <c r="J499" s="10">
        <v>20018</v>
      </c>
      <c r="K499" s="9">
        <v>1121</v>
      </c>
      <c r="AD499" s="13"/>
      <c r="AE499" s="14">
        <v>487</v>
      </c>
      <c r="AF499" s="14" t="s">
        <v>535</v>
      </c>
      <c r="AG499" s="14" t="s">
        <v>41</v>
      </c>
      <c r="AH499" s="14" t="s">
        <v>655</v>
      </c>
      <c r="AI499" s="9">
        <v>10569</v>
      </c>
      <c r="AJ499" s="34">
        <v>3190</v>
      </c>
      <c r="AK499" s="9">
        <v>73</v>
      </c>
    </row>
    <row r="500" spans="5:37" x14ac:dyDescent="0.25">
      <c r="E500">
        <v>497</v>
      </c>
      <c r="F500" t="s">
        <v>545</v>
      </c>
      <c r="G500" t="s">
        <v>42</v>
      </c>
      <c r="H500" t="s">
        <v>653</v>
      </c>
      <c r="I500" s="9">
        <v>22522</v>
      </c>
      <c r="J500" s="10">
        <v>5165</v>
      </c>
      <c r="K500" s="9">
        <v>361</v>
      </c>
      <c r="AD500" s="13"/>
      <c r="AE500" s="14">
        <v>488</v>
      </c>
      <c r="AF500" s="14" t="s">
        <v>536</v>
      </c>
      <c r="AG500" s="14" t="s">
        <v>41</v>
      </c>
      <c r="AH500" s="14" t="s">
        <v>656</v>
      </c>
      <c r="AI500" s="9">
        <v>33958</v>
      </c>
      <c r="AJ500" s="34">
        <v>11499</v>
      </c>
      <c r="AK500" s="9">
        <v>374</v>
      </c>
    </row>
    <row r="501" spans="5:37" x14ac:dyDescent="0.25">
      <c r="E501">
        <v>498</v>
      </c>
      <c r="F501" t="s">
        <v>546</v>
      </c>
      <c r="G501" t="s">
        <v>42</v>
      </c>
      <c r="H501" t="s">
        <v>654</v>
      </c>
      <c r="I501" s="9">
        <v>56979</v>
      </c>
      <c r="J501" s="10">
        <v>17228</v>
      </c>
      <c r="K501" s="9">
        <v>1236</v>
      </c>
      <c r="AD501" s="13"/>
      <c r="AE501" s="14">
        <v>489</v>
      </c>
      <c r="AF501" s="14" t="s">
        <v>537</v>
      </c>
      <c r="AG501" s="14" t="s">
        <v>41</v>
      </c>
      <c r="AH501" s="14" t="s">
        <v>657</v>
      </c>
      <c r="AI501" s="9">
        <v>59334</v>
      </c>
      <c r="AJ501" s="34">
        <v>20846</v>
      </c>
      <c r="AK501" s="9">
        <v>139</v>
      </c>
    </row>
    <row r="502" spans="5:37" x14ac:dyDescent="0.25">
      <c r="E502">
        <v>499</v>
      </c>
      <c r="F502" t="s">
        <v>547</v>
      </c>
      <c r="G502" t="s">
        <v>42</v>
      </c>
      <c r="H502" t="s">
        <v>655</v>
      </c>
      <c r="I502" s="9">
        <v>87882</v>
      </c>
      <c r="J502" s="10">
        <v>25567</v>
      </c>
      <c r="K502" s="9">
        <v>320</v>
      </c>
      <c r="AD502" s="13"/>
      <c r="AE502" s="14">
        <v>490</v>
      </c>
      <c r="AF502" s="14" t="s">
        <v>538</v>
      </c>
      <c r="AG502" s="14" t="s">
        <v>41</v>
      </c>
      <c r="AH502" s="14" t="s">
        <v>658</v>
      </c>
      <c r="AI502" s="9">
        <v>146945</v>
      </c>
      <c r="AJ502" s="34">
        <v>56093</v>
      </c>
      <c r="AK502" s="9">
        <v>3330</v>
      </c>
    </row>
    <row r="503" spans="5:37" x14ac:dyDescent="0.25">
      <c r="E503">
        <v>500</v>
      </c>
      <c r="F503" t="s">
        <v>548</v>
      </c>
      <c r="G503" t="s">
        <v>42</v>
      </c>
      <c r="H503" t="s">
        <v>656</v>
      </c>
      <c r="I503" s="9">
        <v>94972</v>
      </c>
      <c r="J503" s="10">
        <v>19831</v>
      </c>
      <c r="K503" s="9">
        <v>102</v>
      </c>
      <c r="AD503" s="13"/>
      <c r="AE503" s="14">
        <v>491</v>
      </c>
      <c r="AF503" s="14" t="s">
        <v>539</v>
      </c>
      <c r="AG503" s="14" t="s">
        <v>41</v>
      </c>
      <c r="AH503" s="14" t="s">
        <v>659</v>
      </c>
      <c r="AI503" s="9">
        <v>22795</v>
      </c>
      <c r="AJ503" s="34">
        <v>5944</v>
      </c>
      <c r="AK503" s="9">
        <v>76</v>
      </c>
    </row>
    <row r="504" spans="5:37" x14ac:dyDescent="0.25">
      <c r="E504">
        <v>501</v>
      </c>
      <c r="F504" t="s">
        <v>549</v>
      </c>
      <c r="G504" t="s">
        <v>42</v>
      </c>
      <c r="H504" t="s">
        <v>657</v>
      </c>
      <c r="I504" s="9">
        <v>74892</v>
      </c>
      <c r="J504" s="10">
        <v>15442</v>
      </c>
      <c r="K504" s="9">
        <v>209</v>
      </c>
      <c r="AD504" s="13"/>
      <c r="AE504" s="14">
        <v>492</v>
      </c>
      <c r="AF504" s="14" t="s">
        <v>540</v>
      </c>
      <c r="AG504" s="14" t="s">
        <v>41</v>
      </c>
      <c r="AH504" s="14" t="s">
        <v>660</v>
      </c>
      <c r="AI504" s="9">
        <v>14895</v>
      </c>
      <c r="AJ504" s="34">
        <v>4009</v>
      </c>
      <c r="AK504" s="9">
        <v>207</v>
      </c>
    </row>
    <row r="505" spans="5:37" x14ac:dyDescent="0.25">
      <c r="E505">
        <v>502</v>
      </c>
      <c r="F505" t="s">
        <v>550</v>
      </c>
      <c r="G505" t="s">
        <v>42</v>
      </c>
      <c r="H505" t="s">
        <v>658</v>
      </c>
      <c r="I505" s="9">
        <v>126217</v>
      </c>
      <c r="J505" s="10">
        <v>47991</v>
      </c>
      <c r="K505" s="9">
        <v>1985</v>
      </c>
      <c r="AD505" s="13"/>
      <c r="AE505" s="14">
        <v>493</v>
      </c>
      <c r="AF505" s="14" t="s">
        <v>541</v>
      </c>
      <c r="AG505" s="14" t="s">
        <v>42</v>
      </c>
      <c r="AH505" s="14" t="s">
        <v>649</v>
      </c>
      <c r="AI505" s="9">
        <v>116428</v>
      </c>
      <c r="AJ505" s="34">
        <v>43484</v>
      </c>
      <c r="AK505" s="9">
        <v>1541</v>
      </c>
    </row>
    <row r="506" spans="5:37" x14ac:dyDescent="0.25">
      <c r="E506">
        <v>503</v>
      </c>
      <c r="F506" t="s">
        <v>551</v>
      </c>
      <c r="G506" t="s">
        <v>42</v>
      </c>
      <c r="H506" t="s">
        <v>659</v>
      </c>
      <c r="I506" s="9">
        <v>43228</v>
      </c>
      <c r="J506" s="10">
        <v>16128</v>
      </c>
      <c r="K506" s="9">
        <v>873</v>
      </c>
      <c r="AD506" s="13"/>
      <c r="AE506" s="14">
        <v>494</v>
      </c>
      <c r="AF506" s="14" t="s">
        <v>542</v>
      </c>
      <c r="AG506" s="14" t="s">
        <v>42</v>
      </c>
      <c r="AH506" s="14" t="s">
        <v>650</v>
      </c>
      <c r="AI506" s="9">
        <v>36195</v>
      </c>
      <c r="AJ506" s="34">
        <v>10967</v>
      </c>
      <c r="AK506" s="9">
        <v>1047</v>
      </c>
    </row>
    <row r="507" spans="5:37" x14ac:dyDescent="0.25">
      <c r="E507">
        <v>504</v>
      </c>
      <c r="F507" t="s">
        <v>552</v>
      </c>
      <c r="G507" t="s">
        <v>42</v>
      </c>
      <c r="H507" t="s">
        <v>660</v>
      </c>
      <c r="I507" s="9">
        <v>68210</v>
      </c>
      <c r="J507" s="10">
        <v>13844</v>
      </c>
      <c r="K507" s="9">
        <v>564</v>
      </c>
      <c r="AD507" s="13"/>
      <c r="AE507" s="14">
        <v>495</v>
      </c>
      <c r="AF507" s="14" t="s">
        <v>543</v>
      </c>
      <c r="AG507" s="14" t="s">
        <v>42</v>
      </c>
      <c r="AH507" s="14" t="s">
        <v>651</v>
      </c>
      <c r="AI507" s="9">
        <v>131699</v>
      </c>
      <c r="AJ507" s="34">
        <v>41367</v>
      </c>
      <c r="AK507" s="9">
        <v>916</v>
      </c>
    </row>
    <row r="508" spans="5:37" x14ac:dyDescent="0.25">
      <c r="E508">
        <v>505</v>
      </c>
      <c r="F508" t="s">
        <v>553</v>
      </c>
      <c r="G508" t="s">
        <v>43</v>
      </c>
      <c r="H508" t="s">
        <v>649</v>
      </c>
      <c r="I508" s="9">
        <v>45604</v>
      </c>
      <c r="J508" s="10">
        <v>11425</v>
      </c>
      <c r="K508" s="9">
        <v>515</v>
      </c>
      <c r="AD508" s="13"/>
      <c r="AE508" s="14">
        <v>496</v>
      </c>
      <c r="AF508" s="14" t="s">
        <v>544</v>
      </c>
      <c r="AG508" s="14" t="s">
        <v>42</v>
      </c>
      <c r="AH508" s="14" t="s">
        <v>652</v>
      </c>
      <c r="AI508" s="9">
        <v>60669</v>
      </c>
      <c r="AJ508" s="34">
        <v>20018</v>
      </c>
      <c r="AK508" s="9">
        <v>1121</v>
      </c>
    </row>
    <row r="509" spans="5:37" x14ac:dyDescent="0.25">
      <c r="E509">
        <v>506</v>
      </c>
      <c r="F509" t="s">
        <v>554</v>
      </c>
      <c r="G509" t="s">
        <v>43</v>
      </c>
      <c r="H509" t="s">
        <v>650</v>
      </c>
      <c r="I509" s="9">
        <v>82011</v>
      </c>
      <c r="J509" s="10">
        <v>24993</v>
      </c>
      <c r="K509" s="9">
        <v>1564</v>
      </c>
      <c r="AD509" s="13"/>
      <c r="AE509" s="14">
        <v>497</v>
      </c>
      <c r="AF509" s="14" t="s">
        <v>545</v>
      </c>
      <c r="AG509" s="14" t="s">
        <v>42</v>
      </c>
      <c r="AH509" s="14" t="s">
        <v>653</v>
      </c>
      <c r="AI509" s="9">
        <v>22522</v>
      </c>
      <c r="AJ509" s="34">
        <v>5165</v>
      </c>
      <c r="AK509" s="9">
        <v>361</v>
      </c>
    </row>
    <row r="510" spans="5:37" x14ac:dyDescent="0.25">
      <c r="E510">
        <v>507</v>
      </c>
      <c r="F510" t="s">
        <v>555</v>
      </c>
      <c r="G510" t="s">
        <v>43</v>
      </c>
      <c r="H510" t="s">
        <v>651</v>
      </c>
      <c r="I510" s="9">
        <v>96814</v>
      </c>
      <c r="J510" s="10">
        <v>22449</v>
      </c>
      <c r="K510" s="9">
        <v>1680</v>
      </c>
      <c r="AD510" s="13"/>
      <c r="AE510" s="14">
        <v>498</v>
      </c>
      <c r="AF510" s="14" t="s">
        <v>546</v>
      </c>
      <c r="AG510" s="14" t="s">
        <v>42</v>
      </c>
      <c r="AH510" s="14" t="s">
        <v>654</v>
      </c>
      <c r="AI510" s="9">
        <v>56979</v>
      </c>
      <c r="AJ510" s="34">
        <v>17228</v>
      </c>
      <c r="AK510" s="9">
        <v>1236</v>
      </c>
    </row>
    <row r="511" spans="5:37" x14ac:dyDescent="0.25">
      <c r="E511">
        <v>508</v>
      </c>
      <c r="F511" t="s">
        <v>556</v>
      </c>
      <c r="G511" t="s">
        <v>43</v>
      </c>
      <c r="H511" t="s">
        <v>652</v>
      </c>
      <c r="I511" s="9">
        <v>35587</v>
      </c>
      <c r="J511" s="10">
        <v>11471</v>
      </c>
      <c r="K511" s="9">
        <v>876</v>
      </c>
      <c r="AD511" s="13"/>
      <c r="AE511" s="14">
        <v>499</v>
      </c>
      <c r="AF511" s="14" t="s">
        <v>547</v>
      </c>
      <c r="AG511" s="14" t="s">
        <v>42</v>
      </c>
      <c r="AH511" s="14" t="s">
        <v>655</v>
      </c>
      <c r="AI511" s="9">
        <v>87882</v>
      </c>
      <c r="AJ511" s="34">
        <v>25567</v>
      </c>
      <c r="AK511" s="9">
        <v>320</v>
      </c>
    </row>
    <row r="512" spans="5:37" x14ac:dyDescent="0.25">
      <c r="E512">
        <v>509</v>
      </c>
      <c r="F512" t="s">
        <v>557</v>
      </c>
      <c r="G512" t="s">
        <v>43</v>
      </c>
      <c r="H512" t="s">
        <v>653</v>
      </c>
      <c r="I512" s="9">
        <v>41372</v>
      </c>
      <c r="J512" s="10">
        <v>9194</v>
      </c>
      <c r="K512" s="9">
        <v>235</v>
      </c>
      <c r="AD512" s="13"/>
      <c r="AE512" s="14">
        <v>500</v>
      </c>
      <c r="AF512" s="14" t="s">
        <v>548</v>
      </c>
      <c r="AG512" s="14" t="s">
        <v>42</v>
      </c>
      <c r="AH512" s="14" t="s">
        <v>656</v>
      </c>
      <c r="AI512" s="9">
        <v>94972</v>
      </c>
      <c r="AJ512" s="34">
        <v>19831</v>
      </c>
      <c r="AK512" s="9">
        <v>102</v>
      </c>
    </row>
    <row r="513" spans="5:37" x14ac:dyDescent="0.25">
      <c r="E513">
        <v>510</v>
      </c>
      <c r="F513" t="s">
        <v>558</v>
      </c>
      <c r="G513" t="s">
        <v>43</v>
      </c>
      <c r="H513" t="s">
        <v>654</v>
      </c>
      <c r="I513" s="9">
        <v>85107</v>
      </c>
      <c r="J513" s="10">
        <v>19382</v>
      </c>
      <c r="K513" s="9">
        <v>1711</v>
      </c>
      <c r="AD513" s="13"/>
      <c r="AE513" s="14">
        <v>501</v>
      </c>
      <c r="AF513" s="14" t="s">
        <v>549</v>
      </c>
      <c r="AG513" s="14" t="s">
        <v>42</v>
      </c>
      <c r="AH513" s="14" t="s">
        <v>657</v>
      </c>
      <c r="AI513" s="9">
        <v>74892</v>
      </c>
      <c r="AJ513" s="34">
        <v>15442</v>
      </c>
      <c r="AK513" s="9">
        <v>209</v>
      </c>
    </row>
    <row r="514" spans="5:37" x14ac:dyDescent="0.25">
      <c r="E514">
        <v>511</v>
      </c>
      <c r="F514" t="s">
        <v>559</v>
      </c>
      <c r="G514" t="s">
        <v>43</v>
      </c>
      <c r="H514" t="s">
        <v>655</v>
      </c>
      <c r="I514" s="9">
        <v>54851</v>
      </c>
      <c r="J514" s="10">
        <v>20495</v>
      </c>
      <c r="K514" s="9">
        <v>536</v>
      </c>
      <c r="AD514" s="13"/>
      <c r="AE514" s="14">
        <v>502</v>
      </c>
      <c r="AF514" s="14" t="s">
        <v>550</v>
      </c>
      <c r="AG514" s="14" t="s">
        <v>42</v>
      </c>
      <c r="AH514" s="14" t="s">
        <v>658</v>
      </c>
      <c r="AI514" s="9">
        <v>126217</v>
      </c>
      <c r="AJ514" s="34">
        <v>47991</v>
      </c>
      <c r="AK514" s="9">
        <v>1985</v>
      </c>
    </row>
    <row r="515" spans="5:37" x14ac:dyDescent="0.25">
      <c r="E515">
        <v>512</v>
      </c>
      <c r="F515" t="s">
        <v>560</v>
      </c>
      <c r="G515" t="s">
        <v>43</v>
      </c>
      <c r="H515" t="s">
        <v>656</v>
      </c>
      <c r="I515" s="9">
        <v>37749</v>
      </c>
      <c r="J515" s="10">
        <v>10385</v>
      </c>
      <c r="K515" s="9">
        <v>39</v>
      </c>
      <c r="AD515" s="13"/>
      <c r="AE515" s="14">
        <v>503</v>
      </c>
      <c r="AF515" s="14" t="s">
        <v>551</v>
      </c>
      <c r="AG515" s="14" t="s">
        <v>42</v>
      </c>
      <c r="AH515" s="14" t="s">
        <v>659</v>
      </c>
      <c r="AI515" s="9">
        <v>43228</v>
      </c>
      <c r="AJ515" s="34">
        <v>16128</v>
      </c>
      <c r="AK515" s="9">
        <v>873</v>
      </c>
    </row>
    <row r="516" spans="5:37" x14ac:dyDescent="0.25">
      <c r="E516">
        <v>513</v>
      </c>
      <c r="F516" t="s">
        <v>561</v>
      </c>
      <c r="G516" t="s">
        <v>43</v>
      </c>
      <c r="H516" t="s">
        <v>657</v>
      </c>
      <c r="I516" s="9">
        <v>67958</v>
      </c>
      <c r="J516" s="10">
        <v>24097</v>
      </c>
      <c r="K516" s="9">
        <v>1610</v>
      </c>
      <c r="AD516" s="13"/>
      <c r="AE516" s="14">
        <v>504</v>
      </c>
      <c r="AF516" s="14" t="s">
        <v>552</v>
      </c>
      <c r="AG516" s="14" t="s">
        <v>42</v>
      </c>
      <c r="AH516" s="14" t="s">
        <v>660</v>
      </c>
      <c r="AI516" s="9">
        <v>68210</v>
      </c>
      <c r="AJ516" s="34">
        <v>13844</v>
      </c>
      <c r="AK516" s="9">
        <v>564</v>
      </c>
    </row>
    <row r="517" spans="5:37" x14ac:dyDescent="0.25">
      <c r="E517">
        <v>514</v>
      </c>
      <c r="F517" t="s">
        <v>562</v>
      </c>
      <c r="G517" t="s">
        <v>43</v>
      </c>
      <c r="H517" t="s">
        <v>658</v>
      </c>
      <c r="I517" s="9">
        <v>132289</v>
      </c>
      <c r="J517" s="10">
        <v>32890</v>
      </c>
      <c r="K517" s="9">
        <v>782</v>
      </c>
      <c r="AD517" s="13"/>
      <c r="AE517" s="14">
        <v>505</v>
      </c>
      <c r="AF517" s="14" t="s">
        <v>553</v>
      </c>
      <c r="AG517" s="14" t="s">
        <v>43</v>
      </c>
      <c r="AH517" s="14" t="s">
        <v>649</v>
      </c>
      <c r="AI517" s="9">
        <v>45604</v>
      </c>
      <c r="AJ517" s="34">
        <v>11425</v>
      </c>
      <c r="AK517" s="9">
        <v>515</v>
      </c>
    </row>
    <row r="518" spans="5:37" x14ac:dyDescent="0.25">
      <c r="E518">
        <v>515</v>
      </c>
      <c r="F518" t="s">
        <v>563</v>
      </c>
      <c r="G518" t="s">
        <v>43</v>
      </c>
      <c r="H518" t="s">
        <v>659</v>
      </c>
      <c r="I518" s="9">
        <v>43420</v>
      </c>
      <c r="J518" s="10">
        <v>17221</v>
      </c>
      <c r="K518" s="9">
        <v>716</v>
      </c>
      <c r="AD518" s="13"/>
      <c r="AE518" s="14">
        <v>506</v>
      </c>
      <c r="AF518" s="14" t="s">
        <v>554</v>
      </c>
      <c r="AG518" s="14" t="s">
        <v>43</v>
      </c>
      <c r="AH518" s="14" t="s">
        <v>650</v>
      </c>
      <c r="AI518" s="9">
        <v>82011</v>
      </c>
      <c r="AJ518" s="34">
        <v>24993</v>
      </c>
      <c r="AK518" s="9">
        <v>1564</v>
      </c>
    </row>
    <row r="519" spans="5:37" x14ac:dyDescent="0.25">
      <c r="E519">
        <v>516</v>
      </c>
      <c r="F519" t="s">
        <v>564</v>
      </c>
      <c r="G519" t="s">
        <v>43</v>
      </c>
      <c r="H519" t="s">
        <v>660</v>
      </c>
      <c r="I519" s="9">
        <v>99974</v>
      </c>
      <c r="J519" s="10">
        <v>22148</v>
      </c>
      <c r="K519" s="9">
        <v>1456</v>
      </c>
      <c r="AD519" s="13"/>
      <c r="AE519" s="14">
        <v>507</v>
      </c>
      <c r="AF519" s="14" t="s">
        <v>555</v>
      </c>
      <c r="AG519" s="14" t="s">
        <v>43</v>
      </c>
      <c r="AH519" s="14" t="s">
        <v>651</v>
      </c>
      <c r="AI519" s="9">
        <v>96814</v>
      </c>
      <c r="AJ519" s="34">
        <v>22449</v>
      </c>
      <c r="AK519" s="9">
        <v>1680</v>
      </c>
    </row>
    <row r="520" spans="5:37" x14ac:dyDescent="0.25">
      <c r="E520">
        <v>517</v>
      </c>
      <c r="F520" t="s">
        <v>565</v>
      </c>
      <c r="G520" t="s">
        <v>44</v>
      </c>
      <c r="H520" t="s">
        <v>649</v>
      </c>
      <c r="I520" s="9">
        <v>55228</v>
      </c>
      <c r="J520" s="10">
        <v>15762</v>
      </c>
      <c r="K520" s="9">
        <v>1566</v>
      </c>
      <c r="AD520" s="13"/>
      <c r="AE520" s="14">
        <v>508</v>
      </c>
      <c r="AF520" s="14" t="s">
        <v>556</v>
      </c>
      <c r="AG520" s="14" t="s">
        <v>43</v>
      </c>
      <c r="AH520" s="14" t="s">
        <v>652</v>
      </c>
      <c r="AI520" s="9">
        <v>35587</v>
      </c>
      <c r="AJ520" s="34">
        <v>11471</v>
      </c>
      <c r="AK520" s="9">
        <v>876</v>
      </c>
    </row>
    <row r="521" spans="5:37" x14ac:dyDescent="0.25">
      <c r="E521">
        <v>518</v>
      </c>
      <c r="F521" t="s">
        <v>566</v>
      </c>
      <c r="G521" t="s">
        <v>44</v>
      </c>
      <c r="H521" t="s">
        <v>650</v>
      </c>
      <c r="I521" s="9">
        <v>86927</v>
      </c>
      <c r="J521" s="10">
        <v>31406</v>
      </c>
      <c r="K521" s="9">
        <v>1675</v>
      </c>
      <c r="AD521" s="13"/>
      <c r="AE521" s="14">
        <v>509</v>
      </c>
      <c r="AF521" s="14" t="s">
        <v>557</v>
      </c>
      <c r="AG521" s="14" t="s">
        <v>43</v>
      </c>
      <c r="AH521" s="14" t="s">
        <v>653</v>
      </c>
      <c r="AI521" s="9">
        <v>41372</v>
      </c>
      <c r="AJ521" s="34">
        <v>9194</v>
      </c>
      <c r="AK521" s="9">
        <v>235</v>
      </c>
    </row>
    <row r="522" spans="5:37" x14ac:dyDescent="0.25">
      <c r="E522">
        <v>519</v>
      </c>
      <c r="F522" t="s">
        <v>567</v>
      </c>
      <c r="G522" t="s">
        <v>44</v>
      </c>
      <c r="H522" t="s">
        <v>651</v>
      </c>
      <c r="I522" s="9">
        <v>11270</v>
      </c>
      <c r="J522" s="10">
        <v>2864</v>
      </c>
      <c r="K522" s="9">
        <v>268</v>
      </c>
      <c r="AD522" s="13"/>
      <c r="AE522" s="14">
        <v>510</v>
      </c>
      <c r="AF522" s="14" t="s">
        <v>558</v>
      </c>
      <c r="AG522" s="14" t="s">
        <v>43</v>
      </c>
      <c r="AH522" s="14" t="s">
        <v>654</v>
      </c>
      <c r="AI522" s="9">
        <v>85107</v>
      </c>
      <c r="AJ522" s="34">
        <v>19382</v>
      </c>
      <c r="AK522" s="9">
        <v>1711</v>
      </c>
    </row>
    <row r="523" spans="5:37" x14ac:dyDescent="0.25">
      <c r="E523">
        <v>520</v>
      </c>
      <c r="F523" t="s">
        <v>568</v>
      </c>
      <c r="G523" t="s">
        <v>44</v>
      </c>
      <c r="H523" t="s">
        <v>652</v>
      </c>
      <c r="I523" s="9">
        <v>149316</v>
      </c>
      <c r="J523" s="10">
        <v>46107</v>
      </c>
      <c r="K523" s="9">
        <v>887</v>
      </c>
      <c r="AD523" s="13"/>
      <c r="AE523" s="14">
        <v>511</v>
      </c>
      <c r="AF523" s="14" t="s">
        <v>559</v>
      </c>
      <c r="AG523" s="14" t="s">
        <v>43</v>
      </c>
      <c r="AH523" s="14" t="s">
        <v>655</v>
      </c>
      <c r="AI523" s="9">
        <v>54851</v>
      </c>
      <c r="AJ523" s="34">
        <v>20495</v>
      </c>
      <c r="AK523" s="9">
        <v>536</v>
      </c>
    </row>
    <row r="524" spans="5:37" x14ac:dyDescent="0.25">
      <c r="E524">
        <v>521</v>
      </c>
      <c r="F524" t="s">
        <v>569</v>
      </c>
      <c r="G524" t="s">
        <v>44</v>
      </c>
      <c r="H524" t="s">
        <v>653</v>
      </c>
      <c r="I524" s="9">
        <v>133071</v>
      </c>
      <c r="J524" s="10">
        <v>32252</v>
      </c>
      <c r="K524" s="9">
        <v>2976</v>
      </c>
      <c r="AD524" s="13"/>
      <c r="AE524" s="14">
        <v>512</v>
      </c>
      <c r="AF524" s="14" t="s">
        <v>560</v>
      </c>
      <c r="AG524" s="14" t="s">
        <v>43</v>
      </c>
      <c r="AH524" s="14" t="s">
        <v>656</v>
      </c>
      <c r="AI524" s="9">
        <v>37749</v>
      </c>
      <c r="AJ524" s="34">
        <v>10385</v>
      </c>
      <c r="AK524" s="9">
        <v>39</v>
      </c>
    </row>
    <row r="525" spans="5:37" x14ac:dyDescent="0.25">
      <c r="E525">
        <v>522</v>
      </c>
      <c r="F525" t="s">
        <v>570</v>
      </c>
      <c r="G525" t="s">
        <v>44</v>
      </c>
      <c r="H525" t="s">
        <v>654</v>
      </c>
      <c r="I525" s="9">
        <v>114417</v>
      </c>
      <c r="J525" s="10">
        <v>23662</v>
      </c>
      <c r="K525" s="9">
        <v>203</v>
      </c>
      <c r="AD525" s="13"/>
      <c r="AE525" s="14">
        <v>513</v>
      </c>
      <c r="AF525" s="14" t="s">
        <v>561</v>
      </c>
      <c r="AG525" s="14" t="s">
        <v>43</v>
      </c>
      <c r="AH525" s="14" t="s">
        <v>657</v>
      </c>
      <c r="AI525" s="9">
        <v>67958</v>
      </c>
      <c r="AJ525" s="34">
        <v>24097</v>
      </c>
      <c r="AK525" s="9">
        <v>1610</v>
      </c>
    </row>
    <row r="526" spans="5:37" x14ac:dyDescent="0.25">
      <c r="E526">
        <v>523</v>
      </c>
      <c r="F526" t="s">
        <v>571</v>
      </c>
      <c r="G526" t="s">
        <v>44</v>
      </c>
      <c r="H526" t="s">
        <v>655</v>
      </c>
      <c r="I526" s="9">
        <v>149954</v>
      </c>
      <c r="J526" s="10">
        <v>46144</v>
      </c>
      <c r="K526" s="9">
        <v>760</v>
      </c>
      <c r="AD526" s="13"/>
      <c r="AE526" s="14">
        <v>514</v>
      </c>
      <c r="AF526" s="14" t="s">
        <v>562</v>
      </c>
      <c r="AG526" s="14" t="s">
        <v>43</v>
      </c>
      <c r="AH526" s="14" t="s">
        <v>658</v>
      </c>
      <c r="AI526" s="9">
        <v>132289</v>
      </c>
      <c r="AJ526" s="34">
        <v>32890</v>
      </c>
      <c r="AK526" s="9">
        <v>782</v>
      </c>
    </row>
    <row r="527" spans="5:37" x14ac:dyDescent="0.25">
      <c r="E527">
        <v>524</v>
      </c>
      <c r="F527" t="s">
        <v>572</v>
      </c>
      <c r="G527" t="s">
        <v>44</v>
      </c>
      <c r="H527" t="s">
        <v>656</v>
      </c>
      <c r="I527" s="9">
        <v>22173</v>
      </c>
      <c r="J527" s="10">
        <v>8456</v>
      </c>
      <c r="K527" s="9">
        <v>144</v>
      </c>
      <c r="AD527" s="13"/>
      <c r="AE527" s="14">
        <v>515</v>
      </c>
      <c r="AF527" s="14" t="s">
        <v>563</v>
      </c>
      <c r="AG527" s="14" t="s">
        <v>43</v>
      </c>
      <c r="AH527" s="14" t="s">
        <v>659</v>
      </c>
      <c r="AI527" s="9">
        <v>43420</v>
      </c>
      <c r="AJ527" s="34">
        <v>17221</v>
      </c>
      <c r="AK527" s="9">
        <v>716</v>
      </c>
    </row>
    <row r="528" spans="5:37" x14ac:dyDescent="0.25">
      <c r="E528">
        <v>525</v>
      </c>
      <c r="F528" t="s">
        <v>573</v>
      </c>
      <c r="G528" t="s">
        <v>44</v>
      </c>
      <c r="H528" t="s">
        <v>657</v>
      </c>
      <c r="I528" s="9">
        <v>84918</v>
      </c>
      <c r="J528" s="10">
        <v>19964</v>
      </c>
      <c r="K528" s="9">
        <v>1021</v>
      </c>
      <c r="AD528" s="13"/>
      <c r="AE528" s="14">
        <v>516</v>
      </c>
      <c r="AF528" s="14" t="s">
        <v>564</v>
      </c>
      <c r="AG528" s="14" t="s">
        <v>43</v>
      </c>
      <c r="AH528" s="14" t="s">
        <v>660</v>
      </c>
      <c r="AI528" s="9">
        <v>99974</v>
      </c>
      <c r="AJ528" s="34">
        <v>22148</v>
      </c>
      <c r="AK528" s="9">
        <v>1456</v>
      </c>
    </row>
    <row r="529" spans="5:37" x14ac:dyDescent="0.25">
      <c r="E529">
        <v>526</v>
      </c>
      <c r="F529" t="s">
        <v>574</v>
      </c>
      <c r="G529" t="s">
        <v>44</v>
      </c>
      <c r="H529" t="s">
        <v>658</v>
      </c>
      <c r="I529" s="9">
        <v>61124</v>
      </c>
      <c r="J529" s="10">
        <v>21856</v>
      </c>
      <c r="K529" s="9">
        <v>603</v>
      </c>
      <c r="AD529" s="13"/>
      <c r="AE529" s="14">
        <v>517</v>
      </c>
      <c r="AF529" s="14" t="s">
        <v>565</v>
      </c>
      <c r="AG529" s="14" t="s">
        <v>44</v>
      </c>
      <c r="AH529" s="14" t="s">
        <v>649</v>
      </c>
      <c r="AI529" s="9">
        <v>55228</v>
      </c>
      <c r="AJ529" s="34">
        <v>15762</v>
      </c>
      <c r="AK529" s="9">
        <v>1566</v>
      </c>
    </row>
    <row r="530" spans="5:37" x14ac:dyDescent="0.25">
      <c r="E530">
        <v>527</v>
      </c>
      <c r="F530" t="s">
        <v>575</v>
      </c>
      <c r="G530" t="s">
        <v>44</v>
      </c>
      <c r="H530" t="s">
        <v>659</v>
      </c>
      <c r="I530" s="9">
        <v>16468</v>
      </c>
      <c r="J530" s="10">
        <v>5386</v>
      </c>
      <c r="K530" s="9">
        <v>474</v>
      </c>
      <c r="AD530" s="13"/>
      <c r="AE530" s="14">
        <v>518</v>
      </c>
      <c r="AF530" s="14" t="s">
        <v>566</v>
      </c>
      <c r="AG530" s="14" t="s">
        <v>44</v>
      </c>
      <c r="AH530" s="14" t="s">
        <v>650</v>
      </c>
      <c r="AI530" s="9">
        <v>86927</v>
      </c>
      <c r="AJ530" s="34">
        <v>31406</v>
      </c>
      <c r="AK530" s="9">
        <v>1675</v>
      </c>
    </row>
    <row r="531" spans="5:37" x14ac:dyDescent="0.25">
      <c r="E531">
        <v>528</v>
      </c>
      <c r="F531" t="s">
        <v>576</v>
      </c>
      <c r="G531" t="s">
        <v>44</v>
      </c>
      <c r="H531" t="s">
        <v>660</v>
      </c>
      <c r="I531" s="9">
        <v>37819</v>
      </c>
      <c r="J531" s="10">
        <v>12916</v>
      </c>
      <c r="K531" s="9">
        <v>774</v>
      </c>
      <c r="AD531" s="13"/>
      <c r="AE531" s="14">
        <v>519</v>
      </c>
      <c r="AF531" s="14" t="s">
        <v>567</v>
      </c>
      <c r="AG531" s="14" t="s">
        <v>44</v>
      </c>
      <c r="AH531" s="14" t="s">
        <v>651</v>
      </c>
      <c r="AI531" s="9">
        <v>11270</v>
      </c>
      <c r="AJ531" s="34">
        <v>2864</v>
      </c>
      <c r="AK531" s="9">
        <v>268</v>
      </c>
    </row>
    <row r="532" spans="5:37" x14ac:dyDescent="0.25">
      <c r="E532">
        <v>529</v>
      </c>
      <c r="F532" t="s">
        <v>577</v>
      </c>
      <c r="G532" t="s">
        <v>45</v>
      </c>
      <c r="H532" t="s">
        <v>649</v>
      </c>
      <c r="I532" s="9">
        <v>42913</v>
      </c>
      <c r="J532" s="10">
        <v>14802</v>
      </c>
      <c r="K532" s="9">
        <v>1251</v>
      </c>
      <c r="AD532" s="13"/>
      <c r="AE532" s="14">
        <v>520</v>
      </c>
      <c r="AF532" s="14" t="s">
        <v>568</v>
      </c>
      <c r="AG532" s="14" t="s">
        <v>44</v>
      </c>
      <c r="AH532" s="14" t="s">
        <v>652</v>
      </c>
      <c r="AI532" s="9">
        <v>149316</v>
      </c>
      <c r="AJ532" s="34">
        <v>46107</v>
      </c>
      <c r="AK532" s="9">
        <v>887</v>
      </c>
    </row>
    <row r="533" spans="5:37" x14ac:dyDescent="0.25">
      <c r="E533">
        <v>530</v>
      </c>
      <c r="F533" t="s">
        <v>578</v>
      </c>
      <c r="G533" t="s">
        <v>45</v>
      </c>
      <c r="H533" t="s">
        <v>650</v>
      </c>
      <c r="I533" s="9">
        <v>64160</v>
      </c>
      <c r="J533" s="10">
        <v>22859</v>
      </c>
      <c r="K533" s="9">
        <v>850</v>
      </c>
      <c r="AD533" s="13"/>
      <c r="AE533" s="14">
        <v>521</v>
      </c>
      <c r="AF533" s="14" t="s">
        <v>569</v>
      </c>
      <c r="AG533" s="14" t="s">
        <v>44</v>
      </c>
      <c r="AH533" s="14" t="s">
        <v>653</v>
      </c>
      <c r="AI533" s="9">
        <v>133071</v>
      </c>
      <c r="AJ533" s="34">
        <v>32252</v>
      </c>
      <c r="AK533" s="9">
        <v>2976</v>
      </c>
    </row>
    <row r="534" spans="5:37" x14ac:dyDescent="0.25">
      <c r="E534">
        <v>531</v>
      </c>
      <c r="F534" t="s">
        <v>579</v>
      </c>
      <c r="G534" t="s">
        <v>45</v>
      </c>
      <c r="H534" t="s">
        <v>651</v>
      </c>
      <c r="I534" s="9">
        <v>115994</v>
      </c>
      <c r="J534" s="10">
        <v>40975</v>
      </c>
      <c r="K534" s="9">
        <v>2500</v>
      </c>
      <c r="AD534" s="13"/>
      <c r="AE534" s="14">
        <v>522</v>
      </c>
      <c r="AF534" s="14" t="s">
        <v>570</v>
      </c>
      <c r="AG534" s="14" t="s">
        <v>44</v>
      </c>
      <c r="AH534" s="14" t="s">
        <v>654</v>
      </c>
      <c r="AI534" s="9">
        <v>114417</v>
      </c>
      <c r="AJ534" s="34">
        <v>23662</v>
      </c>
      <c r="AK534" s="9">
        <v>203</v>
      </c>
    </row>
    <row r="535" spans="5:37" x14ac:dyDescent="0.25">
      <c r="E535">
        <v>532</v>
      </c>
      <c r="F535" t="s">
        <v>580</v>
      </c>
      <c r="G535" t="s">
        <v>45</v>
      </c>
      <c r="H535" t="s">
        <v>652</v>
      </c>
      <c r="I535" s="9">
        <v>20979</v>
      </c>
      <c r="J535" s="10">
        <v>7833</v>
      </c>
      <c r="K535" s="9">
        <v>280</v>
      </c>
      <c r="AD535" s="13"/>
      <c r="AE535" s="14">
        <v>523</v>
      </c>
      <c r="AF535" s="14" t="s">
        <v>571</v>
      </c>
      <c r="AG535" s="14" t="s">
        <v>44</v>
      </c>
      <c r="AH535" s="14" t="s">
        <v>655</v>
      </c>
      <c r="AI535" s="9">
        <v>149954</v>
      </c>
      <c r="AJ535" s="34">
        <v>46144</v>
      </c>
      <c r="AK535" s="9">
        <v>760</v>
      </c>
    </row>
    <row r="536" spans="5:37" x14ac:dyDescent="0.25">
      <c r="E536">
        <v>533</v>
      </c>
      <c r="F536" t="s">
        <v>581</v>
      </c>
      <c r="G536" t="s">
        <v>45</v>
      </c>
      <c r="H536" t="s">
        <v>653</v>
      </c>
      <c r="I536" s="9">
        <v>84771</v>
      </c>
      <c r="J536" s="10">
        <v>24090</v>
      </c>
      <c r="K536" s="9">
        <v>803</v>
      </c>
      <c r="AD536" s="13"/>
      <c r="AE536" s="14">
        <v>524</v>
      </c>
      <c r="AF536" s="14" t="s">
        <v>572</v>
      </c>
      <c r="AG536" s="14" t="s">
        <v>44</v>
      </c>
      <c r="AH536" s="14" t="s">
        <v>656</v>
      </c>
      <c r="AI536" s="9">
        <v>22173</v>
      </c>
      <c r="AJ536" s="34">
        <v>8456</v>
      </c>
      <c r="AK536" s="9">
        <v>144</v>
      </c>
    </row>
    <row r="537" spans="5:37" x14ac:dyDescent="0.25">
      <c r="E537">
        <v>534</v>
      </c>
      <c r="F537" t="s">
        <v>582</v>
      </c>
      <c r="G537" t="s">
        <v>45</v>
      </c>
      <c r="H537" t="s">
        <v>654</v>
      </c>
      <c r="I537" s="9">
        <v>80166</v>
      </c>
      <c r="J537" s="10">
        <v>20754</v>
      </c>
      <c r="K537" s="9">
        <v>1286</v>
      </c>
      <c r="AD537" s="13"/>
      <c r="AE537" s="14">
        <v>525</v>
      </c>
      <c r="AF537" s="14" t="s">
        <v>573</v>
      </c>
      <c r="AG537" s="14" t="s">
        <v>44</v>
      </c>
      <c r="AH537" s="14" t="s">
        <v>657</v>
      </c>
      <c r="AI537" s="9">
        <v>84918</v>
      </c>
      <c r="AJ537" s="34">
        <v>19964</v>
      </c>
      <c r="AK537" s="9">
        <v>1021</v>
      </c>
    </row>
    <row r="538" spans="5:37" x14ac:dyDescent="0.25">
      <c r="E538">
        <v>535</v>
      </c>
      <c r="F538" t="s">
        <v>583</v>
      </c>
      <c r="G538" t="s">
        <v>45</v>
      </c>
      <c r="H538" t="s">
        <v>655</v>
      </c>
      <c r="I538" s="9">
        <v>22718</v>
      </c>
      <c r="J538" s="10">
        <v>6945</v>
      </c>
      <c r="K538" s="9">
        <v>227</v>
      </c>
      <c r="AD538" s="13"/>
      <c r="AE538" s="14">
        <v>526</v>
      </c>
      <c r="AF538" s="14" t="s">
        <v>574</v>
      </c>
      <c r="AG538" s="14" t="s">
        <v>44</v>
      </c>
      <c r="AH538" s="14" t="s">
        <v>658</v>
      </c>
      <c r="AI538" s="9">
        <v>61124</v>
      </c>
      <c r="AJ538" s="34">
        <v>21856</v>
      </c>
      <c r="AK538" s="9">
        <v>603</v>
      </c>
    </row>
    <row r="539" spans="5:37" x14ac:dyDescent="0.25">
      <c r="E539">
        <v>536</v>
      </c>
      <c r="F539" t="s">
        <v>584</v>
      </c>
      <c r="G539" t="s">
        <v>45</v>
      </c>
      <c r="H539" t="s">
        <v>656</v>
      </c>
      <c r="I539" s="9">
        <v>138440</v>
      </c>
      <c r="J539" s="10">
        <v>50215</v>
      </c>
      <c r="K539" s="9">
        <v>4467</v>
      </c>
      <c r="AD539" s="13"/>
      <c r="AE539" s="14">
        <v>527</v>
      </c>
      <c r="AF539" s="14" t="s">
        <v>575</v>
      </c>
      <c r="AG539" s="14" t="s">
        <v>44</v>
      </c>
      <c r="AH539" s="14" t="s">
        <v>659</v>
      </c>
      <c r="AI539" s="9">
        <v>16468</v>
      </c>
      <c r="AJ539" s="34">
        <v>5386</v>
      </c>
      <c r="AK539" s="9">
        <v>474</v>
      </c>
    </row>
    <row r="540" spans="5:37" x14ac:dyDescent="0.25">
      <c r="E540">
        <v>537</v>
      </c>
      <c r="F540" t="s">
        <v>585</v>
      </c>
      <c r="G540" t="s">
        <v>45</v>
      </c>
      <c r="H540" t="s">
        <v>657</v>
      </c>
      <c r="I540" s="9">
        <v>16231</v>
      </c>
      <c r="J540" s="10">
        <v>3978</v>
      </c>
      <c r="K540" s="9">
        <v>73</v>
      </c>
      <c r="AD540" s="13"/>
      <c r="AE540" s="14">
        <v>528</v>
      </c>
      <c r="AF540" s="14" t="s">
        <v>576</v>
      </c>
      <c r="AG540" s="14" t="s">
        <v>44</v>
      </c>
      <c r="AH540" s="14" t="s">
        <v>660</v>
      </c>
      <c r="AI540" s="9">
        <v>37819</v>
      </c>
      <c r="AJ540" s="34">
        <v>12916</v>
      </c>
      <c r="AK540" s="9">
        <v>774</v>
      </c>
    </row>
    <row r="541" spans="5:37" x14ac:dyDescent="0.25">
      <c r="E541">
        <v>538</v>
      </c>
      <c r="F541" t="s">
        <v>586</v>
      </c>
      <c r="G541" t="s">
        <v>45</v>
      </c>
      <c r="H541" t="s">
        <v>658</v>
      </c>
      <c r="I541" s="9">
        <v>67106</v>
      </c>
      <c r="J541" s="10">
        <v>25502</v>
      </c>
      <c r="K541" s="9">
        <v>2208</v>
      </c>
      <c r="AD541" s="13"/>
      <c r="AE541" s="14">
        <v>529</v>
      </c>
      <c r="AF541" s="14" t="s">
        <v>577</v>
      </c>
      <c r="AG541" s="14" t="s">
        <v>45</v>
      </c>
      <c r="AH541" s="14" t="s">
        <v>649</v>
      </c>
      <c r="AI541" s="9">
        <v>42913</v>
      </c>
      <c r="AJ541" s="34">
        <v>14802</v>
      </c>
      <c r="AK541" s="9">
        <v>1251</v>
      </c>
    </row>
    <row r="542" spans="5:37" x14ac:dyDescent="0.25">
      <c r="E542">
        <v>539</v>
      </c>
      <c r="F542" t="s">
        <v>587</v>
      </c>
      <c r="G542" t="s">
        <v>45</v>
      </c>
      <c r="H542" t="s">
        <v>659</v>
      </c>
      <c r="I542" s="9">
        <v>146633</v>
      </c>
      <c r="J542" s="10">
        <v>34144</v>
      </c>
      <c r="K542" s="9">
        <v>355</v>
      </c>
      <c r="AD542" s="13"/>
      <c r="AE542" s="14">
        <v>530</v>
      </c>
      <c r="AF542" s="14" t="s">
        <v>578</v>
      </c>
      <c r="AG542" s="14" t="s">
        <v>45</v>
      </c>
      <c r="AH542" s="14" t="s">
        <v>650</v>
      </c>
      <c r="AI542" s="9">
        <v>64160</v>
      </c>
      <c r="AJ542" s="34">
        <v>22859</v>
      </c>
      <c r="AK542" s="9">
        <v>850</v>
      </c>
    </row>
    <row r="543" spans="5:37" x14ac:dyDescent="0.25">
      <c r="E543">
        <v>540</v>
      </c>
      <c r="F543" t="s">
        <v>588</v>
      </c>
      <c r="G543" t="s">
        <v>45</v>
      </c>
      <c r="H543" t="s">
        <v>660</v>
      </c>
      <c r="I543" s="9">
        <v>53412</v>
      </c>
      <c r="J543" s="10">
        <v>17831</v>
      </c>
      <c r="K543" s="9">
        <v>1389</v>
      </c>
      <c r="AD543" s="13"/>
      <c r="AE543" s="14">
        <v>531</v>
      </c>
      <c r="AF543" s="14" t="s">
        <v>579</v>
      </c>
      <c r="AG543" s="14" t="s">
        <v>45</v>
      </c>
      <c r="AH543" s="14" t="s">
        <v>651</v>
      </c>
      <c r="AI543" s="9">
        <v>115994</v>
      </c>
      <c r="AJ543" s="34">
        <v>40975</v>
      </c>
      <c r="AK543" s="9">
        <v>2500</v>
      </c>
    </row>
    <row r="544" spans="5:37" x14ac:dyDescent="0.25">
      <c r="E544">
        <v>541</v>
      </c>
      <c r="F544" t="s">
        <v>589</v>
      </c>
      <c r="G544" t="s">
        <v>46</v>
      </c>
      <c r="H544" t="s">
        <v>649</v>
      </c>
      <c r="I544" s="9">
        <v>135167</v>
      </c>
      <c r="J544" s="10">
        <v>34511</v>
      </c>
      <c r="K544" s="9">
        <v>2147</v>
      </c>
      <c r="AD544" s="13"/>
      <c r="AE544" s="14">
        <v>532</v>
      </c>
      <c r="AF544" s="14" t="s">
        <v>580</v>
      </c>
      <c r="AG544" s="14" t="s">
        <v>45</v>
      </c>
      <c r="AH544" s="14" t="s">
        <v>652</v>
      </c>
      <c r="AI544" s="9">
        <v>20979</v>
      </c>
      <c r="AJ544" s="34">
        <v>7833</v>
      </c>
      <c r="AK544" s="9">
        <v>280</v>
      </c>
    </row>
    <row r="545" spans="5:37" x14ac:dyDescent="0.25">
      <c r="E545">
        <v>542</v>
      </c>
      <c r="F545" t="s">
        <v>590</v>
      </c>
      <c r="G545" t="s">
        <v>46</v>
      </c>
      <c r="H545" t="s">
        <v>650</v>
      </c>
      <c r="I545" s="9">
        <v>130692</v>
      </c>
      <c r="J545" s="10">
        <v>40502</v>
      </c>
      <c r="K545" s="9">
        <v>3182</v>
      </c>
      <c r="AD545" s="13"/>
      <c r="AE545" s="14">
        <v>533</v>
      </c>
      <c r="AF545" s="14" t="s">
        <v>581</v>
      </c>
      <c r="AG545" s="14" t="s">
        <v>45</v>
      </c>
      <c r="AH545" s="14" t="s">
        <v>653</v>
      </c>
      <c r="AI545" s="9">
        <v>84771</v>
      </c>
      <c r="AJ545" s="34">
        <v>24090</v>
      </c>
      <c r="AK545" s="9">
        <v>803</v>
      </c>
    </row>
    <row r="546" spans="5:37" x14ac:dyDescent="0.25">
      <c r="E546">
        <v>543</v>
      </c>
      <c r="F546" t="s">
        <v>591</v>
      </c>
      <c r="G546" t="s">
        <v>46</v>
      </c>
      <c r="H546" t="s">
        <v>651</v>
      </c>
      <c r="I546" s="9">
        <v>92350</v>
      </c>
      <c r="J546" s="10">
        <v>23923</v>
      </c>
      <c r="K546" s="9">
        <v>146</v>
      </c>
      <c r="AD546" s="13"/>
      <c r="AE546" s="14">
        <v>534</v>
      </c>
      <c r="AF546" s="14" t="s">
        <v>582</v>
      </c>
      <c r="AG546" s="14" t="s">
        <v>45</v>
      </c>
      <c r="AH546" s="14" t="s">
        <v>654</v>
      </c>
      <c r="AI546" s="9">
        <v>80166</v>
      </c>
      <c r="AJ546" s="34">
        <v>20754</v>
      </c>
      <c r="AK546" s="9">
        <v>1286</v>
      </c>
    </row>
    <row r="547" spans="5:37" x14ac:dyDescent="0.25">
      <c r="E547">
        <v>544</v>
      </c>
      <c r="F547" t="s">
        <v>592</v>
      </c>
      <c r="G547" t="s">
        <v>46</v>
      </c>
      <c r="H547" t="s">
        <v>652</v>
      </c>
      <c r="I547" s="9">
        <v>65995</v>
      </c>
      <c r="J547" s="10">
        <v>20254</v>
      </c>
      <c r="K547" s="9">
        <v>1213</v>
      </c>
      <c r="AD547" s="13"/>
      <c r="AE547" s="14">
        <v>535</v>
      </c>
      <c r="AF547" s="14" t="s">
        <v>583</v>
      </c>
      <c r="AG547" s="14" t="s">
        <v>45</v>
      </c>
      <c r="AH547" s="14" t="s">
        <v>655</v>
      </c>
      <c r="AI547" s="9">
        <v>22718</v>
      </c>
      <c r="AJ547" s="34">
        <v>6945</v>
      </c>
      <c r="AK547" s="9">
        <v>227</v>
      </c>
    </row>
    <row r="548" spans="5:37" x14ac:dyDescent="0.25">
      <c r="E548">
        <v>545</v>
      </c>
      <c r="F548" t="s">
        <v>593</v>
      </c>
      <c r="G548" t="s">
        <v>46</v>
      </c>
      <c r="H548" t="s">
        <v>653</v>
      </c>
      <c r="I548" s="9">
        <v>74543</v>
      </c>
      <c r="J548" s="10">
        <v>15085</v>
      </c>
      <c r="K548" s="9">
        <v>1343</v>
      </c>
      <c r="AD548" s="13"/>
      <c r="AE548" s="14">
        <v>536</v>
      </c>
      <c r="AF548" s="14" t="s">
        <v>584</v>
      </c>
      <c r="AG548" s="14" t="s">
        <v>45</v>
      </c>
      <c r="AH548" s="14" t="s">
        <v>656</v>
      </c>
      <c r="AI548" s="9">
        <v>138440</v>
      </c>
      <c r="AJ548" s="34">
        <v>50215</v>
      </c>
      <c r="AK548" s="9">
        <v>4467</v>
      </c>
    </row>
    <row r="549" spans="5:37" x14ac:dyDescent="0.25">
      <c r="E549">
        <v>546</v>
      </c>
      <c r="F549" t="s">
        <v>594</v>
      </c>
      <c r="G549" t="s">
        <v>46</v>
      </c>
      <c r="H549" t="s">
        <v>654</v>
      </c>
      <c r="I549" s="9">
        <v>109278</v>
      </c>
      <c r="J549" s="10">
        <v>42251</v>
      </c>
      <c r="K549" s="9">
        <v>4218</v>
      </c>
      <c r="AD549" s="13"/>
      <c r="AE549" s="14">
        <v>537</v>
      </c>
      <c r="AF549" s="14" t="s">
        <v>585</v>
      </c>
      <c r="AG549" s="14" t="s">
        <v>45</v>
      </c>
      <c r="AH549" s="14" t="s">
        <v>657</v>
      </c>
      <c r="AI549" s="9">
        <v>16231</v>
      </c>
      <c r="AJ549" s="34">
        <v>3978</v>
      </c>
      <c r="AK549" s="9">
        <v>73</v>
      </c>
    </row>
    <row r="550" spans="5:37" x14ac:dyDescent="0.25">
      <c r="E550">
        <v>547</v>
      </c>
      <c r="F550" t="s">
        <v>595</v>
      </c>
      <c r="G550" t="s">
        <v>46</v>
      </c>
      <c r="H550" t="s">
        <v>655</v>
      </c>
      <c r="I550" s="9">
        <v>84384</v>
      </c>
      <c r="J550" s="10">
        <v>28912</v>
      </c>
      <c r="K550" s="9">
        <v>1321</v>
      </c>
      <c r="AD550" s="13"/>
      <c r="AE550" s="14">
        <v>538</v>
      </c>
      <c r="AF550" s="14" t="s">
        <v>586</v>
      </c>
      <c r="AG550" s="14" t="s">
        <v>45</v>
      </c>
      <c r="AH550" s="14" t="s">
        <v>658</v>
      </c>
      <c r="AI550" s="9">
        <v>67106</v>
      </c>
      <c r="AJ550" s="34">
        <v>25502</v>
      </c>
      <c r="AK550" s="9">
        <v>2208</v>
      </c>
    </row>
    <row r="551" spans="5:37" x14ac:dyDescent="0.25">
      <c r="E551">
        <v>548</v>
      </c>
      <c r="F551" t="s">
        <v>596</v>
      </c>
      <c r="G551" t="s">
        <v>46</v>
      </c>
      <c r="H551" t="s">
        <v>656</v>
      </c>
      <c r="I551" s="9">
        <v>80746</v>
      </c>
      <c r="J551" s="10">
        <v>20361</v>
      </c>
      <c r="K551" s="9">
        <v>1448</v>
      </c>
      <c r="AD551" s="13"/>
      <c r="AE551" s="14">
        <v>539</v>
      </c>
      <c r="AF551" s="14" t="s">
        <v>587</v>
      </c>
      <c r="AG551" s="14" t="s">
        <v>45</v>
      </c>
      <c r="AH551" s="14" t="s">
        <v>659</v>
      </c>
      <c r="AI551" s="9">
        <v>146633</v>
      </c>
      <c r="AJ551" s="34">
        <v>34144</v>
      </c>
      <c r="AK551" s="9">
        <v>355</v>
      </c>
    </row>
    <row r="552" spans="5:37" x14ac:dyDescent="0.25">
      <c r="E552">
        <v>549</v>
      </c>
      <c r="F552" t="s">
        <v>597</v>
      </c>
      <c r="G552" t="s">
        <v>46</v>
      </c>
      <c r="H552" t="s">
        <v>657</v>
      </c>
      <c r="I552" s="9">
        <v>93462</v>
      </c>
      <c r="J552" s="10">
        <v>20124</v>
      </c>
      <c r="K552" s="9">
        <v>1112</v>
      </c>
      <c r="AD552" s="13"/>
      <c r="AE552" s="14">
        <v>540</v>
      </c>
      <c r="AF552" s="14" t="s">
        <v>588</v>
      </c>
      <c r="AG552" s="14" t="s">
        <v>45</v>
      </c>
      <c r="AH552" s="14" t="s">
        <v>660</v>
      </c>
      <c r="AI552" s="9">
        <v>53412</v>
      </c>
      <c r="AJ552" s="34">
        <v>17831</v>
      </c>
      <c r="AK552" s="9">
        <v>1389</v>
      </c>
    </row>
    <row r="553" spans="5:37" x14ac:dyDescent="0.25">
      <c r="E553">
        <v>550</v>
      </c>
      <c r="F553" t="s">
        <v>598</v>
      </c>
      <c r="G553" t="s">
        <v>46</v>
      </c>
      <c r="H553" t="s">
        <v>658</v>
      </c>
      <c r="I553" s="9">
        <v>42056</v>
      </c>
      <c r="J553" s="10">
        <v>10746</v>
      </c>
      <c r="K553" s="9">
        <v>176</v>
      </c>
      <c r="AD553" s="13"/>
      <c r="AE553" s="14">
        <v>541</v>
      </c>
      <c r="AF553" s="14" t="s">
        <v>589</v>
      </c>
      <c r="AG553" s="14" t="s">
        <v>46</v>
      </c>
      <c r="AH553" s="14" t="s">
        <v>649</v>
      </c>
      <c r="AI553" s="9">
        <v>135167</v>
      </c>
      <c r="AJ553" s="34">
        <v>34511</v>
      </c>
      <c r="AK553" s="9">
        <v>2147</v>
      </c>
    </row>
    <row r="554" spans="5:37" x14ac:dyDescent="0.25">
      <c r="E554">
        <v>551</v>
      </c>
      <c r="F554" t="s">
        <v>599</v>
      </c>
      <c r="G554" t="s">
        <v>46</v>
      </c>
      <c r="H554" t="s">
        <v>659</v>
      </c>
      <c r="I554" s="9">
        <v>84224</v>
      </c>
      <c r="J554" s="10">
        <v>32079</v>
      </c>
      <c r="K554" s="9">
        <v>786</v>
      </c>
      <c r="AD554" s="13"/>
      <c r="AE554" s="14">
        <v>542</v>
      </c>
      <c r="AF554" s="14" t="s">
        <v>590</v>
      </c>
      <c r="AG554" s="14" t="s">
        <v>46</v>
      </c>
      <c r="AH554" s="14" t="s">
        <v>650</v>
      </c>
      <c r="AI554" s="9">
        <v>130692</v>
      </c>
      <c r="AJ554" s="34">
        <v>40502</v>
      </c>
      <c r="AK554" s="9">
        <v>3182</v>
      </c>
    </row>
    <row r="555" spans="5:37" x14ac:dyDescent="0.25">
      <c r="E555">
        <v>552</v>
      </c>
      <c r="F555" t="s">
        <v>600</v>
      </c>
      <c r="G555" t="s">
        <v>46</v>
      </c>
      <c r="H555" t="s">
        <v>660</v>
      </c>
      <c r="I555" s="9">
        <v>102999</v>
      </c>
      <c r="J555" s="10">
        <v>21612</v>
      </c>
      <c r="K555" s="9">
        <v>577</v>
      </c>
      <c r="AD555" s="13"/>
      <c r="AE555" s="14">
        <v>543</v>
      </c>
      <c r="AF555" s="14" t="s">
        <v>591</v>
      </c>
      <c r="AG555" s="14" t="s">
        <v>46</v>
      </c>
      <c r="AH555" s="14" t="s">
        <v>651</v>
      </c>
      <c r="AI555" s="9">
        <v>92350</v>
      </c>
      <c r="AJ555" s="34">
        <v>23923</v>
      </c>
      <c r="AK555" s="9">
        <v>146</v>
      </c>
    </row>
    <row r="556" spans="5:37" x14ac:dyDescent="0.25">
      <c r="E556">
        <v>553</v>
      </c>
      <c r="F556" t="s">
        <v>601</v>
      </c>
      <c r="G556" t="s">
        <v>47</v>
      </c>
      <c r="H556" t="s">
        <v>649</v>
      </c>
      <c r="I556" s="9">
        <v>95453</v>
      </c>
      <c r="J556" s="10">
        <v>25973</v>
      </c>
      <c r="K556" s="9">
        <v>749</v>
      </c>
      <c r="AD556" s="13"/>
      <c r="AE556" s="14">
        <v>544</v>
      </c>
      <c r="AF556" s="14" t="s">
        <v>592</v>
      </c>
      <c r="AG556" s="14" t="s">
        <v>46</v>
      </c>
      <c r="AH556" s="14" t="s">
        <v>652</v>
      </c>
      <c r="AI556" s="9">
        <v>65995</v>
      </c>
      <c r="AJ556" s="34">
        <v>20254</v>
      </c>
      <c r="AK556" s="9">
        <v>1213</v>
      </c>
    </row>
    <row r="557" spans="5:37" x14ac:dyDescent="0.25">
      <c r="E557">
        <v>554</v>
      </c>
      <c r="F557" t="s">
        <v>602</v>
      </c>
      <c r="G557" t="s">
        <v>47</v>
      </c>
      <c r="H557" t="s">
        <v>650</v>
      </c>
      <c r="I557" s="9">
        <v>83117</v>
      </c>
      <c r="J557" s="10">
        <v>20696</v>
      </c>
      <c r="K557" s="9">
        <v>999</v>
      </c>
      <c r="AD557" s="13"/>
      <c r="AE557" s="14">
        <v>545</v>
      </c>
      <c r="AF557" s="14" t="s">
        <v>593</v>
      </c>
      <c r="AG557" s="14" t="s">
        <v>46</v>
      </c>
      <c r="AH557" s="14" t="s">
        <v>653</v>
      </c>
      <c r="AI557" s="9">
        <v>74543</v>
      </c>
      <c r="AJ557" s="34">
        <v>15085</v>
      </c>
      <c r="AK557" s="9">
        <v>1343</v>
      </c>
    </row>
    <row r="558" spans="5:37" x14ac:dyDescent="0.25">
      <c r="E558">
        <v>555</v>
      </c>
      <c r="F558" t="s">
        <v>603</v>
      </c>
      <c r="G558" t="s">
        <v>47</v>
      </c>
      <c r="H558" t="s">
        <v>651</v>
      </c>
      <c r="I558" s="9">
        <v>93393</v>
      </c>
      <c r="J558" s="10">
        <v>31559</v>
      </c>
      <c r="K558" s="9">
        <v>1636</v>
      </c>
      <c r="AD558" s="13"/>
      <c r="AE558" s="14">
        <v>546</v>
      </c>
      <c r="AF558" s="14" t="s">
        <v>594</v>
      </c>
      <c r="AG558" s="14" t="s">
        <v>46</v>
      </c>
      <c r="AH558" s="14" t="s">
        <v>654</v>
      </c>
      <c r="AI558" s="9">
        <v>109278</v>
      </c>
      <c r="AJ558" s="34">
        <v>42251</v>
      </c>
      <c r="AK558" s="9">
        <v>4218</v>
      </c>
    </row>
    <row r="559" spans="5:37" x14ac:dyDescent="0.25">
      <c r="E559">
        <v>556</v>
      </c>
      <c r="F559" t="s">
        <v>604</v>
      </c>
      <c r="G559" t="s">
        <v>47</v>
      </c>
      <c r="H559" t="s">
        <v>652</v>
      </c>
      <c r="I559" s="9">
        <v>59482</v>
      </c>
      <c r="J559" s="10">
        <v>19251</v>
      </c>
      <c r="K559" s="9">
        <v>1292</v>
      </c>
      <c r="AD559" s="13"/>
      <c r="AE559" s="14">
        <v>547</v>
      </c>
      <c r="AF559" s="14" t="s">
        <v>595</v>
      </c>
      <c r="AG559" s="14" t="s">
        <v>46</v>
      </c>
      <c r="AH559" s="14" t="s">
        <v>655</v>
      </c>
      <c r="AI559" s="9">
        <v>84384</v>
      </c>
      <c r="AJ559" s="34">
        <v>28912</v>
      </c>
      <c r="AK559" s="9">
        <v>1321</v>
      </c>
    </row>
    <row r="560" spans="5:37" x14ac:dyDescent="0.25">
      <c r="E560">
        <v>557</v>
      </c>
      <c r="F560" t="s">
        <v>605</v>
      </c>
      <c r="G560" t="s">
        <v>47</v>
      </c>
      <c r="H560" t="s">
        <v>653</v>
      </c>
      <c r="I560" s="9">
        <v>57212</v>
      </c>
      <c r="J560" s="10">
        <v>16142</v>
      </c>
      <c r="K560" s="9">
        <v>466</v>
      </c>
      <c r="AD560" s="13"/>
      <c r="AE560" s="14">
        <v>548</v>
      </c>
      <c r="AF560" s="14" t="s">
        <v>596</v>
      </c>
      <c r="AG560" s="14" t="s">
        <v>46</v>
      </c>
      <c r="AH560" s="14" t="s">
        <v>656</v>
      </c>
      <c r="AI560" s="9">
        <v>80746</v>
      </c>
      <c r="AJ560" s="34">
        <v>20361</v>
      </c>
      <c r="AK560" s="9">
        <v>1448</v>
      </c>
    </row>
    <row r="561" spans="5:37" x14ac:dyDescent="0.25">
      <c r="E561">
        <v>558</v>
      </c>
      <c r="F561" t="s">
        <v>606</v>
      </c>
      <c r="G561" t="s">
        <v>47</v>
      </c>
      <c r="H561" t="s">
        <v>654</v>
      </c>
      <c r="I561" s="9">
        <v>32645</v>
      </c>
      <c r="J561" s="10">
        <v>11215</v>
      </c>
      <c r="K561" s="9">
        <v>1044</v>
      </c>
      <c r="AD561" s="13"/>
      <c r="AE561" s="14">
        <v>549</v>
      </c>
      <c r="AF561" s="14" t="s">
        <v>597</v>
      </c>
      <c r="AG561" s="14" t="s">
        <v>46</v>
      </c>
      <c r="AH561" s="14" t="s">
        <v>657</v>
      </c>
      <c r="AI561" s="9">
        <v>93462</v>
      </c>
      <c r="AJ561" s="34">
        <v>20124</v>
      </c>
      <c r="AK561" s="9">
        <v>1112</v>
      </c>
    </row>
    <row r="562" spans="5:37" x14ac:dyDescent="0.25">
      <c r="E562">
        <v>559</v>
      </c>
      <c r="F562" t="s">
        <v>607</v>
      </c>
      <c r="G562" t="s">
        <v>47</v>
      </c>
      <c r="H562" t="s">
        <v>655</v>
      </c>
      <c r="I562" s="9">
        <v>19538</v>
      </c>
      <c r="J562" s="10">
        <v>7717</v>
      </c>
      <c r="K562" s="9">
        <v>266</v>
      </c>
      <c r="AD562" s="13"/>
      <c r="AE562" s="14">
        <v>550</v>
      </c>
      <c r="AF562" s="14" t="s">
        <v>598</v>
      </c>
      <c r="AG562" s="14" t="s">
        <v>46</v>
      </c>
      <c r="AH562" s="14" t="s">
        <v>658</v>
      </c>
      <c r="AI562" s="9">
        <v>42056</v>
      </c>
      <c r="AJ562" s="34">
        <v>10746</v>
      </c>
      <c r="AK562" s="9">
        <v>176</v>
      </c>
    </row>
    <row r="563" spans="5:37" x14ac:dyDescent="0.25">
      <c r="E563">
        <v>560</v>
      </c>
      <c r="F563" t="s">
        <v>608</v>
      </c>
      <c r="G563" t="s">
        <v>47</v>
      </c>
      <c r="H563" t="s">
        <v>656</v>
      </c>
      <c r="I563" s="9">
        <v>105428</v>
      </c>
      <c r="J563" s="10">
        <v>28811</v>
      </c>
      <c r="K563" s="9">
        <v>2175</v>
      </c>
      <c r="AD563" s="13"/>
      <c r="AE563" s="14">
        <v>551</v>
      </c>
      <c r="AF563" s="14" t="s">
        <v>599</v>
      </c>
      <c r="AG563" s="14" t="s">
        <v>46</v>
      </c>
      <c r="AH563" s="14" t="s">
        <v>659</v>
      </c>
      <c r="AI563" s="9">
        <v>84224</v>
      </c>
      <c r="AJ563" s="34">
        <v>32079</v>
      </c>
      <c r="AK563" s="9">
        <v>786</v>
      </c>
    </row>
    <row r="564" spans="5:37" x14ac:dyDescent="0.25">
      <c r="E564">
        <v>561</v>
      </c>
      <c r="F564" t="s">
        <v>609</v>
      </c>
      <c r="G564" t="s">
        <v>47</v>
      </c>
      <c r="H564" t="s">
        <v>657</v>
      </c>
      <c r="I564" s="9">
        <v>62302</v>
      </c>
      <c r="J564" s="10">
        <v>16265</v>
      </c>
      <c r="K564" s="9">
        <v>384</v>
      </c>
      <c r="AD564" s="13"/>
      <c r="AE564" s="14">
        <v>552</v>
      </c>
      <c r="AF564" s="14" t="s">
        <v>600</v>
      </c>
      <c r="AG564" s="14" t="s">
        <v>46</v>
      </c>
      <c r="AH564" s="14" t="s">
        <v>660</v>
      </c>
      <c r="AI564" s="9">
        <v>102999</v>
      </c>
      <c r="AJ564" s="34">
        <v>21612</v>
      </c>
      <c r="AK564" s="9">
        <v>577</v>
      </c>
    </row>
    <row r="565" spans="5:37" x14ac:dyDescent="0.25">
      <c r="E565">
        <v>562</v>
      </c>
      <c r="F565" t="s">
        <v>610</v>
      </c>
      <c r="G565" t="s">
        <v>47</v>
      </c>
      <c r="H565" t="s">
        <v>658</v>
      </c>
      <c r="I565" s="9">
        <v>107723</v>
      </c>
      <c r="J565" s="10">
        <v>24671</v>
      </c>
      <c r="K565" s="9">
        <v>277</v>
      </c>
      <c r="AD565" s="13"/>
      <c r="AE565" s="14">
        <v>553</v>
      </c>
      <c r="AF565" s="14" t="s">
        <v>601</v>
      </c>
      <c r="AG565" s="14" t="s">
        <v>47</v>
      </c>
      <c r="AH565" s="14" t="s">
        <v>649</v>
      </c>
      <c r="AI565" s="9">
        <v>95453</v>
      </c>
      <c r="AJ565" s="34">
        <v>25973</v>
      </c>
      <c r="AK565" s="9">
        <v>749</v>
      </c>
    </row>
    <row r="566" spans="5:37" x14ac:dyDescent="0.25">
      <c r="E566">
        <v>563</v>
      </c>
      <c r="F566" t="s">
        <v>611</v>
      </c>
      <c r="G566" t="s">
        <v>47</v>
      </c>
      <c r="H566" t="s">
        <v>659</v>
      </c>
      <c r="I566" s="9">
        <v>59435</v>
      </c>
      <c r="J566" s="10">
        <v>21374</v>
      </c>
      <c r="K566" s="9">
        <v>812</v>
      </c>
      <c r="AD566" s="13"/>
      <c r="AE566" s="14">
        <v>554</v>
      </c>
      <c r="AF566" s="14" t="s">
        <v>602</v>
      </c>
      <c r="AG566" s="14" t="s">
        <v>47</v>
      </c>
      <c r="AH566" s="14" t="s">
        <v>650</v>
      </c>
      <c r="AI566" s="9">
        <v>83117</v>
      </c>
      <c r="AJ566" s="34">
        <v>20696</v>
      </c>
      <c r="AK566" s="9">
        <v>999</v>
      </c>
    </row>
    <row r="567" spans="5:37" x14ac:dyDescent="0.25">
      <c r="E567">
        <v>564</v>
      </c>
      <c r="F567" t="s">
        <v>612</v>
      </c>
      <c r="G567" t="s">
        <v>47</v>
      </c>
      <c r="H567" t="s">
        <v>660</v>
      </c>
      <c r="I567" s="9">
        <v>26999</v>
      </c>
      <c r="J567" s="10">
        <v>6317</v>
      </c>
      <c r="K567" s="9">
        <v>391</v>
      </c>
      <c r="AD567" s="13"/>
      <c r="AE567" s="14">
        <v>555</v>
      </c>
      <c r="AF567" s="14" t="s">
        <v>603</v>
      </c>
      <c r="AG567" s="14" t="s">
        <v>47</v>
      </c>
      <c r="AH567" s="14" t="s">
        <v>651</v>
      </c>
      <c r="AI567" s="9">
        <v>93393</v>
      </c>
      <c r="AJ567" s="34">
        <v>31559</v>
      </c>
      <c r="AK567" s="9">
        <v>1636</v>
      </c>
    </row>
    <row r="568" spans="5:37" x14ac:dyDescent="0.25">
      <c r="E568">
        <v>565</v>
      </c>
      <c r="F568" t="s">
        <v>613</v>
      </c>
      <c r="G568" t="s">
        <v>48</v>
      </c>
      <c r="H568" t="s">
        <v>649</v>
      </c>
      <c r="I568" s="9">
        <v>114890</v>
      </c>
      <c r="J568" s="10">
        <v>38139</v>
      </c>
      <c r="K568" s="9">
        <v>538</v>
      </c>
      <c r="AD568" s="13"/>
      <c r="AE568" s="14">
        <v>556</v>
      </c>
      <c r="AF568" s="14" t="s">
        <v>604</v>
      </c>
      <c r="AG568" s="14" t="s">
        <v>47</v>
      </c>
      <c r="AH568" s="14" t="s">
        <v>652</v>
      </c>
      <c r="AI568" s="9">
        <v>59482</v>
      </c>
      <c r="AJ568" s="34">
        <v>19251</v>
      </c>
      <c r="AK568" s="9">
        <v>1292</v>
      </c>
    </row>
    <row r="569" spans="5:37" x14ac:dyDescent="0.25">
      <c r="E569">
        <v>566</v>
      </c>
      <c r="F569" t="s">
        <v>614</v>
      </c>
      <c r="G569" t="s">
        <v>48</v>
      </c>
      <c r="H569" t="s">
        <v>650</v>
      </c>
      <c r="I569" s="9">
        <v>138559</v>
      </c>
      <c r="J569" s="10">
        <v>34885</v>
      </c>
      <c r="K569" s="9">
        <v>1199</v>
      </c>
      <c r="AD569" s="13"/>
      <c r="AE569" s="14">
        <v>557</v>
      </c>
      <c r="AF569" s="14" t="s">
        <v>605</v>
      </c>
      <c r="AG569" s="14" t="s">
        <v>47</v>
      </c>
      <c r="AH569" s="14" t="s">
        <v>653</v>
      </c>
      <c r="AI569" s="9">
        <v>57212</v>
      </c>
      <c r="AJ569" s="34">
        <v>16142</v>
      </c>
      <c r="AK569" s="9">
        <v>466</v>
      </c>
    </row>
    <row r="570" spans="5:37" x14ac:dyDescent="0.25">
      <c r="E570">
        <v>567</v>
      </c>
      <c r="F570" t="s">
        <v>615</v>
      </c>
      <c r="G570" t="s">
        <v>48</v>
      </c>
      <c r="H570" t="s">
        <v>651</v>
      </c>
      <c r="I570" s="9">
        <v>45687</v>
      </c>
      <c r="J570" s="10">
        <v>11250</v>
      </c>
      <c r="K570" s="9">
        <v>501</v>
      </c>
      <c r="AD570" s="13"/>
      <c r="AE570" s="14">
        <v>558</v>
      </c>
      <c r="AF570" s="14" t="s">
        <v>606</v>
      </c>
      <c r="AG570" s="14" t="s">
        <v>47</v>
      </c>
      <c r="AH570" s="14" t="s">
        <v>654</v>
      </c>
      <c r="AI570" s="9">
        <v>32645</v>
      </c>
      <c r="AJ570" s="34">
        <v>11215</v>
      </c>
      <c r="AK570" s="9">
        <v>1044</v>
      </c>
    </row>
    <row r="571" spans="5:37" x14ac:dyDescent="0.25">
      <c r="E571">
        <v>568</v>
      </c>
      <c r="F571" t="s">
        <v>616</v>
      </c>
      <c r="G571" t="s">
        <v>48</v>
      </c>
      <c r="H571" t="s">
        <v>652</v>
      </c>
      <c r="I571" s="9">
        <v>19448</v>
      </c>
      <c r="J571" s="10">
        <v>7073</v>
      </c>
      <c r="K571" s="9">
        <v>34</v>
      </c>
      <c r="AD571" s="13"/>
      <c r="AE571" s="14">
        <v>559</v>
      </c>
      <c r="AF571" s="14" t="s">
        <v>607</v>
      </c>
      <c r="AG571" s="14" t="s">
        <v>47</v>
      </c>
      <c r="AH571" s="14" t="s">
        <v>655</v>
      </c>
      <c r="AI571" s="9">
        <v>19538</v>
      </c>
      <c r="AJ571" s="34">
        <v>7717</v>
      </c>
      <c r="AK571" s="9">
        <v>266</v>
      </c>
    </row>
    <row r="572" spans="5:37" x14ac:dyDescent="0.25">
      <c r="E572">
        <v>569</v>
      </c>
      <c r="F572" t="s">
        <v>617</v>
      </c>
      <c r="G572" t="s">
        <v>48</v>
      </c>
      <c r="H572" t="s">
        <v>653</v>
      </c>
      <c r="I572" s="9">
        <v>109714</v>
      </c>
      <c r="J572" s="10">
        <v>42643</v>
      </c>
      <c r="K572" s="9">
        <v>3766</v>
      </c>
      <c r="AD572" s="13"/>
      <c r="AE572" s="14">
        <v>560</v>
      </c>
      <c r="AF572" s="14" t="s">
        <v>608</v>
      </c>
      <c r="AG572" s="14" t="s">
        <v>47</v>
      </c>
      <c r="AH572" s="14" t="s">
        <v>656</v>
      </c>
      <c r="AI572" s="9">
        <v>105428</v>
      </c>
      <c r="AJ572" s="34">
        <v>28811</v>
      </c>
      <c r="AK572" s="9">
        <v>2175</v>
      </c>
    </row>
    <row r="573" spans="5:37" x14ac:dyDescent="0.25">
      <c r="E573">
        <v>570</v>
      </c>
      <c r="F573" t="s">
        <v>618</v>
      </c>
      <c r="G573" t="s">
        <v>48</v>
      </c>
      <c r="H573" t="s">
        <v>654</v>
      </c>
      <c r="I573" s="9">
        <v>66558</v>
      </c>
      <c r="J573" s="10">
        <v>24906</v>
      </c>
      <c r="K573" s="9">
        <v>1862</v>
      </c>
      <c r="AD573" s="13"/>
      <c r="AE573" s="14">
        <v>561</v>
      </c>
      <c r="AF573" s="14" t="s">
        <v>609</v>
      </c>
      <c r="AG573" s="14" t="s">
        <v>47</v>
      </c>
      <c r="AH573" s="14" t="s">
        <v>657</v>
      </c>
      <c r="AI573" s="9">
        <v>62302</v>
      </c>
      <c r="AJ573" s="34">
        <v>16265</v>
      </c>
      <c r="AK573" s="9">
        <v>384</v>
      </c>
    </row>
    <row r="574" spans="5:37" x14ac:dyDescent="0.25">
      <c r="E574">
        <v>571</v>
      </c>
      <c r="F574" t="s">
        <v>619</v>
      </c>
      <c r="G574" t="s">
        <v>48</v>
      </c>
      <c r="H574" t="s">
        <v>655</v>
      </c>
      <c r="I574" s="9">
        <v>40756</v>
      </c>
      <c r="J574" s="10">
        <v>12844</v>
      </c>
      <c r="K574" s="9">
        <v>342</v>
      </c>
      <c r="AD574" s="13"/>
      <c r="AE574" s="14">
        <v>562</v>
      </c>
      <c r="AF574" s="14" t="s">
        <v>610</v>
      </c>
      <c r="AG574" s="14" t="s">
        <v>47</v>
      </c>
      <c r="AH574" s="14" t="s">
        <v>658</v>
      </c>
      <c r="AI574" s="9">
        <v>107723</v>
      </c>
      <c r="AJ574" s="34">
        <v>24671</v>
      </c>
      <c r="AK574" s="9">
        <v>277</v>
      </c>
    </row>
    <row r="575" spans="5:37" x14ac:dyDescent="0.25">
      <c r="E575">
        <v>572</v>
      </c>
      <c r="F575" t="s">
        <v>620</v>
      </c>
      <c r="G575" t="s">
        <v>48</v>
      </c>
      <c r="H575" t="s">
        <v>656</v>
      </c>
      <c r="I575" s="9">
        <v>98351</v>
      </c>
      <c r="J575" s="10">
        <v>33275</v>
      </c>
      <c r="K575" s="9">
        <v>384</v>
      </c>
      <c r="AD575" s="13"/>
      <c r="AE575" s="14">
        <v>563</v>
      </c>
      <c r="AF575" s="14" t="s">
        <v>611</v>
      </c>
      <c r="AG575" s="14" t="s">
        <v>47</v>
      </c>
      <c r="AH575" s="14" t="s">
        <v>659</v>
      </c>
      <c r="AI575" s="9">
        <v>59435</v>
      </c>
      <c r="AJ575" s="34">
        <v>21374</v>
      </c>
      <c r="AK575" s="9">
        <v>812</v>
      </c>
    </row>
    <row r="576" spans="5:37" x14ac:dyDescent="0.25">
      <c r="E576">
        <v>573</v>
      </c>
      <c r="F576" t="s">
        <v>621</v>
      </c>
      <c r="G576" t="s">
        <v>48</v>
      </c>
      <c r="H576" t="s">
        <v>657</v>
      </c>
      <c r="I576" s="9">
        <v>97214</v>
      </c>
      <c r="J576" s="10">
        <v>20931</v>
      </c>
      <c r="K576" s="9">
        <v>626</v>
      </c>
      <c r="AD576" s="13"/>
      <c r="AE576" s="14">
        <v>564</v>
      </c>
      <c r="AF576" s="14" t="s">
        <v>612</v>
      </c>
      <c r="AG576" s="14" t="s">
        <v>47</v>
      </c>
      <c r="AH576" s="14" t="s">
        <v>660</v>
      </c>
      <c r="AI576" s="9">
        <v>26999</v>
      </c>
      <c r="AJ576" s="34">
        <v>6317</v>
      </c>
      <c r="AK576" s="9">
        <v>391</v>
      </c>
    </row>
    <row r="577" spans="5:37" x14ac:dyDescent="0.25">
      <c r="E577">
        <v>574</v>
      </c>
      <c r="F577" t="s">
        <v>622</v>
      </c>
      <c r="G577" t="s">
        <v>48</v>
      </c>
      <c r="H577" t="s">
        <v>658</v>
      </c>
      <c r="I577" s="9">
        <v>126749</v>
      </c>
      <c r="J577" s="10">
        <v>33080</v>
      </c>
      <c r="K577" s="9">
        <v>2749</v>
      </c>
      <c r="AD577" s="13"/>
      <c r="AE577" s="14">
        <v>565</v>
      </c>
      <c r="AF577" s="14" t="s">
        <v>613</v>
      </c>
      <c r="AG577" s="14" t="s">
        <v>48</v>
      </c>
      <c r="AH577" s="14" t="s">
        <v>649</v>
      </c>
      <c r="AI577" s="9">
        <v>114890</v>
      </c>
      <c r="AJ577" s="34">
        <v>38139</v>
      </c>
      <c r="AK577" s="9">
        <v>538</v>
      </c>
    </row>
    <row r="578" spans="5:37" x14ac:dyDescent="0.25">
      <c r="E578">
        <v>575</v>
      </c>
      <c r="F578" t="s">
        <v>623</v>
      </c>
      <c r="G578" t="s">
        <v>48</v>
      </c>
      <c r="H578" t="s">
        <v>659</v>
      </c>
      <c r="I578" s="9">
        <v>137444</v>
      </c>
      <c r="J578" s="10">
        <v>46684</v>
      </c>
      <c r="K578" s="9">
        <v>244</v>
      </c>
      <c r="AD578" s="13"/>
      <c r="AE578" s="14">
        <v>566</v>
      </c>
      <c r="AF578" s="14" t="s">
        <v>614</v>
      </c>
      <c r="AG578" s="14" t="s">
        <v>48</v>
      </c>
      <c r="AH578" s="14" t="s">
        <v>650</v>
      </c>
      <c r="AI578" s="9">
        <v>138559</v>
      </c>
      <c r="AJ578" s="34">
        <v>34885</v>
      </c>
      <c r="AK578" s="9">
        <v>1199</v>
      </c>
    </row>
    <row r="579" spans="5:37" x14ac:dyDescent="0.25">
      <c r="E579">
        <v>576</v>
      </c>
      <c r="F579" t="s">
        <v>624</v>
      </c>
      <c r="G579" t="s">
        <v>48</v>
      </c>
      <c r="H579" t="s">
        <v>660</v>
      </c>
      <c r="I579" s="9">
        <v>92981</v>
      </c>
      <c r="J579" s="10">
        <v>33796</v>
      </c>
      <c r="K579" s="9">
        <v>2908</v>
      </c>
      <c r="AD579" s="13"/>
      <c r="AE579" s="14">
        <v>567</v>
      </c>
      <c r="AF579" s="14" t="s">
        <v>615</v>
      </c>
      <c r="AG579" s="14" t="s">
        <v>48</v>
      </c>
      <c r="AH579" s="14" t="s">
        <v>651</v>
      </c>
      <c r="AI579" s="9">
        <v>45687</v>
      </c>
      <c r="AJ579" s="34">
        <v>11250</v>
      </c>
      <c r="AK579" s="9">
        <v>501</v>
      </c>
    </row>
    <row r="580" spans="5:37" x14ac:dyDescent="0.25">
      <c r="E580">
        <v>577</v>
      </c>
      <c r="F580" t="s">
        <v>625</v>
      </c>
      <c r="G580" t="s">
        <v>49</v>
      </c>
      <c r="H580" t="s">
        <v>649</v>
      </c>
      <c r="I580" s="9">
        <v>107207</v>
      </c>
      <c r="J580" s="10">
        <v>24061</v>
      </c>
      <c r="K580" s="9">
        <v>1315</v>
      </c>
      <c r="AD580" s="13"/>
      <c r="AE580" s="14">
        <v>568</v>
      </c>
      <c r="AF580" s="14" t="s">
        <v>616</v>
      </c>
      <c r="AG580" s="14" t="s">
        <v>48</v>
      </c>
      <c r="AH580" s="14" t="s">
        <v>652</v>
      </c>
      <c r="AI580" s="9">
        <v>19448</v>
      </c>
      <c r="AJ580" s="34">
        <v>7073</v>
      </c>
      <c r="AK580" s="9">
        <v>34</v>
      </c>
    </row>
    <row r="581" spans="5:37" x14ac:dyDescent="0.25">
      <c r="E581">
        <v>578</v>
      </c>
      <c r="F581" t="s">
        <v>626</v>
      </c>
      <c r="G581" t="s">
        <v>49</v>
      </c>
      <c r="H581" t="s">
        <v>650</v>
      </c>
      <c r="I581" s="9">
        <v>91834</v>
      </c>
      <c r="J581" s="10">
        <v>23241</v>
      </c>
      <c r="K581" s="9">
        <v>1216</v>
      </c>
      <c r="AD581" s="13"/>
      <c r="AE581" s="14">
        <v>569</v>
      </c>
      <c r="AF581" s="14" t="s">
        <v>617</v>
      </c>
      <c r="AG581" s="14" t="s">
        <v>48</v>
      </c>
      <c r="AH581" s="14" t="s">
        <v>653</v>
      </c>
      <c r="AI581" s="9">
        <v>109714</v>
      </c>
      <c r="AJ581" s="34">
        <v>42643</v>
      </c>
      <c r="AK581" s="9">
        <v>3766</v>
      </c>
    </row>
    <row r="582" spans="5:37" x14ac:dyDescent="0.25">
      <c r="E582">
        <v>579</v>
      </c>
      <c r="F582" t="s">
        <v>627</v>
      </c>
      <c r="G582" t="s">
        <v>49</v>
      </c>
      <c r="H582" t="s">
        <v>651</v>
      </c>
      <c r="I582" s="9">
        <v>95287</v>
      </c>
      <c r="J582" s="10">
        <v>28687</v>
      </c>
      <c r="K582" s="9">
        <v>798</v>
      </c>
      <c r="AD582" s="13"/>
      <c r="AE582" s="14">
        <v>570</v>
      </c>
      <c r="AF582" s="14" t="s">
        <v>618</v>
      </c>
      <c r="AG582" s="14" t="s">
        <v>48</v>
      </c>
      <c r="AH582" s="14" t="s">
        <v>654</v>
      </c>
      <c r="AI582" s="9">
        <v>66558</v>
      </c>
      <c r="AJ582" s="34">
        <v>24906</v>
      </c>
      <c r="AK582" s="9">
        <v>1862</v>
      </c>
    </row>
    <row r="583" spans="5:37" x14ac:dyDescent="0.25">
      <c r="E583">
        <v>580</v>
      </c>
      <c r="F583" t="s">
        <v>628</v>
      </c>
      <c r="G583" t="s">
        <v>49</v>
      </c>
      <c r="H583" t="s">
        <v>652</v>
      </c>
      <c r="I583" s="9">
        <v>59175</v>
      </c>
      <c r="J583" s="10">
        <v>20643</v>
      </c>
      <c r="K583" s="9">
        <v>1834</v>
      </c>
      <c r="AD583" s="13"/>
      <c r="AE583" s="14">
        <v>571</v>
      </c>
      <c r="AF583" s="14" t="s">
        <v>619</v>
      </c>
      <c r="AG583" s="14" t="s">
        <v>48</v>
      </c>
      <c r="AH583" s="14" t="s">
        <v>655</v>
      </c>
      <c r="AI583" s="9">
        <v>40756</v>
      </c>
      <c r="AJ583" s="34">
        <v>12844</v>
      </c>
      <c r="AK583" s="9">
        <v>342</v>
      </c>
    </row>
    <row r="584" spans="5:37" x14ac:dyDescent="0.25">
      <c r="E584">
        <v>581</v>
      </c>
      <c r="F584" t="s">
        <v>629</v>
      </c>
      <c r="G584" t="s">
        <v>49</v>
      </c>
      <c r="H584" t="s">
        <v>653</v>
      </c>
      <c r="I584" s="9">
        <v>74440</v>
      </c>
      <c r="J584" s="10">
        <v>21461</v>
      </c>
      <c r="K584" s="9">
        <v>616</v>
      </c>
      <c r="AD584" s="13"/>
      <c r="AE584" s="14">
        <v>572</v>
      </c>
      <c r="AF584" s="14" t="s">
        <v>620</v>
      </c>
      <c r="AG584" s="14" t="s">
        <v>48</v>
      </c>
      <c r="AH584" s="14" t="s">
        <v>656</v>
      </c>
      <c r="AI584" s="9">
        <v>98351</v>
      </c>
      <c r="AJ584" s="34">
        <v>33275</v>
      </c>
      <c r="AK584" s="9">
        <v>384</v>
      </c>
    </row>
    <row r="585" spans="5:37" x14ac:dyDescent="0.25">
      <c r="E585">
        <v>582</v>
      </c>
      <c r="F585" t="s">
        <v>630</v>
      </c>
      <c r="G585" t="s">
        <v>49</v>
      </c>
      <c r="H585" t="s">
        <v>654</v>
      </c>
      <c r="I585" s="9">
        <v>98742</v>
      </c>
      <c r="J585" s="10">
        <v>20448</v>
      </c>
      <c r="K585" s="9">
        <v>1289</v>
      </c>
      <c r="AD585" s="13"/>
      <c r="AE585" s="14">
        <v>573</v>
      </c>
      <c r="AF585" s="14" t="s">
        <v>621</v>
      </c>
      <c r="AG585" s="14" t="s">
        <v>48</v>
      </c>
      <c r="AH585" s="14" t="s">
        <v>657</v>
      </c>
      <c r="AI585" s="9">
        <v>97214</v>
      </c>
      <c r="AJ585" s="34">
        <v>20931</v>
      </c>
      <c r="AK585" s="9">
        <v>626</v>
      </c>
    </row>
    <row r="586" spans="5:37" x14ac:dyDescent="0.25">
      <c r="E586">
        <v>583</v>
      </c>
      <c r="F586" t="s">
        <v>631</v>
      </c>
      <c r="G586" t="s">
        <v>49</v>
      </c>
      <c r="H586" t="s">
        <v>655</v>
      </c>
      <c r="I586" s="9">
        <v>115930</v>
      </c>
      <c r="J586" s="10">
        <v>28688</v>
      </c>
      <c r="K586" s="9">
        <v>2270</v>
      </c>
      <c r="AD586" s="13"/>
      <c r="AE586" s="14">
        <v>574</v>
      </c>
      <c r="AF586" s="14" t="s">
        <v>622</v>
      </c>
      <c r="AG586" s="14" t="s">
        <v>48</v>
      </c>
      <c r="AH586" s="14" t="s">
        <v>658</v>
      </c>
      <c r="AI586" s="9">
        <v>126749</v>
      </c>
      <c r="AJ586" s="34">
        <v>33080</v>
      </c>
      <c r="AK586" s="9">
        <v>2749</v>
      </c>
    </row>
    <row r="587" spans="5:37" x14ac:dyDescent="0.25">
      <c r="E587">
        <v>584</v>
      </c>
      <c r="F587" t="s">
        <v>632</v>
      </c>
      <c r="G587" t="s">
        <v>49</v>
      </c>
      <c r="H587" t="s">
        <v>656</v>
      </c>
      <c r="I587" s="9">
        <v>145060</v>
      </c>
      <c r="J587" s="10">
        <v>56953</v>
      </c>
      <c r="K587" s="9">
        <v>2695</v>
      </c>
      <c r="AD587" s="13"/>
      <c r="AE587" s="14">
        <v>575</v>
      </c>
      <c r="AF587" s="14" t="s">
        <v>623</v>
      </c>
      <c r="AG587" s="14" t="s">
        <v>48</v>
      </c>
      <c r="AH587" s="14" t="s">
        <v>659</v>
      </c>
      <c r="AI587" s="9">
        <v>137444</v>
      </c>
      <c r="AJ587" s="34">
        <v>46684</v>
      </c>
      <c r="AK587" s="9">
        <v>244</v>
      </c>
    </row>
    <row r="588" spans="5:37" x14ac:dyDescent="0.25">
      <c r="E588">
        <v>585</v>
      </c>
      <c r="F588" t="s">
        <v>633</v>
      </c>
      <c r="G588" t="s">
        <v>49</v>
      </c>
      <c r="H588" t="s">
        <v>657</v>
      </c>
      <c r="I588" s="9">
        <v>104632</v>
      </c>
      <c r="J588" s="10">
        <v>27777</v>
      </c>
      <c r="K588" s="9">
        <v>598</v>
      </c>
      <c r="AD588" s="13"/>
      <c r="AE588" s="14">
        <v>576</v>
      </c>
      <c r="AF588" s="14" t="s">
        <v>624</v>
      </c>
      <c r="AG588" s="14" t="s">
        <v>48</v>
      </c>
      <c r="AH588" s="14" t="s">
        <v>660</v>
      </c>
      <c r="AI588" s="9">
        <v>92981</v>
      </c>
      <c r="AJ588" s="34">
        <v>33796</v>
      </c>
      <c r="AK588" s="9">
        <v>2908</v>
      </c>
    </row>
    <row r="589" spans="5:37" x14ac:dyDescent="0.25">
      <c r="E589">
        <v>586</v>
      </c>
      <c r="F589" t="s">
        <v>634</v>
      </c>
      <c r="G589" t="s">
        <v>49</v>
      </c>
      <c r="H589" t="s">
        <v>658</v>
      </c>
      <c r="I589" s="9">
        <v>60266</v>
      </c>
      <c r="J589" s="10">
        <v>19660</v>
      </c>
      <c r="K589" s="9">
        <v>182</v>
      </c>
      <c r="AD589" s="13"/>
      <c r="AE589" s="14">
        <v>577</v>
      </c>
      <c r="AF589" s="14" t="s">
        <v>625</v>
      </c>
      <c r="AG589" s="14" t="s">
        <v>49</v>
      </c>
      <c r="AH589" s="14" t="s">
        <v>649</v>
      </c>
      <c r="AI589" s="9">
        <v>107207</v>
      </c>
      <c r="AJ589" s="34">
        <v>24061</v>
      </c>
      <c r="AK589" s="9">
        <v>1315</v>
      </c>
    </row>
    <row r="590" spans="5:37" x14ac:dyDescent="0.25">
      <c r="E590">
        <v>587</v>
      </c>
      <c r="F590" t="s">
        <v>635</v>
      </c>
      <c r="G590" t="s">
        <v>49</v>
      </c>
      <c r="H590" t="s">
        <v>659</v>
      </c>
      <c r="I590" s="9">
        <v>35116</v>
      </c>
      <c r="J590" s="10">
        <v>8339</v>
      </c>
      <c r="K590" s="9">
        <v>252</v>
      </c>
      <c r="AD590" s="13"/>
      <c r="AE590" s="14">
        <v>578</v>
      </c>
      <c r="AF590" s="14" t="s">
        <v>626</v>
      </c>
      <c r="AG590" s="14" t="s">
        <v>49</v>
      </c>
      <c r="AH590" s="14" t="s">
        <v>650</v>
      </c>
      <c r="AI590" s="9">
        <v>91834</v>
      </c>
      <c r="AJ590" s="34">
        <v>23241</v>
      </c>
      <c r="AK590" s="9">
        <v>1216</v>
      </c>
    </row>
    <row r="591" spans="5:37" x14ac:dyDescent="0.25">
      <c r="E591">
        <v>588</v>
      </c>
      <c r="F591" t="s">
        <v>636</v>
      </c>
      <c r="G591" t="s">
        <v>49</v>
      </c>
      <c r="H591" t="s">
        <v>660</v>
      </c>
      <c r="I591" s="9">
        <v>43089</v>
      </c>
      <c r="J591" s="10">
        <v>9025</v>
      </c>
      <c r="K591" s="9">
        <v>111</v>
      </c>
      <c r="AD591" s="13"/>
      <c r="AE591" s="14">
        <v>579</v>
      </c>
      <c r="AF591" s="14" t="s">
        <v>627</v>
      </c>
      <c r="AG591" s="14" t="s">
        <v>49</v>
      </c>
      <c r="AH591" s="14" t="s">
        <v>651</v>
      </c>
      <c r="AI591" s="9">
        <v>95287</v>
      </c>
      <c r="AJ591" s="34">
        <v>28687</v>
      </c>
      <c r="AK591" s="9">
        <v>798</v>
      </c>
    </row>
    <row r="592" spans="5:37" x14ac:dyDescent="0.25">
      <c r="E592">
        <v>589</v>
      </c>
      <c r="F592" t="s">
        <v>637</v>
      </c>
      <c r="G592" t="s">
        <v>50</v>
      </c>
      <c r="H592" t="s">
        <v>649</v>
      </c>
      <c r="I592" s="9">
        <v>29288</v>
      </c>
      <c r="J592" s="10">
        <v>8789</v>
      </c>
      <c r="K592" s="9">
        <v>272</v>
      </c>
      <c r="AD592" s="13"/>
      <c r="AE592" s="14">
        <v>580</v>
      </c>
      <c r="AF592" s="14" t="s">
        <v>628</v>
      </c>
      <c r="AG592" s="14" t="s">
        <v>49</v>
      </c>
      <c r="AH592" s="14" t="s">
        <v>652</v>
      </c>
      <c r="AI592" s="9">
        <v>59175</v>
      </c>
      <c r="AJ592" s="34">
        <v>20643</v>
      </c>
      <c r="AK592" s="9">
        <v>1834</v>
      </c>
    </row>
    <row r="593" spans="5:37" x14ac:dyDescent="0.25">
      <c r="E593">
        <v>590</v>
      </c>
      <c r="F593" t="s">
        <v>638</v>
      </c>
      <c r="G593" t="s">
        <v>50</v>
      </c>
      <c r="H593" t="s">
        <v>650</v>
      </c>
      <c r="I593" s="9">
        <v>101957</v>
      </c>
      <c r="J593" s="10">
        <v>23113</v>
      </c>
      <c r="K593" s="9">
        <v>1041</v>
      </c>
      <c r="AD593" s="13"/>
      <c r="AE593" s="14">
        <v>581</v>
      </c>
      <c r="AF593" s="14" t="s">
        <v>629</v>
      </c>
      <c r="AG593" s="14" t="s">
        <v>49</v>
      </c>
      <c r="AH593" s="14" t="s">
        <v>653</v>
      </c>
      <c r="AI593" s="9">
        <v>74440</v>
      </c>
      <c r="AJ593" s="34">
        <v>21461</v>
      </c>
      <c r="AK593" s="9">
        <v>616</v>
      </c>
    </row>
    <row r="594" spans="5:37" x14ac:dyDescent="0.25">
      <c r="E594">
        <v>591</v>
      </c>
      <c r="F594" t="s">
        <v>639</v>
      </c>
      <c r="G594" t="s">
        <v>50</v>
      </c>
      <c r="H594" t="s">
        <v>651</v>
      </c>
      <c r="I594" s="9">
        <v>53672</v>
      </c>
      <c r="J594" s="10">
        <v>13943</v>
      </c>
      <c r="K594" s="9">
        <v>1175</v>
      </c>
      <c r="AD594" s="13"/>
      <c r="AE594" s="14">
        <v>582</v>
      </c>
      <c r="AF594" s="14" t="s">
        <v>630</v>
      </c>
      <c r="AG594" s="14" t="s">
        <v>49</v>
      </c>
      <c r="AH594" s="14" t="s">
        <v>654</v>
      </c>
      <c r="AI594" s="9">
        <v>98742</v>
      </c>
      <c r="AJ594" s="34">
        <v>20448</v>
      </c>
      <c r="AK594" s="9">
        <v>1289</v>
      </c>
    </row>
    <row r="595" spans="5:37" x14ac:dyDescent="0.25">
      <c r="E595">
        <v>592</v>
      </c>
      <c r="F595" t="s">
        <v>640</v>
      </c>
      <c r="G595" t="s">
        <v>50</v>
      </c>
      <c r="H595" t="s">
        <v>652</v>
      </c>
      <c r="I595" s="9">
        <v>87730</v>
      </c>
      <c r="J595" s="10">
        <v>30906</v>
      </c>
      <c r="K595" s="9">
        <v>1874</v>
      </c>
      <c r="AD595" s="13"/>
      <c r="AE595" s="14">
        <v>583</v>
      </c>
      <c r="AF595" s="14" t="s">
        <v>631</v>
      </c>
      <c r="AG595" s="14" t="s">
        <v>49</v>
      </c>
      <c r="AH595" s="14" t="s">
        <v>655</v>
      </c>
      <c r="AI595" s="9">
        <v>115930</v>
      </c>
      <c r="AJ595" s="34">
        <v>28688</v>
      </c>
      <c r="AK595" s="9">
        <v>2270</v>
      </c>
    </row>
    <row r="596" spans="5:37" x14ac:dyDescent="0.25">
      <c r="E596">
        <v>593</v>
      </c>
      <c r="F596" t="s">
        <v>641</v>
      </c>
      <c r="G596" t="s">
        <v>50</v>
      </c>
      <c r="H596" t="s">
        <v>653</v>
      </c>
      <c r="I596" s="9">
        <v>97704</v>
      </c>
      <c r="J596" s="10">
        <v>23506</v>
      </c>
      <c r="K596" s="9">
        <v>1775</v>
      </c>
      <c r="AD596" s="13"/>
      <c r="AE596" s="14">
        <v>584</v>
      </c>
      <c r="AF596" s="14" t="s">
        <v>632</v>
      </c>
      <c r="AG596" s="14" t="s">
        <v>49</v>
      </c>
      <c r="AH596" s="14" t="s">
        <v>656</v>
      </c>
      <c r="AI596" s="9">
        <v>145060</v>
      </c>
      <c r="AJ596" s="34">
        <v>56953</v>
      </c>
      <c r="AK596" s="9">
        <v>2695</v>
      </c>
    </row>
    <row r="597" spans="5:37" x14ac:dyDescent="0.25">
      <c r="E597">
        <v>594</v>
      </c>
      <c r="F597" t="s">
        <v>642</v>
      </c>
      <c r="G597" t="s">
        <v>50</v>
      </c>
      <c r="H597" t="s">
        <v>654</v>
      </c>
      <c r="I597" s="9">
        <v>64126</v>
      </c>
      <c r="J597" s="10">
        <v>13720</v>
      </c>
      <c r="K597" s="9">
        <v>197</v>
      </c>
      <c r="AD597" s="13"/>
      <c r="AE597" s="14">
        <v>585</v>
      </c>
      <c r="AF597" s="14" t="s">
        <v>633</v>
      </c>
      <c r="AG597" s="14" t="s">
        <v>49</v>
      </c>
      <c r="AH597" s="14" t="s">
        <v>657</v>
      </c>
      <c r="AI597" s="9">
        <v>104632</v>
      </c>
      <c r="AJ597" s="34">
        <v>27777</v>
      </c>
      <c r="AK597" s="9">
        <v>598</v>
      </c>
    </row>
    <row r="598" spans="5:37" x14ac:dyDescent="0.25">
      <c r="E598">
        <v>595</v>
      </c>
      <c r="F598" t="s">
        <v>643</v>
      </c>
      <c r="G598" t="s">
        <v>50</v>
      </c>
      <c r="H598" t="s">
        <v>655</v>
      </c>
      <c r="I598" s="9">
        <v>25263</v>
      </c>
      <c r="J598" s="10">
        <v>5975</v>
      </c>
      <c r="K598" s="9">
        <v>59</v>
      </c>
      <c r="AD598" s="13"/>
      <c r="AE598" s="14">
        <v>586</v>
      </c>
      <c r="AF598" s="14" t="s">
        <v>634</v>
      </c>
      <c r="AG598" s="14" t="s">
        <v>49</v>
      </c>
      <c r="AH598" s="14" t="s">
        <v>658</v>
      </c>
      <c r="AI598" s="9">
        <v>60266</v>
      </c>
      <c r="AJ598" s="34">
        <v>19660</v>
      </c>
      <c r="AK598" s="9">
        <v>182</v>
      </c>
    </row>
    <row r="599" spans="5:37" x14ac:dyDescent="0.25">
      <c r="E599">
        <v>596</v>
      </c>
      <c r="F599" t="s">
        <v>644</v>
      </c>
      <c r="G599" t="s">
        <v>50</v>
      </c>
      <c r="H599" t="s">
        <v>656</v>
      </c>
      <c r="I599" s="9">
        <v>149678</v>
      </c>
      <c r="J599" s="10">
        <v>50863</v>
      </c>
      <c r="K599" s="9">
        <v>4108</v>
      </c>
      <c r="AD599" s="13"/>
      <c r="AE599" s="14">
        <v>587</v>
      </c>
      <c r="AF599" s="14" t="s">
        <v>635</v>
      </c>
      <c r="AG599" s="14" t="s">
        <v>49</v>
      </c>
      <c r="AH599" s="14" t="s">
        <v>659</v>
      </c>
      <c r="AI599" s="9">
        <v>35116</v>
      </c>
      <c r="AJ599" s="34">
        <v>8339</v>
      </c>
      <c r="AK599" s="9">
        <v>252</v>
      </c>
    </row>
    <row r="600" spans="5:37" x14ac:dyDescent="0.25">
      <c r="E600">
        <v>597</v>
      </c>
      <c r="F600" t="s">
        <v>645</v>
      </c>
      <c r="G600" t="s">
        <v>50</v>
      </c>
      <c r="H600" t="s">
        <v>657</v>
      </c>
      <c r="I600" s="9">
        <v>41018</v>
      </c>
      <c r="J600" s="10">
        <v>16264</v>
      </c>
      <c r="K600" s="9">
        <v>301</v>
      </c>
      <c r="AD600" s="13"/>
      <c r="AE600" s="14">
        <v>588</v>
      </c>
      <c r="AF600" s="14" t="s">
        <v>636</v>
      </c>
      <c r="AG600" s="14" t="s">
        <v>49</v>
      </c>
      <c r="AH600" s="14" t="s">
        <v>660</v>
      </c>
      <c r="AI600" s="9">
        <v>43089</v>
      </c>
      <c r="AJ600" s="34">
        <v>9025</v>
      </c>
      <c r="AK600" s="9">
        <v>111</v>
      </c>
    </row>
    <row r="601" spans="5:37" x14ac:dyDescent="0.25">
      <c r="E601">
        <v>598</v>
      </c>
      <c r="F601" t="s">
        <v>646</v>
      </c>
      <c r="G601" t="s">
        <v>50</v>
      </c>
      <c r="H601" t="s">
        <v>658</v>
      </c>
      <c r="I601" s="9">
        <v>82181</v>
      </c>
      <c r="J601" s="10">
        <v>22842</v>
      </c>
      <c r="K601" s="9">
        <v>335</v>
      </c>
      <c r="AD601" s="13"/>
      <c r="AE601" s="14">
        <v>589</v>
      </c>
      <c r="AF601" s="14" t="s">
        <v>637</v>
      </c>
      <c r="AG601" s="14" t="s">
        <v>50</v>
      </c>
      <c r="AH601" s="14" t="s">
        <v>649</v>
      </c>
      <c r="AI601" s="9">
        <v>29288</v>
      </c>
      <c r="AJ601" s="34">
        <v>8789</v>
      </c>
      <c r="AK601" s="9">
        <v>272</v>
      </c>
    </row>
    <row r="602" spans="5:37" x14ac:dyDescent="0.25">
      <c r="E602">
        <v>599</v>
      </c>
      <c r="F602" t="s">
        <v>647</v>
      </c>
      <c r="G602" t="s">
        <v>50</v>
      </c>
      <c r="H602" t="s">
        <v>659</v>
      </c>
      <c r="I602" s="9">
        <v>74731</v>
      </c>
      <c r="J602" s="10">
        <v>27231</v>
      </c>
      <c r="K602" s="9">
        <v>1600</v>
      </c>
      <c r="AD602" s="13"/>
      <c r="AE602" s="14">
        <v>590</v>
      </c>
      <c r="AF602" s="14" t="s">
        <v>638</v>
      </c>
      <c r="AG602" s="14" t="s">
        <v>50</v>
      </c>
      <c r="AH602" s="14" t="s">
        <v>650</v>
      </c>
      <c r="AI602" s="9">
        <v>101957</v>
      </c>
      <c r="AJ602" s="34">
        <v>23113</v>
      </c>
      <c r="AK602" s="9">
        <v>1041</v>
      </c>
    </row>
    <row r="603" spans="5:37" ht="15.75" thickBot="1" x14ac:dyDescent="0.3">
      <c r="E603" s="7">
        <v>600</v>
      </c>
      <c r="F603" s="7" t="s">
        <v>648</v>
      </c>
      <c r="G603" s="7" t="s">
        <v>50</v>
      </c>
      <c r="H603" s="7" t="s">
        <v>660</v>
      </c>
      <c r="I603" s="11">
        <v>41678</v>
      </c>
      <c r="J603" s="12">
        <v>8794</v>
      </c>
      <c r="K603" s="11">
        <v>27</v>
      </c>
      <c r="AD603" s="13"/>
      <c r="AE603" s="14">
        <v>591</v>
      </c>
      <c r="AF603" s="14" t="s">
        <v>639</v>
      </c>
      <c r="AG603" s="14" t="s">
        <v>50</v>
      </c>
      <c r="AH603" s="14" t="s">
        <v>651</v>
      </c>
      <c r="AI603" s="9">
        <v>53672</v>
      </c>
      <c r="AJ603" s="34">
        <v>13943</v>
      </c>
      <c r="AK603" s="9">
        <v>1175</v>
      </c>
    </row>
    <row r="604" spans="5:37" x14ac:dyDescent="0.25">
      <c r="AD604" s="13"/>
      <c r="AE604" s="14">
        <v>592</v>
      </c>
      <c r="AF604" s="14" t="s">
        <v>640</v>
      </c>
      <c r="AG604" s="14" t="s">
        <v>50</v>
      </c>
      <c r="AH604" s="14" t="s">
        <v>652</v>
      </c>
      <c r="AI604" s="9">
        <v>87730</v>
      </c>
      <c r="AJ604" s="34">
        <v>30906</v>
      </c>
      <c r="AK604" s="9">
        <v>1874</v>
      </c>
    </row>
    <row r="605" spans="5:37" x14ac:dyDescent="0.25">
      <c r="AD605" s="13"/>
      <c r="AE605" s="14">
        <v>593</v>
      </c>
      <c r="AF605" s="14" t="s">
        <v>641</v>
      </c>
      <c r="AG605" s="14" t="s">
        <v>50</v>
      </c>
      <c r="AH605" s="14" t="s">
        <v>653</v>
      </c>
      <c r="AI605" s="9">
        <v>97704</v>
      </c>
      <c r="AJ605" s="34">
        <v>23506</v>
      </c>
      <c r="AK605" s="9">
        <v>1775</v>
      </c>
    </row>
    <row r="606" spans="5:37" x14ac:dyDescent="0.25">
      <c r="AD606" s="13"/>
      <c r="AE606" s="14">
        <v>594</v>
      </c>
      <c r="AF606" s="14" t="s">
        <v>642</v>
      </c>
      <c r="AG606" s="14" t="s">
        <v>50</v>
      </c>
      <c r="AH606" s="14" t="s">
        <v>654</v>
      </c>
      <c r="AI606" s="9">
        <v>64126</v>
      </c>
      <c r="AJ606" s="34">
        <v>13720</v>
      </c>
      <c r="AK606" s="9">
        <v>197</v>
      </c>
    </row>
    <row r="607" spans="5:37" x14ac:dyDescent="0.25">
      <c r="AD607" s="13"/>
      <c r="AE607" s="14">
        <v>595</v>
      </c>
      <c r="AF607" s="14" t="s">
        <v>643</v>
      </c>
      <c r="AG607" s="14" t="s">
        <v>50</v>
      </c>
      <c r="AH607" s="14" t="s">
        <v>655</v>
      </c>
      <c r="AI607" s="9">
        <v>25263</v>
      </c>
      <c r="AJ607" s="34">
        <v>5975</v>
      </c>
      <c r="AK607" s="9">
        <v>59</v>
      </c>
    </row>
    <row r="608" spans="5:37" x14ac:dyDescent="0.25">
      <c r="AD608" s="13"/>
      <c r="AE608" s="14">
        <v>596</v>
      </c>
      <c r="AF608" s="14" t="s">
        <v>644</v>
      </c>
      <c r="AG608" s="14" t="s">
        <v>50</v>
      </c>
      <c r="AH608" s="14" t="s">
        <v>656</v>
      </c>
      <c r="AI608" s="9">
        <v>149678</v>
      </c>
      <c r="AJ608" s="34">
        <v>50863</v>
      </c>
      <c r="AK608" s="9">
        <v>4108</v>
      </c>
    </row>
    <row r="609" spans="30:37" x14ac:dyDescent="0.25">
      <c r="AD609" s="13"/>
      <c r="AE609" s="14">
        <v>597</v>
      </c>
      <c r="AF609" s="14" t="s">
        <v>645</v>
      </c>
      <c r="AG609" s="14" t="s">
        <v>50</v>
      </c>
      <c r="AH609" s="14" t="s">
        <v>657</v>
      </c>
      <c r="AI609" s="9">
        <v>41018</v>
      </c>
      <c r="AJ609" s="34">
        <v>16264</v>
      </c>
      <c r="AK609" s="9">
        <v>301</v>
      </c>
    </row>
    <row r="610" spans="30:37" x14ac:dyDescent="0.25">
      <c r="AD610" s="13"/>
      <c r="AE610" s="14">
        <v>598</v>
      </c>
      <c r="AF610" s="14" t="s">
        <v>646</v>
      </c>
      <c r="AG610" s="14" t="s">
        <v>50</v>
      </c>
      <c r="AH610" s="14" t="s">
        <v>658</v>
      </c>
      <c r="AI610" s="9">
        <v>82181</v>
      </c>
      <c r="AJ610" s="34">
        <v>22842</v>
      </c>
      <c r="AK610" s="9">
        <v>335</v>
      </c>
    </row>
    <row r="611" spans="30:37" x14ac:dyDescent="0.25">
      <c r="AE611" s="14">
        <v>599</v>
      </c>
      <c r="AF611" s="14" t="s">
        <v>647</v>
      </c>
      <c r="AG611" s="14" t="s">
        <v>50</v>
      </c>
      <c r="AH611" s="14" t="s">
        <v>659</v>
      </c>
      <c r="AI611" s="9">
        <v>74731</v>
      </c>
      <c r="AJ611" s="34">
        <v>27231</v>
      </c>
      <c r="AK611" s="9">
        <v>1600</v>
      </c>
    </row>
    <row r="612" spans="30:37" x14ac:dyDescent="0.25">
      <c r="AE612" s="14">
        <v>600</v>
      </c>
      <c r="AF612" s="14" t="s">
        <v>648</v>
      </c>
      <c r="AG612" s="14" t="s">
        <v>50</v>
      </c>
      <c r="AH612" s="14" t="s">
        <v>660</v>
      </c>
      <c r="AI612" s="9">
        <v>41678</v>
      </c>
      <c r="AJ612" s="34">
        <v>8794</v>
      </c>
      <c r="AK612" s="9">
        <v>27</v>
      </c>
    </row>
    <row r="613" spans="30:37" x14ac:dyDescent="0.25">
      <c r="AE613" s="36" t="s">
        <v>667</v>
      </c>
      <c r="AF613" s="36"/>
      <c r="AG613" s="36"/>
      <c r="AH613" s="36"/>
      <c r="AI613" s="33">
        <f>SUBTOTAL(109,mark_tbl[Просмотры])</f>
        <v>47185369</v>
      </c>
      <c r="AJ613" s="37">
        <f>SUBTOTAL(109,mark_tbl[Клики])</f>
        <v>14146000</v>
      </c>
      <c r="AK613" s="33">
        <f>SUBTOTAL(109,mark_tbl[Транзакции])</f>
        <v>671249</v>
      </c>
    </row>
  </sheetData>
  <sortState ref="E4:K603">
    <sortCondition ref="E4:E603"/>
  </sortState>
  <phoneticPr fontId="5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5AB5-2DEB-4352-A709-0FA3516B615B}">
  <dimension ref="A7:L7"/>
  <sheetViews>
    <sheetView showGridLines="0" workbookViewId="0">
      <selection activeCell="G19" sqref="G19"/>
    </sheetView>
  </sheetViews>
  <sheetFormatPr defaultRowHeight="15" x14ac:dyDescent="0.25"/>
  <cols>
    <col min="1" max="1" width="3.375" style="3" customWidth="1"/>
    <col min="2" max="2" width="5.125" style="3" customWidth="1"/>
    <col min="3" max="3" width="9.375" customWidth="1"/>
  </cols>
  <sheetData>
    <row r="7" spans="4:12" x14ac:dyDescent="0.25">
      <c r="D7" s="5" t="s">
        <v>0</v>
      </c>
      <c r="E7" s="4"/>
      <c r="F7" s="4"/>
      <c r="G7" s="4"/>
      <c r="H7" s="4"/>
      <c r="I7" s="4"/>
      <c r="J7" s="4"/>
      <c r="K7" s="4"/>
      <c r="L7" s="4"/>
    </row>
  </sheetData>
  <hyperlinks>
    <hyperlink ref="D7" r:id="rId1" display="Синтаксис и применение функций даты и время из официального источника" xr:uid="{D17CFD40-8FB7-4BBD-8461-660396C6CE0A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7693B-4ABE-4C86-A927-EB6D33665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Тема урока</vt:lpstr>
      <vt:lpstr>Выполнить</vt:lpstr>
      <vt:lpstr>Отчет</vt:lpstr>
      <vt:lpstr>Справка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user</cp:lastModifiedBy>
  <dcterms:created xsi:type="dcterms:W3CDTF">2024-08-24T22:17:11Z</dcterms:created>
  <dcterms:modified xsi:type="dcterms:W3CDTF">2026-03-29T06:48:29Z</dcterms:modified>
</cp:coreProperties>
</file>