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РАБОТА\"/>
    </mc:Choice>
  </mc:AlternateContent>
  <xr:revisionPtr revIDLastSave="0" documentId="13_ncr:1_{B6CA76D1-C8B1-4893-B54D-87EC1E26DFB1}" xr6:coauthVersionLast="37" xr6:coauthVersionMax="47" xr10:uidLastSave="{00000000-0000-0000-0000-000000000000}"/>
  <bookViews>
    <workbookView xWindow="-105" yWindow="-105" windowWidth="21825" windowHeight="14025" tabRatio="737" activeTab="1" xr2:uid="{BE275577-B430-4DCB-AA1E-9DF443D9D709}"/>
  </bookViews>
  <sheets>
    <sheet name="Тема урока" sheetId="16" r:id="rId1"/>
    <sheet name="Выполнить" sheetId="17" r:id="rId2"/>
    <sheet name="Партнеры" sheetId="19" r:id="rId3"/>
    <sheet name="Отчет" sheetId="21" r:id="rId4"/>
    <sheet name="Справка" sheetId="3" r:id="rId5"/>
  </sheets>
  <definedNames>
    <definedName name="_xlnm._FilterDatabase" localSheetId="3" hidden="1">Отчет!$E$3:$K$603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7" l="1"/>
  <c r="G4" i="17" l="1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" i="17"/>
  <c r="CE11" i="21" l="1" a="1"/>
  <c r="CE11" i="21" s="1"/>
  <c r="CE12" i="21" a="1"/>
  <c r="CE12" i="21" s="1"/>
  <c r="BW5" i="21"/>
  <c r="BW6" i="21"/>
  <c r="BW7" i="21"/>
  <c r="BW8" i="21"/>
  <c r="BW9" i="21"/>
  <c r="BW10" i="21"/>
  <c r="CD12" i="21" s="1"/>
  <c r="BW11" i="21"/>
  <c r="BW12" i="21"/>
  <c r="BW13" i="21"/>
  <c r="BW14" i="21"/>
  <c r="BW15" i="21"/>
  <c r="BW16" i="21"/>
  <c r="BW17" i="21"/>
  <c r="BW18" i="21"/>
  <c r="BW19" i="21"/>
  <c r="BW20" i="21"/>
  <c r="BW21" i="21"/>
  <c r="BW22" i="21"/>
  <c r="BW23" i="21"/>
  <c r="BW24" i="21"/>
  <c r="BW25" i="21"/>
  <c r="BW26" i="21"/>
  <c r="BW27" i="21"/>
  <c r="BW28" i="21"/>
  <c r="BW29" i="21"/>
  <c r="BW30" i="21"/>
  <c r="BW31" i="21"/>
  <c r="BW32" i="21"/>
  <c r="BW33" i="21"/>
  <c r="BW34" i="21"/>
  <c r="BW35" i="21"/>
  <c r="BW36" i="21"/>
  <c r="BW37" i="21"/>
  <c r="BW38" i="21"/>
  <c r="BW39" i="21"/>
  <c r="BW40" i="21"/>
  <c r="BW41" i="21"/>
  <c r="BW42" i="21"/>
  <c r="BW43" i="21"/>
  <c r="BW44" i="21"/>
  <c r="BW45" i="21"/>
  <c r="BW46" i="21"/>
  <c r="BW47" i="21"/>
  <c r="BW48" i="21"/>
  <c r="BW49" i="21"/>
  <c r="BW50" i="21"/>
  <c r="BW51" i="21"/>
  <c r="BW52" i="21"/>
  <c r="BW53" i="21"/>
  <c r="BW54" i="21"/>
  <c r="BW55" i="21"/>
  <c r="BW56" i="21"/>
  <c r="BW57" i="21"/>
  <c r="BW58" i="21"/>
  <c r="BW59" i="21"/>
  <c r="BW60" i="21"/>
  <c r="BW61" i="21"/>
  <c r="BW62" i="21"/>
  <c r="BW63" i="21"/>
  <c r="BW64" i="21"/>
  <c r="BW65" i="21"/>
  <c r="BW66" i="21"/>
  <c r="BW67" i="21"/>
  <c r="BW68" i="21"/>
  <c r="BW69" i="21"/>
  <c r="BW70" i="21"/>
  <c r="BW71" i="21"/>
  <c r="BW72" i="21"/>
  <c r="BW73" i="21"/>
  <c r="BW74" i="21"/>
  <c r="BW75" i="21"/>
  <c r="BW76" i="21"/>
  <c r="BW77" i="21"/>
  <c r="BW78" i="21"/>
  <c r="BW79" i="21"/>
  <c r="BW80" i="21"/>
  <c r="BW81" i="21"/>
  <c r="BW82" i="21"/>
  <c r="BW83" i="21"/>
  <c r="BW84" i="21"/>
  <c r="BW85" i="21"/>
  <c r="BW86" i="21"/>
  <c r="BW87" i="21"/>
  <c r="BW88" i="21"/>
  <c r="BW89" i="21"/>
  <c r="BW90" i="21"/>
  <c r="BW91" i="21"/>
  <c r="BW92" i="21"/>
  <c r="BW93" i="21"/>
  <c r="BW94" i="21"/>
  <c r="BW95" i="21"/>
  <c r="BW96" i="21"/>
  <c r="BW97" i="21"/>
  <c r="BW98" i="21"/>
  <c r="BW99" i="21"/>
  <c r="BW100" i="21"/>
  <c r="BW101" i="21"/>
  <c r="BW102" i="21"/>
  <c r="BW103" i="21"/>
  <c r="BW104" i="21"/>
  <c r="BW105" i="21"/>
  <c r="BW106" i="21"/>
  <c r="BW107" i="21"/>
  <c r="BW108" i="21"/>
  <c r="BW109" i="21"/>
  <c r="BW110" i="21"/>
  <c r="BW111" i="21"/>
  <c r="BW112" i="21"/>
  <c r="BW113" i="21"/>
  <c r="BW114" i="21"/>
  <c r="BW115" i="21"/>
  <c r="BW116" i="21"/>
  <c r="BW117" i="21"/>
  <c r="BW118" i="21"/>
  <c r="BW119" i="21"/>
  <c r="BW120" i="21"/>
  <c r="BW121" i="21"/>
  <c r="BW122" i="21"/>
  <c r="BW123" i="21"/>
  <c r="BW124" i="21"/>
  <c r="BW125" i="21"/>
  <c r="BW126" i="21"/>
  <c r="BW127" i="21"/>
  <c r="BW128" i="21"/>
  <c r="BW129" i="21"/>
  <c r="BW130" i="21"/>
  <c r="BW131" i="21"/>
  <c r="BW132" i="21"/>
  <c r="BW133" i="21"/>
  <c r="BW134" i="21"/>
  <c r="BW135" i="21"/>
  <c r="BW136" i="21"/>
  <c r="BW137" i="21"/>
  <c r="BW138" i="21"/>
  <c r="BW139" i="21"/>
  <c r="BW140" i="21"/>
  <c r="BW141" i="21"/>
  <c r="BW142" i="21"/>
  <c r="BW143" i="21"/>
  <c r="BW144" i="21"/>
  <c r="BW145" i="21"/>
  <c r="BW146" i="21"/>
  <c r="BW147" i="21"/>
  <c r="BW148" i="21"/>
  <c r="BW149" i="21"/>
  <c r="BW150" i="21"/>
  <c r="BW151" i="21"/>
  <c r="BW152" i="21"/>
  <c r="BW153" i="21"/>
  <c r="BW154" i="21"/>
  <c r="BW155" i="21"/>
  <c r="BW156" i="21"/>
  <c r="BW157" i="21"/>
  <c r="BW158" i="21"/>
  <c r="BW159" i="21"/>
  <c r="BW160" i="21"/>
  <c r="BW161" i="21"/>
  <c r="BW162" i="21"/>
  <c r="BW163" i="21"/>
  <c r="BW164" i="21"/>
  <c r="BW165" i="21"/>
  <c r="BW166" i="21"/>
  <c r="BW167" i="21"/>
  <c r="BW168" i="21"/>
  <c r="BW169" i="21"/>
  <c r="BW170" i="21"/>
  <c r="BW171" i="21"/>
  <c r="BW172" i="21"/>
  <c r="BW173" i="21"/>
  <c r="BW174" i="21"/>
  <c r="BW175" i="21"/>
  <c r="BW176" i="21"/>
  <c r="BW177" i="21"/>
  <c r="BW178" i="21"/>
  <c r="BW179" i="21"/>
  <c r="BW180" i="21"/>
  <c r="BW181" i="21"/>
  <c r="BW182" i="21"/>
  <c r="BW183" i="21"/>
  <c r="BW184" i="21"/>
  <c r="BW185" i="21"/>
  <c r="BW186" i="21"/>
  <c r="BW187" i="21"/>
  <c r="BW188" i="21"/>
  <c r="BW189" i="21"/>
  <c r="BW190" i="21"/>
  <c r="BW191" i="21"/>
  <c r="BW192" i="21"/>
  <c r="BW193" i="21"/>
  <c r="BW194" i="21"/>
  <c r="BW195" i="21"/>
  <c r="BW196" i="21"/>
  <c r="BW197" i="21"/>
  <c r="BW198" i="21"/>
  <c r="BW199" i="21"/>
  <c r="BW200" i="21"/>
  <c r="BW201" i="21"/>
  <c r="BW202" i="21"/>
  <c r="BW203" i="21"/>
  <c r="BW204" i="21"/>
  <c r="BW205" i="21"/>
  <c r="BW206" i="21"/>
  <c r="BW207" i="21"/>
  <c r="BW208" i="21"/>
  <c r="BW209" i="21"/>
  <c r="BW210" i="21"/>
  <c r="BW211" i="21"/>
  <c r="BW212" i="21"/>
  <c r="BW213" i="21"/>
  <c r="BW214" i="21"/>
  <c r="BW215" i="21"/>
  <c r="BW216" i="21"/>
  <c r="BW217" i="21"/>
  <c r="BW218" i="21"/>
  <c r="BW219" i="21"/>
  <c r="BW220" i="21"/>
  <c r="BW221" i="21"/>
  <c r="BW222" i="21"/>
  <c r="BW223" i="21"/>
  <c r="BW224" i="21"/>
  <c r="BW225" i="21"/>
  <c r="BW226" i="21"/>
  <c r="BW227" i="21"/>
  <c r="BW228" i="21"/>
  <c r="BW229" i="21"/>
  <c r="BW230" i="21"/>
  <c r="BW231" i="21"/>
  <c r="BW232" i="21"/>
  <c r="BW233" i="21"/>
  <c r="BW234" i="21"/>
  <c r="BW235" i="21"/>
  <c r="BW236" i="21"/>
  <c r="BW237" i="21"/>
  <c r="BW238" i="21"/>
  <c r="BW239" i="21"/>
  <c r="BW240" i="21"/>
  <c r="BW241" i="21"/>
  <c r="BW242" i="21"/>
  <c r="BW243" i="21"/>
  <c r="BW244" i="21"/>
  <c r="BW245" i="21"/>
  <c r="BW246" i="21"/>
  <c r="BW247" i="21"/>
  <c r="BW248" i="21"/>
  <c r="BW249" i="21"/>
  <c r="BW250" i="21"/>
  <c r="BW251" i="21"/>
  <c r="BW252" i="21"/>
  <c r="BW253" i="21"/>
  <c r="BW254" i="21"/>
  <c r="BW255" i="21"/>
  <c r="BW256" i="21"/>
  <c r="BW257" i="21"/>
  <c r="BW258" i="21"/>
  <c r="BW259" i="21"/>
  <c r="BW260" i="21"/>
  <c r="BW261" i="21"/>
  <c r="BW262" i="21"/>
  <c r="BW263" i="21"/>
  <c r="BW264" i="21"/>
  <c r="BW265" i="21"/>
  <c r="BW266" i="21"/>
  <c r="BW267" i="21"/>
  <c r="BW268" i="21"/>
  <c r="BW269" i="21"/>
  <c r="BW270" i="21"/>
  <c r="BW271" i="21"/>
  <c r="BW272" i="21"/>
  <c r="BW273" i="21"/>
  <c r="BW274" i="21"/>
  <c r="BW275" i="21"/>
  <c r="BW276" i="21"/>
  <c r="BW277" i="21"/>
  <c r="BW278" i="21"/>
  <c r="BW279" i="21"/>
  <c r="BW280" i="21"/>
  <c r="BW281" i="21"/>
  <c r="BW282" i="21"/>
  <c r="BW283" i="21"/>
  <c r="BW284" i="21"/>
  <c r="BW285" i="21"/>
  <c r="BW286" i="21"/>
  <c r="BW287" i="21"/>
  <c r="BW288" i="21"/>
  <c r="BW289" i="21"/>
  <c r="BW290" i="21"/>
  <c r="BW291" i="21"/>
  <c r="BW292" i="21"/>
  <c r="BW293" i="21"/>
  <c r="BW294" i="21"/>
  <c r="BW295" i="21"/>
  <c r="BW296" i="21"/>
  <c r="BW297" i="21"/>
  <c r="BW298" i="21"/>
  <c r="BW299" i="21"/>
  <c r="BW300" i="21"/>
  <c r="BW301" i="21"/>
  <c r="BW302" i="21"/>
  <c r="BW303" i="21"/>
  <c r="BW304" i="21"/>
  <c r="BW305" i="21"/>
  <c r="BW306" i="21"/>
  <c r="BW307" i="21"/>
  <c r="BW308" i="21"/>
  <c r="BW309" i="21"/>
  <c r="BW310" i="21"/>
  <c r="BW311" i="21"/>
  <c r="BW312" i="21"/>
  <c r="BW313" i="21"/>
  <c r="BW314" i="21"/>
  <c r="BW315" i="21"/>
  <c r="BW316" i="21"/>
  <c r="BW317" i="21"/>
  <c r="BW318" i="21"/>
  <c r="BW319" i="21"/>
  <c r="BW320" i="21"/>
  <c r="BW321" i="21"/>
  <c r="BW322" i="21"/>
  <c r="BW323" i="21"/>
  <c r="BW324" i="21"/>
  <c r="BW325" i="21"/>
  <c r="BW326" i="21"/>
  <c r="BW327" i="21"/>
  <c r="BW328" i="21"/>
  <c r="BW329" i="21"/>
  <c r="BW330" i="21"/>
  <c r="BW331" i="21"/>
  <c r="BW332" i="21"/>
  <c r="BW333" i="21"/>
  <c r="BW334" i="21"/>
  <c r="BW335" i="21"/>
  <c r="BW336" i="21"/>
  <c r="BW337" i="21"/>
  <c r="BW338" i="21"/>
  <c r="BW339" i="21"/>
  <c r="BW340" i="21"/>
  <c r="BW341" i="21"/>
  <c r="BW342" i="21"/>
  <c r="BW343" i="21"/>
  <c r="BW344" i="21"/>
  <c r="BW345" i="21"/>
  <c r="BW346" i="21"/>
  <c r="BW347" i="21"/>
  <c r="BW348" i="21"/>
  <c r="BW349" i="21"/>
  <c r="BW350" i="21"/>
  <c r="BW351" i="21"/>
  <c r="BW352" i="21"/>
  <c r="BW353" i="21"/>
  <c r="BW354" i="21"/>
  <c r="BW355" i="21"/>
  <c r="BW356" i="21"/>
  <c r="BW357" i="21"/>
  <c r="BW358" i="21"/>
  <c r="BW359" i="21"/>
  <c r="BW360" i="21"/>
  <c r="BW361" i="21"/>
  <c r="BW362" i="21"/>
  <c r="BW363" i="21"/>
  <c r="BW364" i="21"/>
  <c r="BW365" i="21"/>
  <c r="BW366" i="21"/>
  <c r="BW367" i="21"/>
  <c r="BW368" i="21"/>
  <c r="BW369" i="21"/>
  <c r="BW370" i="21"/>
  <c r="BW371" i="21"/>
  <c r="BW372" i="21"/>
  <c r="BW373" i="21"/>
  <c r="BW374" i="21"/>
  <c r="BW375" i="21"/>
  <c r="BW376" i="21"/>
  <c r="BW377" i="21"/>
  <c r="BW378" i="21"/>
  <c r="BW379" i="21"/>
  <c r="BW380" i="21"/>
  <c r="BW381" i="21"/>
  <c r="BW382" i="21"/>
  <c r="BW383" i="21"/>
  <c r="BW384" i="21"/>
  <c r="BW385" i="21"/>
  <c r="BW386" i="21"/>
  <c r="BW387" i="21"/>
  <c r="BW388" i="21"/>
  <c r="BW389" i="21"/>
  <c r="BW390" i="21"/>
  <c r="BW391" i="21"/>
  <c r="BW392" i="21"/>
  <c r="BW393" i="21"/>
  <c r="BW394" i="21"/>
  <c r="BW395" i="21"/>
  <c r="BW396" i="21"/>
  <c r="BW397" i="21"/>
  <c r="BW398" i="21"/>
  <c r="BW399" i="21"/>
  <c r="BW400" i="21"/>
  <c r="BW401" i="21"/>
  <c r="BW402" i="21"/>
  <c r="BW403" i="21"/>
  <c r="BW404" i="21"/>
  <c r="BW405" i="21"/>
  <c r="BW406" i="21"/>
  <c r="BW407" i="21"/>
  <c r="BW408" i="21"/>
  <c r="BW409" i="21"/>
  <c r="BW410" i="21"/>
  <c r="BW411" i="21"/>
  <c r="BW412" i="21"/>
  <c r="BW413" i="21"/>
  <c r="BW414" i="21"/>
  <c r="BW415" i="21"/>
  <c r="BW416" i="21"/>
  <c r="BW417" i="21"/>
  <c r="BW418" i="21"/>
  <c r="BW419" i="21"/>
  <c r="BW420" i="21"/>
  <c r="BW421" i="21"/>
  <c r="BW422" i="21"/>
  <c r="BW423" i="21"/>
  <c r="BW424" i="21"/>
  <c r="BW425" i="21"/>
  <c r="BW426" i="21"/>
  <c r="BW427" i="21"/>
  <c r="BW428" i="21"/>
  <c r="BW429" i="21"/>
  <c r="BW430" i="21"/>
  <c r="BW431" i="21"/>
  <c r="BW432" i="21"/>
  <c r="BW433" i="21"/>
  <c r="BW434" i="21"/>
  <c r="BW435" i="21"/>
  <c r="BW436" i="21"/>
  <c r="BW437" i="21"/>
  <c r="BW438" i="21"/>
  <c r="BW439" i="21"/>
  <c r="BW440" i="21"/>
  <c r="BW441" i="21"/>
  <c r="BW442" i="21"/>
  <c r="BW443" i="21"/>
  <c r="BW444" i="21"/>
  <c r="BW445" i="21"/>
  <c r="BW446" i="21"/>
  <c r="BW447" i="21"/>
  <c r="BW448" i="21"/>
  <c r="BW449" i="21"/>
  <c r="BW450" i="21"/>
  <c r="BW451" i="21"/>
  <c r="BW452" i="21"/>
  <c r="BW453" i="21"/>
  <c r="BW454" i="21"/>
  <c r="BW455" i="21"/>
  <c r="BW456" i="21"/>
  <c r="BW457" i="21"/>
  <c r="BW458" i="21"/>
  <c r="BW459" i="21"/>
  <c r="BW460" i="21"/>
  <c r="BW461" i="21"/>
  <c r="BW462" i="21"/>
  <c r="BW463" i="21"/>
  <c r="BW464" i="21"/>
  <c r="BW465" i="21"/>
  <c r="BW466" i="21"/>
  <c r="BW467" i="21"/>
  <c r="BW468" i="21"/>
  <c r="BW469" i="21"/>
  <c r="BW470" i="21"/>
  <c r="BW471" i="21"/>
  <c r="BW472" i="21"/>
  <c r="BW473" i="21"/>
  <c r="BW474" i="21"/>
  <c r="BW475" i="21"/>
  <c r="BW476" i="21"/>
  <c r="BW477" i="21"/>
  <c r="BW478" i="21"/>
  <c r="BW479" i="21"/>
  <c r="BW480" i="21"/>
  <c r="BW481" i="21"/>
  <c r="BW482" i="21"/>
  <c r="BW483" i="21"/>
  <c r="BW484" i="21"/>
  <c r="BW485" i="21"/>
  <c r="BW486" i="21"/>
  <c r="BW487" i="21"/>
  <c r="BW488" i="21"/>
  <c r="BW489" i="21"/>
  <c r="BW490" i="21"/>
  <c r="BW491" i="21"/>
  <c r="BW492" i="21"/>
  <c r="BW493" i="21"/>
  <c r="BW494" i="21"/>
  <c r="BW495" i="21"/>
  <c r="BW496" i="21"/>
  <c r="BW497" i="21"/>
  <c r="BW498" i="21"/>
  <c r="BW499" i="21"/>
  <c r="BW500" i="21"/>
  <c r="BW501" i="21"/>
  <c r="BW502" i="21"/>
  <c r="BW503" i="21"/>
  <c r="BW504" i="21"/>
  <c r="BW505" i="21"/>
  <c r="BW506" i="21"/>
  <c r="BW507" i="21"/>
  <c r="BW508" i="21"/>
  <c r="BW509" i="21"/>
  <c r="BW510" i="21"/>
  <c r="BW511" i="21"/>
  <c r="BW512" i="21"/>
  <c r="BW513" i="21"/>
  <c r="BW514" i="21"/>
  <c r="BW515" i="21"/>
  <c r="BW516" i="21"/>
  <c r="BW517" i="21"/>
  <c r="BW518" i="21"/>
  <c r="BW519" i="21"/>
  <c r="BW520" i="21"/>
  <c r="BW521" i="21"/>
  <c r="BW522" i="21"/>
  <c r="BW523" i="21"/>
  <c r="BW524" i="21"/>
  <c r="BW525" i="21"/>
  <c r="BW526" i="21"/>
  <c r="BW527" i="21"/>
  <c r="BW528" i="21"/>
  <c r="BW529" i="21"/>
  <c r="BW530" i="21"/>
  <c r="BW531" i="21"/>
  <c r="BW532" i="21"/>
  <c r="BW533" i="21"/>
  <c r="BW534" i="21"/>
  <c r="BW535" i="21"/>
  <c r="BW536" i="21"/>
  <c r="BW537" i="21"/>
  <c r="BW538" i="21"/>
  <c r="BW539" i="21"/>
  <c r="BW540" i="21"/>
  <c r="BW541" i="21"/>
  <c r="BW542" i="21"/>
  <c r="BW543" i="21"/>
  <c r="BW544" i="21"/>
  <c r="BW545" i="21"/>
  <c r="BW546" i="21"/>
  <c r="BW547" i="21"/>
  <c r="BW548" i="21"/>
  <c r="BW549" i="21"/>
  <c r="BW550" i="21"/>
  <c r="BW551" i="21"/>
  <c r="BW552" i="21"/>
  <c r="BW553" i="21"/>
  <c r="BW554" i="21"/>
  <c r="BW555" i="21"/>
  <c r="BW556" i="21"/>
  <c r="BW557" i="21"/>
  <c r="BW558" i="21"/>
  <c r="BW559" i="21"/>
  <c r="BW560" i="21"/>
  <c r="BW561" i="21"/>
  <c r="BW562" i="21"/>
  <c r="BW563" i="21"/>
  <c r="BW564" i="21"/>
  <c r="BW565" i="21"/>
  <c r="BW566" i="21"/>
  <c r="BW567" i="21"/>
  <c r="BW568" i="21"/>
  <c r="BW569" i="21"/>
  <c r="BW570" i="21"/>
  <c r="BW571" i="21"/>
  <c r="BW572" i="21"/>
  <c r="BW573" i="21"/>
  <c r="BW574" i="21"/>
  <c r="BW575" i="21"/>
  <c r="BW576" i="21"/>
  <c r="BW577" i="21"/>
  <c r="BW578" i="21"/>
  <c r="BW579" i="21"/>
  <c r="BW580" i="21"/>
  <c r="BW581" i="21"/>
  <c r="BW582" i="21"/>
  <c r="BW583" i="21"/>
  <c r="BW584" i="21"/>
  <c r="BW585" i="21"/>
  <c r="BW586" i="21"/>
  <c r="BW587" i="21"/>
  <c r="BW588" i="21"/>
  <c r="BW589" i="21"/>
  <c r="BW590" i="21"/>
  <c r="BW591" i="21"/>
  <c r="BW592" i="21"/>
  <c r="BW593" i="21"/>
  <c r="BW594" i="21"/>
  <c r="BW595" i="21"/>
  <c r="BW596" i="21"/>
  <c r="BW597" i="21"/>
  <c r="BW598" i="21"/>
  <c r="BW599" i="21"/>
  <c r="BW600" i="21"/>
  <c r="BW601" i="21"/>
  <c r="BW602" i="21"/>
  <c r="BW603" i="21"/>
  <c r="BW4" i="21"/>
  <c r="CB12" i="21"/>
  <c r="CB11" i="21"/>
  <c r="CC12" i="21"/>
  <c r="CC11" i="21"/>
  <c r="AX5" i="21"/>
  <c r="AX6" i="21"/>
  <c r="AX7" i="21"/>
  <c r="AX8" i="21"/>
  <c r="AX9" i="21"/>
  <c r="AX10" i="21"/>
  <c r="AX11" i="21"/>
  <c r="AX12" i="21"/>
  <c r="AX13" i="21"/>
  <c r="AX14" i="21"/>
  <c r="AX15" i="21"/>
  <c r="AX16" i="21"/>
  <c r="AX17" i="21"/>
  <c r="AX18" i="21"/>
  <c r="AX19" i="21"/>
  <c r="AX20" i="21"/>
  <c r="AX21" i="21"/>
  <c r="AX22" i="21"/>
  <c r="AX23" i="21"/>
  <c r="AX24" i="21"/>
  <c r="AX25" i="21"/>
  <c r="AX26" i="21"/>
  <c r="AX27" i="21"/>
  <c r="AX28" i="21"/>
  <c r="AX29" i="21"/>
  <c r="AX30" i="21"/>
  <c r="AX31" i="21"/>
  <c r="AX32" i="21"/>
  <c r="AX33" i="21"/>
  <c r="AX4" i="21"/>
  <c r="BC32" i="17"/>
  <c r="BD32" i="17" s="1"/>
  <c r="BA32" i="17"/>
  <c r="AZ32" i="17"/>
  <c r="BB32" i="17" s="1"/>
  <c r="BC31" i="17"/>
  <c r="BD31" i="17" s="1"/>
  <c r="BA31" i="17"/>
  <c r="AZ31" i="17"/>
  <c r="BB31" i="17" s="1"/>
  <c r="BC30" i="17"/>
  <c r="BD30" i="17" s="1"/>
  <c r="BA30" i="17"/>
  <c r="AZ30" i="17"/>
  <c r="BB30" i="17" s="1"/>
  <c r="BC29" i="17"/>
  <c r="BD29" i="17" s="1"/>
  <c r="BA29" i="17"/>
  <c r="AZ29" i="17"/>
  <c r="BB29" i="17" s="1"/>
  <c r="BC28" i="17"/>
  <c r="BD28" i="17" s="1"/>
  <c r="BA28" i="17"/>
  <c r="AZ28" i="17"/>
  <c r="BB28" i="17" s="1"/>
  <c r="BC27" i="17"/>
  <c r="BD27" i="17" s="1"/>
  <c r="BA27" i="17"/>
  <c r="AZ27" i="17"/>
  <c r="BB27" i="17" s="1"/>
  <c r="BC26" i="17"/>
  <c r="BD26" i="17" s="1"/>
  <c r="BA26" i="17"/>
  <c r="AZ26" i="17"/>
  <c r="BB26" i="17" s="1"/>
  <c r="BC25" i="17"/>
  <c r="BD25" i="17" s="1"/>
  <c r="BA25" i="17"/>
  <c r="AZ25" i="17"/>
  <c r="BB25" i="17" s="1"/>
  <c r="BC24" i="17"/>
  <c r="BD24" i="17" s="1"/>
  <c r="BA24" i="17"/>
  <c r="AZ24" i="17"/>
  <c r="BB24" i="17" s="1"/>
  <c r="BC23" i="17"/>
  <c r="BD23" i="17" s="1"/>
  <c r="BA23" i="17"/>
  <c r="AZ23" i="17"/>
  <c r="BB23" i="17" s="1"/>
  <c r="BC22" i="17"/>
  <c r="BD22" i="17" s="1"/>
  <c r="BA22" i="17"/>
  <c r="AZ22" i="17"/>
  <c r="BB22" i="17" s="1"/>
  <c r="BC21" i="17"/>
  <c r="BD21" i="17" s="1"/>
  <c r="BA21" i="17"/>
  <c r="AZ21" i="17"/>
  <c r="BB21" i="17" s="1"/>
  <c r="BC20" i="17"/>
  <c r="BD20" i="17" s="1"/>
  <c r="BA20" i="17"/>
  <c r="AZ20" i="17"/>
  <c r="BB20" i="17" s="1"/>
  <c r="BC19" i="17"/>
  <c r="BD19" i="17" s="1"/>
  <c r="BA19" i="17"/>
  <c r="AZ19" i="17"/>
  <c r="BB19" i="17" s="1"/>
  <c r="BC18" i="17"/>
  <c r="BD18" i="17" s="1"/>
  <c r="BA18" i="17"/>
  <c r="AZ18" i="17"/>
  <c r="BB18" i="17" s="1"/>
  <c r="BC17" i="17"/>
  <c r="BD17" i="17" s="1"/>
  <c r="BA17" i="17"/>
  <c r="AZ17" i="17"/>
  <c r="BB17" i="17" s="1"/>
  <c r="BC16" i="17"/>
  <c r="BD16" i="17" s="1"/>
  <c r="BA16" i="17"/>
  <c r="AZ16" i="17"/>
  <c r="BB16" i="17" s="1"/>
  <c r="BC15" i="17"/>
  <c r="BD15" i="17" s="1"/>
  <c r="BA15" i="17"/>
  <c r="AZ15" i="17"/>
  <c r="BB15" i="17" s="1"/>
  <c r="BC14" i="17"/>
  <c r="BD14" i="17" s="1"/>
  <c r="BA14" i="17"/>
  <c r="AZ14" i="17"/>
  <c r="BB14" i="17" s="1"/>
  <c r="BC13" i="17"/>
  <c r="BD13" i="17" s="1"/>
  <c r="BA13" i="17"/>
  <c r="AZ13" i="17"/>
  <c r="BB13" i="17" s="1"/>
  <c r="BC12" i="17"/>
  <c r="BD12" i="17" s="1"/>
  <c r="BA12" i="17"/>
  <c r="AZ12" i="17"/>
  <c r="BB12" i="17" s="1"/>
  <c r="BC11" i="17"/>
  <c r="BD11" i="17" s="1"/>
  <c r="BA11" i="17"/>
  <c r="AZ11" i="17"/>
  <c r="BB11" i="17" s="1"/>
  <c r="BC10" i="17"/>
  <c r="BD10" i="17" s="1"/>
  <c r="BA10" i="17"/>
  <c r="AZ10" i="17"/>
  <c r="BB10" i="17" s="1"/>
  <c r="BC9" i="17"/>
  <c r="BD9" i="17" s="1"/>
  <c r="BA9" i="17"/>
  <c r="AZ9" i="17"/>
  <c r="BB9" i="17" s="1"/>
  <c r="BC8" i="17"/>
  <c r="BD8" i="17" s="1"/>
  <c r="BA8" i="17"/>
  <c r="AZ8" i="17"/>
  <c r="BB8" i="17" s="1"/>
  <c r="BC7" i="17"/>
  <c r="BD7" i="17" s="1"/>
  <c r="BA7" i="17"/>
  <c r="AZ7" i="17"/>
  <c r="BB7" i="17" s="1"/>
  <c r="BC6" i="17"/>
  <c r="BD6" i="17" s="1"/>
  <c r="BA6" i="17"/>
  <c r="AZ6" i="17"/>
  <c r="BB6" i="17" s="1"/>
  <c r="BC5" i="17"/>
  <c r="BD5" i="17" s="1"/>
  <c r="BA5" i="17"/>
  <c r="AZ5" i="17"/>
  <c r="BB5" i="17" s="1"/>
  <c r="BC4" i="17"/>
  <c r="BD4" i="17" s="1"/>
  <c r="BA4" i="17"/>
  <c r="AZ4" i="17"/>
  <c r="BB4" i="17" s="1"/>
  <c r="BC3" i="17"/>
  <c r="BD3" i="17" s="1"/>
  <c r="BA3" i="17"/>
  <c r="AZ3" i="17"/>
  <c r="BB3" i="17" s="1"/>
  <c r="CD11" i="2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<sst xmlns="http://schemas.openxmlformats.org/spreadsheetml/2006/main" count="4524" uniqueCount="726">
  <si>
    <t>Синтаксис и применение функций ссылок и массивов из официального источника</t>
  </si>
  <si>
    <t>id</t>
  </si>
  <si>
    <t>partners</t>
  </si>
  <si>
    <t>EcomMark Solutions</t>
  </si>
  <si>
    <t>FinTech Hub</t>
  </si>
  <si>
    <t>Marketplace Boosters</t>
  </si>
  <si>
    <t>EcomFlow Agency</t>
  </si>
  <si>
    <t>FinGrow Analytics</t>
  </si>
  <si>
    <t>Marketology Experts (MEX)</t>
  </si>
  <si>
    <t>SmartPay Systems (SPS)</t>
  </si>
  <si>
    <t>Evolve Commerce</t>
  </si>
  <si>
    <t>DataFin Marketers (DFM)</t>
  </si>
  <si>
    <t>EcomTech Ventures</t>
  </si>
  <si>
    <t>MarketUp Pro</t>
  </si>
  <si>
    <t>FinEdge Solutions (FES)</t>
  </si>
  <si>
    <t>OmniBoost Commerce</t>
  </si>
  <si>
    <t>PayFlex Systems (PFS)</t>
  </si>
  <si>
    <t>NextGen Marketplace</t>
  </si>
  <si>
    <t>FinOptim Strategies</t>
  </si>
  <si>
    <t>EcomSync Studio (ESS)</t>
  </si>
  <si>
    <t>Market360 Labs</t>
  </si>
  <si>
    <t>FinKey Dynamics</t>
  </si>
  <si>
    <t>PrimeMarketplace</t>
  </si>
  <si>
    <t>EcomWise Agency</t>
  </si>
  <si>
    <t>SwiftPay Innovations (SPI)</t>
  </si>
  <si>
    <t>FinGo Analytics</t>
  </si>
  <si>
    <t>MarketNova Systems</t>
  </si>
  <si>
    <t>EcomPulse Agency (EPA)</t>
  </si>
  <si>
    <t>FinFlow Technologies</t>
  </si>
  <si>
    <t>Marketplace Synergy</t>
  </si>
  <si>
    <t>EcomZen Studio</t>
  </si>
  <si>
    <t>FinBright Solutions (FBS)</t>
  </si>
  <si>
    <t>CoreMarket Dynamics</t>
  </si>
  <si>
    <t>EcomSphere Labs</t>
  </si>
  <si>
    <t>FinScale Strategies</t>
  </si>
  <si>
    <t>Boostify Marketplace</t>
  </si>
  <si>
    <t>PaySecure Systems (PSS)</t>
  </si>
  <si>
    <t>EcoFin Nexus (EFN)</t>
  </si>
  <si>
    <t>EcomTrail Partners</t>
  </si>
  <si>
    <t>FinLink Innovations</t>
  </si>
  <si>
    <t>OmniMarket Pro</t>
  </si>
  <si>
    <t>TechFin Studio</t>
  </si>
  <si>
    <t>MarketAlign Strategies</t>
  </si>
  <si>
    <t>FinBoost Systems</t>
  </si>
  <si>
    <t>EcomOptics Agency</t>
  </si>
  <si>
    <t>PayHaven Solutions</t>
  </si>
  <si>
    <t>MarketCrafters Hub</t>
  </si>
  <si>
    <t>FinSync Dynamics</t>
  </si>
  <si>
    <t>DigitalMarket Edge (DME)</t>
  </si>
  <si>
    <t>FinSphere Technologies</t>
  </si>
  <si>
    <t>EcomConnect Partners (ECP)</t>
  </si>
  <si>
    <t>SmartCommerce Lab</t>
  </si>
  <si>
    <t>PayWave Solutions</t>
  </si>
  <si>
    <t>prtrjg8mf</t>
  </si>
  <si>
    <t>prtr9jqee</t>
  </si>
  <si>
    <t>prtr5veu2</t>
  </si>
  <si>
    <t>prtrczb25</t>
  </si>
  <si>
    <t>prtrmec8l</t>
  </si>
  <si>
    <t>prtrjzevz</t>
  </si>
  <si>
    <t>prtrw46hw</t>
  </si>
  <si>
    <t>prtrx3a6r</t>
  </si>
  <si>
    <t>prtr2fs62</t>
  </si>
  <si>
    <t>prtrvgnnm</t>
  </si>
  <si>
    <t>prtrpfaf0</t>
  </si>
  <si>
    <t>prtr99kmo</t>
  </si>
  <si>
    <t>prtri0a5u</t>
  </si>
  <si>
    <t>prtrijxhk</t>
  </si>
  <si>
    <t>prtru1gpg</t>
  </si>
  <si>
    <t>prtr7q54o</t>
  </si>
  <si>
    <t>prtrbndgy</t>
  </si>
  <si>
    <t>prtrgokwu</t>
  </si>
  <si>
    <t>prtrap61y</t>
  </si>
  <si>
    <t>prtr6is7y</t>
  </si>
  <si>
    <t>prtr5li23</t>
  </si>
  <si>
    <t>prtrq48d6</t>
  </si>
  <si>
    <t>prtrsyyx1</t>
  </si>
  <si>
    <t>prtrhmrcl</t>
  </si>
  <si>
    <t>prtrkvy0u</t>
  </si>
  <si>
    <t>prtrbmh6t</t>
  </si>
  <si>
    <t>prtrv9tw5</t>
  </si>
  <si>
    <t>prtr3r0ii</t>
  </si>
  <si>
    <t>prtr17gzd</t>
  </si>
  <si>
    <t>prtryfr9r</t>
  </si>
  <si>
    <t>prtrzv8wc</t>
  </si>
  <si>
    <t>prtr18c9h</t>
  </si>
  <si>
    <t>prtrt39ag</t>
  </si>
  <si>
    <t>prtrxtdf1</t>
  </si>
  <si>
    <t>prtr6jph3</t>
  </si>
  <si>
    <t>prtr00z3s</t>
  </si>
  <si>
    <t>prtrx2dwv</t>
  </si>
  <si>
    <t>prtr701wd</t>
  </si>
  <si>
    <t>prtrxih4w</t>
  </si>
  <si>
    <t>prtrb4y7e</t>
  </si>
  <si>
    <t>prtr22ttc</t>
  </si>
  <si>
    <t>prtriraoa</t>
  </si>
  <si>
    <t>prtrq3b31</t>
  </si>
  <si>
    <t>prtrxa7nc</t>
  </si>
  <si>
    <t>prtrjnlt5</t>
  </si>
  <si>
    <t>prtr5kls8</t>
  </si>
  <si>
    <t>prtrvfqdh</t>
  </si>
  <si>
    <t>prtru0tfb</t>
  </si>
  <si>
    <t>prtrcbe4z</t>
  </si>
  <si>
    <t>prtr4p7x8</t>
  </si>
  <si>
    <t>id_prtr</t>
  </si>
  <si>
    <t>id_cmpgn</t>
  </si>
  <si>
    <t>месяц</t>
  </si>
  <si>
    <t>просмотры</t>
  </si>
  <si>
    <t>клики</t>
  </si>
  <si>
    <t>7536deca309a</t>
  </si>
  <si>
    <t>d1aaa9bf0482</t>
  </si>
  <si>
    <t>96afc95efd12</t>
  </si>
  <si>
    <t>e9833306f49b</t>
  </si>
  <si>
    <t>f3df42649379</t>
  </si>
  <si>
    <t>fea36b22c7f4</t>
  </si>
  <si>
    <t>39fe9812bfb2</t>
  </si>
  <si>
    <t>26b9f2986f37</t>
  </si>
  <si>
    <t>7cfcb4c3115e</t>
  </si>
  <si>
    <t>81e231fccb15</t>
  </si>
  <si>
    <t>44026375c796</t>
  </si>
  <si>
    <t>5fe6b74bb508</t>
  </si>
  <si>
    <t>615eaaebbc6c</t>
  </si>
  <si>
    <t>ff9070b12c6f</t>
  </si>
  <si>
    <t>b27746d730de</t>
  </si>
  <si>
    <t>078d4fa15ab6</t>
  </si>
  <si>
    <t>8814b359d5d8</t>
  </si>
  <si>
    <t>bd5855a49924</t>
  </si>
  <si>
    <t>2e36ca7b21d3</t>
  </si>
  <si>
    <t>29778b3d3839</t>
  </si>
  <si>
    <t>b90884d71b53</t>
  </si>
  <si>
    <t>8a61836557d9</t>
  </si>
  <si>
    <t>c8014b4f1a4d</t>
  </si>
  <si>
    <t>4edd3bb04344</t>
  </si>
  <si>
    <t>0e69aa187afb</t>
  </si>
  <si>
    <t>8c78acd1d0fc</t>
  </si>
  <si>
    <t>2a7897292d54</t>
  </si>
  <si>
    <t>43154a7caf30</t>
  </si>
  <si>
    <t>fe78c0249032</t>
  </si>
  <si>
    <t>af82fca66ddf</t>
  </si>
  <si>
    <t>7d2bfb3b8ccd</t>
  </si>
  <si>
    <t>8f47cc8df66d</t>
  </si>
  <si>
    <t>e513e5acc113</t>
  </si>
  <si>
    <t>c0d5d5e67bfb</t>
  </si>
  <si>
    <t>e206f447810e</t>
  </si>
  <si>
    <t>51d7eac6f56d</t>
  </si>
  <si>
    <t>f1d4ef483c1e</t>
  </si>
  <si>
    <t>102bec00f3e6</t>
  </si>
  <si>
    <t>3a3aaea5785b</t>
  </si>
  <si>
    <t>60300685f57f</t>
  </si>
  <si>
    <t>22a59c15203c</t>
  </si>
  <si>
    <t>3584a972f778</t>
  </si>
  <si>
    <t>3e8608162ef9</t>
  </si>
  <si>
    <t>74f65e7a3067</t>
  </si>
  <si>
    <t>080d7120925d</t>
  </si>
  <si>
    <t>2824ceee7676</t>
  </si>
  <si>
    <t>1def4230810c</t>
  </si>
  <si>
    <t>f3256f08f62e</t>
  </si>
  <si>
    <t>b943a404d9f8</t>
  </si>
  <si>
    <t>663ff4f63e3b</t>
  </si>
  <si>
    <t>572b13a37d6b</t>
  </si>
  <si>
    <t>3d798328e02d</t>
  </si>
  <si>
    <t>9dae15b5e6dd</t>
  </si>
  <si>
    <t>b561baccc615</t>
  </si>
  <si>
    <t>b3bc3b8f8942</t>
  </si>
  <si>
    <t>5141e4064325</t>
  </si>
  <si>
    <t>0fd0ea99bbbc</t>
  </si>
  <si>
    <t>49a842905d3c</t>
  </si>
  <si>
    <t>5fbde9d79df2</t>
  </si>
  <si>
    <t>ad7eb5be4332</t>
  </si>
  <si>
    <t>940788a3e0bc</t>
  </si>
  <si>
    <t>7343e3387885</t>
  </si>
  <si>
    <t>bc49b04a1bb9</t>
  </si>
  <si>
    <t>7d572fc74a7d</t>
  </si>
  <si>
    <t>822c90091447</t>
  </si>
  <si>
    <t>7ac6b6f28d46</t>
  </si>
  <si>
    <t>efcddbb82344</t>
  </si>
  <si>
    <t>2a0267b70c61</t>
  </si>
  <si>
    <t>bac83115f44b</t>
  </si>
  <si>
    <t>7521bb3e25e4</t>
  </si>
  <si>
    <t>66488b96032a</t>
  </si>
  <si>
    <t>d7d3f3e6dd25</t>
  </si>
  <si>
    <t>6e5af29a6ca5</t>
  </si>
  <si>
    <t>959c35000d39</t>
  </si>
  <si>
    <t>3515817bb3da</t>
  </si>
  <si>
    <t>de43c8b27051</t>
  </si>
  <si>
    <t>a5df8232aadc</t>
  </si>
  <si>
    <t>cd7e58cf0e36</t>
  </si>
  <si>
    <t>df11e30f20d9</t>
  </si>
  <si>
    <t>63e7cad482e1</t>
  </si>
  <si>
    <t>c74d4d0edd20</t>
  </si>
  <si>
    <t>a8b1a25cd7c2</t>
  </si>
  <si>
    <t>15d2b7e6d03e</t>
  </si>
  <si>
    <t>72c70ac6159e</t>
  </si>
  <si>
    <t>e52b88b3fa3c</t>
  </si>
  <si>
    <t>0b948b4c9e2a</t>
  </si>
  <si>
    <t>a632d563c5f7</t>
  </si>
  <si>
    <t>836921e8c234</t>
  </si>
  <si>
    <t>c8e65cf0b4c2</t>
  </si>
  <si>
    <t>7016bb84012b</t>
  </si>
  <si>
    <t>f2d0a792280d</t>
  </si>
  <si>
    <t>f1e2c2f8e3de</t>
  </si>
  <si>
    <t>48c0f63e9c3b</t>
  </si>
  <si>
    <t>dd3f7691b695</t>
  </si>
  <si>
    <t>f040038e80cf</t>
  </si>
  <si>
    <t>48c493b28756</t>
  </si>
  <si>
    <t>0d918d3477e0</t>
  </si>
  <si>
    <t>e78d5b35cec2</t>
  </si>
  <si>
    <t>b2065b997df0</t>
  </si>
  <si>
    <t>c626413290cc</t>
  </si>
  <si>
    <t>7feca5f8c5bd</t>
  </si>
  <si>
    <t>158eb29c43a8</t>
  </si>
  <si>
    <t>cd445e9c5b9c</t>
  </si>
  <si>
    <t>1cbde09c7567</t>
  </si>
  <si>
    <t>fe498115909f</t>
  </si>
  <si>
    <t>9a808c55a887</t>
  </si>
  <si>
    <t>7ca197e7a378</t>
  </si>
  <si>
    <t>6991305c5e23</t>
  </si>
  <si>
    <t>7b05290e950d</t>
  </si>
  <si>
    <t>dac11287d6d8</t>
  </si>
  <si>
    <t>741f5b90384e</t>
  </si>
  <si>
    <t>6f9cb8315a52</t>
  </si>
  <si>
    <t>1217251bc71d</t>
  </si>
  <si>
    <t>965473dafe87</t>
  </si>
  <si>
    <t>0fc1be80ae9e</t>
  </si>
  <si>
    <t>1a8f1a79a010</t>
  </si>
  <si>
    <t>423097d88d57</t>
  </si>
  <si>
    <t>502365b0ca06</t>
  </si>
  <si>
    <t>d80c5d3c92aa</t>
  </si>
  <si>
    <t>45e5a9e51539</t>
  </si>
  <si>
    <t>ddab8b7c5650</t>
  </si>
  <si>
    <t>0981a5024f2e</t>
  </si>
  <si>
    <t>41e5a5dd773f</t>
  </si>
  <si>
    <t>3c37b5f1fdd4</t>
  </si>
  <si>
    <t>94b8ad164d8b</t>
  </si>
  <si>
    <t>6127f59ea692</t>
  </si>
  <si>
    <t>68dd7769e6da</t>
  </si>
  <si>
    <t>512e957f7a55</t>
  </si>
  <si>
    <t>c53418043ee7</t>
  </si>
  <si>
    <t>9895cf860a44</t>
  </si>
  <si>
    <t>ff0d212eddce</t>
  </si>
  <si>
    <t>bdaa9db4eee2</t>
  </si>
  <si>
    <t>95a3b2ea1842</t>
  </si>
  <si>
    <t>b14d351598ee</t>
  </si>
  <si>
    <t>668524dde044</t>
  </si>
  <si>
    <t>22213a75566e</t>
  </si>
  <si>
    <t>c2aa257f866e</t>
  </si>
  <si>
    <t>662b5a9315cb</t>
  </si>
  <si>
    <t>12b5c6d80a97</t>
  </si>
  <si>
    <t>e0ea514c91b7</t>
  </si>
  <si>
    <t>60726b8f3905</t>
  </si>
  <si>
    <t>e02b48f33173</t>
  </si>
  <si>
    <t>5cbecbafa7a0</t>
  </si>
  <si>
    <t>69d3f00ee89c</t>
  </si>
  <si>
    <t>20b5ccda09fd</t>
  </si>
  <si>
    <t>9fe33e4bffd2</t>
  </si>
  <si>
    <t>00a009c7d1e4</t>
  </si>
  <si>
    <t>5fd99f3944da</t>
  </si>
  <si>
    <t>186d2c602254</t>
  </si>
  <si>
    <t>ea16e35bf453</t>
  </si>
  <si>
    <t>b3576c46278a</t>
  </si>
  <si>
    <t>75e0585dbf7d</t>
  </si>
  <si>
    <t>eccac943b7e5</t>
  </si>
  <si>
    <t>c273c3ce4eb4</t>
  </si>
  <si>
    <t>c9a61df5037c</t>
  </si>
  <si>
    <t>11ce03e0d401</t>
  </si>
  <si>
    <t>61398c0c8723</t>
  </si>
  <si>
    <t>eb85330a4b1b</t>
  </si>
  <si>
    <t>71b8e5e08b49</t>
  </si>
  <si>
    <t>08b68ebb9a91</t>
  </si>
  <si>
    <t>d9e41d12d504</t>
  </si>
  <si>
    <t>9c764cc7e1c0</t>
  </si>
  <si>
    <t>61bd4a923f2f</t>
  </si>
  <si>
    <t>76defd8e213f</t>
  </si>
  <si>
    <t>68b9244b4cbb</t>
  </si>
  <si>
    <t>e58f257e01c0</t>
  </si>
  <si>
    <t>c85e9a43d743</t>
  </si>
  <si>
    <t>4c097108a796</t>
  </si>
  <si>
    <t>f0a06d2cefd5</t>
  </si>
  <si>
    <t>c817a8749a98</t>
  </si>
  <si>
    <t>e982121404ec</t>
  </si>
  <si>
    <t>fe34f80ee61c</t>
  </si>
  <si>
    <t>ec4475943453</t>
  </si>
  <si>
    <t>a4464414018a</t>
  </si>
  <si>
    <t>fc0bd9585f57</t>
  </si>
  <si>
    <t>c85ef8afd7f8</t>
  </si>
  <si>
    <t>4388c619eec9</t>
  </si>
  <si>
    <t>79ca41e5c6d8</t>
  </si>
  <si>
    <t>aaede34f0689</t>
  </si>
  <si>
    <t>824818c49b4d</t>
  </si>
  <si>
    <t>32e1345abda2</t>
  </si>
  <si>
    <t>87b6fb80d932</t>
  </si>
  <si>
    <t>44a3f15b2ed8</t>
  </si>
  <si>
    <t>849064feaa1a</t>
  </si>
  <si>
    <t>d870d66ed71d</t>
  </si>
  <si>
    <t>9ecbee996123</t>
  </si>
  <si>
    <t>34d4ffef7541</t>
  </si>
  <si>
    <t>5a63aa8baaf9</t>
  </si>
  <si>
    <t>682709bbe651</t>
  </si>
  <si>
    <t>01dbf8bf5b72</t>
  </si>
  <si>
    <t>22d92c327199</t>
  </si>
  <si>
    <t>87f6deaae2d1</t>
  </si>
  <si>
    <t>55c99ff58c1c</t>
  </si>
  <si>
    <t>1c409e7247d5</t>
  </si>
  <si>
    <t>f8fd2fa0c6ec</t>
  </si>
  <si>
    <t>56417ca60549</t>
  </si>
  <si>
    <t>333bbe897839</t>
  </si>
  <si>
    <t>0cd06cf5c4b3</t>
  </si>
  <si>
    <t>47301272efda</t>
  </si>
  <si>
    <t>91e1132d9e4f</t>
  </si>
  <si>
    <t>85fdeee8746a</t>
  </si>
  <si>
    <t>9d3b7027d4e5</t>
  </si>
  <si>
    <t>798f0c5e5bd9</t>
  </si>
  <si>
    <t>dfa6bc773676</t>
  </si>
  <si>
    <t>ea7a4d5b66f2</t>
  </si>
  <si>
    <t>8bb7925318ac</t>
  </si>
  <si>
    <t>bdb6f18f74f9</t>
  </si>
  <si>
    <t>558b2ec8cb8e</t>
  </si>
  <si>
    <t>5d7dd87a8cba</t>
  </si>
  <si>
    <t>d572e53fba1b</t>
  </si>
  <si>
    <t>8f8c62aee404</t>
  </si>
  <si>
    <t>f1419ce32783</t>
  </si>
  <si>
    <t>1c6afcfaf4d4</t>
  </si>
  <si>
    <t>d1969a1288b9</t>
  </si>
  <si>
    <t>1ad15b46a99d</t>
  </si>
  <si>
    <t>b003dd258c93</t>
  </si>
  <si>
    <t>c5d40b9ffca7</t>
  </si>
  <si>
    <t>d1eb10b33e1d</t>
  </si>
  <si>
    <t>304795dbd951</t>
  </si>
  <si>
    <t>1fda00361f67</t>
  </si>
  <si>
    <t>ea6ab1cdff46</t>
  </si>
  <si>
    <t>1450f32f6215</t>
  </si>
  <si>
    <t>dde8ee1dea4d</t>
  </si>
  <si>
    <t>c8a3caa8d833</t>
  </si>
  <si>
    <t>82e443cb0eec</t>
  </si>
  <si>
    <t>c3a2a61905ec</t>
  </si>
  <si>
    <t>13cb84c5dbbc</t>
  </si>
  <si>
    <t>8e1f4c27c9de</t>
  </si>
  <si>
    <t>6c58998abb46</t>
  </si>
  <si>
    <t>9bee96c189b0</t>
  </si>
  <si>
    <t>402b4b4a884b</t>
  </si>
  <si>
    <t>f04634dcea1e</t>
  </si>
  <si>
    <t>86c0f3bed35f</t>
  </si>
  <si>
    <t>1fe5fdf72334</t>
  </si>
  <si>
    <t>50947c3547cd</t>
  </si>
  <si>
    <t>d897cff72e5d</t>
  </si>
  <si>
    <t>f8c8c1263595</t>
  </si>
  <si>
    <t>af19cb1097e5</t>
  </si>
  <si>
    <t>1111ee8cc548</t>
  </si>
  <si>
    <t>08dbf3e5f574</t>
  </si>
  <si>
    <t>b4df895f63ee</t>
  </si>
  <si>
    <t>b2c764993f44</t>
  </si>
  <si>
    <t>c8f7ad192682</t>
  </si>
  <si>
    <t>072665187f71</t>
  </si>
  <si>
    <t>5a5bac96e222</t>
  </si>
  <si>
    <t>765d81dd76ff</t>
  </si>
  <si>
    <t>d6cf82d6b89d</t>
  </si>
  <si>
    <t>e62717e973fd</t>
  </si>
  <si>
    <t>04af38cdf3ed</t>
  </si>
  <si>
    <t>7ade8916d5f8</t>
  </si>
  <si>
    <t>c650b223c70f</t>
  </si>
  <si>
    <t>43d25410e413</t>
  </si>
  <si>
    <t>b9237cc57ce8</t>
  </si>
  <si>
    <t>8e773aaad328</t>
  </si>
  <si>
    <t>5989505a0283</t>
  </si>
  <si>
    <t>d64d2f9de9b8</t>
  </si>
  <si>
    <t>4f84dbe73e58</t>
  </si>
  <si>
    <t>98541e947f3e</t>
  </si>
  <si>
    <t>2d5fcf4add20</t>
  </si>
  <si>
    <t>40cbae7ecb07</t>
  </si>
  <si>
    <t>735503534afc</t>
  </si>
  <si>
    <t>571aba63c1c5</t>
  </si>
  <si>
    <t>c71825fa72a1</t>
  </si>
  <si>
    <t>83f9b73408dd</t>
  </si>
  <si>
    <t>04a5817aa96b</t>
  </si>
  <si>
    <t>50904ff0ee30</t>
  </si>
  <si>
    <t>0f0db08ef840</t>
  </si>
  <si>
    <t>513f9e16a72e</t>
  </si>
  <si>
    <t>24831c9c328f</t>
  </si>
  <si>
    <t>8cadc39c5f06</t>
  </si>
  <si>
    <t>56cda223ccf7</t>
  </si>
  <si>
    <t>0735a0d73046</t>
  </si>
  <si>
    <t>560209e462de</t>
  </si>
  <si>
    <t>9e19c4a14337</t>
  </si>
  <si>
    <t>a0bb11cf5989</t>
  </si>
  <si>
    <t>825be1e0dd58</t>
  </si>
  <si>
    <t>9e13810eac50</t>
  </si>
  <si>
    <t>6198e6dcb80d</t>
  </si>
  <si>
    <t>ba53dfdd98dd</t>
  </si>
  <si>
    <t>8817e15eee43</t>
  </si>
  <si>
    <t>87da50f1ad58</t>
  </si>
  <si>
    <t>2470f4b54c4a</t>
  </si>
  <si>
    <t>140c24138024</t>
  </si>
  <si>
    <t>3c9302888797</t>
  </si>
  <si>
    <t>27c3c87f05c1</t>
  </si>
  <si>
    <t>f4b052253d51</t>
  </si>
  <si>
    <t>fca43c0af07e</t>
  </si>
  <si>
    <t>7b66d300a8f2</t>
  </si>
  <si>
    <t>1be723cd4fa0</t>
  </si>
  <si>
    <t>d1938a46d8b9</t>
  </si>
  <si>
    <t>8b354e17caaa</t>
  </si>
  <si>
    <t>46e67c28971d</t>
  </si>
  <si>
    <t>cd5aaa3a5486</t>
  </si>
  <si>
    <t>79864b463203</t>
  </si>
  <si>
    <t>770e5e1eed4b</t>
  </si>
  <si>
    <t>acd7c08d1459</t>
  </si>
  <si>
    <t>3a459f9920b3</t>
  </si>
  <si>
    <t>dc4acbbc4a73</t>
  </si>
  <si>
    <t>57d2ff51d1d3</t>
  </si>
  <si>
    <t>5def12e7b454</t>
  </si>
  <si>
    <t>f9e8b5bf965b</t>
  </si>
  <si>
    <t>8b8a94ab61db</t>
  </si>
  <si>
    <t>702ee74a234d</t>
  </si>
  <si>
    <t>7510a139d438</t>
  </si>
  <si>
    <t>94558eb1b0c3</t>
  </si>
  <si>
    <t>51ccdce5a672</t>
  </si>
  <si>
    <t>1167b38645d6</t>
  </si>
  <si>
    <t>76ae9b71c8e8</t>
  </si>
  <si>
    <t>0046ddd2c334</t>
  </si>
  <si>
    <t>e3b9a6e635db</t>
  </si>
  <si>
    <t>29c8def55325</t>
  </si>
  <si>
    <t>8cf3eb902835</t>
  </si>
  <si>
    <t>f394243792a7</t>
  </si>
  <si>
    <t>487b296ef3af</t>
  </si>
  <si>
    <t>57da0d7e6144</t>
  </si>
  <si>
    <t>a66eb7b4534e</t>
  </si>
  <si>
    <t>2ab62af2111e</t>
  </si>
  <si>
    <t>315690f55c1c</t>
  </si>
  <si>
    <t>df0072ce4cac</t>
  </si>
  <si>
    <t>efeba58097f7</t>
  </si>
  <si>
    <t>01e5cb215fcd</t>
  </si>
  <si>
    <t>ca2c4ce7bf04</t>
  </si>
  <si>
    <t>d014282950ee</t>
  </si>
  <si>
    <t>de4fa8106bac</t>
  </si>
  <si>
    <t>b082b267df34</t>
  </si>
  <si>
    <t>ba02164b9bb3</t>
  </si>
  <si>
    <t>2effb35890b8</t>
  </si>
  <si>
    <t>8b88edd2439e</t>
  </si>
  <si>
    <t>f1e363cab127</t>
  </si>
  <si>
    <t>075b431cbc58</t>
  </si>
  <si>
    <t>1d07cc875cb5</t>
  </si>
  <si>
    <t>74643d29252b</t>
  </si>
  <si>
    <t>67e0935f449c</t>
  </si>
  <si>
    <t>09feb411e0f9</t>
  </si>
  <si>
    <t>ca130ab1fe72</t>
  </si>
  <si>
    <t>23335c669bd8</t>
  </si>
  <si>
    <t>078491fc49f1</t>
  </si>
  <si>
    <t>43ada7002e43</t>
  </si>
  <si>
    <t>432be90f4185</t>
  </si>
  <si>
    <t>8109031250f6</t>
  </si>
  <si>
    <t>a5c704844bf0</t>
  </si>
  <si>
    <t>7a0f0945c0d6</t>
  </si>
  <si>
    <t>fec3d50c388f</t>
  </si>
  <si>
    <t>689e6ac29e35</t>
  </si>
  <si>
    <t>a9572ec97d13</t>
  </si>
  <si>
    <t>bbd05e6eca22</t>
  </si>
  <si>
    <t>5f5b6762e059</t>
  </si>
  <si>
    <t>cf68dec69df0</t>
  </si>
  <si>
    <t>cf72bceb8408</t>
  </si>
  <si>
    <t>8b19fd45b8e4</t>
  </si>
  <si>
    <t>aae419a09b5c</t>
  </si>
  <si>
    <t>09be27609cef</t>
  </si>
  <si>
    <t>236ac7e7b342</t>
  </si>
  <si>
    <t>e848c8d42378</t>
  </si>
  <si>
    <t>0380f315bd30</t>
  </si>
  <si>
    <t>24eb15c5058f</t>
  </si>
  <si>
    <t>5f1eda36a5ca</t>
  </si>
  <si>
    <t>90549f3eef4e</t>
  </si>
  <si>
    <t>2f37b2ea4787</t>
  </si>
  <si>
    <t>995310ac4626</t>
  </si>
  <si>
    <t>f10dc4f68412</t>
  </si>
  <si>
    <t>82e4cb1c444e</t>
  </si>
  <si>
    <t>bea0eb156ca8</t>
  </si>
  <si>
    <t>8d897430ef95</t>
  </si>
  <si>
    <t>6d895b8e421e</t>
  </si>
  <si>
    <t>fd143c39da74</t>
  </si>
  <si>
    <t>1d08ff99de2d</t>
  </si>
  <si>
    <t>d5c355f3a0ed</t>
  </si>
  <si>
    <t>4816940471b0</t>
  </si>
  <si>
    <t>579a11a04735</t>
  </si>
  <si>
    <t>84cea69a912b</t>
  </si>
  <si>
    <t>8b027a22a10d</t>
  </si>
  <si>
    <t>5b011a7b72fa</t>
  </si>
  <si>
    <t>6691dd7408c5</t>
  </si>
  <si>
    <t>ac809d003aa6</t>
  </si>
  <si>
    <t>11cb3b748408</t>
  </si>
  <si>
    <t>1bbcfc64993b</t>
  </si>
  <si>
    <t>66ff1cc19d1b</t>
  </si>
  <si>
    <t>ba7c4b73b2b3</t>
  </si>
  <si>
    <t>e4fdbf445c37</t>
  </si>
  <si>
    <t>d1d641a773d6</t>
  </si>
  <si>
    <t>e4fc29c7bede</t>
  </si>
  <si>
    <t>128cddcfb90f</t>
  </si>
  <si>
    <t>9275eaa3534f</t>
  </si>
  <si>
    <t>cf9ed64f1552</t>
  </si>
  <si>
    <t>81d3cb52e823</t>
  </si>
  <si>
    <t>7dfbc250eeee</t>
  </si>
  <si>
    <t>8f467009c3ae</t>
  </si>
  <si>
    <t>7eb7034bc130</t>
  </si>
  <si>
    <t>edfe6352219e</t>
  </si>
  <si>
    <t>fe41c0e112c4</t>
  </si>
  <si>
    <t>57b2ca117f8c</t>
  </si>
  <si>
    <t>f74cfea7d5fd</t>
  </si>
  <si>
    <t>e9faf819f49f</t>
  </si>
  <si>
    <t>bca7849d44b5</t>
  </si>
  <si>
    <t>e31cb2dea8c2</t>
  </si>
  <si>
    <t>bf7ee11a2980</t>
  </si>
  <si>
    <t>85fdcb1b55b0</t>
  </si>
  <si>
    <t>9e76e2655cb1</t>
  </si>
  <si>
    <t>01270fd3d5f6</t>
  </si>
  <si>
    <t>82fb863e0ebd</t>
  </si>
  <si>
    <t>6b0ad4a9f668</t>
  </si>
  <si>
    <t>8fea284ee842</t>
  </si>
  <si>
    <t>efae4eb7b6bb</t>
  </si>
  <si>
    <t>0754af6b9d47</t>
  </si>
  <si>
    <t>b94dfc761930</t>
  </si>
  <si>
    <t>f569abda43fe</t>
  </si>
  <si>
    <t>f5ed6e4e8b1a</t>
  </si>
  <si>
    <t>1998646cbc87</t>
  </si>
  <si>
    <t>28a3df8a8129</t>
  </si>
  <si>
    <t>0237dd67fee1</t>
  </si>
  <si>
    <t>454b8ed932d9</t>
  </si>
  <si>
    <t>eb387df80758</t>
  </si>
  <si>
    <t>d89e3288cf0e</t>
  </si>
  <si>
    <t>2c09fa4c3811</t>
  </si>
  <si>
    <t>1277a5c150bc</t>
  </si>
  <si>
    <t>1d8473fe13c3</t>
  </si>
  <si>
    <t>daf9d3a6e5d4</t>
  </si>
  <si>
    <t>b68cbb85a342</t>
  </si>
  <si>
    <t>d764e9166771</t>
  </si>
  <si>
    <t>e61d0734561d</t>
  </si>
  <si>
    <t>17306732ecf7</t>
  </si>
  <si>
    <t>a63092380b75</t>
  </si>
  <si>
    <t>9734bf9b37a6</t>
  </si>
  <si>
    <t>91131d62108a</t>
  </si>
  <si>
    <t>95eeb6e8907a</t>
  </si>
  <si>
    <t>3a450b9efbe5</t>
  </si>
  <si>
    <t>5698957704d2</t>
  </si>
  <si>
    <t>4c13029b55f3</t>
  </si>
  <si>
    <t>abc7c5d9c495</t>
  </si>
  <si>
    <t>6fc6f780510f</t>
  </si>
  <si>
    <t>9926fff8b603</t>
  </si>
  <si>
    <t>b4ee05958dd6</t>
  </si>
  <si>
    <t>531459a59edd</t>
  </si>
  <si>
    <t>520944ca27a8</t>
  </si>
  <si>
    <t>25cfb3f15006</t>
  </si>
  <si>
    <t>9613f8af461f</t>
  </si>
  <si>
    <t>3a06159d3c03</t>
  </si>
  <si>
    <t>9f203ed98108</t>
  </si>
  <si>
    <t>a530549d46e7</t>
  </si>
  <si>
    <t>af7c565ab2d6</t>
  </si>
  <si>
    <t>94df3adcc509</t>
  </si>
  <si>
    <t>80ed358e9260</t>
  </si>
  <si>
    <t>8cb7d0030430</t>
  </si>
  <si>
    <t>41d32c7da6cd</t>
  </si>
  <si>
    <t>7cba3e730c99</t>
  </si>
  <si>
    <t>540165bbe542</t>
  </si>
  <si>
    <t>29727fd3532c</t>
  </si>
  <si>
    <t>421e0c3871fb</t>
  </si>
  <si>
    <t>8037502be57d</t>
  </si>
  <si>
    <t>9df56e6ff7e9</t>
  </si>
  <si>
    <t>eb3dcd2062e7</t>
  </si>
  <si>
    <t>8827d8d8ffda</t>
  </si>
  <si>
    <t>a35c6f52cfe4</t>
  </si>
  <si>
    <t>631fc414aac0</t>
  </si>
  <si>
    <t>490bc7cf025f</t>
  </si>
  <si>
    <t>5e0ff88f516d</t>
  </si>
  <si>
    <t>5fba4a7f1e76</t>
  </si>
  <si>
    <t>aace07c1308a</t>
  </si>
  <si>
    <t>ab60be632b99</t>
  </si>
  <si>
    <t>56f173290545</t>
  </si>
  <si>
    <t>a50720b2afb6</t>
  </si>
  <si>
    <t>b8942d985018</t>
  </si>
  <si>
    <t>99982e6d7328</t>
  </si>
  <si>
    <t>e16f5df7937c</t>
  </si>
  <si>
    <t>3b131e3393ba</t>
  </si>
  <si>
    <t>f5be8eb820dd</t>
  </si>
  <si>
    <t>ce8e80202706</t>
  </si>
  <si>
    <t>1650950a7d80</t>
  </si>
  <si>
    <t>c69167e397ea</t>
  </si>
  <si>
    <t>0af18cffe7cc</t>
  </si>
  <si>
    <t>34f2ba803802</t>
  </si>
  <si>
    <t>832f02095be5</t>
  </si>
  <si>
    <t>5ed52a2ae797</t>
  </si>
  <si>
    <t>c4950faa07e8</t>
  </si>
  <si>
    <t>867763a812ba</t>
  </si>
  <si>
    <t>1e71edb01773</t>
  </si>
  <si>
    <t>22d296521bea</t>
  </si>
  <si>
    <t>648ee1eb86f3</t>
  </si>
  <si>
    <t>cd3bbafb7849</t>
  </si>
  <si>
    <t>9d0f0ac2e3f2</t>
  </si>
  <si>
    <t>2adb23d151d9</t>
  </si>
  <si>
    <t>f29990be1675</t>
  </si>
  <si>
    <t>caa52143e318</t>
  </si>
  <si>
    <t>252e27a7403c</t>
  </si>
  <si>
    <t>a74b11a89707</t>
  </si>
  <si>
    <t>6c94a6f9972e</t>
  </si>
  <si>
    <t>659720374f0c</t>
  </si>
  <si>
    <t>eb401ac679b9</t>
  </si>
  <si>
    <t>7d52e1512586</t>
  </si>
  <si>
    <t>051f40811769</t>
  </si>
  <si>
    <t>de9cd78d48e5</t>
  </si>
  <si>
    <t>a5b6d0a36871</t>
  </si>
  <si>
    <t>b33c16edddb7</t>
  </si>
  <si>
    <t>573755ed0c01</t>
  </si>
  <si>
    <t>69eade7cef11</t>
  </si>
  <si>
    <t>ad4ea5c27c5e</t>
  </si>
  <si>
    <t>ef199018cf04</t>
  </si>
  <si>
    <t>a33fb3a5e38b</t>
  </si>
  <si>
    <t>a3dc9fad2a02</t>
  </si>
  <si>
    <t>b2935b3d4b97</t>
  </si>
  <si>
    <t>16a592fb7495</t>
  </si>
  <si>
    <t>2ae19cd6234b</t>
  </si>
  <si>
    <t>0c46513ad5a4</t>
  </si>
  <si>
    <t>5ddde697862d</t>
  </si>
  <si>
    <t>53d1bf9a2d13</t>
  </si>
  <si>
    <t>a51c985b8767</t>
  </si>
  <si>
    <t>0a785bdb6e1c</t>
  </si>
  <si>
    <t>701d14ee3238</t>
  </si>
  <si>
    <t>0c7f9e781e77</t>
  </si>
  <si>
    <t>940fadf89a0a</t>
  </si>
  <si>
    <t>167e5f5b888c</t>
  </si>
  <si>
    <t>92facee22e2b</t>
  </si>
  <si>
    <t>2ba689209ba5</t>
  </si>
  <si>
    <t>95447bb8982f</t>
  </si>
  <si>
    <t>3278855bf313</t>
  </si>
  <si>
    <t>cc95cbd6a997</t>
  </si>
  <si>
    <t>3e691715ad0b</t>
  </si>
  <si>
    <t>40ed361f73a6</t>
  </si>
  <si>
    <t>d524a6a8f480</t>
  </si>
  <si>
    <t>ed53bacabeef</t>
  </si>
  <si>
    <t>24f18bd3bf16</t>
  </si>
  <si>
    <t>aa4d3bc28315</t>
  </si>
  <si>
    <t>3eddc0725269</t>
  </si>
  <si>
    <t>bf857e1c94e3</t>
  </si>
  <si>
    <t>8e3be18544fb</t>
  </si>
  <si>
    <t>7c5fb6e52eef</t>
  </si>
  <si>
    <t>5fd50bbad43e</t>
  </si>
  <si>
    <t>62a7a3c9edfb</t>
  </si>
  <si>
    <t>f1ce259993fb</t>
  </si>
  <si>
    <t>ee4bc9cf49e4</t>
  </si>
  <si>
    <t>865398ac1c88</t>
  </si>
  <si>
    <t>050ef742951d</t>
  </si>
  <si>
    <t>96d879fbceca</t>
  </si>
  <si>
    <t>4b55ec0f1ce4</t>
  </si>
  <si>
    <t>fafed9ba47bf</t>
  </si>
  <si>
    <t>a4be856fa67c</t>
  </si>
  <si>
    <t>4b52a771b2d8</t>
  </si>
  <si>
    <t>22e2eefabc13</t>
  </si>
  <si>
    <t>7757476b2195</t>
  </si>
  <si>
    <t>128249eeeaf6</t>
  </si>
  <si>
    <t>4cbb7ed933e7</t>
  </si>
  <si>
    <t>0026095b5681</t>
  </si>
  <si>
    <t>d76356088da9</t>
  </si>
  <si>
    <t>4cdf7557e370</t>
  </si>
  <si>
    <t>1ab3c9b7d517</t>
  </si>
  <si>
    <t>614f8b5a60b0</t>
  </si>
  <si>
    <t>c463cc3d9eb2</t>
  </si>
  <si>
    <t>0dcf7fdf451c</t>
  </si>
  <si>
    <t>57397a4c8abd</t>
  </si>
  <si>
    <t>452146db57da</t>
  </si>
  <si>
    <t>00e2e84133a1</t>
  </si>
  <si>
    <t>1ac2f7650917</t>
  </si>
  <si>
    <t>3d9ec1793eed</t>
  </si>
  <si>
    <t>6e4648d8fb25</t>
  </si>
  <si>
    <t>aebfb252614b</t>
  </si>
  <si>
    <t>b05d194a02bd</t>
  </si>
  <si>
    <t>92603cd29660</t>
  </si>
  <si>
    <t>b7cdf84a050f</t>
  </si>
  <si>
    <t>96cdb22ce9be</t>
  </si>
  <si>
    <t>8be7a308a47f</t>
  </si>
  <si>
    <t>3400348e72ab</t>
  </si>
  <si>
    <t>4db79e788509</t>
  </si>
  <si>
    <t>a9cfa9621a33</t>
  </si>
  <si>
    <t>8919aa2a2d70</t>
  </si>
  <si>
    <t>aff384dafe45</t>
  </si>
  <si>
    <t>c2e768a64530</t>
  </si>
  <si>
    <t>68996b3f3243</t>
  </si>
  <si>
    <t>69a22a870a47</t>
  </si>
  <si>
    <t>82f74e867bba</t>
  </si>
  <si>
    <t>e1801ab9b2d6</t>
  </si>
  <si>
    <t>5c326aa4ed36</t>
  </si>
  <si>
    <t>fbef1a45c11d</t>
  </si>
  <si>
    <t>94e0f0bda838</t>
  </si>
  <si>
    <t>4189534f08b9</t>
  </si>
  <si>
    <t>0c17bea25098</t>
  </si>
  <si>
    <t>56e3f9ae5bb0</t>
  </si>
  <si>
    <t>b9a815a9f22a</t>
  </si>
  <si>
    <t>15791816d56e</t>
  </si>
  <si>
    <t>022b3a8de1fe</t>
  </si>
  <si>
    <t>b7bbcf2732b8</t>
  </si>
  <si>
    <t>f0a28df8eb64</t>
  </si>
  <si>
    <t>341a739c97ab</t>
  </si>
  <si>
    <t>e5ea79b29805</t>
  </si>
  <si>
    <t>d9f32f76c29e</t>
  </si>
  <si>
    <t>4bb027a219ca</t>
  </si>
  <si>
    <t>0fb0f8475286</t>
  </si>
  <si>
    <t>885b1074998d</t>
  </si>
  <si>
    <t>a75afed63744</t>
  </si>
  <si>
    <t>f4745454dd57</t>
  </si>
  <si>
    <t>7704a75c51c9</t>
  </si>
  <si>
    <t>ba240561648f</t>
  </si>
  <si>
    <t>2e512920ea15</t>
  </si>
  <si>
    <t>6db31acf57a6</t>
  </si>
  <si>
    <t>4b645fbe8246</t>
  </si>
  <si>
    <t>247361543b0a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</si>
  <si>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</si>
  <si>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</si>
  <si>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</si>
  <si>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</si>
  <si>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</si>
  <si>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</si>
  <si>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</si>
  <si>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</si>
  <si>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</si>
  <si>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</si>
  <si>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</si>
  <si>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</si>
  <si>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транзакции</t>
  </si>
  <si>
    <t>0-500</t>
  </si>
  <si>
    <t>500-1к</t>
  </si>
  <si>
    <t>1,5-2,5к</t>
  </si>
  <si>
    <t>1-1,5к</t>
  </si>
  <si>
    <t>2,5к и более</t>
  </si>
  <si>
    <t>group</t>
  </si>
  <si>
    <t>Groups</t>
  </si>
  <si>
    <t>Counts</t>
  </si>
  <si>
    <t>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</si>
</sst>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Univers"/>
      <family val="2"/>
      <charset val="204"/>
    </font>
    <font>
      <sz val="11"/>
      <color theme="1"/>
      <name val="Univers"/>
      <family val="2"/>
      <charset val="204"/>
    </font>
    <font>
      <b/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1" applyFill="1"/>
    <xf numFmtId="165" fontId="0" fillId="2" borderId="0" xfId="2" applyNumberFormat="1" applyFont="1" applyFill="1"/>
    <xf numFmtId="0" fontId="0" fillId="2" borderId="0" xfId="0" applyFill="1" applyAlignment="1">
      <alignment horizont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165" fontId="4" fillId="0" borderId="0" xfId="2" applyNumberFormat="1" applyFont="1" applyFill="1" applyBorder="1" applyAlignment="1"/>
    <xf numFmtId="165" fontId="0" fillId="0" borderId="0" xfId="0" applyNumberFormat="1"/>
    <xf numFmtId="165" fontId="4" fillId="0" borderId="1" xfId="2" applyNumberFormat="1" applyFont="1" applyFill="1" applyBorder="1" applyAlignment="1"/>
    <xf numFmtId="165" fontId="0" fillId="0" borderId="1" xfId="0" applyNumberFormat="1" applyBorder="1"/>
    <xf numFmtId="0" fontId="5" fillId="0" borderId="2" xfId="0" applyFont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2;&#1099;&#1087;&#1086;&#1083;&#1085;&#1080;&#1090;&#1100;!BO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&#1054;&#1090;&#1095;&#1077;&#1090;!CI1"/><Relationship Id="rId1" Type="http://schemas.openxmlformats.org/officeDocument/2006/relationships/hyperlink" Target="#&#1054;&#1090;&#1095;&#1077;&#1090;!AT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Проверка данных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Привет!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У некоторых наших партнеров возникли вопросы по количеству транзакций по рекламным кампаниям за прошедший год.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Можешь, пожалуйста, извлечь информацию по следующим параметрам: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Наименование партнера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Количество транзакций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Группа, присвоенная на основании количества транзакций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FYI:</a:t>
          </a:r>
          <a:br>
            <a:rPr lang="en-US" sz="900">
              <a:solidFill>
                <a:srgbClr val="000000"/>
              </a:solidFill>
              <a:effectLst/>
              <a:latin typeface="Liberation Sans"/>
            </a:rPr>
          </a:br>
          <a:r>
            <a:rPr lang="en-US" sz="900">
              <a:solidFill>
                <a:srgbClr val="000000"/>
              </a:solidFill>
              <a:effectLst/>
              <a:latin typeface="Liberation Sans"/>
            </a:rPr>
            <a:t> 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На вкладке "Партнеры" содержится информация о 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ID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партнеров и их наименованиях.</a:t>
          </a:r>
          <a:br>
            <a:rPr lang="ru-RU" sz="900">
              <a:solidFill>
                <a:srgbClr val="000000"/>
              </a:solidFill>
              <a:effectLst/>
              <a:latin typeface="Liberation Sans"/>
            </a:rPr>
          </a:br>
          <a:r>
            <a:rPr lang="ru-RU" sz="900">
              <a:solidFill>
                <a:srgbClr val="000000"/>
              </a:solidFill>
              <a:effectLst/>
              <a:latin typeface="Liberation Sans"/>
            </a:rPr>
            <a:t> На вкладке "Отчет" выгружены все имеющиеся данные, где: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id_cmpgn —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это 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ID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рекламной кампании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id_prtr —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это 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ID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партнера, соответствующий вкладке "Партнеры"</a:t>
          </a:r>
          <a:endParaRPr lang="ru-RU" sz="900">
            <a:effectLst/>
          </a:endParaRPr>
        </a:p>
        <a:p>
          <a:br>
            <a:rPr lang="ru-RU" sz="900" baseline="0"/>
          </a:br>
          <a:endParaRPr lang="ru-RU" sz="9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Отчет</a:t>
          </a:r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8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800" baseline="0">
              <a:latin typeface="Fira Sans"/>
              <a:ea typeface="Fira Sans"/>
              <a:cs typeface="Fira Sans"/>
              <a:sym typeface="Fira Sans"/>
            </a:rPr>
            <a:t> Ссылки и массивы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406400</xdr:colOff>
      <xdr:row>8</xdr:row>
      <xdr:rowOff>25400</xdr:rowOff>
    </xdr:from>
    <xdr:to>
      <xdr:col>48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E3EBD803-524F-4966-A73B-7051C5483CA7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222250" y="56134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69CD9E6C-DCA0-4131-85FF-BA5A5ED2FB73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2244C8E6-E38D-49A2-A25A-D2904FA34F0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44</xdr:col>
      <xdr:colOff>632178</xdr:colOff>
      <xdr:row>8</xdr:row>
      <xdr:rowOff>46567</xdr:rowOff>
    </xdr:from>
    <xdr:to>
      <xdr:col>46</xdr:col>
      <xdr:colOff>276578</xdr:colOff>
      <xdr:row>28</xdr:row>
      <xdr:rowOff>2822</xdr:rowOff>
    </xdr:to>
    <xdr:sp macro="" textlink="">
      <xdr:nvSpPr>
        <xdr:cNvPr id="4" name="Google Shape;64;p14">
          <a:extLst>
            <a:ext uri="{FF2B5EF4-FFF2-40B4-BE49-F238E27FC236}">
              <a16:creationId xmlns:a16="http://schemas.microsoft.com/office/drawing/2014/main" id="{95FB22CA-5470-4755-B089-BF095FF591DE}"/>
            </a:ext>
          </a:extLst>
        </xdr:cNvPr>
        <xdr:cNvSpPr txBox="1"/>
      </xdr:nvSpPr>
      <xdr:spPr>
        <a:xfrm rot="-5400000">
          <a:off x="28567945" y="2978856"/>
          <a:ext cx="3625144" cy="723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Лайфхак 1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65</xdr:col>
      <xdr:colOff>53623</xdr:colOff>
      <xdr:row>8</xdr:row>
      <xdr:rowOff>46567</xdr:rowOff>
    </xdr:from>
    <xdr:to>
      <xdr:col>66</xdr:col>
      <xdr:colOff>361245</xdr:colOff>
      <xdr:row>28</xdr:row>
      <xdr:rowOff>2822</xdr:rowOff>
    </xdr:to>
    <xdr:sp macro="" textlink="">
      <xdr:nvSpPr>
        <xdr:cNvPr id="5" name="Google Shape;64;p14">
          <a:extLst>
            <a:ext uri="{FF2B5EF4-FFF2-40B4-BE49-F238E27FC236}">
              <a16:creationId xmlns:a16="http://schemas.microsoft.com/office/drawing/2014/main" id="{875B276E-FE3A-41A4-911F-E602092856F1}"/>
            </a:ext>
          </a:extLst>
        </xdr:cNvPr>
        <xdr:cNvSpPr txBox="1"/>
      </xdr:nvSpPr>
      <xdr:spPr>
        <a:xfrm rot="-5400000">
          <a:off x="43716223" y="2978856"/>
          <a:ext cx="3625144" cy="723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Лайфхак 2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4</xdr:col>
      <xdr:colOff>127000</xdr:colOff>
      <xdr:row>12</xdr:row>
      <xdr:rowOff>44450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1A7C4-2353-4A6A-A48E-B5F59CF7D4AF}"/>
            </a:ext>
          </a:extLst>
        </xdr:cNvPr>
        <xdr:cNvSpPr txBox="1"/>
      </xdr:nvSpPr>
      <xdr:spPr>
        <a:xfrm>
          <a:off x="1358900" y="2025650"/>
          <a:ext cx="787400" cy="228600"/>
        </a:xfrm>
        <a:prstGeom prst="rect">
          <a:avLst/>
        </a:prstGeom>
        <a:solidFill>
          <a:srgbClr val="FF9933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Лайфхак 1</a:t>
          </a:r>
        </a:p>
      </xdr:txBody>
    </xdr:sp>
    <xdr:clientData/>
  </xdr:twoCellAnchor>
  <xdr:twoCellAnchor>
    <xdr:from>
      <xdr:col>2</xdr:col>
      <xdr:colOff>704850</xdr:colOff>
      <xdr:row>13</xdr:row>
      <xdr:rowOff>139700</xdr:rowOff>
    </xdr:from>
    <xdr:to>
      <xdr:col>4</xdr:col>
      <xdr:colOff>114300</xdr:colOff>
      <xdr:row>15</xdr:row>
      <xdr:rowOff>0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2B6403-4780-4BBD-9CE5-356E9D8DC56D}"/>
            </a:ext>
          </a:extLst>
        </xdr:cNvPr>
        <xdr:cNvSpPr txBox="1"/>
      </xdr:nvSpPr>
      <xdr:spPr>
        <a:xfrm>
          <a:off x="1346200" y="2533650"/>
          <a:ext cx="787400" cy="228600"/>
        </a:xfrm>
        <a:prstGeom prst="rect">
          <a:avLst/>
        </a:prstGeom>
        <a:solidFill>
          <a:srgbClr val="FF9933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Лайфхак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support.microsoft.com/ru-ru/office/%D1%84%D1%83%D0%BD%D0%BA%D1%86%D0%B8%D0%B8-%D1%81%D1%81%D1%8B%D0%BB%D0%BA%D0%B8-%D0%B8-%D0%BF%D0%BE%D0%B8%D1%81%D0%BA%D0%B0-%D1%81%D0%BF%D1%80%D0%B0%D0%B2%D0%BA%D0%B0-8aa21a3a-b56a-4055-8257-3ec89df2b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23" sqref="O23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1:BD32"/>
  <sheetViews>
    <sheetView tabSelected="1" workbookViewId="0">
      <selection activeCell="C1" sqref="C1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13.125" style="1" bestFit="1" customWidth="1"/>
    <col min="7" max="7" width="27" style="1" customWidth="1"/>
    <col min="8" max="8" width="13.625" style="1" customWidth="1"/>
    <col min="9" max="9" width="16.125" style="1" customWidth="1"/>
    <col min="10" max="12" width="8.625" style="1"/>
    <col min="13" max="13" width="5.375" style="1" bestFit="1" customWidth="1"/>
    <col min="14" max="14" width="4.125" style="1" bestFit="1" customWidth="1"/>
    <col min="15" max="46" width="8.625" style="1"/>
    <col min="47" max="49" width="5.5" style="2" customWidth="1"/>
    <col min="50" max="50" width="8.625" style="1"/>
    <col min="51" max="51" width="13.125" style="1" bestFit="1" customWidth="1"/>
    <col min="52" max="52" width="9.875" style="1" customWidth="1"/>
    <col min="53" max="53" width="22.625" style="1" customWidth="1"/>
    <col min="54" max="54" width="25.625" style="1" customWidth="1"/>
    <col min="55" max="55" width="11" style="1" bestFit="1" customWidth="1"/>
    <col min="56" max="56" width="11.5" style="1" bestFit="1" customWidth="1"/>
    <col min="57" max="16384" width="8.625" style="1"/>
  </cols>
  <sheetData>
    <row r="1" spans="6:56" ht="15.75" thickBot="1" x14ac:dyDescent="0.3"/>
    <row r="2" spans="6:56" x14ac:dyDescent="0.25">
      <c r="F2" s="14" t="s">
        <v>104</v>
      </c>
      <c r="G2" s="14" t="s">
        <v>2</v>
      </c>
      <c r="H2" s="14" t="s">
        <v>716</v>
      </c>
      <c r="I2" s="14" t="s">
        <v>725</v>
      </c>
      <c r="AY2" s="7" t="s">
        <v>104</v>
      </c>
      <c r="AZ2" s="7"/>
      <c r="BA2" s="7" t="s">
        <v>2</v>
      </c>
      <c r="BC2" s="1" t="s">
        <v>716</v>
      </c>
      <c r="BD2" s="1" t="s">
        <v>722</v>
      </c>
    </row>
    <row r="3" spans="6:56" x14ac:dyDescent="0.25">
      <c r="F3" t="s">
        <v>120</v>
      </c>
      <c r="G3" t="str">
        <f>VLOOKUP(VLOOKUP($F3,Отчет!$F$4:$K$603,2,FALSE),Партнеры!$F$4:$G$53,2,FALSE)</f>
        <v>FinTech Hub</v>
      </c>
      <c r="H3">
        <f>VLOOKUP($F3,Отчет!$F$4:$K$603,6,FALSE)</f>
        <v>2518</v>
      </c>
      <c r="I3" t="str">
        <f>HLOOKUP($H3,Отчет!$N$3:$R$4,2,TRUE)</f>
        <v>2,5к и более</v>
      </c>
      <c r="AY3" s="1" t="s">
        <v>120</v>
      </c>
      <c r="AZ3" s="1" t="str">
        <f>VLOOKUP(AY3,Отчет!$F:$G,2,0)</f>
        <v>prtr9jqee</v>
      </c>
      <c r="BA3" s="1" t="str">
        <f>VLOOKUP(VLOOKUP(AY3,Отчет!$F:$G,2,0),Партнеры!$F:$G,2,0)</f>
        <v>FinTech Hub</v>
      </c>
      <c r="BB3" s="1" t="str">
        <f>VLOOKUP(AZ3,Партнеры!$F:$G,2,0)</f>
        <v>FinTech Hub</v>
      </c>
      <c r="BC3" s="6">
        <f>VLOOKUP(AY3,Отчет!$F:$K,6,0)</f>
        <v>2518</v>
      </c>
      <c r="BD3" s="1" t="str">
        <f>HLOOKUP(BC3,Отчет!$N$3:$R$4,2,1)</f>
        <v>2,5к и более</v>
      </c>
    </row>
    <row r="4" spans="6:56" x14ac:dyDescent="0.25">
      <c r="F4" t="s">
        <v>681</v>
      </c>
      <c r="G4" t="str">
        <f>VLOOKUP(VLOOKUP($F4,Отчет!$F$4:$K$603,2,FALSE),Партнеры!$F$4:$G$53,2,FALSE)</f>
        <v>SmartCommerce Lab</v>
      </c>
      <c r="H4">
        <f>VLOOKUP($F4,Отчет!$F$4:$K$603,6,FALSE)</f>
        <v>1216</v>
      </c>
      <c r="I4" t="str">
        <f>HLOOKUP($H4,Отчет!$N$3:$R$4,2,TRUE)</f>
        <v>1-1,5к</v>
      </c>
      <c r="AY4" s="1" t="s">
        <v>681</v>
      </c>
      <c r="AZ4" s="1" t="str">
        <f>VLOOKUP(AY4,Отчет!$F:$G,2,0)</f>
        <v>prtrcbe4z</v>
      </c>
      <c r="BA4" s="1" t="str">
        <f>VLOOKUP(VLOOKUP(AY4,Отчет!$F:$G,2,0),Партнеры!$F:$G,2,0)</f>
        <v>SmartCommerce Lab</v>
      </c>
      <c r="BB4" s="1" t="str">
        <f>VLOOKUP(AZ4,Партнеры!$F:$G,2,0)</f>
        <v>SmartCommerce Lab</v>
      </c>
      <c r="BC4" s="6">
        <f>VLOOKUP(AY4,Отчет!$F:$K,6,0)</f>
        <v>1216</v>
      </c>
      <c r="BD4" s="1" t="str">
        <f>HLOOKUP(BC4,Отчет!$N$3:$R$4,2,1)</f>
        <v>1-1,5к</v>
      </c>
    </row>
    <row r="5" spans="6:56" x14ac:dyDescent="0.25">
      <c r="F5" t="s">
        <v>679</v>
      </c>
      <c r="G5" t="str">
        <f>VLOOKUP(VLOOKUP($F5,Отчет!$F$4:$K$603,2,FALSE),Партнеры!$F$4:$G$53,2,FALSE)</f>
        <v>EcomConnect Partners (ECP)</v>
      </c>
      <c r="H5">
        <f>VLOOKUP($F5,Отчет!$F$4:$K$603,6,FALSE)</f>
        <v>2908</v>
      </c>
      <c r="I5" t="str">
        <f>HLOOKUP($H5,Отчет!$N$3:$R$4,2,TRUE)</f>
        <v>2,5к и более</v>
      </c>
      <c r="AY5" s="1" t="s">
        <v>679</v>
      </c>
      <c r="AZ5" s="1" t="str">
        <f>VLOOKUP(AY5,Отчет!$F:$G,2,0)</f>
        <v>prtru0tfb</v>
      </c>
      <c r="BA5" s="1" t="str">
        <f>VLOOKUP(VLOOKUP(AY5,Отчет!$F:$G,2,0),Партнеры!$F:$G,2,0)</f>
        <v>EcomConnect Partners (ECP)</v>
      </c>
      <c r="BB5" s="1" t="str">
        <f>VLOOKUP(AZ5,Партнеры!$F:$G,2,0)</f>
        <v>EcomConnect Partners (ECP)</v>
      </c>
      <c r="BC5" s="6">
        <f>VLOOKUP(AY5,Отчет!$F:$K,6,0)</f>
        <v>2908</v>
      </c>
      <c r="BD5" s="1" t="str">
        <f>HLOOKUP(BC5,Отчет!$N$3:$R$4,2,1)</f>
        <v>2,5к и более</v>
      </c>
    </row>
    <row r="6" spans="6:56" x14ac:dyDescent="0.25">
      <c r="F6" t="s">
        <v>203</v>
      </c>
      <c r="G6" t="str">
        <f>VLOOKUP(VLOOKUP($F6,Отчет!$F$4:$K$603,2,FALSE),Партнеры!$F$4:$G$53,2,FALSE)</f>
        <v>Evolve Commerce</v>
      </c>
      <c r="H6">
        <f>VLOOKUP($F6,Отчет!$F$4:$K$603,6,FALSE)</f>
        <v>174</v>
      </c>
      <c r="I6" t="str">
        <f>HLOOKUP($H6,Отчет!$N$3:$R$4,2,TRUE)</f>
        <v>0-500</v>
      </c>
      <c r="AY6" s="1" t="s">
        <v>203</v>
      </c>
      <c r="AZ6" s="1" t="str">
        <f>VLOOKUP(AY6,Отчет!$F:$G,2,0)</f>
        <v>prtrx3a6r</v>
      </c>
      <c r="BA6" s="1" t="str">
        <f>VLOOKUP(VLOOKUP(AY6,Отчет!$F:$G,2,0),Партнеры!$F:$G,2,0)</f>
        <v>Evolve Commerce</v>
      </c>
      <c r="BB6" s="1" t="str">
        <f>VLOOKUP(AZ6,Партнеры!$F:$G,2,0)</f>
        <v>Evolve Commerce</v>
      </c>
      <c r="BC6" s="6">
        <f>VLOOKUP(AY6,Отчет!$F:$K,6,0)</f>
        <v>174</v>
      </c>
      <c r="BD6" s="1" t="str">
        <f>HLOOKUP(BC6,Отчет!$N$3:$R$4,2,1)</f>
        <v>0-500</v>
      </c>
    </row>
    <row r="7" spans="6:56" x14ac:dyDescent="0.25">
      <c r="F7" t="s">
        <v>568</v>
      </c>
      <c r="G7" t="str">
        <f>VLOOKUP(VLOOKUP($F7,Отчет!$F$4:$K$603,2,FALSE),Партнеры!$F$4:$G$53,2,FALSE)</f>
        <v>TechFin Studio</v>
      </c>
      <c r="H7">
        <f>VLOOKUP($F7,Отчет!$F$4:$K$603,6,FALSE)</f>
        <v>29</v>
      </c>
      <c r="I7" t="str">
        <f>HLOOKUP($H7,Отчет!$N$3:$R$4,2,TRUE)</f>
        <v>0-500</v>
      </c>
      <c r="AY7" s="1" t="s">
        <v>568</v>
      </c>
      <c r="AZ7" s="1" t="str">
        <f>VLOOKUP(AY7,Отчет!$F:$G,2,0)</f>
        <v>prtrxih4w</v>
      </c>
      <c r="BA7" s="1" t="str">
        <f>VLOOKUP(VLOOKUP(AY7,Отчет!$F:$G,2,0),Партнеры!$F:$G,2,0)</f>
        <v>TechFin Studio</v>
      </c>
      <c r="BB7" s="1" t="str">
        <f>VLOOKUP(AZ7,Партнеры!$F:$G,2,0)</f>
        <v>TechFin Studio</v>
      </c>
      <c r="BC7" s="6">
        <f>VLOOKUP(AY7,Отчет!$F:$K,6,0)</f>
        <v>29</v>
      </c>
      <c r="BD7" s="1" t="str">
        <f>HLOOKUP(BC7,Отчет!$N$3:$R$4,2,1)</f>
        <v>0-500</v>
      </c>
    </row>
    <row r="8" spans="6:56" x14ac:dyDescent="0.25">
      <c r="F8" t="s">
        <v>412</v>
      </c>
      <c r="G8" t="str">
        <f>VLOOKUP(VLOOKUP($F8,Отчет!$F$4:$K$603,2,FALSE),Партнеры!$F$4:$G$53,2,FALSE)</f>
        <v>FinFlow Technologies</v>
      </c>
      <c r="H8">
        <f>VLOOKUP($F8,Отчет!$F$4:$K$603,6,FALSE)</f>
        <v>1526</v>
      </c>
      <c r="I8" t="str">
        <f>HLOOKUP($H8,Отчет!$N$3:$R$4,2,TRUE)</f>
        <v>1,5-2,5к</v>
      </c>
      <c r="AY8" s="1" t="s">
        <v>412</v>
      </c>
      <c r="AZ8" s="1" t="str">
        <f>VLOOKUP(AY8,Отчет!$F:$G,2,0)</f>
        <v>prtrbmh6t</v>
      </c>
      <c r="BA8" s="1" t="str">
        <f>VLOOKUP(VLOOKUP(AY8,Отчет!$F:$G,2,0),Партнеры!$F:$G,2,0)</f>
        <v>FinFlow Technologies</v>
      </c>
      <c r="BB8" s="1" t="str">
        <f>VLOOKUP(AZ8,Партнеры!$F:$G,2,0)</f>
        <v>FinFlow Technologies</v>
      </c>
      <c r="BC8" s="6">
        <f>VLOOKUP(AY8,Отчет!$F:$K,6,0)</f>
        <v>1526</v>
      </c>
      <c r="BD8" s="1" t="str">
        <f>HLOOKUP(BC8,Отчет!$N$3:$R$4,2,1)</f>
        <v>1,5-2,5к</v>
      </c>
    </row>
    <row r="9" spans="6:56" x14ac:dyDescent="0.25">
      <c r="F9" t="s">
        <v>677</v>
      </c>
      <c r="G9" t="str">
        <f>VLOOKUP(VLOOKUP($F9,Отчет!$F$4:$K$603,2,FALSE),Партнеры!$F$4:$G$53,2,FALSE)</f>
        <v>EcomConnect Partners (ECP)</v>
      </c>
      <c r="H9">
        <f>VLOOKUP($F9,Отчет!$F$4:$K$603,6,FALSE)</f>
        <v>2749</v>
      </c>
      <c r="I9" t="str">
        <f>HLOOKUP($H9,Отчет!$N$3:$R$4,2,TRUE)</f>
        <v>2,5к и более</v>
      </c>
      <c r="AY9" s="1" t="s">
        <v>677</v>
      </c>
      <c r="AZ9" s="1" t="str">
        <f>VLOOKUP(AY9,Отчет!$F:$G,2,0)</f>
        <v>prtru0tfb</v>
      </c>
      <c r="BA9" s="1" t="str">
        <f>VLOOKUP(VLOOKUP(AY9,Отчет!$F:$G,2,0),Партнеры!$F:$G,2,0)</f>
        <v>EcomConnect Partners (ECP)</v>
      </c>
      <c r="BB9" s="1" t="str">
        <f>VLOOKUP(AZ9,Партнеры!$F:$G,2,0)</f>
        <v>EcomConnect Partners (ECP)</v>
      </c>
      <c r="BC9" s="6">
        <f>VLOOKUP(AY9,Отчет!$F:$K,6,0)</f>
        <v>2749</v>
      </c>
      <c r="BD9" s="1" t="str">
        <f>HLOOKUP(BC9,Отчет!$N$3:$R$4,2,1)</f>
        <v>2,5к и более</v>
      </c>
    </row>
    <row r="10" spans="6:56" x14ac:dyDescent="0.25">
      <c r="F10" t="s">
        <v>526</v>
      </c>
      <c r="G10" t="str">
        <f>VLOOKUP(VLOOKUP($F10,Отчет!$F$4:$K$603,2,FALSE),Партнеры!$F$4:$G$53,2,FALSE)</f>
        <v>EcomTrail Partners</v>
      </c>
      <c r="H10">
        <f>VLOOKUP($F10,Отчет!$F$4:$K$603,6,FALSE)</f>
        <v>2161</v>
      </c>
      <c r="I10" t="str">
        <f>HLOOKUP($H10,Отчет!$N$3:$R$4,2,TRUE)</f>
        <v>1,5-2,5к</v>
      </c>
      <c r="AY10" s="1" t="s">
        <v>526</v>
      </c>
      <c r="AZ10" s="1" t="str">
        <f>VLOOKUP(AY10,Отчет!$F:$G,2,0)</f>
        <v>prtr00z3s</v>
      </c>
      <c r="BA10" s="1" t="str">
        <f>VLOOKUP(VLOOKUP(AY10,Отчет!$F:$G,2,0),Партнеры!$F:$G,2,0)</f>
        <v>EcomTrail Partners</v>
      </c>
      <c r="BB10" s="1" t="str">
        <f>VLOOKUP(AZ10,Партнеры!$F:$G,2,0)</f>
        <v>EcomTrail Partners</v>
      </c>
      <c r="BC10" s="6">
        <f>VLOOKUP(AY10,Отчет!$F:$K,6,0)</f>
        <v>2161</v>
      </c>
      <c r="BD10" s="1" t="str">
        <f>HLOOKUP(BC10,Отчет!$N$3:$R$4,2,1)</f>
        <v>1,5-2,5к</v>
      </c>
    </row>
    <row r="11" spans="6:56" x14ac:dyDescent="0.25">
      <c r="F11" t="s">
        <v>123</v>
      </c>
      <c r="G11" t="str">
        <f>VLOOKUP(VLOOKUP($F11,Отчет!$F$4:$K$603,2,FALSE),Партнеры!$F$4:$G$53,2,FALSE)</f>
        <v>FinTech Hub</v>
      </c>
      <c r="H11">
        <f>VLOOKUP($F11,Отчет!$F$4:$K$603,6,FALSE)</f>
        <v>2316</v>
      </c>
      <c r="I11" t="str">
        <f>HLOOKUP($H11,Отчет!$N$3:$R$4,2,TRUE)</f>
        <v>1,5-2,5к</v>
      </c>
      <c r="AY11" s="1" t="s">
        <v>123</v>
      </c>
      <c r="AZ11" s="1" t="str">
        <f>VLOOKUP(AY11,Отчет!$F:$G,2,0)</f>
        <v>prtr9jqee</v>
      </c>
      <c r="BA11" s="1" t="str">
        <f>VLOOKUP(VLOOKUP(AY11,Отчет!$F:$G,2,0),Партнеры!$F:$G,2,0)</f>
        <v>FinTech Hub</v>
      </c>
      <c r="BB11" s="1" t="str">
        <f>VLOOKUP(AZ11,Партнеры!$F:$G,2,0)</f>
        <v>FinTech Hub</v>
      </c>
      <c r="BC11" s="6">
        <f>VLOOKUP(AY11,Отчет!$F:$K,6,0)</f>
        <v>2316</v>
      </c>
      <c r="BD11" s="1" t="str">
        <f>HLOOKUP(BC11,Отчет!$N$3:$R$4,2,1)</f>
        <v>1,5-2,5к</v>
      </c>
    </row>
    <row r="12" spans="6:56" x14ac:dyDescent="0.25">
      <c r="F12" t="s">
        <v>683</v>
      </c>
      <c r="G12" t="str">
        <f>VLOOKUP(VLOOKUP($F12,Отчет!$F$4:$K$603,2,FALSE),Партнеры!$F$4:$G$53,2,FALSE)</f>
        <v>SmartCommerce Lab</v>
      </c>
      <c r="H12">
        <f>VLOOKUP($F12,Отчет!$F$4:$K$603,6,FALSE)</f>
        <v>1834</v>
      </c>
      <c r="I12" t="str">
        <f>HLOOKUP($H12,Отчет!$N$3:$R$4,2,TRUE)</f>
        <v>1,5-2,5к</v>
      </c>
      <c r="AY12" s="1" t="s">
        <v>683</v>
      </c>
      <c r="AZ12" s="1" t="str">
        <f>VLOOKUP(AY12,Отчет!$F:$G,2,0)</f>
        <v>prtrcbe4z</v>
      </c>
      <c r="BA12" s="1" t="str">
        <f>VLOOKUP(VLOOKUP(AY12,Отчет!$F:$G,2,0),Партнеры!$F:$G,2,0)</f>
        <v>SmartCommerce Lab</v>
      </c>
      <c r="BB12" s="1" t="str">
        <f>VLOOKUP(AZ12,Партнеры!$F:$G,2,0)</f>
        <v>SmartCommerce Lab</v>
      </c>
      <c r="BC12" s="6">
        <f>VLOOKUP(AY12,Отчет!$F:$K,6,0)</f>
        <v>1834</v>
      </c>
      <c r="BD12" s="1" t="str">
        <f>HLOOKUP(BC12,Отчет!$N$3:$R$4,2,1)</f>
        <v>1,5-2,5к</v>
      </c>
    </row>
    <row r="13" spans="6:56" x14ac:dyDescent="0.25">
      <c r="F13" t="s">
        <v>169</v>
      </c>
      <c r="G13" t="str">
        <f>VLOOKUP(VLOOKUP($F13,Отчет!$F$4:$K$603,2,FALSE),Партнеры!$F$4:$G$53,2,FALSE)</f>
        <v>Marketology Experts (MEX)</v>
      </c>
      <c r="H13">
        <f>VLOOKUP($F13,Отчет!$F$4:$K$603,6,FALSE)</f>
        <v>3544</v>
      </c>
      <c r="I13" t="str">
        <f>HLOOKUP($H13,Отчет!$N$3:$R$4,2,TRUE)</f>
        <v>2,5к и более</v>
      </c>
      <c r="AY13" s="1" t="s">
        <v>169</v>
      </c>
      <c r="AZ13" s="1" t="str">
        <f>VLOOKUP(AY13,Отчет!$F:$G,2,0)</f>
        <v>prtrjzevz</v>
      </c>
      <c r="BA13" s="1" t="str">
        <f>VLOOKUP(VLOOKUP(AY13,Отчет!$F:$G,2,0),Партнеры!$F:$G,2,0)</f>
        <v>Marketology Experts (MEX)</v>
      </c>
      <c r="BB13" s="1" t="str">
        <f>VLOOKUP(AZ13,Партнеры!$F:$G,2,0)</f>
        <v>Marketology Experts (MEX)</v>
      </c>
      <c r="BC13" s="6">
        <f>VLOOKUP(AY13,Отчет!$F:$K,6,0)</f>
        <v>3544</v>
      </c>
      <c r="BD13" s="1" t="str">
        <f>HLOOKUP(BC13,Отчет!$N$3:$R$4,2,1)</f>
        <v>2,5к и более</v>
      </c>
    </row>
    <row r="14" spans="6:56" x14ac:dyDescent="0.25">
      <c r="F14" t="s">
        <v>670</v>
      </c>
      <c r="G14" t="str">
        <f>VLOOKUP(VLOOKUP($F14,Отчет!$F$4:$K$603,2,FALSE),Партнеры!$F$4:$G$53,2,FALSE)</f>
        <v>EcomConnect Partners (ECP)</v>
      </c>
      <c r="H14">
        <f>VLOOKUP($F14,Отчет!$F$4:$K$603,6,FALSE)</f>
        <v>501</v>
      </c>
      <c r="I14" t="str">
        <f>HLOOKUP($H14,Отчет!$N$3:$R$4,2,TRUE)</f>
        <v>500-1к</v>
      </c>
      <c r="AY14" s="1" t="s">
        <v>670</v>
      </c>
      <c r="AZ14" s="1" t="str">
        <f>VLOOKUP(AY14,Отчет!$F:$G,2,0)</f>
        <v>prtru0tfb</v>
      </c>
      <c r="BA14" s="1" t="str">
        <f>VLOOKUP(VLOOKUP(AY14,Отчет!$F:$G,2,0),Партнеры!$F:$G,2,0)</f>
        <v>EcomConnect Partners (ECP)</v>
      </c>
      <c r="BB14" s="1" t="str">
        <f>VLOOKUP(AZ14,Партнеры!$F:$G,2,0)</f>
        <v>EcomConnect Partners (ECP)</v>
      </c>
      <c r="BC14" s="6">
        <f>VLOOKUP(AY14,Отчет!$F:$K,6,0)</f>
        <v>501</v>
      </c>
      <c r="BD14" s="1" t="str">
        <f>HLOOKUP(BC14,Отчет!$N$3:$R$4,2,1)</f>
        <v>500-1к</v>
      </c>
    </row>
    <row r="15" spans="6:56" x14ac:dyDescent="0.25">
      <c r="F15" t="s">
        <v>339</v>
      </c>
      <c r="G15" t="str">
        <f>VLOOKUP(VLOOKUP($F15,Отчет!$F$4:$K$603,2,FALSE),Партнеры!$F$4:$G$53,2,FALSE)</f>
        <v>PrimeMarketplace</v>
      </c>
      <c r="H15">
        <f>VLOOKUP($F15,Отчет!$F$4:$K$603,6,FALSE)</f>
        <v>34</v>
      </c>
      <c r="I15" t="str">
        <f>HLOOKUP($H15,Отчет!$N$3:$R$4,2,TRUE)</f>
        <v>0-500</v>
      </c>
      <c r="AY15" s="1" t="s">
        <v>339</v>
      </c>
      <c r="AZ15" s="1" t="str">
        <f>VLOOKUP(AY15,Отчет!$F:$G,2,0)</f>
        <v>prtr6is7y</v>
      </c>
      <c r="BA15" s="1" t="str">
        <f>VLOOKUP(VLOOKUP(AY15,Отчет!$F:$G,2,0),Партнеры!$F:$G,2,0)</f>
        <v>PrimeMarketplace</v>
      </c>
      <c r="BB15" s="1" t="str">
        <f>VLOOKUP(AZ15,Партнеры!$F:$G,2,0)</f>
        <v>PrimeMarketplace</v>
      </c>
      <c r="BC15" s="6">
        <f>VLOOKUP(AY15,Отчет!$F:$K,6,0)</f>
        <v>34</v>
      </c>
      <c r="BD15" s="1" t="str">
        <f>HLOOKUP(BC15,Отчет!$N$3:$R$4,2,1)</f>
        <v>0-500</v>
      </c>
    </row>
    <row r="16" spans="6:56" x14ac:dyDescent="0.25">
      <c r="F16" t="s">
        <v>425</v>
      </c>
      <c r="G16" t="str">
        <f>VLOOKUP(VLOOKUP($F16,Отчет!$F$4:$K$603,2,FALSE),Партнеры!$F$4:$G$53,2,FALSE)</f>
        <v>Marketplace Synergy</v>
      </c>
      <c r="H16">
        <f>VLOOKUP($F16,Отчет!$F$4:$K$603,6,FALSE)</f>
        <v>234</v>
      </c>
      <c r="I16" t="str">
        <f>HLOOKUP($H16,Отчет!$N$3:$R$4,2,TRUE)</f>
        <v>0-500</v>
      </c>
      <c r="AY16" s="1" t="s">
        <v>425</v>
      </c>
      <c r="AZ16" s="1" t="str">
        <f>VLOOKUP(AY16,Отчет!$F:$G,2,0)</f>
        <v>prtrv9tw5</v>
      </c>
      <c r="BA16" s="1" t="str">
        <f>VLOOKUP(VLOOKUP(AY16,Отчет!$F:$G,2,0),Партнеры!$F:$G,2,0)</f>
        <v>Marketplace Synergy</v>
      </c>
      <c r="BB16" s="1" t="str">
        <f>VLOOKUP(AZ16,Партнеры!$F:$G,2,0)</f>
        <v>Marketplace Synergy</v>
      </c>
      <c r="BC16" s="6">
        <f>VLOOKUP(AY16,Отчет!$F:$K,6,0)</f>
        <v>234</v>
      </c>
      <c r="BD16" s="1" t="str">
        <f>HLOOKUP(BC16,Отчет!$N$3:$R$4,2,1)</f>
        <v>0-500</v>
      </c>
    </row>
    <row r="17" spans="6:56" x14ac:dyDescent="0.25">
      <c r="F17" t="s">
        <v>686</v>
      </c>
      <c r="G17" t="str">
        <f>VLOOKUP(VLOOKUP($F17,Отчет!$F$4:$K$603,2,FALSE),Партнеры!$F$4:$G$53,2,FALSE)</f>
        <v>SmartCommerce Lab</v>
      </c>
      <c r="H17">
        <f>VLOOKUP($F17,Отчет!$F$4:$K$603,6,FALSE)</f>
        <v>2270</v>
      </c>
      <c r="I17" t="str">
        <f>HLOOKUP($H17,Отчет!$N$3:$R$4,2,TRUE)</f>
        <v>1,5-2,5к</v>
      </c>
      <c r="AY17" s="1" t="s">
        <v>686</v>
      </c>
      <c r="AZ17" s="1" t="str">
        <f>VLOOKUP(AY17,Отчет!$F:$G,2,0)</f>
        <v>prtrcbe4z</v>
      </c>
      <c r="BA17" s="1" t="str">
        <f>VLOOKUP(VLOOKUP(AY17,Отчет!$F:$G,2,0),Партнеры!$F:$G,2,0)</f>
        <v>SmartCommerce Lab</v>
      </c>
      <c r="BB17" s="1" t="str">
        <f>VLOOKUP(AZ17,Партнеры!$F:$G,2,0)</f>
        <v>SmartCommerce Lab</v>
      </c>
      <c r="BC17" s="6">
        <f>VLOOKUP(AY17,Отчет!$F:$K,6,0)</f>
        <v>2270</v>
      </c>
      <c r="BD17" s="1" t="str">
        <f>HLOOKUP(BC17,Отчет!$N$3:$R$4,2,1)</f>
        <v>1,5-2,5к</v>
      </c>
    </row>
    <row r="18" spans="6:56" x14ac:dyDescent="0.25">
      <c r="F18" t="s">
        <v>292</v>
      </c>
      <c r="G18" t="str">
        <f>VLOOKUP(VLOOKUP($F18,Отчет!$F$4:$K$603,2,FALSE),Партнеры!$F$4:$G$53,2,FALSE)</f>
        <v>FinOptim Strategies</v>
      </c>
      <c r="H18">
        <f>VLOOKUP($F18,Отчет!$F$4:$K$603,6,FALSE)</f>
        <v>695</v>
      </c>
      <c r="I18" t="str">
        <f>HLOOKUP($H18,Отчет!$N$3:$R$4,2,TRUE)</f>
        <v>500-1к</v>
      </c>
      <c r="AY18" s="1" t="s">
        <v>292</v>
      </c>
      <c r="AZ18" s="1" t="str">
        <f>VLOOKUP(AY18,Отчет!$F:$G,2,0)</f>
        <v>prtr7q54o</v>
      </c>
      <c r="BA18" s="1" t="str">
        <f>VLOOKUP(VLOOKUP(AY18,Отчет!$F:$G,2,0),Партнеры!$F:$G,2,0)</f>
        <v>FinOptim Strategies</v>
      </c>
      <c r="BB18" s="1" t="str">
        <f>VLOOKUP(AZ18,Партнеры!$F:$G,2,0)</f>
        <v>FinOptim Strategies</v>
      </c>
      <c r="BC18" s="6">
        <f>VLOOKUP(AY18,Отчет!$F:$K,6,0)</f>
        <v>695</v>
      </c>
      <c r="BD18" s="1" t="str">
        <f>HLOOKUP(BC18,Отчет!$N$3:$R$4,2,1)</f>
        <v>500-1к</v>
      </c>
    </row>
    <row r="19" spans="6:56" x14ac:dyDescent="0.25">
      <c r="F19" t="s">
        <v>485</v>
      </c>
      <c r="G19" t="str">
        <f>VLOOKUP(VLOOKUP($F19,Отчет!$F$4:$K$603,2,FALSE),Партнеры!$F$4:$G$53,2,FALSE)</f>
        <v>FinScale Strategies</v>
      </c>
      <c r="H19">
        <f>VLOOKUP($F19,Отчет!$F$4:$K$603,6,FALSE)</f>
        <v>63</v>
      </c>
      <c r="I19" t="str">
        <f>HLOOKUP($H19,Отчет!$N$3:$R$4,2,TRUE)</f>
        <v>0-500</v>
      </c>
      <c r="AY19" s="1" t="s">
        <v>485</v>
      </c>
      <c r="AZ19" s="1" t="str">
        <f>VLOOKUP(AY19,Отчет!$F:$G,2,0)</f>
        <v>prtr18c9h</v>
      </c>
      <c r="BA19" s="1" t="str">
        <f>VLOOKUP(VLOOKUP(AY19,Отчет!$F:$G,2,0),Партнеры!$F:$G,2,0)</f>
        <v>FinScale Strategies</v>
      </c>
      <c r="BB19" s="1" t="str">
        <f>VLOOKUP(AZ19,Партнеры!$F:$G,2,0)</f>
        <v>FinScale Strategies</v>
      </c>
      <c r="BC19" s="6">
        <f>VLOOKUP(AY19,Отчет!$F:$K,6,0)</f>
        <v>63</v>
      </c>
      <c r="BD19" s="1" t="str">
        <f>HLOOKUP(BC19,Отчет!$N$3:$R$4,2,1)</f>
        <v>0-500</v>
      </c>
    </row>
    <row r="20" spans="6:56" x14ac:dyDescent="0.25">
      <c r="F20" t="s">
        <v>381</v>
      </c>
      <c r="G20" t="str">
        <f>VLOOKUP(VLOOKUP($F20,Отчет!$F$4:$K$603,2,FALSE),Партнеры!$F$4:$G$53,2,FALSE)</f>
        <v>FinGo Analytics</v>
      </c>
      <c r="H20">
        <f>VLOOKUP($F20,Отчет!$F$4:$K$603,6,FALSE)</f>
        <v>334</v>
      </c>
      <c r="I20" t="str">
        <f>HLOOKUP($H20,Отчет!$N$3:$R$4,2,TRUE)</f>
        <v>0-500</v>
      </c>
      <c r="AY20" s="1" t="s">
        <v>381</v>
      </c>
      <c r="AZ20" s="1" t="str">
        <f>VLOOKUP(AY20,Отчет!$F:$G,2,0)</f>
        <v>prtrsyyx1</v>
      </c>
      <c r="BA20" s="1" t="str">
        <f>VLOOKUP(VLOOKUP(AY20,Отчет!$F:$G,2,0),Партнеры!$F:$G,2,0)</f>
        <v>FinGo Analytics</v>
      </c>
      <c r="BB20" s="1" t="str">
        <f>VLOOKUP(AZ20,Партнеры!$F:$G,2,0)</f>
        <v>FinGo Analytics</v>
      </c>
      <c r="BC20" s="6">
        <f>VLOOKUP(AY20,Отчет!$F:$K,6,0)</f>
        <v>334</v>
      </c>
      <c r="BD20" s="1" t="str">
        <f>HLOOKUP(BC20,Отчет!$N$3:$R$4,2,1)</f>
        <v>0-500</v>
      </c>
    </row>
    <row r="21" spans="6:56" x14ac:dyDescent="0.25">
      <c r="F21" t="s">
        <v>251</v>
      </c>
      <c r="G21" t="str">
        <f>VLOOKUP(VLOOKUP($F21,Отчет!$F$4:$K$603,2,FALSE),Партнеры!$F$4:$G$53,2,FALSE)</f>
        <v>FinEdge Solutions (FES)</v>
      </c>
      <c r="H21">
        <f>VLOOKUP($F21,Отчет!$F$4:$K$603,6,FALSE)</f>
        <v>121</v>
      </c>
      <c r="I21" t="str">
        <f>HLOOKUP($H21,Отчет!$N$3:$R$4,2,TRUE)</f>
        <v>0-500</v>
      </c>
      <c r="AY21" s="1" t="s">
        <v>251</v>
      </c>
      <c r="AZ21" s="1" t="str">
        <f>VLOOKUP(AY21,Отчет!$F:$G,2,0)</f>
        <v>prtr99kmo</v>
      </c>
      <c r="BA21" s="1" t="str">
        <f>VLOOKUP(VLOOKUP(AY21,Отчет!$F:$G,2,0),Партнеры!$F:$G,2,0)</f>
        <v>FinEdge Solutions (FES)</v>
      </c>
      <c r="BB21" s="1" t="str">
        <f>VLOOKUP(AZ21,Партнеры!$F:$G,2,0)</f>
        <v>FinEdge Solutions (FES)</v>
      </c>
      <c r="BC21" s="6">
        <f>VLOOKUP(AY21,Отчет!$F:$K,6,0)</f>
        <v>121</v>
      </c>
      <c r="BD21" s="1" t="str">
        <f>HLOOKUP(BC21,Отчет!$N$3:$R$4,2,1)</f>
        <v>0-500</v>
      </c>
    </row>
    <row r="22" spans="6:56" x14ac:dyDescent="0.25">
      <c r="F22" t="s">
        <v>213</v>
      </c>
      <c r="G22" t="str">
        <f>VLOOKUP(VLOOKUP($F22,Отчет!$F$4:$K$603,2,FALSE),Партнеры!$F$4:$G$53,2,FALSE)</f>
        <v>DataFin Marketers (DFM)</v>
      </c>
      <c r="H22">
        <f>VLOOKUP($F22,Отчет!$F$4:$K$603,6,FALSE)</f>
        <v>2796</v>
      </c>
      <c r="I22" t="str">
        <f>HLOOKUP($H22,Отчет!$N$3:$R$4,2,TRUE)</f>
        <v>2,5к и более</v>
      </c>
      <c r="AY22" s="1" t="s">
        <v>213</v>
      </c>
      <c r="AZ22" s="1" t="str">
        <f>VLOOKUP(AY22,Отчет!$F:$G,2,0)</f>
        <v>prtr2fs62</v>
      </c>
      <c r="BA22" s="1" t="str">
        <f>VLOOKUP(VLOOKUP(AY22,Отчет!$F:$G,2,0),Партнеры!$F:$G,2,0)</f>
        <v>DataFin Marketers (DFM)</v>
      </c>
      <c r="BB22" s="1" t="str">
        <f>VLOOKUP(AZ22,Партнеры!$F:$G,2,0)</f>
        <v>DataFin Marketers (DFM)</v>
      </c>
      <c r="BC22" s="6">
        <f>VLOOKUP(AY22,Отчет!$F:$K,6,0)</f>
        <v>2796</v>
      </c>
      <c r="BD22" s="1" t="str">
        <f>HLOOKUP(BC22,Отчет!$N$3:$R$4,2,1)</f>
        <v>2,5к и более</v>
      </c>
    </row>
    <row r="23" spans="6:56" x14ac:dyDescent="0.25">
      <c r="F23" t="s">
        <v>238</v>
      </c>
      <c r="G23" t="str">
        <f>VLOOKUP(VLOOKUP($F23,Отчет!$F$4:$K$603,2,FALSE),Партнеры!$F$4:$G$53,2,FALSE)</f>
        <v>MarketUp Pro</v>
      </c>
      <c r="H23">
        <f>VLOOKUP($F23,Отчет!$F$4:$K$603,6,FALSE)</f>
        <v>82</v>
      </c>
      <c r="I23" t="str">
        <f>HLOOKUP($H23,Отчет!$N$3:$R$4,2,TRUE)</f>
        <v>0-500</v>
      </c>
      <c r="AY23" s="1" t="s">
        <v>238</v>
      </c>
      <c r="AZ23" s="1" t="str">
        <f>VLOOKUP(AY23,Отчет!$F:$G,2,0)</f>
        <v>prtrpfaf0</v>
      </c>
      <c r="BA23" s="1" t="str">
        <f>VLOOKUP(VLOOKUP(AY23,Отчет!$F:$G,2,0),Партнеры!$F:$G,2,0)</f>
        <v>MarketUp Pro</v>
      </c>
      <c r="BB23" s="1" t="str">
        <f>VLOOKUP(AZ23,Партнеры!$F:$G,2,0)</f>
        <v>MarketUp Pro</v>
      </c>
      <c r="BC23" s="6">
        <f>VLOOKUP(AY23,Отчет!$F:$K,6,0)</f>
        <v>82</v>
      </c>
      <c r="BD23" s="1" t="str">
        <f>HLOOKUP(BC23,Отчет!$N$3:$R$4,2,1)</f>
        <v>0-500</v>
      </c>
    </row>
    <row r="24" spans="6:56" x14ac:dyDescent="0.25">
      <c r="F24" t="s">
        <v>416</v>
      </c>
      <c r="G24" t="str">
        <f>VLOOKUP(VLOOKUP($F24,Отчет!$F$4:$K$603,2,FALSE),Партнеры!$F$4:$G$53,2,FALSE)</f>
        <v>FinFlow Technologies</v>
      </c>
      <c r="H24">
        <f>VLOOKUP($F24,Отчет!$F$4:$K$603,6,FALSE)</f>
        <v>954</v>
      </c>
      <c r="I24" t="str">
        <f>HLOOKUP($H24,Отчет!$N$3:$R$4,2,TRUE)</f>
        <v>500-1к</v>
      </c>
      <c r="AY24" s="1" t="s">
        <v>416</v>
      </c>
      <c r="AZ24" s="1" t="str">
        <f>VLOOKUP(AY24,Отчет!$F:$G,2,0)</f>
        <v>prtrbmh6t</v>
      </c>
      <c r="BA24" s="1" t="str">
        <f>VLOOKUP(VLOOKUP(AY24,Отчет!$F:$G,2,0),Партнеры!$F:$G,2,0)</f>
        <v>FinFlow Technologies</v>
      </c>
      <c r="BB24" s="1" t="str">
        <f>VLOOKUP(AZ24,Партнеры!$F:$G,2,0)</f>
        <v>FinFlow Technologies</v>
      </c>
      <c r="BC24" s="6">
        <f>VLOOKUP(AY24,Отчет!$F:$K,6,0)</f>
        <v>954</v>
      </c>
      <c r="BD24" s="1" t="str">
        <f>HLOOKUP(BC24,Отчет!$N$3:$R$4,2,1)</f>
        <v>500-1к</v>
      </c>
    </row>
    <row r="25" spans="6:56" x14ac:dyDescent="0.25">
      <c r="F25" t="s">
        <v>641</v>
      </c>
      <c r="G25" t="str">
        <f>VLOOKUP(VLOOKUP($F25,Отчет!$F$4:$K$603,2,FALSE),Партнеры!$F$4:$G$53,2,FALSE)</f>
        <v>FinSync Dynamics</v>
      </c>
      <c r="H25">
        <f>VLOOKUP($F25,Отчет!$F$4:$K$603,6,FALSE)</f>
        <v>2208</v>
      </c>
      <c r="I25" t="str">
        <f>HLOOKUP($H25,Отчет!$N$3:$R$4,2,TRUE)</f>
        <v>1,5-2,5к</v>
      </c>
      <c r="AY25" s="1" t="s">
        <v>641</v>
      </c>
      <c r="AZ25" s="1" t="str">
        <f>VLOOKUP(AY25,Отчет!$F:$G,2,0)</f>
        <v>prtrjnlt5</v>
      </c>
      <c r="BA25" s="1" t="str">
        <f>VLOOKUP(VLOOKUP(AY25,Отчет!$F:$G,2,0),Партнеры!$F:$G,2,0)</f>
        <v>FinSync Dynamics</v>
      </c>
      <c r="BB25" s="1" t="str">
        <f>VLOOKUP(AZ25,Партнеры!$F:$G,2,0)</f>
        <v>FinSync Dynamics</v>
      </c>
      <c r="BC25" s="6">
        <f>VLOOKUP(AY25,Отчет!$F:$K,6,0)</f>
        <v>2208</v>
      </c>
      <c r="BD25" s="1" t="str">
        <f>HLOOKUP(BC25,Отчет!$N$3:$R$4,2,1)</f>
        <v>1,5-2,5к</v>
      </c>
    </row>
    <row r="26" spans="6:56" x14ac:dyDescent="0.25">
      <c r="F26" t="s">
        <v>404</v>
      </c>
      <c r="G26" t="str">
        <f>VLOOKUP(VLOOKUP($F26,Отчет!$F$4:$K$603,2,FALSE),Партнеры!$F$4:$G$53,2,FALSE)</f>
        <v>EcomPulse Agency (EPA)</v>
      </c>
      <c r="H26">
        <f>VLOOKUP($F26,Отчет!$F$4:$K$603,6,FALSE)</f>
        <v>2333</v>
      </c>
      <c r="I26" t="str">
        <f>HLOOKUP($H26,Отчет!$N$3:$R$4,2,TRUE)</f>
        <v>1,5-2,5к</v>
      </c>
      <c r="AY26" s="1" t="s">
        <v>404</v>
      </c>
      <c r="AZ26" s="1" t="str">
        <f>VLOOKUP(AY26,Отчет!$F:$G,2,0)</f>
        <v>prtrkvy0u</v>
      </c>
      <c r="BA26" s="1" t="str">
        <f>VLOOKUP(VLOOKUP(AY26,Отчет!$F:$G,2,0),Партнеры!$F:$G,2,0)</f>
        <v>EcomPulse Agency (EPA)</v>
      </c>
      <c r="BB26" s="1" t="str">
        <f>VLOOKUP(AZ26,Партнеры!$F:$G,2,0)</f>
        <v>EcomPulse Agency (EPA)</v>
      </c>
      <c r="BC26" s="6">
        <f>VLOOKUP(AY26,Отчет!$F:$K,6,0)</f>
        <v>2333</v>
      </c>
      <c r="BD26" s="1" t="str">
        <f>HLOOKUP(BC26,Отчет!$N$3:$R$4,2,1)</f>
        <v>1,5-2,5к</v>
      </c>
    </row>
    <row r="27" spans="6:56" x14ac:dyDescent="0.25">
      <c r="F27" t="s">
        <v>503</v>
      </c>
      <c r="G27" t="str">
        <f>VLOOKUP(VLOOKUP($F27,Отчет!$F$4:$K$603,2,FALSE),Партнеры!$F$4:$G$53,2,FALSE)</f>
        <v>PaySecure Systems (PSS)</v>
      </c>
      <c r="H27">
        <f>VLOOKUP($F27,Отчет!$F$4:$K$603,6,FALSE)</f>
        <v>2957</v>
      </c>
      <c r="I27" t="str">
        <f>HLOOKUP($H27,Отчет!$N$3:$R$4,2,TRUE)</f>
        <v>2,5к и более</v>
      </c>
      <c r="AY27" s="1" t="s">
        <v>503</v>
      </c>
      <c r="AZ27" s="1" t="str">
        <f>VLOOKUP(AY27,Отчет!$F:$G,2,0)</f>
        <v>prtrxtdf1</v>
      </c>
      <c r="BA27" s="1" t="str">
        <f>VLOOKUP(VLOOKUP(AY27,Отчет!$F:$G,2,0),Партнеры!$F:$G,2,0)</f>
        <v>PaySecure Systems (PSS)</v>
      </c>
      <c r="BB27" s="1" t="str">
        <f>VLOOKUP(AZ27,Партнеры!$F:$G,2,0)</f>
        <v>PaySecure Systems (PSS)</v>
      </c>
      <c r="BC27" s="6">
        <f>VLOOKUP(AY27,Отчет!$F:$K,6,0)</f>
        <v>2957</v>
      </c>
      <c r="BD27" s="1" t="str">
        <f>HLOOKUP(BC27,Отчет!$N$3:$R$4,2,1)</f>
        <v>2,5к и более</v>
      </c>
    </row>
    <row r="28" spans="6:56" x14ac:dyDescent="0.25">
      <c r="F28" t="s">
        <v>223</v>
      </c>
      <c r="G28" t="str">
        <f>VLOOKUP(VLOOKUP($F28,Отчет!$F$4:$K$603,2,FALSE),Партнеры!$F$4:$G$53,2,FALSE)</f>
        <v>EcomTech Ventures</v>
      </c>
      <c r="H28">
        <f>VLOOKUP($F28,Отчет!$F$4:$K$603,6,FALSE)</f>
        <v>515</v>
      </c>
      <c r="I28" t="str">
        <f>HLOOKUP($H28,Отчет!$N$3:$R$4,2,TRUE)</f>
        <v>500-1к</v>
      </c>
      <c r="AY28" s="1" t="s">
        <v>223</v>
      </c>
      <c r="AZ28" s="1" t="str">
        <f>VLOOKUP(AY28,Отчет!$F:$G,2,0)</f>
        <v>prtrvgnnm</v>
      </c>
      <c r="BA28" s="1" t="str">
        <f>VLOOKUP(VLOOKUP(AY28,Отчет!$F:$G,2,0),Партнеры!$F:$G,2,0)</f>
        <v>EcomTech Ventures</v>
      </c>
      <c r="BB28" s="1" t="str">
        <f>VLOOKUP(AZ28,Партнеры!$F:$G,2,0)</f>
        <v>EcomTech Ventures</v>
      </c>
      <c r="BC28" s="6">
        <f>VLOOKUP(AY28,Отчет!$F:$K,6,0)</f>
        <v>515</v>
      </c>
      <c r="BD28" s="1" t="str">
        <f>HLOOKUP(BC28,Отчет!$N$3:$R$4,2,1)</f>
        <v>500-1к</v>
      </c>
    </row>
    <row r="29" spans="6:56" x14ac:dyDescent="0.25">
      <c r="F29" t="s">
        <v>447</v>
      </c>
      <c r="G29" t="str">
        <f>VLOOKUP(VLOOKUP($F29,Отчет!$F$4:$K$603,2,FALSE),Партнеры!$F$4:$G$53,2,FALSE)</f>
        <v>FinBright Solutions (FBS)</v>
      </c>
      <c r="H29">
        <f>VLOOKUP($F29,Отчет!$F$4:$K$603,6,FALSE)</f>
        <v>28</v>
      </c>
      <c r="I29" t="str">
        <f>HLOOKUP($H29,Отчет!$N$3:$R$4,2,TRUE)</f>
        <v>0-500</v>
      </c>
      <c r="AY29" s="1" t="s">
        <v>447</v>
      </c>
      <c r="AZ29" s="1" t="str">
        <f>VLOOKUP(AY29,Отчет!$F:$G,2,0)</f>
        <v>prtr17gzd</v>
      </c>
      <c r="BA29" s="1" t="str">
        <f>VLOOKUP(VLOOKUP(AY29,Отчет!$F:$G,2,0),Партнеры!$F:$G,2,0)</f>
        <v>FinBright Solutions (FBS)</v>
      </c>
      <c r="BB29" s="1" t="str">
        <f>VLOOKUP(AZ29,Партнеры!$F:$G,2,0)</f>
        <v>FinBright Solutions (FBS)</v>
      </c>
      <c r="BC29" s="6">
        <f>VLOOKUP(AY29,Отчет!$F:$K,6,0)</f>
        <v>28</v>
      </c>
      <c r="BD29" s="1" t="str">
        <f>HLOOKUP(BC29,Отчет!$N$3:$R$4,2,1)</f>
        <v>0-500</v>
      </c>
    </row>
    <row r="30" spans="6:56" x14ac:dyDescent="0.25">
      <c r="F30" t="s">
        <v>407</v>
      </c>
      <c r="G30" t="str">
        <f>VLOOKUP(VLOOKUP($F30,Отчет!$F$4:$K$603,2,FALSE),Партнеры!$F$4:$G$53,2,FALSE)</f>
        <v>FinFlow Technologies</v>
      </c>
      <c r="H30">
        <f>VLOOKUP($F30,Отчет!$F$4:$K$603,6,FALSE)</f>
        <v>1626</v>
      </c>
      <c r="I30" t="str">
        <f>HLOOKUP($H30,Отчет!$N$3:$R$4,2,TRUE)</f>
        <v>1,5-2,5к</v>
      </c>
      <c r="AY30" s="1" t="s">
        <v>407</v>
      </c>
      <c r="AZ30" s="1" t="str">
        <f>VLOOKUP(AY30,Отчет!$F:$G,2,0)</f>
        <v>prtrbmh6t</v>
      </c>
      <c r="BA30" s="1" t="str">
        <f>VLOOKUP(VLOOKUP(AY30,Отчет!$F:$G,2,0),Партнеры!$F:$G,2,0)</f>
        <v>FinFlow Technologies</v>
      </c>
      <c r="BB30" s="1" t="str">
        <f>VLOOKUP(AZ30,Партнеры!$F:$G,2,0)</f>
        <v>FinFlow Technologies</v>
      </c>
      <c r="BC30" s="6">
        <f>VLOOKUP(AY30,Отчет!$F:$K,6,0)</f>
        <v>1626</v>
      </c>
      <c r="BD30" s="1" t="str">
        <f>HLOOKUP(BC30,Отчет!$N$3:$R$4,2,1)</f>
        <v>1,5-2,5к</v>
      </c>
    </row>
    <row r="31" spans="6:56" x14ac:dyDescent="0.25">
      <c r="F31" t="s">
        <v>662</v>
      </c>
      <c r="G31" t="str">
        <f>VLOOKUP(VLOOKUP($F31,Отчет!$F$4:$K$603,2,FALSE),Партнеры!$F$4:$G$53,2,FALSE)</f>
        <v>FinSphere Technologies</v>
      </c>
      <c r="H31">
        <f>VLOOKUP($F31,Отчет!$F$4:$K$603,6,FALSE)</f>
        <v>266</v>
      </c>
      <c r="I31" t="str">
        <f>HLOOKUP($H31,Отчет!$N$3:$R$4,2,TRUE)</f>
        <v>0-500</v>
      </c>
      <c r="AY31" s="1" t="s">
        <v>662</v>
      </c>
      <c r="AZ31" s="1" t="str">
        <f>VLOOKUP(AY31,Отчет!$F:$G,2,0)</f>
        <v>prtrvfqdh</v>
      </c>
      <c r="BA31" s="1" t="str">
        <f>VLOOKUP(VLOOKUP(AY31,Отчет!$F:$G,2,0),Партнеры!$F:$G,2,0)</f>
        <v>FinSphere Technologies</v>
      </c>
      <c r="BB31" s="1" t="str">
        <f>VLOOKUP(AZ31,Партнеры!$F:$G,2,0)</f>
        <v>FinSphere Technologies</v>
      </c>
      <c r="BC31" s="6">
        <f>VLOOKUP(AY31,Отчет!$F:$K,6,0)</f>
        <v>266</v>
      </c>
      <c r="BD31" s="1" t="str">
        <f>HLOOKUP(BC31,Отчет!$N$3:$R$4,2,1)</f>
        <v>0-500</v>
      </c>
    </row>
    <row r="32" spans="6:56" ht="15.75" thickBot="1" x14ac:dyDescent="0.3">
      <c r="F32" s="8" t="s">
        <v>373</v>
      </c>
      <c r="G32" s="8" t="str">
        <f>VLOOKUP(VLOOKUP($F32,Отчет!$F$4:$K$603,2,FALSE),Партнеры!$F$4:$G$53,2,FALSE)</f>
        <v>FinGo Analytics</v>
      </c>
      <c r="H32" s="8">
        <f>VLOOKUP($F32,Отчет!$F$4:$K$603,6,FALSE)</f>
        <v>2154</v>
      </c>
      <c r="I32" s="8" t="str">
        <f>HLOOKUP($H32,Отчет!$N$3:$R$4,2,TRUE)</f>
        <v>1,5-2,5к</v>
      </c>
      <c r="AY32" s="1" t="s">
        <v>373</v>
      </c>
      <c r="AZ32" s="1" t="str">
        <f>VLOOKUP(AY32,Отчет!$F:$G,2,0)</f>
        <v>prtrsyyx1</v>
      </c>
      <c r="BA32" s="1" t="str">
        <f>VLOOKUP(VLOOKUP(AY32,Отчет!$F:$G,2,0),Партнеры!$F:$G,2,0)</f>
        <v>FinGo Analytics</v>
      </c>
      <c r="BB32" s="1" t="str">
        <f>VLOOKUP(AZ32,Партнеры!$F:$G,2,0)</f>
        <v>FinGo Analytics</v>
      </c>
      <c r="BC32" s="6">
        <f>VLOOKUP(AY32,Отчет!$F:$K,6,0)</f>
        <v>2154</v>
      </c>
      <c r="BD32" s="1" t="str">
        <f>HLOOKUP(BC32,Отчет!$N$3:$R$4,2,1)</f>
        <v>1,5-2,5к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EFFD-1B4C-449D-B195-7F481F16DE0B}">
  <sheetPr>
    <tabColor rgb="FF00B050"/>
  </sheetPr>
  <dimension ref="A2:G53"/>
  <sheetViews>
    <sheetView zoomScale="55" zoomScaleNormal="55" workbookViewId="0">
      <selection activeCell="F4" sqref="F4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10" style="1" bestFit="1" customWidth="1"/>
    <col min="7" max="7" width="25.625" style="1" bestFit="1" customWidth="1"/>
    <col min="8" max="16384" width="8.625" style="1"/>
  </cols>
  <sheetData>
    <row r="2" spans="6:7" ht="15.75" thickBot="1" x14ac:dyDescent="0.3"/>
    <row r="3" spans="6:7" x14ac:dyDescent="0.25">
      <c r="F3" s="9" t="s">
        <v>1</v>
      </c>
      <c r="G3" s="9" t="s">
        <v>2</v>
      </c>
    </row>
    <row r="4" spans="6:7" x14ac:dyDescent="0.25">
      <c r="F4" t="s">
        <v>53</v>
      </c>
      <c r="G4" t="s">
        <v>3</v>
      </c>
    </row>
    <row r="5" spans="6:7" x14ac:dyDescent="0.25">
      <c r="F5" t="s">
        <v>54</v>
      </c>
      <c r="G5" t="s">
        <v>4</v>
      </c>
    </row>
    <row r="6" spans="6:7" x14ac:dyDescent="0.25">
      <c r="F6" t="s">
        <v>55</v>
      </c>
      <c r="G6" t="s">
        <v>5</v>
      </c>
    </row>
    <row r="7" spans="6:7" x14ac:dyDescent="0.25">
      <c r="F7" t="s">
        <v>56</v>
      </c>
      <c r="G7" t="s">
        <v>6</v>
      </c>
    </row>
    <row r="8" spans="6:7" x14ac:dyDescent="0.25">
      <c r="F8" t="s">
        <v>57</v>
      </c>
      <c r="G8" t="s">
        <v>7</v>
      </c>
    </row>
    <row r="9" spans="6:7" x14ac:dyDescent="0.25">
      <c r="F9" t="s">
        <v>58</v>
      </c>
      <c r="G9" t="s">
        <v>8</v>
      </c>
    </row>
    <row r="10" spans="6:7" x14ac:dyDescent="0.25">
      <c r="F10" t="s">
        <v>59</v>
      </c>
      <c r="G10" t="s">
        <v>9</v>
      </c>
    </row>
    <row r="11" spans="6:7" x14ac:dyDescent="0.25">
      <c r="F11" t="s">
        <v>60</v>
      </c>
      <c r="G11" t="s">
        <v>10</v>
      </c>
    </row>
    <row r="12" spans="6:7" x14ac:dyDescent="0.25">
      <c r="F12" t="s">
        <v>61</v>
      </c>
      <c r="G12" t="s">
        <v>11</v>
      </c>
    </row>
    <row r="13" spans="6:7" x14ac:dyDescent="0.25">
      <c r="F13" t="s">
        <v>62</v>
      </c>
      <c r="G13" t="s">
        <v>12</v>
      </c>
    </row>
    <row r="14" spans="6:7" x14ac:dyDescent="0.25">
      <c r="F14" t="s">
        <v>63</v>
      </c>
      <c r="G14" t="s">
        <v>13</v>
      </c>
    </row>
    <row r="15" spans="6:7" x14ac:dyDescent="0.25">
      <c r="F15" t="s">
        <v>64</v>
      </c>
      <c r="G15" t="s">
        <v>14</v>
      </c>
    </row>
    <row r="16" spans="6:7" x14ac:dyDescent="0.25">
      <c r="F16" t="s">
        <v>65</v>
      </c>
      <c r="G16" t="s">
        <v>15</v>
      </c>
    </row>
    <row r="17" spans="6:7" x14ac:dyDescent="0.25">
      <c r="F17" t="s">
        <v>66</v>
      </c>
      <c r="G17" t="s">
        <v>16</v>
      </c>
    </row>
    <row r="18" spans="6:7" x14ac:dyDescent="0.25">
      <c r="F18" t="s">
        <v>67</v>
      </c>
      <c r="G18" t="s">
        <v>17</v>
      </c>
    </row>
    <row r="19" spans="6:7" x14ac:dyDescent="0.25">
      <c r="F19" t="s">
        <v>68</v>
      </c>
      <c r="G19" t="s">
        <v>18</v>
      </c>
    </row>
    <row r="20" spans="6:7" x14ac:dyDescent="0.25">
      <c r="F20" t="s">
        <v>69</v>
      </c>
      <c r="G20" t="s">
        <v>19</v>
      </c>
    </row>
    <row r="21" spans="6:7" x14ac:dyDescent="0.25">
      <c r="F21" t="s">
        <v>70</v>
      </c>
      <c r="G21" t="s">
        <v>20</v>
      </c>
    </row>
    <row r="22" spans="6:7" x14ac:dyDescent="0.25">
      <c r="F22" t="s">
        <v>71</v>
      </c>
      <c r="G22" t="s">
        <v>21</v>
      </c>
    </row>
    <row r="23" spans="6:7" x14ac:dyDescent="0.25">
      <c r="F23" t="s">
        <v>72</v>
      </c>
      <c r="G23" t="s">
        <v>22</v>
      </c>
    </row>
    <row r="24" spans="6:7" x14ac:dyDescent="0.25">
      <c r="F24" t="s">
        <v>73</v>
      </c>
      <c r="G24" t="s">
        <v>23</v>
      </c>
    </row>
    <row r="25" spans="6:7" x14ac:dyDescent="0.25">
      <c r="F25" t="s">
        <v>74</v>
      </c>
      <c r="G25" t="s">
        <v>24</v>
      </c>
    </row>
    <row r="26" spans="6:7" x14ac:dyDescent="0.25">
      <c r="F26" t="s">
        <v>75</v>
      </c>
      <c r="G26" t="s">
        <v>25</v>
      </c>
    </row>
    <row r="27" spans="6:7" x14ac:dyDescent="0.25">
      <c r="F27" t="s">
        <v>76</v>
      </c>
      <c r="G27" t="s">
        <v>26</v>
      </c>
    </row>
    <row r="28" spans="6:7" x14ac:dyDescent="0.25">
      <c r="F28" t="s">
        <v>77</v>
      </c>
      <c r="G28" t="s">
        <v>27</v>
      </c>
    </row>
    <row r="29" spans="6:7" x14ac:dyDescent="0.25">
      <c r="F29" t="s">
        <v>78</v>
      </c>
      <c r="G29" t="s">
        <v>28</v>
      </c>
    </row>
    <row r="30" spans="6:7" x14ac:dyDescent="0.25">
      <c r="F30" t="s">
        <v>79</v>
      </c>
      <c r="G30" t="s">
        <v>29</v>
      </c>
    </row>
    <row r="31" spans="6:7" x14ac:dyDescent="0.25">
      <c r="F31" t="s">
        <v>80</v>
      </c>
      <c r="G31" t="s">
        <v>30</v>
      </c>
    </row>
    <row r="32" spans="6:7" x14ac:dyDescent="0.25">
      <c r="F32" t="s">
        <v>81</v>
      </c>
      <c r="G32" t="s">
        <v>31</v>
      </c>
    </row>
    <row r="33" spans="6:7" x14ac:dyDescent="0.25">
      <c r="F33" t="s">
        <v>82</v>
      </c>
      <c r="G33" t="s">
        <v>32</v>
      </c>
    </row>
    <row r="34" spans="6:7" x14ac:dyDescent="0.25">
      <c r="F34" t="s">
        <v>83</v>
      </c>
      <c r="G34" t="s">
        <v>33</v>
      </c>
    </row>
    <row r="35" spans="6:7" x14ac:dyDescent="0.25">
      <c r="F35" t="s">
        <v>84</v>
      </c>
      <c r="G35" t="s">
        <v>34</v>
      </c>
    </row>
    <row r="36" spans="6:7" x14ac:dyDescent="0.25">
      <c r="F36" t="s">
        <v>85</v>
      </c>
      <c r="G36" t="s">
        <v>35</v>
      </c>
    </row>
    <row r="37" spans="6:7" x14ac:dyDescent="0.25">
      <c r="F37" t="s">
        <v>86</v>
      </c>
      <c r="G37" t="s">
        <v>36</v>
      </c>
    </row>
    <row r="38" spans="6:7" x14ac:dyDescent="0.25">
      <c r="F38" t="s">
        <v>87</v>
      </c>
      <c r="G38" t="s">
        <v>37</v>
      </c>
    </row>
    <row r="39" spans="6:7" x14ac:dyDescent="0.25">
      <c r="F39" t="s">
        <v>88</v>
      </c>
      <c r="G39" t="s">
        <v>38</v>
      </c>
    </row>
    <row r="40" spans="6:7" x14ac:dyDescent="0.25">
      <c r="F40" t="s">
        <v>89</v>
      </c>
      <c r="G40" t="s">
        <v>39</v>
      </c>
    </row>
    <row r="41" spans="6:7" x14ac:dyDescent="0.25">
      <c r="F41" t="s">
        <v>90</v>
      </c>
      <c r="G41" t="s">
        <v>40</v>
      </c>
    </row>
    <row r="42" spans="6:7" x14ac:dyDescent="0.25">
      <c r="F42" t="s">
        <v>91</v>
      </c>
      <c r="G42" t="s">
        <v>41</v>
      </c>
    </row>
    <row r="43" spans="6:7" x14ac:dyDescent="0.25">
      <c r="F43" t="s">
        <v>92</v>
      </c>
      <c r="G43" t="s">
        <v>42</v>
      </c>
    </row>
    <row r="44" spans="6:7" x14ac:dyDescent="0.25">
      <c r="F44" t="s">
        <v>93</v>
      </c>
      <c r="G44" t="s">
        <v>43</v>
      </c>
    </row>
    <row r="45" spans="6:7" x14ac:dyDescent="0.25">
      <c r="F45" t="s">
        <v>94</v>
      </c>
      <c r="G45" t="s">
        <v>44</v>
      </c>
    </row>
    <row r="46" spans="6:7" x14ac:dyDescent="0.25">
      <c r="F46" t="s">
        <v>95</v>
      </c>
      <c r="G46" t="s">
        <v>45</v>
      </c>
    </row>
    <row r="47" spans="6:7" x14ac:dyDescent="0.25">
      <c r="F47" t="s">
        <v>96</v>
      </c>
      <c r="G47" t="s">
        <v>46</v>
      </c>
    </row>
    <row r="48" spans="6:7" x14ac:dyDescent="0.25">
      <c r="F48" t="s">
        <v>97</v>
      </c>
      <c r="G48" t="s">
        <v>47</v>
      </c>
    </row>
    <row r="49" spans="6:7" x14ac:dyDescent="0.25">
      <c r="F49" t="s">
        <v>98</v>
      </c>
      <c r="G49" t="s">
        <v>48</v>
      </c>
    </row>
    <row r="50" spans="6:7" x14ac:dyDescent="0.25">
      <c r="F50" t="s">
        <v>99</v>
      </c>
      <c r="G50" t="s">
        <v>49</v>
      </c>
    </row>
    <row r="51" spans="6:7" x14ac:dyDescent="0.25">
      <c r="F51" t="s">
        <v>100</v>
      </c>
      <c r="G51" t="s">
        <v>50</v>
      </c>
    </row>
    <row r="52" spans="6:7" x14ac:dyDescent="0.25">
      <c r="F52" t="s">
        <v>101</v>
      </c>
      <c r="G52" t="s">
        <v>51</v>
      </c>
    </row>
    <row r="53" spans="6:7" ht="15.75" thickBot="1" x14ac:dyDescent="0.3">
      <c r="F53" s="8" t="s">
        <v>102</v>
      </c>
      <c r="G53" s="8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2:CE603"/>
  <sheetViews>
    <sheetView topLeftCell="BG1" zoomScale="90" zoomScaleNormal="90" workbookViewId="0">
      <selection activeCell="BW27" sqref="BW27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3.75" style="1" bestFit="1" customWidth="1"/>
    <col min="6" max="6" width="13.125" style="1" bestFit="1" customWidth="1"/>
    <col min="7" max="7" width="10" style="1" bestFit="1" customWidth="1"/>
    <col min="8" max="8" width="9.125" style="1" bestFit="1" customWidth="1"/>
    <col min="9" max="9" width="11.375" style="1" bestFit="1" customWidth="1"/>
    <col min="10" max="10" width="7.75" style="1" bestFit="1" customWidth="1"/>
    <col min="11" max="11" width="11.625" style="1" bestFit="1" customWidth="1"/>
    <col min="12" max="12" width="8.625" style="1"/>
    <col min="13" max="14" width="12.5" style="1" bestFit="1" customWidth="1"/>
    <col min="15" max="15" width="8.75" style="1" bestFit="1" customWidth="1"/>
    <col min="16" max="16" width="5.75" style="1" bestFit="1" customWidth="1"/>
    <col min="17" max="17" width="8.375" style="1" bestFit="1" customWidth="1"/>
    <col min="18" max="18" width="11.5" style="1" bestFit="1" customWidth="1"/>
    <col min="19" max="45" width="8.625" style="1"/>
    <col min="46" max="47" width="5.5" style="2" customWidth="1"/>
    <col min="48" max="48" width="3.625" style="1" customWidth="1"/>
    <col min="49" max="49" width="13.5" style="1" bestFit="1" customWidth="1"/>
    <col min="50" max="50" width="26.375" style="1" bestFit="1" customWidth="1"/>
    <col min="51" max="51" width="11.375" style="1" bestFit="1" customWidth="1"/>
    <col min="52" max="52" width="8.625" style="1"/>
    <col min="53" max="53" width="6.125" style="1" customWidth="1"/>
    <col min="54" max="54" width="10.375" style="1" bestFit="1" customWidth="1"/>
    <col min="55" max="55" width="26.375" style="1" bestFit="1" customWidth="1"/>
    <col min="56" max="56" width="8.625" style="1"/>
    <col min="57" max="57" width="3.875" style="1" bestFit="1" customWidth="1"/>
    <col min="58" max="58" width="13.5" style="1" bestFit="1" customWidth="1"/>
    <col min="59" max="59" width="9.375" style="1" bestFit="1" customWidth="1"/>
    <col min="60" max="60" width="11.75" style="1" bestFit="1" customWidth="1"/>
    <col min="61" max="61" width="7.75" style="1" bestFit="1" customWidth="1"/>
    <col min="62" max="62" width="10.375" style="1" bestFit="1" customWidth="1"/>
    <col min="63" max="63" width="11.875" style="1" bestFit="1" customWidth="1"/>
    <col min="64" max="65" width="8.625" style="1"/>
    <col min="66" max="67" width="5.5" style="2" customWidth="1"/>
    <col min="68" max="68" width="8.625" style="1"/>
    <col min="69" max="69" width="19.125" style="1" bestFit="1" customWidth="1"/>
    <col min="70" max="70" width="3.875" style="1" bestFit="1" customWidth="1"/>
    <col min="71" max="71" width="10.375" style="1" bestFit="1" customWidth="1"/>
    <col min="72" max="72" width="11.75" style="1" bestFit="1" customWidth="1"/>
    <col min="73" max="73" width="7.75" style="1" bestFit="1" customWidth="1"/>
    <col min="74" max="74" width="11.875" style="1" bestFit="1" customWidth="1"/>
    <col min="75" max="77" width="6.125" style="1" customWidth="1"/>
    <col min="78" max="78" width="8.625" style="1"/>
    <col min="79" max="79" width="10.5" style="1" customWidth="1"/>
    <col min="80" max="16384" width="8.625" style="1"/>
  </cols>
  <sheetData>
    <row r="2" spans="5:83" ht="15.75" thickBot="1" x14ac:dyDescent="0.3"/>
    <row r="3" spans="5:83" x14ac:dyDescent="0.25">
      <c r="E3" s="9"/>
      <c r="F3" s="9" t="s">
        <v>104</v>
      </c>
      <c r="G3" s="9" t="s">
        <v>103</v>
      </c>
      <c r="H3" s="9" t="s">
        <v>105</v>
      </c>
      <c r="I3" s="9" t="s">
        <v>106</v>
      </c>
      <c r="J3" s="9" t="s">
        <v>107</v>
      </c>
      <c r="K3" s="9" t="s">
        <v>716</v>
      </c>
      <c r="M3" s="14" t="s">
        <v>724</v>
      </c>
      <c r="N3" s="14">
        <v>0</v>
      </c>
      <c r="O3" s="14">
        <v>501</v>
      </c>
      <c r="P3" s="14">
        <v>1001</v>
      </c>
      <c r="Q3" s="14">
        <v>1501</v>
      </c>
      <c r="R3" s="14">
        <v>2501</v>
      </c>
      <c r="AW3" s="14" t="s">
        <v>104</v>
      </c>
      <c r="AX3" s="14" t="s">
        <v>2</v>
      </c>
      <c r="AY3" s="14" t="s">
        <v>716</v>
      </c>
      <c r="AZ3" s="14" t="s">
        <v>725</v>
      </c>
      <c r="BB3" s="9" t="s">
        <v>1</v>
      </c>
      <c r="BC3" s="9" t="s">
        <v>2</v>
      </c>
      <c r="BE3" s="9"/>
      <c r="BF3" s="9" t="s">
        <v>104</v>
      </c>
      <c r="BG3" s="9" t="s">
        <v>105</v>
      </c>
      <c r="BH3" s="9" t="s">
        <v>106</v>
      </c>
      <c r="BI3" s="9" t="s">
        <v>107</v>
      </c>
      <c r="BJ3" s="9" t="s">
        <v>103</v>
      </c>
      <c r="BK3" s="9" t="s">
        <v>716</v>
      </c>
      <c r="BR3" s="9"/>
      <c r="BS3" s="9" t="s">
        <v>103</v>
      </c>
      <c r="BT3" s="9" t="s">
        <v>106</v>
      </c>
      <c r="BU3" s="9" t="s">
        <v>107</v>
      </c>
      <c r="BV3" s="9" t="s">
        <v>716</v>
      </c>
    </row>
    <row r="4" spans="5:83" ht="15.75" thickBot="1" x14ac:dyDescent="0.3">
      <c r="E4">
        <v>1</v>
      </c>
      <c r="F4" t="s">
        <v>108</v>
      </c>
      <c r="G4" t="s">
        <v>53</v>
      </c>
      <c r="H4" t="s">
        <v>704</v>
      </c>
      <c r="I4" s="10">
        <v>148483</v>
      </c>
      <c r="J4" s="11">
        <v>33258</v>
      </c>
      <c r="K4" s="10">
        <v>2834</v>
      </c>
      <c r="M4" s="8" t="s">
        <v>723</v>
      </c>
      <c r="N4" s="8" t="s">
        <v>717</v>
      </c>
      <c r="O4" s="8" t="s">
        <v>718</v>
      </c>
      <c r="P4" s="8" t="s">
        <v>720</v>
      </c>
      <c r="Q4" s="8" t="s">
        <v>719</v>
      </c>
      <c r="R4" s="8" t="s">
        <v>721</v>
      </c>
      <c r="AW4" t="s">
        <v>120</v>
      </c>
      <c r="AX4" t="str">
        <f>VLOOKUP(VLOOKUP(AW4,CHOOSE({1,2},BF:BF,BJ:BJ),2,0),BB:BC,2,0)</f>
        <v>FinTech Hub</v>
      </c>
      <c r="AY4" s="10"/>
      <c r="AZ4"/>
      <c r="BB4" t="s">
        <v>53</v>
      </c>
      <c r="BC4" t="s">
        <v>3</v>
      </c>
      <c r="BE4">
        <v>1</v>
      </c>
      <c r="BF4" t="s">
        <v>108</v>
      </c>
      <c r="BG4" t="s">
        <v>704</v>
      </c>
      <c r="BH4" s="10">
        <v>148483</v>
      </c>
      <c r="BI4" s="11">
        <v>33258</v>
      </c>
      <c r="BJ4" t="s">
        <v>53</v>
      </c>
      <c r="BK4" s="10">
        <v>2834</v>
      </c>
      <c r="BR4">
        <v>1</v>
      </c>
      <c r="BS4" t="s">
        <v>53</v>
      </c>
      <c r="BT4" s="10">
        <v>148483</v>
      </c>
      <c r="BU4" s="11">
        <v>33258</v>
      </c>
      <c r="BV4" s="10">
        <v>2834</v>
      </c>
      <c r="BW4" s="1" t="str">
        <f>IF(BS4=$CA$12,COUNTIF($BS$4:BS4,$CA$12),"")</f>
        <v/>
      </c>
    </row>
    <row r="5" spans="5:83" x14ac:dyDescent="0.25">
      <c r="E5">
        <v>2</v>
      </c>
      <c r="F5" t="s">
        <v>109</v>
      </c>
      <c r="G5" t="s">
        <v>53</v>
      </c>
      <c r="H5" t="s">
        <v>705</v>
      </c>
      <c r="I5" s="10">
        <v>38241</v>
      </c>
      <c r="J5" s="11">
        <v>8823</v>
      </c>
      <c r="K5" s="10">
        <v>813</v>
      </c>
      <c r="AW5" t="s">
        <v>681</v>
      </c>
      <c r="AX5" t="str">
        <f>VLOOKUP(VLOOKUP(AW5,CHOOSE({1,2},BF:BF,BJ:BJ),2,0),BB:BC,2,0)</f>
        <v>SmartCommerce Lab</v>
      </c>
      <c r="AY5" s="10"/>
      <c r="AZ5"/>
      <c r="BB5" t="s">
        <v>54</v>
      </c>
      <c r="BC5" t="s">
        <v>4</v>
      </c>
      <c r="BE5">
        <v>2</v>
      </c>
      <c r="BF5" t="s">
        <v>109</v>
      </c>
      <c r="BG5" t="s">
        <v>705</v>
      </c>
      <c r="BH5" s="10">
        <v>38241</v>
      </c>
      <c r="BI5" s="11">
        <v>8823</v>
      </c>
      <c r="BJ5" t="s">
        <v>53</v>
      </c>
      <c r="BK5" s="10">
        <v>813</v>
      </c>
      <c r="BR5">
        <v>2</v>
      </c>
      <c r="BS5" t="s">
        <v>53</v>
      </c>
      <c r="BT5" s="10">
        <v>38241</v>
      </c>
      <c r="BU5" s="11">
        <v>8823</v>
      </c>
      <c r="BV5" s="10">
        <v>813</v>
      </c>
      <c r="BW5" s="1" t="str">
        <f>IF(BS5=$CA$12,COUNTIF($BS$4:BS5,$CA$12),"")</f>
        <v/>
      </c>
    </row>
    <row r="6" spans="5:83" x14ac:dyDescent="0.25">
      <c r="E6">
        <v>3</v>
      </c>
      <c r="F6" t="s">
        <v>110</v>
      </c>
      <c r="G6" t="s">
        <v>53</v>
      </c>
      <c r="H6" t="s">
        <v>706</v>
      </c>
      <c r="I6" s="10">
        <v>54157</v>
      </c>
      <c r="J6" s="11">
        <v>11297</v>
      </c>
      <c r="K6" s="10">
        <v>711</v>
      </c>
      <c r="AW6" t="s">
        <v>679</v>
      </c>
      <c r="AX6" t="str">
        <f>VLOOKUP(VLOOKUP(AW6,CHOOSE({1,2},BF:BF,BJ:BJ),2,0),BB:BC,2,0)</f>
        <v>EcomConnect Partners (ECP)</v>
      </c>
      <c r="AY6" s="10"/>
      <c r="AZ6"/>
      <c r="BB6" t="s">
        <v>55</v>
      </c>
      <c r="BC6" t="s">
        <v>5</v>
      </c>
      <c r="BE6">
        <v>3</v>
      </c>
      <c r="BF6" t="s">
        <v>110</v>
      </c>
      <c r="BG6" t="s">
        <v>706</v>
      </c>
      <c r="BH6" s="10">
        <v>54157</v>
      </c>
      <c r="BI6" s="11">
        <v>11297</v>
      </c>
      <c r="BJ6" t="s">
        <v>53</v>
      </c>
      <c r="BK6" s="10">
        <v>711</v>
      </c>
      <c r="BR6">
        <v>3</v>
      </c>
      <c r="BS6" t="s">
        <v>53</v>
      </c>
      <c r="BT6" s="10">
        <v>54157</v>
      </c>
      <c r="BU6" s="11">
        <v>11297</v>
      </c>
      <c r="BV6" s="10">
        <v>711</v>
      </c>
      <c r="BW6" s="1" t="str">
        <f>IF(BS6=$CA$12,COUNTIF($BS$4:BS6,$CA$12),"")</f>
        <v/>
      </c>
    </row>
    <row r="7" spans="5:83" x14ac:dyDescent="0.25">
      <c r="E7">
        <v>4</v>
      </c>
      <c r="F7" t="s">
        <v>111</v>
      </c>
      <c r="G7" t="s">
        <v>53</v>
      </c>
      <c r="H7" t="s">
        <v>707</v>
      </c>
      <c r="I7" s="10">
        <v>22200</v>
      </c>
      <c r="J7" s="11">
        <v>6717</v>
      </c>
      <c r="K7" s="10">
        <v>392</v>
      </c>
      <c r="AW7" t="s">
        <v>203</v>
      </c>
      <c r="AX7" t="str">
        <f>VLOOKUP(VLOOKUP(AW7,CHOOSE({1,2},BF:BF,BJ:BJ),2,0),BB:BC,2,0)</f>
        <v>Evolve Commerce</v>
      </c>
      <c r="AY7" s="10"/>
      <c r="AZ7"/>
      <c r="BB7" t="s">
        <v>56</v>
      </c>
      <c r="BC7" t="s">
        <v>6</v>
      </c>
      <c r="BE7">
        <v>4</v>
      </c>
      <c r="BF7" t="s">
        <v>111</v>
      </c>
      <c r="BG7" t="s">
        <v>707</v>
      </c>
      <c r="BH7" s="10">
        <v>22200</v>
      </c>
      <c r="BI7" s="11">
        <v>6717</v>
      </c>
      <c r="BJ7" t="s">
        <v>53</v>
      </c>
      <c r="BK7" s="10">
        <v>392</v>
      </c>
      <c r="BR7">
        <v>4</v>
      </c>
      <c r="BS7" t="s">
        <v>53</v>
      </c>
      <c r="BT7" s="10">
        <v>22200</v>
      </c>
      <c r="BU7" s="11">
        <v>6717</v>
      </c>
      <c r="BV7" s="10">
        <v>392</v>
      </c>
      <c r="BW7" s="1" t="str">
        <f>IF(BS7=$CA$12,COUNTIF($BS$4:BS7,$CA$12),"")</f>
        <v/>
      </c>
    </row>
    <row r="8" spans="5:83" x14ac:dyDescent="0.25">
      <c r="E8">
        <v>5</v>
      </c>
      <c r="F8" t="s">
        <v>112</v>
      </c>
      <c r="G8" t="s">
        <v>53</v>
      </c>
      <c r="H8" t="s">
        <v>708</v>
      </c>
      <c r="I8" s="10">
        <v>138053</v>
      </c>
      <c r="J8" s="11">
        <v>53787</v>
      </c>
      <c r="K8" s="10">
        <v>2795</v>
      </c>
      <c r="AW8" t="s">
        <v>568</v>
      </c>
      <c r="AX8" t="str">
        <f>VLOOKUP(VLOOKUP(AW8,CHOOSE({1,2},BF:BF,BJ:BJ),2,0),BB:BC,2,0)</f>
        <v>TechFin Studio</v>
      </c>
      <c r="AY8" s="10"/>
      <c r="AZ8"/>
      <c r="BB8" t="s">
        <v>57</v>
      </c>
      <c r="BC8" t="s">
        <v>7</v>
      </c>
      <c r="BE8">
        <v>5</v>
      </c>
      <c r="BF8" t="s">
        <v>112</v>
      </c>
      <c r="BG8" t="s">
        <v>708</v>
      </c>
      <c r="BH8" s="10">
        <v>138053</v>
      </c>
      <c r="BI8" s="11">
        <v>53787</v>
      </c>
      <c r="BJ8" t="s">
        <v>53</v>
      </c>
      <c r="BK8" s="10">
        <v>2795</v>
      </c>
      <c r="BR8">
        <v>5</v>
      </c>
      <c r="BS8" t="s">
        <v>53</v>
      </c>
      <c r="BT8" s="10">
        <v>138053</v>
      </c>
      <c r="BU8" s="11">
        <v>53787</v>
      </c>
      <c r="BV8" s="10">
        <v>2795</v>
      </c>
      <c r="BW8" s="1" t="str">
        <f>IF(BS8=$CA$12,COUNTIF($BS$4:BS8,$CA$12),"")</f>
        <v/>
      </c>
    </row>
    <row r="9" spans="5:83" x14ac:dyDescent="0.25">
      <c r="E9">
        <v>6</v>
      </c>
      <c r="F9" t="s">
        <v>113</v>
      </c>
      <c r="G9" t="s">
        <v>53</v>
      </c>
      <c r="H9" t="s">
        <v>709</v>
      </c>
      <c r="I9" s="10">
        <v>47567</v>
      </c>
      <c r="J9" s="11">
        <v>18717</v>
      </c>
      <c r="K9" s="10">
        <v>1418</v>
      </c>
      <c r="AW9" t="s">
        <v>412</v>
      </c>
      <c r="AX9" t="str">
        <f>VLOOKUP(VLOOKUP(AW9,CHOOSE({1,2},BF:BF,BJ:BJ),2,0),BB:BC,2,0)</f>
        <v>FinFlow Technologies</v>
      </c>
      <c r="AY9" s="10"/>
      <c r="AZ9"/>
      <c r="BB9" t="s">
        <v>58</v>
      </c>
      <c r="BC9" t="s">
        <v>8</v>
      </c>
      <c r="BE9">
        <v>6</v>
      </c>
      <c r="BF9" t="s">
        <v>113</v>
      </c>
      <c r="BG9" t="s">
        <v>709</v>
      </c>
      <c r="BH9" s="10">
        <v>47567</v>
      </c>
      <c r="BI9" s="11">
        <v>18717</v>
      </c>
      <c r="BJ9" t="s">
        <v>53</v>
      </c>
      <c r="BK9" s="10">
        <v>1418</v>
      </c>
      <c r="BR9">
        <v>6</v>
      </c>
      <c r="BS9" t="s">
        <v>53</v>
      </c>
      <c r="BT9" s="10">
        <v>47567</v>
      </c>
      <c r="BU9" s="11">
        <v>18717</v>
      </c>
      <c r="BV9" s="10">
        <v>1418</v>
      </c>
      <c r="BW9" s="1" t="str">
        <f>IF(BS9=$CA$12,COUNTIF($BS$4:BS9,$CA$12),"")</f>
        <v/>
      </c>
    </row>
    <row r="10" spans="5:83" x14ac:dyDescent="0.25">
      <c r="E10">
        <v>7</v>
      </c>
      <c r="F10" t="s">
        <v>114</v>
      </c>
      <c r="G10" t="s">
        <v>53</v>
      </c>
      <c r="H10" t="s">
        <v>710</v>
      </c>
      <c r="I10" s="10">
        <v>110416</v>
      </c>
      <c r="J10" s="11">
        <v>33701</v>
      </c>
      <c r="K10" s="10">
        <v>3266</v>
      </c>
      <c r="AW10" t="s">
        <v>677</v>
      </c>
      <c r="AX10" t="str">
        <f>VLOOKUP(VLOOKUP(AW10,CHOOSE({1,2},BF:BF,BJ:BJ),2,0),BB:BC,2,0)</f>
        <v>EcomConnect Partners (ECP)</v>
      </c>
      <c r="AY10" s="10"/>
      <c r="AZ10"/>
      <c r="BB10" t="s">
        <v>59</v>
      </c>
      <c r="BC10" t="s">
        <v>9</v>
      </c>
      <c r="BE10">
        <v>7</v>
      </c>
      <c r="BF10" t="s">
        <v>114</v>
      </c>
      <c r="BG10" t="s">
        <v>710</v>
      </c>
      <c r="BH10" s="10">
        <v>110416</v>
      </c>
      <c r="BI10" s="11">
        <v>33701</v>
      </c>
      <c r="BJ10" t="s">
        <v>53</v>
      </c>
      <c r="BK10" s="10">
        <v>3266</v>
      </c>
      <c r="BR10">
        <v>7</v>
      </c>
      <c r="BS10" t="s">
        <v>53</v>
      </c>
      <c r="BT10" s="10">
        <v>110416</v>
      </c>
      <c r="BU10" s="11">
        <v>33701</v>
      </c>
      <c r="BV10" s="10">
        <v>3266</v>
      </c>
      <c r="BW10" s="1" t="str">
        <f>IF(BS10=$CA$12,COUNTIF($BS$4:BS10,$CA$12),"")</f>
        <v/>
      </c>
    </row>
    <row r="11" spans="5:83" x14ac:dyDescent="0.25">
      <c r="E11">
        <v>8</v>
      </c>
      <c r="F11" t="s">
        <v>115</v>
      </c>
      <c r="G11" t="s">
        <v>53</v>
      </c>
      <c r="H11" t="s">
        <v>711</v>
      </c>
      <c r="I11" s="10">
        <v>129454</v>
      </c>
      <c r="J11" s="11">
        <v>30877</v>
      </c>
      <c r="K11" s="10">
        <v>1029</v>
      </c>
      <c r="AW11" t="s">
        <v>526</v>
      </c>
      <c r="AX11" t="str">
        <f>VLOOKUP(VLOOKUP(AW11,CHOOSE({1,2},BF:BF,BJ:BJ),2,0),BB:BC,2,0)</f>
        <v>EcomTrail Partners</v>
      </c>
      <c r="AY11" s="10"/>
      <c r="AZ11"/>
      <c r="BB11" t="s">
        <v>60</v>
      </c>
      <c r="BC11" t="s">
        <v>10</v>
      </c>
      <c r="BE11">
        <v>8</v>
      </c>
      <c r="BF11" t="s">
        <v>115</v>
      </c>
      <c r="BG11" t="s">
        <v>711</v>
      </c>
      <c r="BH11" s="10">
        <v>129454</v>
      </c>
      <c r="BI11" s="11">
        <v>30877</v>
      </c>
      <c r="BJ11" t="s">
        <v>53</v>
      </c>
      <c r="BK11" s="10">
        <v>1029</v>
      </c>
      <c r="BR11">
        <v>8</v>
      </c>
      <c r="BS11" t="s">
        <v>53</v>
      </c>
      <c r="BT11" s="10">
        <v>129454</v>
      </c>
      <c r="BU11" s="11">
        <v>30877</v>
      </c>
      <c r="BV11" s="10">
        <v>1029</v>
      </c>
      <c r="BW11" s="1" t="str">
        <f>IF(BS11=$CA$12,COUNTIF($BS$4:BS11,$CA$12),"")</f>
        <v/>
      </c>
      <c r="CA11" s="1" t="s">
        <v>53</v>
      </c>
      <c r="CB11" s="1">
        <f>VLOOKUP(CA11,BS:BV,4,0)</f>
        <v>2834</v>
      </c>
      <c r="CC11" s="1">
        <f>INDEX(BV:BV,MATCH(CA11,BS:BS,0))</f>
        <v>2834</v>
      </c>
      <c r="CD11" s="1">
        <f>INDEX(BV:BV,MATCH(5,BW:BW,0))</f>
        <v>256</v>
      </c>
      <c r="CE11" s="1" cm="1">
        <f t="array" ref="CE11">INDEX(_xlfn._xlws.FILTER(BV:BV,BS:BS=CA11),5)</f>
        <v>2795</v>
      </c>
    </row>
    <row r="12" spans="5:83" x14ac:dyDescent="0.25">
      <c r="E12">
        <v>9</v>
      </c>
      <c r="F12" t="s">
        <v>116</v>
      </c>
      <c r="G12" t="s">
        <v>53</v>
      </c>
      <c r="H12" t="s">
        <v>712</v>
      </c>
      <c r="I12" s="10">
        <v>109685</v>
      </c>
      <c r="J12" s="11">
        <v>40483</v>
      </c>
      <c r="K12" s="10">
        <v>3520</v>
      </c>
      <c r="M12"/>
      <c r="AW12" t="s">
        <v>123</v>
      </c>
      <c r="AX12" t="str">
        <f>VLOOKUP(VLOOKUP(AW12,CHOOSE({1,2},BF:BF,BJ:BJ),2,0),BB:BC,2,0)</f>
        <v>FinTech Hub</v>
      </c>
      <c r="AY12" s="10"/>
      <c r="AZ12"/>
      <c r="BB12" t="s">
        <v>61</v>
      </c>
      <c r="BC12" t="s">
        <v>11</v>
      </c>
      <c r="BE12">
        <v>9</v>
      </c>
      <c r="BF12" t="s">
        <v>116</v>
      </c>
      <c r="BG12" t="s">
        <v>712</v>
      </c>
      <c r="BH12" s="10">
        <v>109685</v>
      </c>
      <c r="BI12" s="11">
        <v>40483</v>
      </c>
      <c r="BJ12" t="s">
        <v>53</v>
      </c>
      <c r="BK12" s="10">
        <v>3520</v>
      </c>
      <c r="BR12">
        <v>9</v>
      </c>
      <c r="BS12" t="s">
        <v>53</v>
      </c>
      <c r="BT12" s="10">
        <v>109685</v>
      </c>
      <c r="BU12" s="11">
        <v>40483</v>
      </c>
      <c r="BV12" s="10">
        <v>3520</v>
      </c>
      <c r="BW12" s="1" t="str">
        <f>IF(BS12=$CA$12,COUNTIF($BS$4:BS12,$CA$12),"")</f>
        <v/>
      </c>
      <c r="CA12" t="s">
        <v>54</v>
      </c>
      <c r="CB12" s="1">
        <f>VLOOKUP(CA12,BS:BV,4,0)</f>
        <v>2518</v>
      </c>
      <c r="CC12" s="1">
        <f>INDEX(BV:BV,MATCH(CA12,BS:BS,0))</f>
        <v>2518</v>
      </c>
      <c r="CD12" s="1">
        <f>INDEX(BV:BV,MATCH(5,BW:BW,0))</f>
        <v>256</v>
      </c>
      <c r="CE12" s="1" cm="1">
        <f t="array" ref="CE12">INDEX(_xlfn._xlws.FILTER(BV:BV,BS:BS=CA12),5)</f>
        <v>256</v>
      </c>
    </row>
    <row r="13" spans="5:83" x14ac:dyDescent="0.25">
      <c r="E13">
        <v>10</v>
      </c>
      <c r="F13" t="s">
        <v>117</v>
      </c>
      <c r="G13" t="s">
        <v>53</v>
      </c>
      <c r="H13" t="s">
        <v>713</v>
      </c>
      <c r="I13" s="10">
        <v>134341</v>
      </c>
      <c r="J13" s="11">
        <v>44339</v>
      </c>
      <c r="K13" s="10">
        <v>1025</v>
      </c>
      <c r="AW13" t="s">
        <v>683</v>
      </c>
      <c r="AX13" t="str">
        <f>VLOOKUP(VLOOKUP(AW13,CHOOSE({1,2},BF:BF,BJ:BJ),2,0),BB:BC,2,0)</f>
        <v>SmartCommerce Lab</v>
      </c>
      <c r="AY13" s="10"/>
      <c r="AZ13"/>
      <c r="BB13" t="s">
        <v>62</v>
      </c>
      <c r="BC13" t="s">
        <v>12</v>
      </c>
      <c r="BE13">
        <v>10</v>
      </c>
      <c r="BF13" t="s">
        <v>117</v>
      </c>
      <c r="BG13" t="s">
        <v>713</v>
      </c>
      <c r="BH13" s="10">
        <v>134341</v>
      </c>
      <c r="BI13" s="11">
        <v>44339</v>
      </c>
      <c r="BJ13" t="s">
        <v>53</v>
      </c>
      <c r="BK13" s="10">
        <v>1025</v>
      </c>
      <c r="BR13">
        <v>10</v>
      </c>
      <c r="BS13" t="s">
        <v>53</v>
      </c>
      <c r="BT13" s="10">
        <v>134341</v>
      </c>
      <c r="BU13" s="11">
        <v>44339</v>
      </c>
      <c r="BV13" s="10">
        <v>1025</v>
      </c>
      <c r="BW13" s="1" t="str">
        <f>IF(BS13=$CA$12,COUNTIF($BS$4:BS13,$CA$12),"")</f>
        <v/>
      </c>
      <c r="CA13"/>
    </row>
    <row r="14" spans="5:83" x14ac:dyDescent="0.25">
      <c r="E14">
        <v>11</v>
      </c>
      <c r="F14" t="s">
        <v>118</v>
      </c>
      <c r="G14" t="s">
        <v>53</v>
      </c>
      <c r="H14" t="s">
        <v>714</v>
      </c>
      <c r="I14" s="10">
        <v>18425</v>
      </c>
      <c r="J14" s="11">
        <v>4724</v>
      </c>
      <c r="K14" s="10">
        <v>36</v>
      </c>
      <c r="M14"/>
      <c r="AW14" t="s">
        <v>169</v>
      </c>
      <c r="AX14" t="str">
        <f>VLOOKUP(VLOOKUP(AW14,CHOOSE({1,2},BF:BF,BJ:BJ),2,0),BB:BC,2,0)</f>
        <v>Marketology Experts (MEX)</v>
      </c>
      <c r="AY14" s="10"/>
      <c r="AZ14"/>
      <c r="BB14" t="s">
        <v>63</v>
      </c>
      <c r="BC14" t="s">
        <v>13</v>
      </c>
      <c r="BE14">
        <v>11</v>
      </c>
      <c r="BF14" t="s">
        <v>118</v>
      </c>
      <c r="BG14" t="s">
        <v>714</v>
      </c>
      <c r="BH14" s="10">
        <v>18425</v>
      </c>
      <c r="BI14" s="11">
        <v>4724</v>
      </c>
      <c r="BJ14" t="s">
        <v>53</v>
      </c>
      <c r="BK14" s="10">
        <v>36</v>
      </c>
      <c r="BR14">
        <v>11</v>
      </c>
      <c r="BS14" t="s">
        <v>53</v>
      </c>
      <c r="BT14" s="10">
        <v>18425</v>
      </c>
      <c r="BU14" s="11">
        <v>4724</v>
      </c>
      <c r="BV14" s="10">
        <v>36</v>
      </c>
      <c r="BW14" s="1" t="str">
        <f>IF(BS14=$CA$12,COUNTIF($BS$4:BS14,$CA$12),"")</f>
        <v/>
      </c>
    </row>
    <row r="15" spans="5:83" x14ac:dyDescent="0.25">
      <c r="E15">
        <v>12</v>
      </c>
      <c r="F15" t="s">
        <v>119</v>
      </c>
      <c r="G15" t="s">
        <v>53</v>
      </c>
      <c r="H15" t="s">
        <v>715</v>
      </c>
      <c r="I15" s="10">
        <v>142027</v>
      </c>
      <c r="J15" s="11">
        <v>42175</v>
      </c>
      <c r="K15" s="10">
        <v>2193</v>
      </c>
      <c r="AW15" t="s">
        <v>670</v>
      </c>
      <c r="AX15" t="str">
        <f>VLOOKUP(VLOOKUP(AW15,CHOOSE({1,2},BF:BF,BJ:BJ),2,0),BB:BC,2,0)</f>
        <v>EcomConnect Partners (ECP)</v>
      </c>
      <c r="AY15" s="10"/>
      <c r="AZ15"/>
      <c r="BB15" t="s">
        <v>64</v>
      </c>
      <c r="BC15" t="s">
        <v>14</v>
      </c>
      <c r="BE15">
        <v>12</v>
      </c>
      <c r="BF15" t="s">
        <v>119</v>
      </c>
      <c r="BG15" t="s">
        <v>715</v>
      </c>
      <c r="BH15" s="10">
        <v>142027</v>
      </c>
      <c r="BI15" s="11">
        <v>42175</v>
      </c>
      <c r="BJ15" t="s">
        <v>53</v>
      </c>
      <c r="BK15" s="10">
        <v>2193</v>
      </c>
      <c r="BR15">
        <v>12</v>
      </c>
      <c r="BS15" t="s">
        <v>53</v>
      </c>
      <c r="BT15" s="10">
        <v>142027</v>
      </c>
      <c r="BU15" s="11">
        <v>42175</v>
      </c>
      <c r="BV15" s="10">
        <v>2193</v>
      </c>
      <c r="BW15" s="1" t="str">
        <f>IF(BS15=$CA$12,COUNTIF($BS$4:BS15,$CA$12),"")</f>
        <v/>
      </c>
    </row>
    <row r="16" spans="5:83" x14ac:dyDescent="0.25">
      <c r="E16">
        <v>13</v>
      </c>
      <c r="F16" t="s">
        <v>120</v>
      </c>
      <c r="G16" t="s">
        <v>54</v>
      </c>
      <c r="H16" t="s">
        <v>704</v>
      </c>
      <c r="I16" s="10">
        <v>110170</v>
      </c>
      <c r="J16" s="11">
        <v>36391</v>
      </c>
      <c r="K16" s="10">
        <v>2518</v>
      </c>
      <c r="M16"/>
      <c r="AW16" t="s">
        <v>339</v>
      </c>
      <c r="AX16" t="str">
        <f>VLOOKUP(VLOOKUP(AW16,CHOOSE({1,2},BF:BF,BJ:BJ),2,0),BB:BC,2,0)</f>
        <v>PrimeMarketplace</v>
      </c>
      <c r="AY16" s="10"/>
      <c r="AZ16"/>
      <c r="BB16" t="s">
        <v>65</v>
      </c>
      <c r="BC16" t="s">
        <v>15</v>
      </c>
      <c r="BE16">
        <v>13</v>
      </c>
      <c r="BF16" t="s">
        <v>120</v>
      </c>
      <c r="BG16" t="s">
        <v>704</v>
      </c>
      <c r="BH16" s="10">
        <v>110170</v>
      </c>
      <c r="BI16" s="11">
        <v>36391</v>
      </c>
      <c r="BJ16" t="s">
        <v>54</v>
      </c>
      <c r="BK16" s="10">
        <v>2518</v>
      </c>
      <c r="BR16">
        <v>13</v>
      </c>
      <c r="BS16" t="s">
        <v>54</v>
      </c>
      <c r="BT16" s="10">
        <v>110170</v>
      </c>
      <c r="BU16" s="11">
        <v>36391</v>
      </c>
      <c r="BV16" s="10">
        <v>2518</v>
      </c>
      <c r="BW16" s="1">
        <f>IF(BS16=$CA$12,COUNTIF($BS$4:BS16,$CA$12),"")</f>
        <v>1</v>
      </c>
    </row>
    <row r="17" spans="5:75" x14ac:dyDescent="0.25">
      <c r="E17">
        <v>14</v>
      </c>
      <c r="F17" t="s">
        <v>121</v>
      </c>
      <c r="G17" t="s">
        <v>54</v>
      </c>
      <c r="H17" t="s">
        <v>705</v>
      </c>
      <c r="I17" s="10">
        <v>98498</v>
      </c>
      <c r="J17" s="11">
        <v>33414</v>
      </c>
      <c r="K17" s="10">
        <v>1572</v>
      </c>
      <c r="AW17" t="s">
        <v>425</v>
      </c>
      <c r="AX17" t="str">
        <f>VLOOKUP(VLOOKUP(AW17,CHOOSE({1,2},BF:BF,BJ:BJ),2,0),BB:BC,2,0)</f>
        <v>Marketplace Synergy</v>
      </c>
      <c r="AY17" s="10"/>
      <c r="AZ17"/>
      <c r="BB17" t="s">
        <v>66</v>
      </c>
      <c r="BC17" t="s">
        <v>16</v>
      </c>
      <c r="BE17">
        <v>14</v>
      </c>
      <c r="BF17" t="s">
        <v>121</v>
      </c>
      <c r="BG17" t="s">
        <v>705</v>
      </c>
      <c r="BH17" s="10">
        <v>98498</v>
      </c>
      <c r="BI17" s="11">
        <v>33414</v>
      </c>
      <c r="BJ17" t="s">
        <v>54</v>
      </c>
      <c r="BK17" s="10">
        <v>1572</v>
      </c>
      <c r="BR17">
        <v>14</v>
      </c>
      <c r="BS17" t="s">
        <v>54</v>
      </c>
      <c r="BT17" s="10">
        <v>98498</v>
      </c>
      <c r="BU17" s="11">
        <v>33414</v>
      </c>
      <c r="BV17" s="10">
        <v>1572</v>
      </c>
      <c r="BW17" s="1">
        <f>IF(BS17=$CA$12,COUNTIF($BS$4:BS17,$CA$12),"")</f>
        <v>2</v>
      </c>
    </row>
    <row r="18" spans="5:75" x14ac:dyDescent="0.25">
      <c r="E18">
        <v>15</v>
      </c>
      <c r="F18" t="s">
        <v>122</v>
      </c>
      <c r="G18" t="s">
        <v>54</v>
      </c>
      <c r="H18" t="s">
        <v>706</v>
      </c>
      <c r="I18" s="10">
        <v>86199</v>
      </c>
      <c r="J18" s="11">
        <v>26042</v>
      </c>
      <c r="K18" s="10">
        <v>70</v>
      </c>
      <c r="M18"/>
      <c r="AW18" t="s">
        <v>686</v>
      </c>
      <c r="AX18" t="str">
        <f>VLOOKUP(VLOOKUP(AW18,CHOOSE({1,2},BF:BF,BJ:BJ),2,0),BB:BC,2,0)</f>
        <v>SmartCommerce Lab</v>
      </c>
      <c r="AY18" s="10"/>
      <c r="AZ18"/>
      <c r="BB18" t="s">
        <v>67</v>
      </c>
      <c r="BC18" t="s">
        <v>17</v>
      </c>
      <c r="BE18">
        <v>15</v>
      </c>
      <c r="BF18" t="s">
        <v>122</v>
      </c>
      <c r="BG18" t="s">
        <v>706</v>
      </c>
      <c r="BH18" s="10">
        <v>86199</v>
      </c>
      <c r="BI18" s="11">
        <v>26042</v>
      </c>
      <c r="BJ18" t="s">
        <v>54</v>
      </c>
      <c r="BK18" s="10">
        <v>70</v>
      </c>
      <c r="BR18">
        <v>15</v>
      </c>
      <c r="BS18" t="s">
        <v>54</v>
      </c>
      <c r="BT18" s="10">
        <v>86199</v>
      </c>
      <c r="BU18" s="11">
        <v>26042</v>
      </c>
      <c r="BV18" s="10">
        <v>70</v>
      </c>
      <c r="BW18" s="1">
        <f>IF(BS18=$CA$12,COUNTIF($BS$4:BS18,$CA$12),"")</f>
        <v>3</v>
      </c>
    </row>
    <row r="19" spans="5:75" x14ac:dyDescent="0.25">
      <c r="E19">
        <v>16</v>
      </c>
      <c r="F19" t="s">
        <v>123</v>
      </c>
      <c r="G19" t="s">
        <v>54</v>
      </c>
      <c r="H19" t="s">
        <v>707</v>
      </c>
      <c r="I19" s="10">
        <v>131527</v>
      </c>
      <c r="J19" s="11">
        <v>40252</v>
      </c>
      <c r="K19" s="10">
        <v>2316</v>
      </c>
      <c r="AW19" t="s">
        <v>292</v>
      </c>
      <c r="AX19" t="str">
        <f>VLOOKUP(VLOOKUP(AW19,CHOOSE({1,2},BF:BF,BJ:BJ),2,0),BB:BC,2,0)</f>
        <v>FinOptim Strategies</v>
      </c>
      <c r="AY19" s="10"/>
      <c r="AZ19"/>
      <c r="BB19" t="s">
        <v>68</v>
      </c>
      <c r="BC19" t="s">
        <v>18</v>
      </c>
      <c r="BE19">
        <v>16</v>
      </c>
      <c r="BF19" t="s">
        <v>123</v>
      </c>
      <c r="BG19" t="s">
        <v>707</v>
      </c>
      <c r="BH19" s="10">
        <v>131527</v>
      </c>
      <c r="BI19" s="11">
        <v>40252</v>
      </c>
      <c r="BJ19" t="s">
        <v>54</v>
      </c>
      <c r="BK19" s="10">
        <v>2316</v>
      </c>
      <c r="BR19">
        <v>16</v>
      </c>
      <c r="BS19" t="s">
        <v>54</v>
      </c>
      <c r="BT19" s="10">
        <v>131527</v>
      </c>
      <c r="BU19" s="11">
        <v>40252</v>
      </c>
      <c r="BV19" s="10">
        <v>2316</v>
      </c>
      <c r="BW19" s="1">
        <f>IF(BS19=$CA$12,COUNTIF($BS$4:BS19,$CA$12),"")</f>
        <v>4</v>
      </c>
    </row>
    <row r="20" spans="5:75" x14ac:dyDescent="0.25">
      <c r="E20">
        <v>17</v>
      </c>
      <c r="F20" t="s">
        <v>124</v>
      </c>
      <c r="G20" t="s">
        <v>54</v>
      </c>
      <c r="H20" t="s">
        <v>708</v>
      </c>
      <c r="I20" s="10">
        <v>13856</v>
      </c>
      <c r="J20" s="11">
        <v>5067</v>
      </c>
      <c r="K20" s="10">
        <v>256</v>
      </c>
      <c r="M20"/>
      <c r="AW20" t="s">
        <v>485</v>
      </c>
      <c r="AX20" t="str">
        <f>VLOOKUP(VLOOKUP(AW20,CHOOSE({1,2},BF:BF,BJ:BJ),2,0),BB:BC,2,0)</f>
        <v>FinScale Strategies</v>
      </c>
      <c r="AY20" s="10"/>
      <c r="AZ20"/>
      <c r="BB20" t="s">
        <v>69</v>
      </c>
      <c r="BC20" t="s">
        <v>19</v>
      </c>
      <c r="BE20">
        <v>17</v>
      </c>
      <c r="BF20" t="s">
        <v>124</v>
      </c>
      <c r="BG20" t="s">
        <v>708</v>
      </c>
      <c r="BH20" s="10">
        <v>13856</v>
      </c>
      <c r="BI20" s="11">
        <v>5067</v>
      </c>
      <c r="BJ20" t="s">
        <v>54</v>
      </c>
      <c r="BK20" s="10">
        <v>256</v>
      </c>
      <c r="BR20">
        <v>17</v>
      </c>
      <c r="BS20" t="s">
        <v>54</v>
      </c>
      <c r="BT20" s="10">
        <v>13856</v>
      </c>
      <c r="BU20" s="11">
        <v>5067</v>
      </c>
      <c r="BV20" s="10">
        <v>256</v>
      </c>
      <c r="BW20" s="1">
        <f>IF(BS20=$CA$12,COUNTIF($BS$4:BS20,$CA$12),"")</f>
        <v>5</v>
      </c>
    </row>
    <row r="21" spans="5:75" x14ac:dyDescent="0.25">
      <c r="E21">
        <v>18</v>
      </c>
      <c r="F21" t="s">
        <v>125</v>
      </c>
      <c r="G21" t="s">
        <v>54</v>
      </c>
      <c r="H21" t="s">
        <v>709</v>
      </c>
      <c r="I21" s="10">
        <v>148972</v>
      </c>
      <c r="J21" s="11">
        <v>54539</v>
      </c>
      <c r="K21" s="10">
        <v>684</v>
      </c>
      <c r="AW21" t="s">
        <v>381</v>
      </c>
      <c r="AX21" t="str">
        <f>VLOOKUP(VLOOKUP(AW21,CHOOSE({1,2},BF:BF,BJ:BJ),2,0),BB:BC,2,0)</f>
        <v>FinGo Analytics</v>
      </c>
      <c r="AY21" s="10"/>
      <c r="AZ21"/>
      <c r="BB21" t="s">
        <v>70</v>
      </c>
      <c r="BC21" t="s">
        <v>20</v>
      </c>
      <c r="BE21">
        <v>18</v>
      </c>
      <c r="BF21" t="s">
        <v>125</v>
      </c>
      <c r="BG21" t="s">
        <v>709</v>
      </c>
      <c r="BH21" s="10">
        <v>148972</v>
      </c>
      <c r="BI21" s="11">
        <v>54539</v>
      </c>
      <c r="BJ21" t="s">
        <v>54</v>
      </c>
      <c r="BK21" s="10">
        <v>684</v>
      </c>
      <c r="BR21">
        <v>18</v>
      </c>
      <c r="BS21" t="s">
        <v>54</v>
      </c>
      <c r="BT21" s="10">
        <v>148972</v>
      </c>
      <c r="BU21" s="11">
        <v>54539</v>
      </c>
      <c r="BV21" s="10">
        <v>684</v>
      </c>
      <c r="BW21" s="1">
        <f>IF(BS21=$CA$12,COUNTIF($BS$4:BS21,$CA$12),"")</f>
        <v>6</v>
      </c>
    </row>
    <row r="22" spans="5:75" x14ac:dyDescent="0.25">
      <c r="E22">
        <v>19</v>
      </c>
      <c r="F22" t="s">
        <v>126</v>
      </c>
      <c r="G22" t="s">
        <v>54</v>
      </c>
      <c r="H22" t="s">
        <v>710</v>
      </c>
      <c r="I22" s="10">
        <v>148424</v>
      </c>
      <c r="J22" s="11">
        <v>50550</v>
      </c>
      <c r="K22" s="10">
        <v>2496</v>
      </c>
      <c r="AW22" t="s">
        <v>251</v>
      </c>
      <c r="AX22" t="str">
        <f>VLOOKUP(VLOOKUP(AW22,CHOOSE({1,2},BF:BF,BJ:BJ),2,0),BB:BC,2,0)</f>
        <v>FinEdge Solutions (FES)</v>
      </c>
      <c r="AY22" s="10"/>
      <c r="AZ22"/>
      <c r="BB22" t="s">
        <v>71</v>
      </c>
      <c r="BC22" t="s">
        <v>21</v>
      </c>
      <c r="BE22">
        <v>19</v>
      </c>
      <c r="BF22" t="s">
        <v>126</v>
      </c>
      <c r="BG22" t="s">
        <v>710</v>
      </c>
      <c r="BH22" s="10">
        <v>148424</v>
      </c>
      <c r="BI22" s="11">
        <v>50550</v>
      </c>
      <c r="BJ22" t="s">
        <v>54</v>
      </c>
      <c r="BK22" s="10">
        <v>2496</v>
      </c>
      <c r="BR22">
        <v>19</v>
      </c>
      <c r="BS22" t="s">
        <v>54</v>
      </c>
      <c r="BT22" s="10">
        <v>148424</v>
      </c>
      <c r="BU22" s="11">
        <v>50550</v>
      </c>
      <c r="BV22" s="10">
        <v>2496</v>
      </c>
      <c r="BW22" s="1">
        <f>IF(BS22=$CA$12,COUNTIF($BS$4:BS22,$CA$12),"")</f>
        <v>7</v>
      </c>
    </row>
    <row r="23" spans="5:75" x14ac:dyDescent="0.25">
      <c r="E23">
        <v>20</v>
      </c>
      <c r="F23" t="s">
        <v>127</v>
      </c>
      <c r="G23" t="s">
        <v>54</v>
      </c>
      <c r="H23" t="s">
        <v>711</v>
      </c>
      <c r="I23" s="10">
        <v>22001</v>
      </c>
      <c r="J23" s="11">
        <v>6365</v>
      </c>
      <c r="K23" s="10">
        <v>374</v>
      </c>
      <c r="AW23" t="s">
        <v>213</v>
      </c>
      <c r="AX23" t="str">
        <f>VLOOKUP(VLOOKUP(AW23,CHOOSE({1,2},BF:BF,BJ:BJ),2,0),BB:BC,2,0)</f>
        <v>DataFin Marketers (DFM)</v>
      </c>
      <c r="AY23" s="10"/>
      <c r="AZ23"/>
      <c r="BB23" t="s">
        <v>72</v>
      </c>
      <c r="BC23" t="s">
        <v>22</v>
      </c>
      <c r="BE23">
        <v>20</v>
      </c>
      <c r="BF23" t="s">
        <v>127</v>
      </c>
      <c r="BG23" t="s">
        <v>711</v>
      </c>
      <c r="BH23" s="10">
        <v>22001</v>
      </c>
      <c r="BI23" s="11">
        <v>6365</v>
      </c>
      <c r="BJ23" t="s">
        <v>54</v>
      </c>
      <c r="BK23" s="10">
        <v>374</v>
      </c>
      <c r="BR23">
        <v>20</v>
      </c>
      <c r="BS23" t="s">
        <v>54</v>
      </c>
      <c r="BT23" s="10">
        <v>22001</v>
      </c>
      <c r="BU23" s="11">
        <v>6365</v>
      </c>
      <c r="BV23" s="10">
        <v>374</v>
      </c>
      <c r="BW23" s="1">
        <f>IF(BS23=$CA$12,COUNTIF($BS$4:BS23,$CA$12),"")</f>
        <v>8</v>
      </c>
    </row>
    <row r="24" spans="5:75" x14ac:dyDescent="0.25">
      <c r="E24">
        <v>21</v>
      </c>
      <c r="F24" t="s">
        <v>128</v>
      </c>
      <c r="G24" t="s">
        <v>54</v>
      </c>
      <c r="H24" t="s">
        <v>712</v>
      </c>
      <c r="I24" s="10">
        <v>100226</v>
      </c>
      <c r="J24" s="11">
        <v>27633</v>
      </c>
      <c r="K24" s="10">
        <v>2725</v>
      </c>
      <c r="AW24" t="s">
        <v>238</v>
      </c>
      <c r="AX24" t="str">
        <f>VLOOKUP(VLOOKUP(AW24,CHOOSE({1,2},BF:BF,BJ:BJ),2,0),BB:BC,2,0)</f>
        <v>MarketUp Pro</v>
      </c>
      <c r="AY24" s="10"/>
      <c r="AZ24"/>
      <c r="BB24" t="s">
        <v>73</v>
      </c>
      <c r="BC24" t="s">
        <v>23</v>
      </c>
      <c r="BE24">
        <v>21</v>
      </c>
      <c r="BF24" t="s">
        <v>128</v>
      </c>
      <c r="BG24" t="s">
        <v>712</v>
      </c>
      <c r="BH24" s="10">
        <v>100226</v>
      </c>
      <c r="BI24" s="11">
        <v>27633</v>
      </c>
      <c r="BJ24" t="s">
        <v>54</v>
      </c>
      <c r="BK24" s="10">
        <v>2725</v>
      </c>
      <c r="BR24">
        <v>21</v>
      </c>
      <c r="BS24" t="s">
        <v>54</v>
      </c>
      <c r="BT24" s="10">
        <v>100226</v>
      </c>
      <c r="BU24" s="11">
        <v>27633</v>
      </c>
      <c r="BV24" s="10">
        <v>2725</v>
      </c>
      <c r="BW24" s="1">
        <f>IF(BS24=$CA$12,COUNTIF($BS$4:BS24,$CA$12),"")</f>
        <v>9</v>
      </c>
    </row>
    <row r="25" spans="5:75" x14ac:dyDescent="0.25">
      <c r="E25">
        <v>22</v>
      </c>
      <c r="F25" t="s">
        <v>129</v>
      </c>
      <c r="G25" t="s">
        <v>54</v>
      </c>
      <c r="H25" t="s">
        <v>713</v>
      </c>
      <c r="I25" s="10">
        <v>25252</v>
      </c>
      <c r="J25" s="11">
        <v>9897</v>
      </c>
      <c r="K25" s="10">
        <v>576</v>
      </c>
      <c r="AW25" t="s">
        <v>416</v>
      </c>
      <c r="AX25" t="str">
        <f>VLOOKUP(VLOOKUP(AW25,CHOOSE({1,2},BF:BF,BJ:BJ),2,0),BB:BC,2,0)</f>
        <v>FinFlow Technologies</v>
      </c>
      <c r="AY25" s="10"/>
      <c r="AZ25"/>
      <c r="BB25" t="s">
        <v>74</v>
      </c>
      <c r="BC25" t="s">
        <v>24</v>
      </c>
      <c r="BE25">
        <v>22</v>
      </c>
      <c r="BF25" t="s">
        <v>129</v>
      </c>
      <c r="BG25" t="s">
        <v>713</v>
      </c>
      <c r="BH25" s="10">
        <v>25252</v>
      </c>
      <c r="BI25" s="11">
        <v>9897</v>
      </c>
      <c r="BJ25" t="s">
        <v>54</v>
      </c>
      <c r="BK25" s="10">
        <v>576</v>
      </c>
      <c r="BR25">
        <v>22</v>
      </c>
      <c r="BS25" t="s">
        <v>54</v>
      </c>
      <c r="BT25" s="10">
        <v>25252</v>
      </c>
      <c r="BU25" s="11">
        <v>9897</v>
      </c>
      <c r="BV25" s="10">
        <v>576</v>
      </c>
      <c r="BW25" s="1">
        <f>IF(BS25=$CA$12,COUNTIF($BS$4:BS25,$CA$12),"")</f>
        <v>10</v>
      </c>
    </row>
    <row r="26" spans="5:75" x14ac:dyDescent="0.25">
      <c r="E26">
        <v>23</v>
      </c>
      <c r="F26" t="s">
        <v>130</v>
      </c>
      <c r="G26" t="s">
        <v>54</v>
      </c>
      <c r="H26" t="s">
        <v>714</v>
      </c>
      <c r="I26" s="10">
        <v>125237</v>
      </c>
      <c r="J26" s="11">
        <v>28411</v>
      </c>
      <c r="K26" s="10">
        <v>45</v>
      </c>
      <c r="AW26" t="s">
        <v>641</v>
      </c>
      <c r="AX26" t="str">
        <f>VLOOKUP(VLOOKUP(AW26,CHOOSE({1,2},BF:BF,BJ:BJ),2,0),BB:BC,2,0)</f>
        <v>FinSync Dynamics</v>
      </c>
      <c r="AY26" s="10"/>
      <c r="AZ26"/>
      <c r="BB26" t="s">
        <v>75</v>
      </c>
      <c r="BC26" t="s">
        <v>25</v>
      </c>
      <c r="BE26">
        <v>23</v>
      </c>
      <c r="BF26" t="s">
        <v>130</v>
      </c>
      <c r="BG26" t="s">
        <v>714</v>
      </c>
      <c r="BH26" s="10">
        <v>125237</v>
      </c>
      <c r="BI26" s="11">
        <v>28411</v>
      </c>
      <c r="BJ26" t="s">
        <v>54</v>
      </c>
      <c r="BK26" s="10">
        <v>45</v>
      </c>
      <c r="BR26">
        <v>23</v>
      </c>
      <c r="BS26" t="s">
        <v>54</v>
      </c>
      <c r="BT26" s="10">
        <v>125237</v>
      </c>
      <c r="BU26" s="11">
        <v>28411</v>
      </c>
      <c r="BV26" s="10">
        <v>45</v>
      </c>
      <c r="BW26" s="1">
        <f>IF(BS26=$CA$12,COUNTIF($BS$4:BS26,$CA$12),"")</f>
        <v>11</v>
      </c>
    </row>
    <row r="27" spans="5:75" x14ac:dyDescent="0.25">
      <c r="E27">
        <v>24</v>
      </c>
      <c r="F27" t="s">
        <v>131</v>
      </c>
      <c r="G27" t="s">
        <v>54</v>
      </c>
      <c r="H27" t="s">
        <v>715</v>
      </c>
      <c r="I27" s="10">
        <v>61852</v>
      </c>
      <c r="J27" s="11">
        <v>24457</v>
      </c>
      <c r="K27" s="10">
        <v>305</v>
      </c>
      <c r="AW27" t="s">
        <v>404</v>
      </c>
      <c r="AX27" t="str">
        <f>VLOOKUP(VLOOKUP(AW27,CHOOSE({1,2},BF:BF,BJ:BJ),2,0),BB:BC,2,0)</f>
        <v>EcomPulse Agency (EPA)</v>
      </c>
      <c r="AY27" s="10"/>
      <c r="AZ27"/>
      <c r="BB27" t="s">
        <v>76</v>
      </c>
      <c r="BC27" t="s">
        <v>26</v>
      </c>
      <c r="BE27">
        <v>24</v>
      </c>
      <c r="BF27" t="s">
        <v>131</v>
      </c>
      <c r="BG27" t="s">
        <v>715</v>
      </c>
      <c r="BH27" s="10">
        <v>61852</v>
      </c>
      <c r="BI27" s="11">
        <v>24457</v>
      </c>
      <c r="BJ27" t="s">
        <v>54</v>
      </c>
      <c r="BK27" s="10">
        <v>305</v>
      </c>
      <c r="BR27">
        <v>24</v>
      </c>
      <c r="BS27" t="s">
        <v>54</v>
      </c>
      <c r="BT27" s="10">
        <v>61852</v>
      </c>
      <c r="BU27" s="11">
        <v>24457</v>
      </c>
      <c r="BV27" s="10">
        <v>305</v>
      </c>
      <c r="BW27" s="1">
        <f>IF(BS27=$CA$12,COUNTIF($BS$4:BS27,$CA$12),"")</f>
        <v>12</v>
      </c>
    </row>
    <row r="28" spans="5:75" x14ac:dyDescent="0.25">
      <c r="E28">
        <v>25</v>
      </c>
      <c r="F28" t="s">
        <v>132</v>
      </c>
      <c r="G28" t="s">
        <v>55</v>
      </c>
      <c r="H28" t="s">
        <v>704</v>
      </c>
      <c r="I28" s="10">
        <v>73517</v>
      </c>
      <c r="J28" s="11">
        <v>27545</v>
      </c>
      <c r="K28" s="10">
        <v>1597</v>
      </c>
      <c r="AW28" t="s">
        <v>503</v>
      </c>
      <c r="AX28" t="str">
        <f>VLOOKUP(VLOOKUP(AW28,CHOOSE({1,2},BF:BF,BJ:BJ),2,0),BB:BC,2,0)</f>
        <v>PaySecure Systems (PSS)</v>
      </c>
      <c r="AY28" s="10"/>
      <c r="AZ28"/>
      <c r="BB28" t="s">
        <v>77</v>
      </c>
      <c r="BC28" t="s">
        <v>27</v>
      </c>
      <c r="BE28">
        <v>25</v>
      </c>
      <c r="BF28" t="s">
        <v>132</v>
      </c>
      <c r="BG28" t="s">
        <v>704</v>
      </c>
      <c r="BH28" s="10">
        <v>73517</v>
      </c>
      <c r="BI28" s="11">
        <v>27545</v>
      </c>
      <c r="BJ28" t="s">
        <v>55</v>
      </c>
      <c r="BK28" s="10">
        <v>1597</v>
      </c>
      <c r="BR28">
        <v>25</v>
      </c>
      <c r="BS28" t="s">
        <v>55</v>
      </c>
      <c r="BT28" s="10">
        <v>73517</v>
      </c>
      <c r="BU28" s="11">
        <v>27545</v>
      </c>
      <c r="BV28" s="10">
        <v>1597</v>
      </c>
      <c r="BW28" s="1" t="str">
        <f>IF(BS28=$CA$12,COUNTIF($BS$4:BS28,$CA$12),"")</f>
        <v/>
      </c>
    </row>
    <row r="29" spans="5:75" x14ac:dyDescent="0.25">
      <c r="E29">
        <v>26</v>
      </c>
      <c r="F29" t="s">
        <v>133</v>
      </c>
      <c r="G29" t="s">
        <v>55</v>
      </c>
      <c r="H29" t="s">
        <v>705</v>
      </c>
      <c r="I29" s="10">
        <v>127908</v>
      </c>
      <c r="J29" s="11">
        <v>26149</v>
      </c>
      <c r="K29" s="10">
        <v>1901</v>
      </c>
      <c r="AW29" t="s">
        <v>223</v>
      </c>
      <c r="AX29" t="str">
        <f>VLOOKUP(VLOOKUP(AW29,CHOOSE({1,2},BF:BF,BJ:BJ),2,0),BB:BC,2,0)</f>
        <v>EcomTech Ventures</v>
      </c>
      <c r="AY29" s="10"/>
      <c r="AZ29"/>
      <c r="BB29" t="s">
        <v>78</v>
      </c>
      <c r="BC29" t="s">
        <v>28</v>
      </c>
      <c r="BE29">
        <v>26</v>
      </c>
      <c r="BF29" t="s">
        <v>133</v>
      </c>
      <c r="BG29" t="s">
        <v>705</v>
      </c>
      <c r="BH29" s="10">
        <v>127908</v>
      </c>
      <c r="BI29" s="11">
        <v>26149</v>
      </c>
      <c r="BJ29" t="s">
        <v>55</v>
      </c>
      <c r="BK29" s="10">
        <v>1901</v>
      </c>
      <c r="BR29">
        <v>26</v>
      </c>
      <c r="BS29" t="s">
        <v>55</v>
      </c>
      <c r="BT29" s="10">
        <v>127908</v>
      </c>
      <c r="BU29" s="11">
        <v>26149</v>
      </c>
      <c r="BV29" s="10">
        <v>1901</v>
      </c>
      <c r="BW29" s="1" t="str">
        <f>IF(BS29=$CA$12,COUNTIF($BS$4:BS29,$CA$12),"")</f>
        <v/>
      </c>
    </row>
    <row r="30" spans="5:75" x14ac:dyDescent="0.25">
      <c r="E30">
        <v>27</v>
      </c>
      <c r="F30" t="s">
        <v>134</v>
      </c>
      <c r="G30" t="s">
        <v>55</v>
      </c>
      <c r="H30" t="s">
        <v>706</v>
      </c>
      <c r="I30" s="10">
        <v>50762</v>
      </c>
      <c r="J30" s="11">
        <v>20073</v>
      </c>
      <c r="K30" s="10">
        <v>99</v>
      </c>
      <c r="AW30" t="s">
        <v>447</v>
      </c>
      <c r="AX30" t="str">
        <f>VLOOKUP(VLOOKUP(AW30,CHOOSE({1,2},BF:BF,BJ:BJ),2,0),BB:BC,2,0)</f>
        <v>FinBright Solutions (FBS)</v>
      </c>
      <c r="AY30" s="10"/>
      <c r="AZ30"/>
      <c r="BB30" t="s">
        <v>79</v>
      </c>
      <c r="BC30" t="s">
        <v>29</v>
      </c>
      <c r="BE30">
        <v>27</v>
      </c>
      <c r="BF30" t="s">
        <v>134</v>
      </c>
      <c r="BG30" t="s">
        <v>706</v>
      </c>
      <c r="BH30" s="10">
        <v>50762</v>
      </c>
      <c r="BI30" s="11">
        <v>20073</v>
      </c>
      <c r="BJ30" t="s">
        <v>55</v>
      </c>
      <c r="BK30" s="10">
        <v>99</v>
      </c>
      <c r="BR30">
        <v>27</v>
      </c>
      <c r="BS30" t="s">
        <v>55</v>
      </c>
      <c r="BT30" s="10">
        <v>50762</v>
      </c>
      <c r="BU30" s="11">
        <v>20073</v>
      </c>
      <c r="BV30" s="10">
        <v>99</v>
      </c>
      <c r="BW30" s="1" t="str">
        <f>IF(BS30=$CA$12,COUNTIF($BS$4:BS30,$CA$12),"")</f>
        <v/>
      </c>
    </row>
    <row r="31" spans="5:75" x14ac:dyDescent="0.25">
      <c r="E31">
        <v>28</v>
      </c>
      <c r="F31" t="s">
        <v>135</v>
      </c>
      <c r="G31" t="s">
        <v>55</v>
      </c>
      <c r="H31" t="s">
        <v>707</v>
      </c>
      <c r="I31" s="10">
        <v>42421</v>
      </c>
      <c r="J31" s="11">
        <v>16224</v>
      </c>
      <c r="K31" s="10">
        <v>36</v>
      </c>
      <c r="AW31" t="s">
        <v>407</v>
      </c>
      <c r="AX31" t="str">
        <f>VLOOKUP(VLOOKUP(AW31,CHOOSE({1,2},BF:BF,BJ:BJ),2,0),BB:BC,2,0)</f>
        <v>FinFlow Technologies</v>
      </c>
      <c r="AY31" s="10"/>
      <c r="AZ31"/>
      <c r="BB31" t="s">
        <v>80</v>
      </c>
      <c r="BC31" t="s">
        <v>30</v>
      </c>
      <c r="BE31">
        <v>28</v>
      </c>
      <c r="BF31" t="s">
        <v>135</v>
      </c>
      <c r="BG31" t="s">
        <v>707</v>
      </c>
      <c r="BH31" s="10">
        <v>42421</v>
      </c>
      <c r="BI31" s="11">
        <v>16224</v>
      </c>
      <c r="BJ31" t="s">
        <v>55</v>
      </c>
      <c r="BK31" s="10">
        <v>36</v>
      </c>
      <c r="BR31">
        <v>28</v>
      </c>
      <c r="BS31" t="s">
        <v>55</v>
      </c>
      <c r="BT31" s="10">
        <v>42421</v>
      </c>
      <c r="BU31" s="11">
        <v>16224</v>
      </c>
      <c r="BV31" s="10">
        <v>36</v>
      </c>
      <c r="BW31" s="1" t="str">
        <f>IF(BS31=$CA$12,COUNTIF($BS$4:BS31,$CA$12),"")</f>
        <v/>
      </c>
    </row>
    <row r="32" spans="5:75" x14ac:dyDescent="0.25">
      <c r="E32">
        <v>29</v>
      </c>
      <c r="F32" t="s">
        <v>136</v>
      </c>
      <c r="G32" t="s">
        <v>55</v>
      </c>
      <c r="H32" t="s">
        <v>708</v>
      </c>
      <c r="I32" s="10">
        <v>19330</v>
      </c>
      <c r="J32" s="11">
        <v>6852</v>
      </c>
      <c r="K32" s="10">
        <v>177</v>
      </c>
      <c r="AW32" t="s">
        <v>662</v>
      </c>
      <c r="AX32" t="str">
        <f>VLOOKUP(VLOOKUP(AW32,CHOOSE({1,2},BF:BF,BJ:BJ),2,0),BB:BC,2,0)</f>
        <v>FinSphere Technologies</v>
      </c>
      <c r="AY32" s="10"/>
      <c r="AZ32"/>
      <c r="BB32" t="s">
        <v>81</v>
      </c>
      <c r="BC32" t="s">
        <v>31</v>
      </c>
      <c r="BE32">
        <v>29</v>
      </c>
      <c r="BF32" t="s">
        <v>136</v>
      </c>
      <c r="BG32" t="s">
        <v>708</v>
      </c>
      <c r="BH32" s="10">
        <v>19330</v>
      </c>
      <c r="BI32" s="11">
        <v>6852</v>
      </c>
      <c r="BJ32" t="s">
        <v>55</v>
      </c>
      <c r="BK32" s="10">
        <v>177</v>
      </c>
      <c r="BR32">
        <v>29</v>
      </c>
      <c r="BS32" t="s">
        <v>55</v>
      </c>
      <c r="BT32" s="10">
        <v>19330</v>
      </c>
      <c r="BU32" s="11">
        <v>6852</v>
      </c>
      <c r="BV32" s="10">
        <v>177</v>
      </c>
      <c r="BW32" s="1" t="str">
        <f>IF(BS32=$CA$12,COUNTIF($BS$4:BS32,$CA$12),"")</f>
        <v/>
      </c>
    </row>
    <row r="33" spans="5:75" ht="15.75" thickBot="1" x14ac:dyDescent="0.3">
      <c r="E33">
        <v>30</v>
      </c>
      <c r="F33" t="s">
        <v>137</v>
      </c>
      <c r="G33" t="s">
        <v>55</v>
      </c>
      <c r="H33" t="s">
        <v>709</v>
      </c>
      <c r="I33" s="10">
        <v>53481</v>
      </c>
      <c r="J33" s="11">
        <v>15745</v>
      </c>
      <c r="K33" s="10">
        <v>775</v>
      </c>
      <c r="AW33" s="8" t="s">
        <v>373</v>
      </c>
      <c r="AX33" t="str">
        <f>VLOOKUP(VLOOKUP(AW33,CHOOSE({1,2},BF:BF,BJ:BJ),2,0),BB:BC,2,0)</f>
        <v>FinGo Analytics</v>
      </c>
      <c r="AY33" s="12"/>
      <c r="AZ33" s="8"/>
      <c r="BB33" t="s">
        <v>82</v>
      </c>
      <c r="BC33" t="s">
        <v>32</v>
      </c>
      <c r="BE33">
        <v>30</v>
      </c>
      <c r="BF33" t="s">
        <v>137</v>
      </c>
      <c r="BG33" t="s">
        <v>709</v>
      </c>
      <c r="BH33" s="10">
        <v>53481</v>
      </c>
      <c r="BI33" s="11">
        <v>15745</v>
      </c>
      <c r="BJ33" t="s">
        <v>55</v>
      </c>
      <c r="BK33" s="10">
        <v>775</v>
      </c>
      <c r="BR33">
        <v>30</v>
      </c>
      <c r="BS33" t="s">
        <v>55</v>
      </c>
      <c r="BT33" s="10">
        <v>53481</v>
      </c>
      <c r="BU33" s="11">
        <v>15745</v>
      </c>
      <c r="BV33" s="10">
        <v>775</v>
      </c>
      <c r="BW33" s="1" t="str">
        <f>IF(BS33=$CA$12,COUNTIF($BS$4:BS33,$CA$12),"")</f>
        <v/>
      </c>
    </row>
    <row r="34" spans="5:75" x14ac:dyDescent="0.25">
      <c r="E34">
        <v>31</v>
      </c>
      <c r="F34" t="s">
        <v>138</v>
      </c>
      <c r="G34" t="s">
        <v>55</v>
      </c>
      <c r="H34" t="s">
        <v>710</v>
      </c>
      <c r="I34" s="10">
        <v>71572</v>
      </c>
      <c r="J34" s="11">
        <v>14477</v>
      </c>
      <c r="K34" s="10">
        <v>1109</v>
      </c>
      <c r="BB34" t="s">
        <v>83</v>
      </c>
      <c r="BC34" t="s">
        <v>33</v>
      </c>
      <c r="BE34">
        <v>31</v>
      </c>
      <c r="BF34" t="s">
        <v>138</v>
      </c>
      <c r="BG34" t="s">
        <v>710</v>
      </c>
      <c r="BH34" s="10">
        <v>71572</v>
      </c>
      <c r="BI34" s="11">
        <v>14477</v>
      </c>
      <c r="BJ34" t="s">
        <v>55</v>
      </c>
      <c r="BK34" s="10">
        <v>1109</v>
      </c>
      <c r="BR34">
        <v>31</v>
      </c>
      <c r="BS34" t="s">
        <v>55</v>
      </c>
      <c r="BT34" s="10">
        <v>71572</v>
      </c>
      <c r="BU34" s="11">
        <v>14477</v>
      </c>
      <c r="BV34" s="10">
        <v>1109</v>
      </c>
      <c r="BW34" s="1" t="str">
        <f>IF(BS34=$CA$12,COUNTIF($BS$4:BS34,$CA$12),"")</f>
        <v/>
      </c>
    </row>
    <row r="35" spans="5:75" x14ac:dyDescent="0.25">
      <c r="E35">
        <v>32</v>
      </c>
      <c r="F35" t="s">
        <v>139</v>
      </c>
      <c r="G35" t="s">
        <v>55</v>
      </c>
      <c r="H35" t="s">
        <v>711</v>
      </c>
      <c r="I35" s="10">
        <v>15916</v>
      </c>
      <c r="J35" s="11">
        <v>3992</v>
      </c>
      <c r="K35" s="10">
        <v>19</v>
      </c>
      <c r="BB35" t="s">
        <v>84</v>
      </c>
      <c r="BC35" t="s">
        <v>34</v>
      </c>
      <c r="BE35">
        <v>32</v>
      </c>
      <c r="BF35" t="s">
        <v>139</v>
      </c>
      <c r="BG35" t="s">
        <v>711</v>
      </c>
      <c r="BH35" s="10">
        <v>15916</v>
      </c>
      <c r="BI35" s="11">
        <v>3992</v>
      </c>
      <c r="BJ35" t="s">
        <v>55</v>
      </c>
      <c r="BK35" s="10">
        <v>19</v>
      </c>
      <c r="BR35">
        <v>32</v>
      </c>
      <c r="BS35" t="s">
        <v>55</v>
      </c>
      <c r="BT35" s="10">
        <v>15916</v>
      </c>
      <c r="BU35" s="11">
        <v>3992</v>
      </c>
      <c r="BV35" s="10">
        <v>19</v>
      </c>
      <c r="BW35" s="1" t="str">
        <f>IF(BS35=$CA$12,COUNTIF($BS$4:BS35,$CA$12),"")</f>
        <v/>
      </c>
    </row>
    <row r="36" spans="5:75" x14ac:dyDescent="0.25">
      <c r="E36">
        <v>33</v>
      </c>
      <c r="F36" t="s">
        <v>140</v>
      </c>
      <c r="G36" t="s">
        <v>55</v>
      </c>
      <c r="H36" t="s">
        <v>712</v>
      </c>
      <c r="I36" s="10">
        <v>133358</v>
      </c>
      <c r="J36" s="11">
        <v>40316</v>
      </c>
      <c r="K36" s="10">
        <v>3830</v>
      </c>
      <c r="BB36" t="s">
        <v>85</v>
      </c>
      <c r="BC36" t="s">
        <v>35</v>
      </c>
      <c r="BE36">
        <v>33</v>
      </c>
      <c r="BF36" t="s">
        <v>140</v>
      </c>
      <c r="BG36" t="s">
        <v>712</v>
      </c>
      <c r="BH36" s="10">
        <v>133358</v>
      </c>
      <c r="BI36" s="11">
        <v>40316</v>
      </c>
      <c r="BJ36" t="s">
        <v>55</v>
      </c>
      <c r="BK36" s="10">
        <v>3830</v>
      </c>
      <c r="BR36">
        <v>33</v>
      </c>
      <c r="BS36" t="s">
        <v>55</v>
      </c>
      <c r="BT36" s="10">
        <v>133358</v>
      </c>
      <c r="BU36" s="11">
        <v>40316</v>
      </c>
      <c r="BV36" s="10">
        <v>3830</v>
      </c>
      <c r="BW36" s="1" t="str">
        <f>IF(BS36=$CA$12,COUNTIF($BS$4:BS36,$CA$12),"")</f>
        <v/>
      </c>
    </row>
    <row r="37" spans="5:75" x14ac:dyDescent="0.25">
      <c r="E37">
        <v>34</v>
      </c>
      <c r="F37" t="s">
        <v>141</v>
      </c>
      <c r="G37" t="s">
        <v>55</v>
      </c>
      <c r="H37" t="s">
        <v>713</v>
      </c>
      <c r="I37" s="10">
        <v>146932</v>
      </c>
      <c r="J37" s="11">
        <v>45905</v>
      </c>
      <c r="K37" s="10">
        <v>4101</v>
      </c>
      <c r="BB37" t="s">
        <v>86</v>
      </c>
      <c r="BC37" t="s">
        <v>36</v>
      </c>
      <c r="BE37">
        <v>34</v>
      </c>
      <c r="BF37" t="s">
        <v>141</v>
      </c>
      <c r="BG37" t="s">
        <v>713</v>
      </c>
      <c r="BH37" s="10">
        <v>146932</v>
      </c>
      <c r="BI37" s="11">
        <v>45905</v>
      </c>
      <c r="BJ37" t="s">
        <v>55</v>
      </c>
      <c r="BK37" s="10">
        <v>4101</v>
      </c>
      <c r="BR37">
        <v>34</v>
      </c>
      <c r="BS37" t="s">
        <v>55</v>
      </c>
      <c r="BT37" s="10">
        <v>146932</v>
      </c>
      <c r="BU37" s="11">
        <v>45905</v>
      </c>
      <c r="BV37" s="10">
        <v>4101</v>
      </c>
      <c r="BW37" s="1" t="str">
        <f>IF(BS37=$CA$12,COUNTIF($BS$4:BS37,$CA$12),"")</f>
        <v/>
      </c>
    </row>
    <row r="38" spans="5:75" x14ac:dyDescent="0.25">
      <c r="E38">
        <v>35</v>
      </c>
      <c r="F38" t="s">
        <v>142</v>
      </c>
      <c r="G38" t="s">
        <v>55</v>
      </c>
      <c r="H38" t="s">
        <v>714</v>
      </c>
      <c r="I38" s="10">
        <v>18678</v>
      </c>
      <c r="J38" s="11">
        <v>5223</v>
      </c>
      <c r="K38" s="10">
        <v>374</v>
      </c>
      <c r="BB38" t="s">
        <v>87</v>
      </c>
      <c r="BC38" t="s">
        <v>37</v>
      </c>
      <c r="BE38">
        <v>35</v>
      </c>
      <c r="BF38" t="s">
        <v>142</v>
      </c>
      <c r="BG38" t="s">
        <v>714</v>
      </c>
      <c r="BH38" s="10">
        <v>18678</v>
      </c>
      <c r="BI38" s="11">
        <v>5223</v>
      </c>
      <c r="BJ38" t="s">
        <v>55</v>
      </c>
      <c r="BK38" s="10">
        <v>374</v>
      </c>
      <c r="BR38">
        <v>35</v>
      </c>
      <c r="BS38" t="s">
        <v>55</v>
      </c>
      <c r="BT38" s="10">
        <v>18678</v>
      </c>
      <c r="BU38" s="11">
        <v>5223</v>
      </c>
      <c r="BV38" s="10">
        <v>374</v>
      </c>
      <c r="BW38" s="1" t="str">
        <f>IF(BS38=$CA$12,COUNTIF($BS$4:BS38,$CA$12),"")</f>
        <v/>
      </c>
    </row>
    <row r="39" spans="5:75" x14ac:dyDescent="0.25">
      <c r="E39">
        <v>36</v>
      </c>
      <c r="F39" t="s">
        <v>143</v>
      </c>
      <c r="G39" t="s">
        <v>55</v>
      </c>
      <c r="H39" t="s">
        <v>715</v>
      </c>
      <c r="I39" s="10">
        <v>119531</v>
      </c>
      <c r="J39" s="11">
        <v>33160</v>
      </c>
      <c r="K39" s="10">
        <v>2030</v>
      </c>
      <c r="BB39" t="s">
        <v>88</v>
      </c>
      <c r="BC39" t="s">
        <v>38</v>
      </c>
      <c r="BE39">
        <v>36</v>
      </c>
      <c r="BF39" t="s">
        <v>143</v>
      </c>
      <c r="BG39" t="s">
        <v>715</v>
      </c>
      <c r="BH39" s="10">
        <v>119531</v>
      </c>
      <c r="BI39" s="11">
        <v>33160</v>
      </c>
      <c r="BJ39" t="s">
        <v>55</v>
      </c>
      <c r="BK39" s="10">
        <v>2030</v>
      </c>
      <c r="BR39">
        <v>36</v>
      </c>
      <c r="BS39" t="s">
        <v>55</v>
      </c>
      <c r="BT39" s="10">
        <v>119531</v>
      </c>
      <c r="BU39" s="11">
        <v>33160</v>
      </c>
      <c r="BV39" s="10">
        <v>2030</v>
      </c>
      <c r="BW39" s="1" t="str">
        <f>IF(BS39=$CA$12,COUNTIF($BS$4:BS39,$CA$12),"")</f>
        <v/>
      </c>
    </row>
    <row r="40" spans="5:75" x14ac:dyDescent="0.25">
      <c r="E40">
        <v>37</v>
      </c>
      <c r="F40" t="s">
        <v>144</v>
      </c>
      <c r="G40" t="s">
        <v>56</v>
      </c>
      <c r="H40" t="s">
        <v>704</v>
      </c>
      <c r="I40" s="10">
        <v>97983</v>
      </c>
      <c r="J40" s="11">
        <v>23779</v>
      </c>
      <c r="K40" s="10">
        <v>443</v>
      </c>
      <c r="BB40" t="s">
        <v>89</v>
      </c>
      <c r="BC40" t="s">
        <v>39</v>
      </c>
      <c r="BE40">
        <v>37</v>
      </c>
      <c r="BF40" t="s">
        <v>144</v>
      </c>
      <c r="BG40" t="s">
        <v>704</v>
      </c>
      <c r="BH40" s="10">
        <v>97983</v>
      </c>
      <c r="BI40" s="11">
        <v>23779</v>
      </c>
      <c r="BJ40" t="s">
        <v>56</v>
      </c>
      <c r="BK40" s="10">
        <v>443</v>
      </c>
      <c r="BR40">
        <v>37</v>
      </c>
      <c r="BS40" t="s">
        <v>56</v>
      </c>
      <c r="BT40" s="10">
        <v>97983</v>
      </c>
      <c r="BU40" s="11">
        <v>23779</v>
      </c>
      <c r="BV40" s="10">
        <v>443</v>
      </c>
      <c r="BW40" s="1" t="str">
        <f>IF(BS40=$CA$12,COUNTIF($BS$4:BS40,$CA$12),"")</f>
        <v/>
      </c>
    </row>
    <row r="41" spans="5:75" x14ac:dyDescent="0.25">
      <c r="E41">
        <v>38</v>
      </c>
      <c r="F41" t="s">
        <v>145</v>
      </c>
      <c r="G41" t="s">
        <v>56</v>
      </c>
      <c r="H41" t="s">
        <v>705</v>
      </c>
      <c r="I41" s="10">
        <v>20916</v>
      </c>
      <c r="J41" s="11">
        <v>6503</v>
      </c>
      <c r="K41" s="10">
        <v>283</v>
      </c>
      <c r="BB41" t="s">
        <v>90</v>
      </c>
      <c r="BC41" t="s">
        <v>40</v>
      </c>
      <c r="BE41">
        <v>38</v>
      </c>
      <c r="BF41" t="s">
        <v>145</v>
      </c>
      <c r="BG41" t="s">
        <v>705</v>
      </c>
      <c r="BH41" s="10">
        <v>20916</v>
      </c>
      <c r="BI41" s="11">
        <v>6503</v>
      </c>
      <c r="BJ41" t="s">
        <v>56</v>
      </c>
      <c r="BK41" s="10">
        <v>283</v>
      </c>
      <c r="BR41">
        <v>38</v>
      </c>
      <c r="BS41" t="s">
        <v>56</v>
      </c>
      <c r="BT41" s="10">
        <v>20916</v>
      </c>
      <c r="BU41" s="11">
        <v>6503</v>
      </c>
      <c r="BV41" s="10">
        <v>283</v>
      </c>
      <c r="BW41" s="1" t="str">
        <f>IF(BS41=$CA$12,COUNTIF($BS$4:BS41,$CA$12),"")</f>
        <v/>
      </c>
    </row>
    <row r="42" spans="5:75" x14ac:dyDescent="0.25">
      <c r="E42">
        <v>39</v>
      </c>
      <c r="F42" t="s">
        <v>146</v>
      </c>
      <c r="G42" t="s">
        <v>56</v>
      </c>
      <c r="H42" t="s">
        <v>706</v>
      </c>
      <c r="I42" s="10">
        <v>85691</v>
      </c>
      <c r="J42" s="11">
        <v>21208</v>
      </c>
      <c r="K42" s="10">
        <v>1513</v>
      </c>
      <c r="BB42" t="s">
        <v>91</v>
      </c>
      <c r="BC42" t="s">
        <v>41</v>
      </c>
      <c r="BE42">
        <v>39</v>
      </c>
      <c r="BF42" t="s">
        <v>146</v>
      </c>
      <c r="BG42" t="s">
        <v>706</v>
      </c>
      <c r="BH42" s="10">
        <v>85691</v>
      </c>
      <c r="BI42" s="11">
        <v>21208</v>
      </c>
      <c r="BJ42" t="s">
        <v>56</v>
      </c>
      <c r="BK42" s="10">
        <v>1513</v>
      </c>
      <c r="BR42">
        <v>39</v>
      </c>
      <c r="BS42" t="s">
        <v>56</v>
      </c>
      <c r="BT42" s="10">
        <v>85691</v>
      </c>
      <c r="BU42" s="11">
        <v>21208</v>
      </c>
      <c r="BV42" s="10">
        <v>1513</v>
      </c>
      <c r="BW42" s="1" t="str">
        <f>IF(BS42=$CA$12,COUNTIF($BS$4:BS42,$CA$12),"")</f>
        <v/>
      </c>
    </row>
    <row r="43" spans="5:75" x14ac:dyDescent="0.25">
      <c r="E43">
        <v>40</v>
      </c>
      <c r="F43" t="s">
        <v>147</v>
      </c>
      <c r="G43" t="s">
        <v>56</v>
      </c>
      <c r="H43" t="s">
        <v>707</v>
      </c>
      <c r="I43" s="10">
        <v>50252</v>
      </c>
      <c r="J43" s="11">
        <v>16247</v>
      </c>
      <c r="K43" s="10">
        <v>987</v>
      </c>
      <c r="BB43" t="s">
        <v>92</v>
      </c>
      <c r="BC43" t="s">
        <v>42</v>
      </c>
      <c r="BE43">
        <v>40</v>
      </c>
      <c r="BF43" t="s">
        <v>147</v>
      </c>
      <c r="BG43" t="s">
        <v>707</v>
      </c>
      <c r="BH43" s="10">
        <v>50252</v>
      </c>
      <c r="BI43" s="11">
        <v>16247</v>
      </c>
      <c r="BJ43" t="s">
        <v>56</v>
      </c>
      <c r="BK43" s="10">
        <v>987</v>
      </c>
      <c r="BR43">
        <v>40</v>
      </c>
      <c r="BS43" t="s">
        <v>56</v>
      </c>
      <c r="BT43" s="10">
        <v>50252</v>
      </c>
      <c r="BU43" s="11">
        <v>16247</v>
      </c>
      <c r="BV43" s="10">
        <v>987</v>
      </c>
      <c r="BW43" s="1" t="str">
        <f>IF(BS43=$CA$12,COUNTIF($BS$4:BS43,$CA$12),"")</f>
        <v/>
      </c>
    </row>
    <row r="44" spans="5:75" x14ac:dyDescent="0.25">
      <c r="E44">
        <v>41</v>
      </c>
      <c r="F44" t="s">
        <v>148</v>
      </c>
      <c r="G44" t="s">
        <v>56</v>
      </c>
      <c r="H44" t="s">
        <v>708</v>
      </c>
      <c r="I44" s="10">
        <v>88951</v>
      </c>
      <c r="J44" s="11">
        <v>24212</v>
      </c>
      <c r="K44" s="10">
        <v>465</v>
      </c>
      <c r="BB44" t="s">
        <v>93</v>
      </c>
      <c r="BC44" t="s">
        <v>43</v>
      </c>
      <c r="BE44">
        <v>41</v>
      </c>
      <c r="BF44" t="s">
        <v>148</v>
      </c>
      <c r="BG44" t="s">
        <v>708</v>
      </c>
      <c r="BH44" s="10">
        <v>88951</v>
      </c>
      <c r="BI44" s="11">
        <v>24212</v>
      </c>
      <c r="BJ44" t="s">
        <v>56</v>
      </c>
      <c r="BK44" s="10">
        <v>465</v>
      </c>
      <c r="BR44">
        <v>41</v>
      </c>
      <c r="BS44" t="s">
        <v>56</v>
      </c>
      <c r="BT44" s="10">
        <v>88951</v>
      </c>
      <c r="BU44" s="11">
        <v>24212</v>
      </c>
      <c r="BV44" s="10">
        <v>465</v>
      </c>
      <c r="BW44" s="1" t="str">
        <f>IF(BS44=$CA$12,COUNTIF($BS$4:BS44,$CA$12),"")</f>
        <v/>
      </c>
    </row>
    <row r="45" spans="5:75" x14ac:dyDescent="0.25">
      <c r="E45">
        <v>42</v>
      </c>
      <c r="F45" t="s">
        <v>149</v>
      </c>
      <c r="G45" t="s">
        <v>56</v>
      </c>
      <c r="H45" t="s">
        <v>709</v>
      </c>
      <c r="I45" s="10">
        <v>48313</v>
      </c>
      <c r="J45" s="11">
        <v>17942</v>
      </c>
      <c r="K45" s="10">
        <v>1351</v>
      </c>
      <c r="BB45" t="s">
        <v>94</v>
      </c>
      <c r="BC45" t="s">
        <v>44</v>
      </c>
      <c r="BE45">
        <v>42</v>
      </c>
      <c r="BF45" t="s">
        <v>149</v>
      </c>
      <c r="BG45" t="s">
        <v>709</v>
      </c>
      <c r="BH45" s="10">
        <v>48313</v>
      </c>
      <c r="BI45" s="11">
        <v>17942</v>
      </c>
      <c r="BJ45" t="s">
        <v>56</v>
      </c>
      <c r="BK45" s="10">
        <v>1351</v>
      </c>
      <c r="BR45">
        <v>42</v>
      </c>
      <c r="BS45" t="s">
        <v>56</v>
      </c>
      <c r="BT45" s="10">
        <v>48313</v>
      </c>
      <c r="BU45" s="11">
        <v>17942</v>
      </c>
      <c r="BV45" s="10">
        <v>1351</v>
      </c>
      <c r="BW45" s="1" t="str">
        <f>IF(BS45=$CA$12,COUNTIF($BS$4:BS45,$CA$12),"")</f>
        <v/>
      </c>
    </row>
    <row r="46" spans="5:75" x14ac:dyDescent="0.25">
      <c r="E46">
        <v>43</v>
      </c>
      <c r="F46" t="s">
        <v>150</v>
      </c>
      <c r="G46" t="s">
        <v>56</v>
      </c>
      <c r="H46" t="s">
        <v>710</v>
      </c>
      <c r="I46" s="10">
        <v>86091</v>
      </c>
      <c r="J46" s="11">
        <v>26916</v>
      </c>
      <c r="K46" s="10">
        <v>2492</v>
      </c>
      <c r="BB46" t="s">
        <v>95</v>
      </c>
      <c r="BC46" t="s">
        <v>45</v>
      </c>
      <c r="BE46">
        <v>43</v>
      </c>
      <c r="BF46" t="s">
        <v>150</v>
      </c>
      <c r="BG46" t="s">
        <v>710</v>
      </c>
      <c r="BH46" s="10">
        <v>86091</v>
      </c>
      <c r="BI46" s="11">
        <v>26916</v>
      </c>
      <c r="BJ46" t="s">
        <v>56</v>
      </c>
      <c r="BK46" s="10">
        <v>2492</v>
      </c>
      <c r="BR46">
        <v>43</v>
      </c>
      <c r="BS46" t="s">
        <v>56</v>
      </c>
      <c r="BT46" s="10">
        <v>86091</v>
      </c>
      <c r="BU46" s="11">
        <v>26916</v>
      </c>
      <c r="BV46" s="10">
        <v>2492</v>
      </c>
      <c r="BW46" s="1" t="str">
        <f>IF(BS46=$CA$12,COUNTIF($BS$4:BS46,$CA$12),"")</f>
        <v/>
      </c>
    </row>
    <row r="47" spans="5:75" x14ac:dyDescent="0.25">
      <c r="E47">
        <v>44</v>
      </c>
      <c r="F47" t="s">
        <v>151</v>
      </c>
      <c r="G47" t="s">
        <v>56</v>
      </c>
      <c r="H47" t="s">
        <v>711</v>
      </c>
      <c r="I47" s="10">
        <v>138283</v>
      </c>
      <c r="J47" s="11">
        <v>51828</v>
      </c>
      <c r="K47" s="10">
        <v>1151</v>
      </c>
      <c r="BB47" t="s">
        <v>96</v>
      </c>
      <c r="BC47" t="s">
        <v>46</v>
      </c>
      <c r="BE47">
        <v>44</v>
      </c>
      <c r="BF47" t="s">
        <v>151</v>
      </c>
      <c r="BG47" t="s">
        <v>711</v>
      </c>
      <c r="BH47" s="10">
        <v>138283</v>
      </c>
      <c r="BI47" s="11">
        <v>51828</v>
      </c>
      <c r="BJ47" t="s">
        <v>56</v>
      </c>
      <c r="BK47" s="10">
        <v>1151</v>
      </c>
      <c r="BR47">
        <v>44</v>
      </c>
      <c r="BS47" t="s">
        <v>56</v>
      </c>
      <c r="BT47" s="10">
        <v>138283</v>
      </c>
      <c r="BU47" s="11">
        <v>51828</v>
      </c>
      <c r="BV47" s="10">
        <v>1151</v>
      </c>
      <c r="BW47" s="1" t="str">
        <f>IF(BS47=$CA$12,COUNTIF($BS$4:BS47,$CA$12),"")</f>
        <v/>
      </c>
    </row>
    <row r="48" spans="5:75" x14ac:dyDescent="0.25">
      <c r="E48">
        <v>45</v>
      </c>
      <c r="F48" t="s">
        <v>152</v>
      </c>
      <c r="G48" t="s">
        <v>56</v>
      </c>
      <c r="H48" t="s">
        <v>712</v>
      </c>
      <c r="I48" s="10">
        <v>14569</v>
      </c>
      <c r="J48" s="11">
        <v>3565</v>
      </c>
      <c r="K48" s="10">
        <v>100</v>
      </c>
      <c r="BB48" t="s">
        <v>97</v>
      </c>
      <c r="BC48" t="s">
        <v>47</v>
      </c>
      <c r="BE48">
        <v>45</v>
      </c>
      <c r="BF48" t="s">
        <v>152</v>
      </c>
      <c r="BG48" t="s">
        <v>712</v>
      </c>
      <c r="BH48" s="10">
        <v>14569</v>
      </c>
      <c r="BI48" s="11">
        <v>3565</v>
      </c>
      <c r="BJ48" t="s">
        <v>56</v>
      </c>
      <c r="BK48" s="10">
        <v>100</v>
      </c>
      <c r="BR48">
        <v>45</v>
      </c>
      <c r="BS48" t="s">
        <v>56</v>
      </c>
      <c r="BT48" s="10">
        <v>14569</v>
      </c>
      <c r="BU48" s="11">
        <v>3565</v>
      </c>
      <c r="BV48" s="10">
        <v>100</v>
      </c>
      <c r="BW48" s="1" t="str">
        <f>IF(BS48=$CA$12,COUNTIF($BS$4:BS48,$CA$12),"")</f>
        <v/>
      </c>
    </row>
    <row r="49" spans="5:75" x14ac:dyDescent="0.25">
      <c r="E49">
        <v>46</v>
      </c>
      <c r="F49" t="s">
        <v>153</v>
      </c>
      <c r="G49" t="s">
        <v>56</v>
      </c>
      <c r="H49" t="s">
        <v>713</v>
      </c>
      <c r="I49" s="10">
        <v>28151</v>
      </c>
      <c r="J49" s="11">
        <v>10454</v>
      </c>
      <c r="K49" s="10">
        <v>640</v>
      </c>
      <c r="BB49" t="s">
        <v>98</v>
      </c>
      <c r="BC49" t="s">
        <v>48</v>
      </c>
      <c r="BE49">
        <v>46</v>
      </c>
      <c r="BF49" t="s">
        <v>153</v>
      </c>
      <c r="BG49" t="s">
        <v>713</v>
      </c>
      <c r="BH49" s="10">
        <v>28151</v>
      </c>
      <c r="BI49" s="11">
        <v>10454</v>
      </c>
      <c r="BJ49" t="s">
        <v>56</v>
      </c>
      <c r="BK49" s="10">
        <v>640</v>
      </c>
      <c r="BR49">
        <v>46</v>
      </c>
      <c r="BS49" t="s">
        <v>56</v>
      </c>
      <c r="BT49" s="10">
        <v>28151</v>
      </c>
      <c r="BU49" s="11">
        <v>10454</v>
      </c>
      <c r="BV49" s="10">
        <v>640</v>
      </c>
      <c r="BW49" s="1" t="str">
        <f>IF(BS49=$CA$12,COUNTIF($BS$4:BS49,$CA$12),"")</f>
        <v/>
      </c>
    </row>
    <row r="50" spans="5:75" x14ac:dyDescent="0.25">
      <c r="E50">
        <v>47</v>
      </c>
      <c r="F50" t="s">
        <v>154</v>
      </c>
      <c r="G50" t="s">
        <v>56</v>
      </c>
      <c r="H50" t="s">
        <v>714</v>
      </c>
      <c r="I50" s="10">
        <v>138037</v>
      </c>
      <c r="J50" s="11">
        <v>51222</v>
      </c>
      <c r="K50" s="10">
        <v>660</v>
      </c>
      <c r="BB50" t="s">
        <v>99</v>
      </c>
      <c r="BC50" t="s">
        <v>49</v>
      </c>
      <c r="BE50">
        <v>47</v>
      </c>
      <c r="BF50" t="s">
        <v>154</v>
      </c>
      <c r="BG50" t="s">
        <v>714</v>
      </c>
      <c r="BH50" s="10">
        <v>138037</v>
      </c>
      <c r="BI50" s="11">
        <v>51222</v>
      </c>
      <c r="BJ50" t="s">
        <v>56</v>
      </c>
      <c r="BK50" s="10">
        <v>660</v>
      </c>
      <c r="BR50">
        <v>47</v>
      </c>
      <c r="BS50" t="s">
        <v>56</v>
      </c>
      <c r="BT50" s="10">
        <v>138037</v>
      </c>
      <c r="BU50" s="11">
        <v>51222</v>
      </c>
      <c r="BV50" s="10">
        <v>660</v>
      </c>
      <c r="BW50" s="1" t="str">
        <f>IF(BS50=$CA$12,COUNTIF($BS$4:BS50,$CA$12),"")</f>
        <v/>
      </c>
    </row>
    <row r="51" spans="5:75" x14ac:dyDescent="0.25">
      <c r="E51">
        <v>48</v>
      </c>
      <c r="F51" t="s">
        <v>155</v>
      </c>
      <c r="G51" t="s">
        <v>56</v>
      </c>
      <c r="H51" t="s">
        <v>715</v>
      </c>
      <c r="I51" s="10">
        <v>34360</v>
      </c>
      <c r="J51" s="11">
        <v>9759</v>
      </c>
      <c r="K51" s="10">
        <v>195</v>
      </c>
      <c r="BB51" t="s">
        <v>100</v>
      </c>
      <c r="BC51" t="s">
        <v>50</v>
      </c>
      <c r="BE51">
        <v>48</v>
      </c>
      <c r="BF51" t="s">
        <v>155</v>
      </c>
      <c r="BG51" t="s">
        <v>715</v>
      </c>
      <c r="BH51" s="10">
        <v>34360</v>
      </c>
      <c r="BI51" s="11">
        <v>9759</v>
      </c>
      <c r="BJ51" t="s">
        <v>56</v>
      </c>
      <c r="BK51" s="10">
        <v>195</v>
      </c>
      <c r="BR51">
        <v>48</v>
      </c>
      <c r="BS51" t="s">
        <v>56</v>
      </c>
      <c r="BT51" s="10">
        <v>34360</v>
      </c>
      <c r="BU51" s="11">
        <v>9759</v>
      </c>
      <c r="BV51" s="10">
        <v>195</v>
      </c>
      <c r="BW51" s="1" t="str">
        <f>IF(BS51=$CA$12,COUNTIF($BS$4:BS51,$CA$12),"")</f>
        <v/>
      </c>
    </row>
    <row r="52" spans="5:75" x14ac:dyDescent="0.25">
      <c r="E52">
        <v>49</v>
      </c>
      <c r="F52" t="s">
        <v>156</v>
      </c>
      <c r="G52" t="s">
        <v>57</v>
      </c>
      <c r="H52" t="s">
        <v>704</v>
      </c>
      <c r="I52" s="10">
        <v>27963</v>
      </c>
      <c r="J52" s="11">
        <v>9482</v>
      </c>
      <c r="K52" s="10">
        <v>602</v>
      </c>
      <c r="BB52" t="s">
        <v>101</v>
      </c>
      <c r="BC52" t="s">
        <v>51</v>
      </c>
      <c r="BE52">
        <v>49</v>
      </c>
      <c r="BF52" t="s">
        <v>156</v>
      </c>
      <c r="BG52" t="s">
        <v>704</v>
      </c>
      <c r="BH52" s="10">
        <v>27963</v>
      </c>
      <c r="BI52" s="11">
        <v>9482</v>
      </c>
      <c r="BJ52" t="s">
        <v>57</v>
      </c>
      <c r="BK52" s="10">
        <v>602</v>
      </c>
      <c r="BR52">
        <v>49</v>
      </c>
      <c r="BS52" t="s">
        <v>57</v>
      </c>
      <c r="BT52" s="10">
        <v>27963</v>
      </c>
      <c r="BU52" s="11">
        <v>9482</v>
      </c>
      <c r="BV52" s="10">
        <v>602</v>
      </c>
      <c r="BW52" s="1" t="str">
        <f>IF(BS52=$CA$12,COUNTIF($BS$4:BS52,$CA$12),"")</f>
        <v/>
      </c>
    </row>
    <row r="53" spans="5:75" ht="15.75" thickBot="1" x14ac:dyDescent="0.3">
      <c r="E53">
        <v>50</v>
      </c>
      <c r="F53" t="s">
        <v>157</v>
      </c>
      <c r="G53" t="s">
        <v>57</v>
      </c>
      <c r="H53" t="s">
        <v>705</v>
      </c>
      <c r="I53" s="10">
        <v>20830</v>
      </c>
      <c r="J53" s="11">
        <v>7760</v>
      </c>
      <c r="K53" s="10">
        <v>583</v>
      </c>
      <c r="BB53" s="8" t="s">
        <v>102</v>
      </c>
      <c r="BC53" s="8" t="s">
        <v>52</v>
      </c>
      <c r="BE53">
        <v>50</v>
      </c>
      <c r="BF53" t="s">
        <v>157</v>
      </c>
      <c r="BG53" t="s">
        <v>705</v>
      </c>
      <c r="BH53" s="10">
        <v>20830</v>
      </c>
      <c r="BI53" s="11">
        <v>7760</v>
      </c>
      <c r="BJ53" t="s">
        <v>57</v>
      </c>
      <c r="BK53" s="10">
        <v>583</v>
      </c>
      <c r="BR53">
        <v>50</v>
      </c>
      <c r="BS53" t="s">
        <v>57</v>
      </c>
      <c r="BT53" s="10">
        <v>20830</v>
      </c>
      <c r="BU53" s="11">
        <v>7760</v>
      </c>
      <c r="BV53" s="10">
        <v>583</v>
      </c>
      <c r="BW53" s="1" t="str">
        <f>IF(BS53=$CA$12,COUNTIF($BS$4:BS53,$CA$12),"")</f>
        <v/>
      </c>
    </row>
    <row r="54" spans="5:75" x14ac:dyDescent="0.25">
      <c r="E54">
        <v>51</v>
      </c>
      <c r="F54" t="s">
        <v>158</v>
      </c>
      <c r="G54" t="s">
        <v>57</v>
      </c>
      <c r="H54" t="s">
        <v>706</v>
      </c>
      <c r="I54" s="10">
        <v>35400</v>
      </c>
      <c r="J54" s="11">
        <v>7900</v>
      </c>
      <c r="K54" s="10">
        <v>135</v>
      </c>
      <c r="BE54">
        <v>51</v>
      </c>
      <c r="BF54" t="s">
        <v>158</v>
      </c>
      <c r="BG54" t="s">
        <v>706</v>
      </c>
      <c r="BH54" s="10">
        <v>35400</v>
      </c>
      <c r="BI54" s="11">
        <v>7900</v>
      </c>
      <c r="BJ54" t="s">
        <v>57</v>
      </c>
      <c r="BK54" s="10">
        <v>135</v>
      </c>
      <c r="BR54">
        <v>51</v>
      </c>
      <c r="BS54" t="s">
        <v>57</v>
      </c>
      <c r="BT54" s="10">
        <v>35400</v>
      </c>
      <c r="BU54" s="11">
        <v>7900</v>
      </c>
      <c r="BV54" s="10">
        <v>135</v>
      </c>
      <c r="BW54" s="1" t="str">
        <f>IF(BS54=$CA$12,COUNTIF($BS$4:BS54,$CA$12),"")</f>
        <v/>
      </c>
    </row>
    <row r="55" spans="5:75" x14ac:dyDescent="0.25">
      <c r="E55">
        <v>52</v>
      </c>
      <c r="F55" t="s">
        <v>159</v>
      </c>
      <c r="G55" t="s">
        <v>57</v>
      </c>
      <c r="H55" t="s">
        <v>707</v>
      </c>
      <c r="I55" s="10">
        <v>46970</v>
      </c>
      <c r="J55" s="11">
        <v>17848</v>
      </c>
      <c r="K55" s="10">
        <v>270</v>
      </c>
      <c r="BE55">
        <v>52</v>
      </c>
      <c r="BF55" t="s">
        <v>159</v>
      </c>
      <c r="BG55" t="s">
        <v>707</v>
      </c>
      <c r="BH55" s="10">
        <v>46970</v>
      </c>
      <c r="BI55" s="11">
        <v>17848</v>
      </c>
      <c r="BJ55" t="s">
        <v>57</v>
      </c>
      <c r="BK55" s="10">
        <v>270</v>
      </c>
      <c r="BR55">
        <v>52</v>
      </c>
      <c r="BS55" t="s">
        <v>57</v>
      </c>
      <c r="BT55" s="10">
        <v>46970</v>
      </c>
      <c r="BU55" s="11">
        <v>17848</v>
      </c>
      <c r="BV55" s="10">
        <v>270</v>
      </c>
      <c r="BW55" s="1" t="str">
        <f>IF(BS55=$CA$12,COUNTIF($BS$4:BS55,$CA$12),"")</f>
        <v/>
      </c>
    </row>
    <row r="56" spans="5:75" x14ac:dyDescent="0.25">
      <c r="E56">
        <v>53</v>
      </c>
      <c r="F56" t="s">
        <v>160</v>
      </c>
      <c r="G56" t="s">
        <v>57</v>
      </c>
      <c r="H56" t="s">
        <v>708</v>
      </c>
      <c r="I56" s="10">
        <v>90960</v>
      </c>
      <c r="J56" s="11">
        <v>25720</v>
      </c>
      <c r="K56" s="10">
        <v>1379</v>
      </c>
      <c r="BE56">
        <v>53</v>
      </c>
      <c r="BF56" t="s">
        <v>160</v>
      </c>
      <c r="BG56" t="s">
        <v>708</v>
      </c>
      <c r="BH56" s="10">
        <v>90960</v>
      </c>
      <c r="BI56" s="11">
        <v>25720</v>
      </c>
      <c r="BJ56" t="s">
        <v>57</v>
      </c>
      <c r="BK56" s="10">
        <v>1379</v>
      </c>
      <c r="BR56">
        <v>53</v>
      </c>
      <c r="BS56" t="s">
        <v>57</v>
      </c>
      <c r="BT56" s="10">
        <v>90960</v>
      </c>
      <c r="BU56" s="11">
        <v>25720</v>
      </c>
      <c r="BV56" s="10">
        <v>1379</v>
      </c>
      <c r="BW56" s="1" t="str">
        <f>IF(BS56=$CA$12,COUNTIF($BS$4:BS56,$CA$12),"")</f>
        <v/>
      </c>
    </row>
    <row r="57" spans="5:75" x14ac:dyDescent="0.25">
      <c r="E57">
        <v>54</v>
      </c>
      <c r="F57" t="s">
        <v>161</v>
      </c>
      <c r="G57" t="s">
        <v>57</v>
      </c>
      <c r="H57" t="s">
        <v>709</v>
      </c>
      <c r="I57" s="10">
        <v>36191</v>
      </c>
      <c r="J57" s="11">
        <v>14233</v>
      </c>
      <c r="K57" s="10">
        <v>1327</v>
      </c>
      <c r="BE57">
        <v>54</v>
      </c>
      <c r="BF57" t="s">
        <v>161</v>
      </c>
      <c r="BG57" t="s">
        <v>709</v>
      </c>
      <c r="BH57" s="10">
        <v>36191</v>
      </c>
      <c r="BI57" s="11">
        <v>14233</v>
      </c>
      <c r="BJ57" t="s">
        <v>57</v>
      </c>
      <c r="BK57" s="10">
        <v>1327</v>
      </c>
      <c r="BR57">
        <v>54</v>
      </c>
      <c r="BS57" t="s">
        <v>57</v>
      </c>
      <c r="BT57" s="10">
        <v>36191</v>
      </c>
      <c r="BU57" s="11">
        <v>14233</v>
      </c>
      <c r="BV57" s="10">
        <v>1327</v>
      </c>
      <c r="BW57" s="1" t="str">
        <f>IF(BS57=$CA$12,COUNTIF($BS$4:BS57,$CA$12),"")</f>
        <v/>
      </c>
    </row>
    <row r="58" spans="5:75" x14ac:dyDescent="0.25">
      <c r="E58">
        <v>55</v>
      </c>
      <c r="F58" t="s">
        <v>162</v>
      </c>
      <c r="G58" t="s">
        <v>57</v>
      </c>
      <c r="H58" t="s">
        <v>710</v>
      </c>
      <c r="I58" s="10">
        <v>118976</v>
      </c>
      <c r="J58" s="11">
        <v>26575</v>
      </c>
      <c r="K58" s="10">
        <v>13</v>
      </c>
      <c r="BE58">
        <v>55</v>
      </c>
      <c r="BF58" t="s">
        <v>162</v>
      </c>
      <c r="BG58" t="s">
        <v>710</v>
      </c>
      <c r="BH58" s="10">
        <v>118976</v>
      </c>
      <c r="BI58" s="11">
        <v>26575</v>
      </c>
      <c r="BJ58" t="s">
        <v>57</v>
      </c>
      <c r="BK58" s="10">
        <v>13</v>
      </c>
      <c r="BR58">
        <v>55</v>
      </c>
      <c r="BS58" t="s">
        <v>57</v>
      </c>
      <c r="BT58" s="10">
        <v>118976</v>
      </c>
      <c r="BU58" s="11">
        <v>26575</v>
      </c>
      <c r="BV58" s="10">
        <v>13</v>
      </c>
      <c r="BW58" s="1" t="str">
        <f>IF(BS58=$CA$12,COUNTIF($BS$4:BS58,$CA$12),"")</f>
        <v/>
      </c>
    </row>
    <row r="59" spans="5:75" x14ac:dyDescent="0.25">
      <c r="E59">
        <v>56</v>
      </c>
      <c r="F59" t="s">
        <v>163</v>
      </c>
      <c r="G59" t="s">
        <v>57</v>
      </c>
      <c r="H59" t="s">
        <v>711</v>
      </c>
      <c r="I59" s="10">
        <v>66017</v>
      </c>
      <c r="J59" s="11">
        <v>17845</v>
      </c>
      <c r="K59" s="10">
        <v>1152</v>
      </c>
      <c r="BE59">
        <v>56</v>
      </c>
      <c r="BF59" t="s">
        <v>163</v>
      </c>
      <c r="BG59" t="s">
        <v>711</v>
      </c>
      <c r="BH59" s="10">
        <v>66017</v>
      </c>
      <c r="BI59" s="11">
        <v>17845</v>
      </c>
      <c r="BJ59" t="s">
        <v>57</v>
      </c>
      <c r="BK59" s="10">
        <v>1152</v>
      </c>
      <c r="BR59">
        <v>56</v>
      </c>
      <c r="BS59" t="s">
        <v>57</v>
      </c>
      <c r="BT59" s="10">
        <v>66017</v>
      </c>
      <c r="BU59" s="11">
        <v>17845</v>
      </c>
      <c r="BV59" s="10">
        <v>1152</v>
      </c>
      <c r="BW59" s="1" t="str">
        <f>IF(BS59=$CA$12,COUNTIF($BS$4:BS59,$CA$12),"")</f>
        <v/>
      </c>
    </row>
    <row r="60" spans="5:75" x14ac:dyDescent="0.25">
      <c r="E60">
        <v>57</v>
      </c>
      <c r="F60" t="s">
        <v>164</v>
      </c>
      <c r="G60" t="s">
        <v>57</v>
      </c>
      <c r="H60" t="s">
        <v>712</v>
      </c>
      <c r="I60" s="10">
        <v>144297</v>
      </c>
      <c r="J60" s="11">
        <v>30879</v>
      </c>
      <c r="K60" s="10">
        <v>2290</v>
      </c>
      <c r="BE60">
        <v>57</v>
      </c>
      <c r="BF60" t="s">
        <v>164</v>
      </c>
      <c r="BG60" t="s">
        <v>712</v>
      </c>
      <c r="BH60" s="10">
        <v>144297</v>
      </c>
      <c r="BI60" s="11">
        <v>30879</v>
      </c>
      <c r="BJ60" t="s">
        <v>57</v>
      </c>
      <c r="BK60" s="10">
        <v>2290</v>
      </c>
      <c r="BR60">
        <v>57</v>
      </c>
      <c r="BS60" t="s">
        <v>57</v>
      </c>
      <c r="BT60" s="10">
        <v>144297</v>
      </c>
      <c r="BU60" s="11">
        <v>30879</v>
      </c>
      <c r="BV60" s="10">
        <v>2290</v>
      </c>
      <c r="BW60" s="1" t="str">
        <f>IF(BS60=$CA$12,COUNTIF($BS$4:BS60,$CA$12),"")</f>
        <v/>
      </c>
    </row>
    <row r="61" spans="5:75" x14ac:dyDescent="0.25">
      <c r="E61">
        <v>58</v>
      </c>
      <c r="F61" t="s">
        <v>165</v>
      </c>
      <c r="G61" t="s">
        <v>57</v>
      </c>
      <c r="H61" t="s">
        <v>713</v>
      </c>
      <c r="I61" s="10">
        <v>34166</v>
      </c>
      <c r="J61" s="11">
        <v>11237</v>
      </c>
      <c r="K61" s="10">
        <v>576</v>
      </c>
      <c r="BE61">
        <v>58</v>
      </c>
      <c r="BF61" t="s">
        <v>165</v>
      </c>
      <c r="BG61" t="s">
        <v>713</v>
      </c>
      <c r="BH61" s="10">
        <v>34166</v>
      </c>
      <c r="BI61" s="11">
        <v>11237</v>
      </c>
      <c r="BJ61" t="s">
        <v>57</v>
      </c>
      <c r="BK61" s="10">
        <v>576</v>
      </c>
      <c r="BR61">
        <v>58</v>
      </c>
      <c r="BS61" t="s">
        <v>57</v>
      </c>
      <c r="BT61" s="10">
        <v>34166</v>
      </c>
      <c r="BU61" s="11">
        <v>11237</v>
      </c>
      <c r="BV61" s="10">
        <v>576</v>
      </c>
      <c r="BW61" s="1" t="str">
        <f>IF(BS61=$CA$12,COUNTIF($BS$4:BS61,$CA$12),"")</f>
        <v/>
      </c>
    </row>
    <row r="62" spans="5:75" x14ac:dyDescent="0.25">
      <c r="E62">
        <v>59</v>
      </c>
      <c r="F62" t="s">
        <v>166</v>
      </c>
      <c r="G62" t="s">
        <v>57</v>
      </c>
      <c r="H62" t="s">
        <v>714</v>
      </c>
      <c r="I62" s="10">
        <v>10398</v>
      </c>
      <c r="J62" s="11">
        <v>2769</v>
      </c>
      <c r="K62" s="10">
        <v>177</v>
      </c>
      <c r="BE62">
        <v>59</v>
      </c>
      <c r="BF62" t="s">
        <v>166</v>
      </c>
      <c r="BG62" t="s">
        <v>714</v>
      </c>
      <c r="BH62" s="10">
        <v>10398</v>
      </c>
      <c r="BI62" s="11">
        <v>2769</v>
      </c>
      <c r="BJ62" t="s">
        <v>57</v>
      </c>
      <c r="BK62" s="10">
        <v>177</v>
      </c>
      <c r="BR62">
        <v>59</v>
      </c>
      <c r="BS62" t="s">
        <v>57</v>
      </c>
      <c r="BT62" s="10">
        <v>10398</v>
      </c>
      <c r="BU62" s="11">
        <v>2769</v>
      </c>
      <c r="BV62" s="10">
        <v>177</v>
      </c>
      <c r="BW62" s="1" t="str">
        <f>IF(BS62=$CA$12,COUNTIF($BS$4:BS62,$CA$12),"")</f>
        <v/>
      </c>
    </row>
    <row r="63" spans="5:75" x14ac:dyDescent="0.25">
      <c r="E63">
        <v>60</v>
      </c>
      <c r="F63" t="s">
        <v>167</v>
      </c>
      <c r="G63" t="s">
        <v>57</v>
      </c>
      <c r="H63" t="s">
        <v>715</v>
      </c>
      <c r="I63" s="10">
        <v>143803</v>
      </c>
      <c r="J63" s="11">
        <v>31016</v>
      </c>
      <c r="K63" s="10">
        <v>2218</v>
      </c>
      <c r="BE63">
        <v>60</v>
      </c>
      <c r="BF63" t="s">
        <v>167</v>
      </c>
      <c r="BG63" t="s">
        <v>715</v>
      </c>
      <c r="BH63" s="10">
        <v>143803</v>
      </c>
      <c r="BI63" s="11">
        <v>31016</v>
      </c>
      <c r="BJ63" t="s">
        <v>57</v>
      </c>
      <c r="BK63" s="10">
        <v>2218</v>
      </c>
      <c r="BR63">
        <v>60</v>
      </c>
      <c r="BS63" t="s">
        <v>57</v>
      </c>
      <c r="BT63" s="10">
        <v>143803</v>
      </c>
      <c r="BU63" s="11">
        <v>31016</v>
      </c>
      <c r="BV63" s="10">
        <v>2218</v>
      </c>
      <c r="BW63" s="1" t="str">
        <f>IF(BS63=$CA$12,COUNTIF($BS$4:BS63,$CA$12),"")</f>
        <v/>
      </c>
    </row>
    <row r="64" spans="5:75" x14ac:dyDescent="0.25">
      <c r="E64">
        <v>61</v>
      </c>
      <c r="F64" t="s">
        <v>168</v>
      </c>
      <c r="G64" t="s">
        <v>58</v>
      </c>
      <c r="H64" t="s">
        <v>704</v>
      </c>
      <c r="I64" s="10">
        <v>120541</v>
      </c>
      <c r="J64" s="11">
        <v>37015</v>
      </c>
      <c r="K64" s="10">
        <v>130</v>
      </c>
      <c r="BE64">
        <v>61</v>
      </c>
      <c r="BF64" t="s">
        <v>168</v>
      </c>
      <c r="BG64" t="s">
        <v>704</v>
      </c>
      <c r="BH64" s="10">
        <v>120541</v>
      </c>
      <c r="BI64" s="11">
        <v>37015</v>
      </c>
      <c r="BJ64" t="s">
        <v>58</v>
      </c>
      <c r="BK64" s="10">
        <v>130</v>
      </c>
      <c r="BR64">
        <v>61</v>
      </c>
      <c r="BS64" t="s">
        <v>58</v>
      </c>
      <c r="BT64" s="10">
        <v>120541</v>
      </c>
      <c r="BU64" s="11">
        <v>37015</v>
      </c>
      <c r="BV64" s="10">
        <v>130</v>
      </c>
      <c r="BW64" s="1" t="str">
        <f>IF(BS64=$CA$12,COUNTIF($BS$4:BS64,$CA$12),"")</f>
        <v/>
      </c>
    </row>
    <row r="65" spans="5:75" x14ac:dyDescent="0.25">
      <c r="E65">
        <v>62</v>
      </c>
      <c r="F65" t="s">
        <v>169</v>
      </c>
      <c r="G65" t="s">
        <v>58</v>
      </c>
      <c r="H65" t="s">
        <v>705</v>
      </c>
      <c r="I65" s="10">
        <v>97862</v>
      </c>
      <c r="J65" s="11">
        <v>38462</v>
      </c>
      <c r="K65" s="10">
        <v>3544</v>
      </c>
      <c r="BE65">
        <v>62</v>
      </c>
      <c r="BF65" t="s">
        <v>169</v>
      </c>
      <c r="BG65" t="s">
        <v>705</v>
      </c>
      <c r="BH65" s="10">
        <v>97862</v>
      </c>
      <c r="BI65" s="11">
        <v>38462</v>
      </c>
      <c r="BJ65" t="s">
        <v>58</v>
      </c>
      <c r="BK65" s="10">
        <v>3544</v>
      </c>
      <c r="BR65">
        <v>62</v>
      </c>
      <c r="BS65" t="s">
        <v>58</v>
      </c>
      <c r="BT65" s="10">
        <v>97862</v>
      </c>
      <c r="BU65" s="11">
        <v>38462</v>
      </c>
      <c r="BV65" s="10">
        <v>3544</v>
      </c>
      <c r="BW65" s="1" t="str">
        <f>IF(BS65=$CA$12,COUNTIF($BS$4:BS65,$CA$12),"")</f>
        <v/>
      </c>
    </row>
    <row r="66" spans="5:75" x14ac:dyDescent="0.25">
      <c r="E66">
        <v>63</v>
      </c>
      <c r="F66" t="s">
        <v>170</v>
      </c>
      <c r="G66" t="s">
        <v>58</v>
      </c>
      <c r="H66" t="s">
        <v>706</v>
      </c>
      <c r="I66" s="10">
        <v>131203</v>
      </c>
      <c r="J66" s="11">
        <v>37651</v>
      </c>
      <c r="K66" s="10">
        <v>2535</v>
      </c>
      <c r="BE66">
        <v>63</v>
      </c>
      <c r="BF66" t="s">
        <v>170</v>
      </c>
      <c r="BG66" t="s">
        <v>706</v>
      </c>
      <c r="BH66" s="10">
        <v>131203</v>
      </c>
      <c r="BI66" s="11">
        <v>37651</v>
      </c>
      <c r="BJ66" t="s">
        <v>58</v>
      </c>
      <c r="BK66" s="10">
        <v>2535</v>
      </c>
      <c r="BR66">
        <v>63</v>
      </c>
      <c r="BS66" t="s">
        <v>58</v>
      </c>
      <c r="BT66" s="10">
        <v>131203</v>
      </c>
      <c r="BU66" s="11">
        <v>37651</v>
      </c>
      <c r="BV66" s="10">
        <v>2535</v>
      </c>
      <c r="BW66" s="1" t="str">
        <f>IF(BS66=$CA$12,COUNTIF($BS$4:BS66,$CA$12),"")</f>
        <v/>
      </c>
    </row>
    <row r="67" spans="5:75" x14ac:dyDescent="0.25">
      <c r="E67">
        <v>64</v>
      </c>
      <c r="F67" t="s">
        <v>171</v>
      </c>
      <c r="G67" t="s">
        <v>58</v>
      </c>
      <c r="H67" t="s">
        <v>707</v>
      </c>
      <c r="I67" s="10">
        <v>60413</v>
      </c>
      <c r="J67" s="11">
        <v>19133</v>
      </c>
      <c r="K67" s="10">
        <v>1718</v>
      </c>
      <c r="BE67">
        <v>64</v>
      </c>
      <c r="BF67" t="s">
        <v>171</v>
      </c>
      <c r="BG67" t="s">
        <v>707</v>
      </c>
      <c r="BH67" s="10">
        <v>60413</v>
      </c>
      <c r="BI67" s="11">
        <v>19133</v>
      </c>
      <c r="BJ67" t="s">
        <v>58</v>
      </c>
      <c r="BK67" s="10">
        <v>1718</v>
      </c>
      <c r="BR67">
        <v>64</v>
      </c>
      <c r="BS67" t="s">
        <v>58</v>
      </c>
      <c r="BT67" s="10">
        <v>60413</v>
      </c>
      <c r="BU67" s="11">
        <v>19133</v>
      </c>
      <c r="BV67" s="10">
        <v>1718</v>
      </c>
      <c r="BW67" s="1" t="str">
        <f>IF(BS67=$CA$12,COUNTIF($BS$4:BS67,$CA$12),"")</f>
        <v/>
      </c>
    </row>
    <row r="68" spans="5:75" x14ac:dyDescent="0.25">
      <c r="E68">
        <v>65</v>
      </c>
      <c r="F68" t="s">
        <v>172</v>
      </c>
      <c r="G68" t="s">
        <v>58</v>
      </c>
      <c r="H68" t="s">
        <v>708</v>
      </c>
      <c r="I68" s="10">
        <v>110420</v>
      </c>
      <c r="J68" s="11">
        <v>35023</v>
      </c>
      <c r="K68" s="10">
        <v>681</v>
      </c>
      <c r="BE68">
        <v>65</v>
      </c>
      <c r="BF68" t="s">
        <v>172</v>
      </c>
      <c r="BG68" t="s">
        <v>708</v>
      </c>
      <c r="BH68" s="10">
        <v>110420</v>
      </c>
      <c r="BI68" s="11">
        <v>35023</v>
      </c>
      <c r="BJ68" t="s">
        <v>58</v>
      </c>
      <c r="BK68" s="10">
        <v>681</v>
      </c>
      <c r="BR68">
        <v>65</v>
      </c>
      <c r="BS68" t="s">
        <v>58</v>
      </c>
      <c r="BT68" s="10">
        <v>110420</v>
      </c>
      <c r="BU68" s="11">
        <v>35023</v>
      </c>
      <c r="BV68" s="10">
        <v>681</v>
      </c>
      <c r="BW68" s="1" t="str">
        <f>IF(BS68=$CA$12,COUNTIF($BS$4:BS68,$CA$12),"")</f>
        <v/>
      </c>
    </row>
    <row r="69" spans="5:75" x14ac:dyDescent="0.25">
      <c r="E69">
        <v>66</v>
      </c>
      <c r="F69" t="s">
        <v>173</v>
      </c>
      <c r="G69" t="s">
        <v>58</v>
      </c>
      <c r="H69" t="s">
        <v>709</v>
      </c>
      <c r="I69" s="10">
        <v>36777</v>
      </c>
      <c r="J69" s="11">
        <v>12121</v>
      </c>
      <c r="K69" s="10">
        <v>1056</v>
      </c>
      <c r="BE69">
        <v>66</v>
      </c>
      <c r="BF69" t="s">
        <v>173</v>
      </c>
      <c r="BG69" t="s">
        <v>709</v>
      </c>
      <c r="BH69" s="10">
        <v>36777</v>
      </c>
      <c r="BI69" s="11">
        <v>12121</v>
      </c>
      <c r="BJ69" t="s">
        <v>58</v>
      </c>
      <c r="BK69" s="10">
        <v>1056</v>
      </c>
      <c r="BR69">
        <v>66</v>
      </c>
      <c r="BS69" t="s">
        <v>58</v>
      </c>
      <c r="BT69" s="10">
        <v>36777</v>
      </c>
      <c r="BU69" s="11">
        <v>12121</v>
      </c>
      <c r="BV69" s="10">
        <v>1056</v>
      </c>
      <c r="BW69" s="1" t="str">
        <f>IF(BS69=$CA$12,COUNTIF($BS$4:BS69,$CA$12),"")</f>
        <v/>
      </c>
    </row>
    <row r="70" spans="5:75" x14ac:dyDescent="0.25">
      <c r="E70">
        <v>67</v>
      </c>
      <c r="F70" t="s">
        <v>174</v>
      </c>
      <c r="G70" t="s">
        <v>58</v>
      </c>
      <c r="H70" t="s">
        <v>710</v>
      </c>
      <c r="I70" s="10">
        <v>70396</v>
      </c>
      <c r="J70" s="11">
        <v>19290</v>
      </c>
      <c r="K70" s="10">
        <v>116</v>
      </c>
      <c r="BE70">
        <v>67</v>
      </c>
      <c r="BF70" t="s">
        <v>174</v>
      </c>
      <c r="BG70" t="s">
        <v>710</v>
      </c>
      <c r="BH70" s="10">
        <v>70396</v>
      </c>
      <c r="BI70" s="11">
        <v>19290</v>
      </c>
      <c r="BJ70" t="s">
        <v>58</v>
      </c>
      <c r="BK70" s="10">
        <v>116</v>
      </c>
      <c r="BR70">
        <v>67</v>
      </c>
      <c r="BS70" t="s">
        <v>58</v>
      </c>
      <c r="BT70" s="10">
        <v>70396</v>
      </c>
      <c r="BU70" s="11">
        <v>19290</v>
      </c>
      <c r="BV70" s="10">
        <v>116</v>
      </c>
      <c r="BW70" s="1" t="str">
        <f>IF(BS70=$CA$12,COUNTIF($BS$4:BS70,$CA$12),"")</f>
        <v/>
      </c>
    </row>
    <row r="71" spans="5:75" x14ac:dyDescent="0.25">
      <c r="E71">
        <v>68</v>
      </c>
      <c r="F71" t="s">
        <v>175</v>
      </c>
      <c r="G71" t="s">
        <v>58</v>
      </c>
      <c r="H71" t="s">
        <v>711</v>
      </c>
      <c r="I71" s="10">
        <v>46708</v>
      </c>
      <c r="J71" s="11">
        <v>14404</v>
      </c>
      <c r="K71" s="10">
        <v>203</v>
      </c>
      <c r="BE71">
        <v>68</v>
      </c>
      <c r="BF71" t="s">
        <v>175</v>
      </c>
      <c r="BG71" t="s">
        <v>711</v>
      </c>
      <c r="BH71" s="10">
        <v>46708</v>
      </c>
      <c r="BI71" s="11">
        <v>14404</v>
      </c>
      <c r="BJ71" t="s">
        <v>58</v>
      </c>
      <c r="BK71" s="10">
        <v>203</v>
      </c>
      <c r="BR71">
        <v>68</v>
      </c>
      <c r="BS71" t="s">
        <v>58</v>
      </c>
      <c r="BT71" s="10">
        <v>46708</v>
      </c>
      <c r="BU71" s="11">
        <v>14404</v>
      </c>
      <c r="BV71" s="10">
        <v>203</v>
      </c>
      <c r="BW71" s="1" t="str">
        <f>IF(BS71=$CA$12,COUNTIF($BS$4:BS71,$CA$12),"")</f>
        <v/>
      </c>
    </row>
    <row r="72" spans="5:75" x14ac:dyDescent="0.25">
      <c r="E72">
        <v>69</v>
      </c>
      <c r="F72" t="s">
        <v>176</v>
      </c>
      <c r="G72" t="s">
        <v>58</v>
      </c>
      <c r="H72" t="s">
        <v>712</v>
      </c>
      <c r="I72" s="10">
        <v>99021</v>
      </c>
      <c r="J72" s="11">
        <v>30989</v>
      </c>
      <c r="K72" s="10">
        <v>1696</v>
      </c>
      <c r="BE72">
        <v>69</v>
      </c>
      <c r="BF72" t="s">
        <v>176</v>
      </c>
      <c r="BG72" t="s">
        <v>712</v>
      </c>
      <c r="BH72" s="10">
        <v>99021</v>
      </c>
      <c r="BI72" s="11">
        <v>30989</v>
      </c>
      <c r="BJ72" t="s">
        <v>58</v>
      </c>
      <c r="BK72" s="10">
        <v>1696</v>
      </c>
      <c r="BR72">
        <v>69</v>
      </c>
      <c r="BS72" t="s">
        <v>58</v>
      </c>
      <c r="BT72" s="10">
        <v>99021</v>
      </c>
      <c r="BU72" s="11">
        <v>30989</v>
      </c>
      <c r="BV72" s="10">
        <v>1696</v>
      </c>
      <c r="BW72" s="1" t="str">
        <f>IF(BS72=$CA$12,COUNTIF($BS$4:BS72,$CA$12),"")</f>
        <v/>
      </c>
    </row>
    <row r="73" spans="5:75" x14ac:dyDescent="0.25">
      <c r="E73">
        <v>70</v>
      </c>
      <c r="F73" t="s">
        <v>177</v>
      </c>
      <c r="G73" t="s">
        <v>58</v>
      </c>
      <c r="H73" t="s">
        <v>713</v>
      </c>
      <c r="I73" s="10">
        <v>80329</v>
      </c>
      <c r="J73" s="11">
        <v>17640</v>
      </c>
      <c r="K73" s="10">
        <v>538</v>
      </c>
      <c r="BE73">
        <v>70</v>
      </c>
      <c r="BF73" t="s">
        <v>177</v>
      </c>
      <c r="BG73" t="s">
        <v>713</v>
      </c>
      <c r="BH73" s="10">
        <v>80329</v>
      </c>
      <c r="BI73" s="11">
        <v>17640</v>
      </c>
      <c r="BJ73" t="s">
        <v>58</v>
      </c>
      <c r="BK73" s="10">
        <v>538</v>
      </c>
      <c r="BR73">
        <v>70</v>
      </c>
      <c r="BS73" t="s">
        <v>58</v>
      </c>
      <c r="BT73" s="10">
        <v>80329</v>
      </c>
      <c r="BU73" s="11">
        <v>17640</v>
      </c>
      <c r="BV73" s="10">
        <v>538</v>
      </c>
      <c r="BW73" s="1" t="str">
        <f>IF(BS73=$CA$12,COUNTIF($BS$4:BS73,$CA$12),"")</f>
        <v/>
      </c>
    </row>
    <row r="74" spans="5:75" x14ac:dyDescent="0.25">
      <c r="E74">
        <v>71</v>
      </c>
      <c r="F74" t="s">
        <v>178</v>
      </c>
      <c r="G74" t="s">
        <v>58</v>
      </c>
      <c r="H74" t="s">
        <v>714</v>
      </c>
      <c r="I74" s="10">
        <v>119090</v>
      </c>
      <c r="J74" s="11">
        <v>29918</v>
      </c>
      <c r="K74" s="10">
        <v>2051</v>
      </c>
      <c r="BE74">
        <v>71</v>
      </c>
      <c r="BF74" t="s">
        <v>178</v>
      </c>
      <c r="BG74" t="s">
        <v>714</v>
      </c>
      <c r="BH74" s="10">
        <v>119090</v>
      </c>
      <c r="BI74" s="11">
        <v>29918</v>
      </c>
      <c r="BJ74" t="s">
        <v>58</v>
      </c>
      <c r="BK74" s="10">
        <v>2051</v>
      </c>
      <c r="BR74">
        <v>71</v>
      </c>
      <c r="BS74" t="s">
        <v>58</v>
      </c>
      <c r="BT74" s="10">
        <v>119090</v>
      </c>
      <c r="BU74" s="11">
        <v>29918</v>
      </c>
      <c r="BV74" s="10">
        <v>2051</v>
      </c>
      <c r="BW74" s="1" t="str">
        <f>IF(BS74=$CA$12,COUNTIF($BS$4:BS74,$CA$12),"")</f>
        <v/>
      </c>
    </row>
    <row r="75" spans="5:75" x14ac:dyDescent="0.25">
      <c r="E75">
        <v>72</v>
      </c>
      <c r="F75" t="s">
        <v>179</v>
      </c>
      <c r="G75" t="s">
        <v>58</v>
      </c>
      <c r="H75" t="s">
        <v>715</v>
      </c>
      <c r="I75" s="10">
        <v>115241</v>
      </c>
      <c r="J75" s="11">
        <v>26805</v>
      </c>
      <c r="K75" s="10">
        <v>1116</v>
      </c>
      <c r="BE75">
        <v>72</v>
      </c>
      <c r="BF75" t="s">
        <v>179</v>
      </c>
      <c r="BG75" t="s">
        <v>715</v>
      </c>
      <c r="BH75" s="10">
        <v>115241</v>
      </c>
      <c r="BI75" s="11">
        <v>26805</v>
      </c>
      <c r="BJ75" t="s">
        <v>58</v>
      </c>
      <c r="BK75" s="10">
        <v>1116</v>
      </c>
      <c r="BR75">
        <v>72</v>
      </c>
      <c r="BS75" t="s">
        <v>58</v>
      </c>
      <c r="BT75" s="10">
        <v>115241</v>
      </c>
      <c r="BU75" s="11">
        <v>26805</v>
      </c>
      <c r="BV75" s="10">
        <v>1116</v>
      </c>
      <c r="BW75" s="1" t="str">
        <f>IF(BS75=$CA$12,COUNTIF($BS$4:BS75,$CA$12),"")</f>
        <v/>
      </c>
    </row>
    <row r="76" spans="5:75" x14ac:dyDescent="0.25">
      <c r="E76">
        <v>73</v>
      </c>
      <c r="F76" t="s">
        <v>180</v>
      </c>
      <c r="G76" t="s">
        <v>59</v>
      </c>
      <c r="H76" t="s">
        <v>704</v>
      </c>
      <c r="I76" s="10">
        <v>33506</v>
      </c>
      <c r="J76" s="11">
        <v>10233</v>
      </c>
      <c r="K76" s="10">
        <v>900</v>
      </c>
      <c r="BE76">
        <v>73</v>
      </c>
      <c r="BF76" t="s">
        <v>180</v>
      </c>
      <c r="BG76" t="s">
        <v>704</v>
      </c>
      <c r="BH76" s="10">
        <v>33506</v>
      </c>
      <c r="BI76" s="11">
        <v>10233</v>
      </c>
      <c r="BJ76" t="s">
        <v>59</v>
      </c>
      <c r="BK76" s="10">
        <v>900</v>
      </c>
      <c r="BR76">
        <v>73</v>
      </c>
      <c r="BS76" t="s">
        <v>59</v>
      </c>
      <c r="BT76" s="10">
        <v>33506</v>
      </c>
      <c r="BU76" s="11">
        <v>10233</v>
      </c>
      <c r="BV76" s="10">
        <v>900</v>
      </c>
      <c r="BW76" s="1" t="str">
        <f>IF(BS76=$CA$12,COUNTIF($BS$4:BS76,$CA$12),"")</f>
        <v/>
      </c>
    </row>
    <row r="77" spans="5:75" x14ac:dyDescent="0.25">
      <c r="E77">
        <v>74</v>
      </c>
      <c r="F77" t="s">
        <v>181</v>
      </c>
      <c r="G77" t="s">
        <v>59</v>
      </c>
      <c r="H77" t="s">
        <v>705</v>
      </c>
      <c r="I77" s="10">
        <v>106035</v>
      </c>
      <c r="J77" s="11">
        <v>21584</v>
      </c>
      <c r="K77" s="10">
        <v>98</v>
      </c>
      <c r="BE77">
        <v>74</v>
      </c>
      <c r="BF77" t="s">
        <v>181</v>
      </c>
      <c r="BG77" t="s">
        <v>705</v>
      </c>
      <c r="BH77" s="10">
        <v>106035</v>
      </c>
      <c r="BI77" s="11">
        <v>21584</v>
      </c>
      <c r="BJ77" t="s">
        <v>59</v>
      </c>
      <c r="BK77" s="10">
        <v>98</v>
      </c>
      <c r="BR77">
        <v>74</v>
      </c>
      <c r="BS77" t="s">
        <v>59</v>
      </c>
      <c r="BT77" s="10">
        <v>106035</v>
      </c>
      <c r="BU77" s="11">
        <v>21584</v>
      </c>
      <c r="BV77" s="10">
        <v>98</v>
      </c>
      <c r="BW77" s="1" t="str">
        <f>IF(BS77=$CA$12,COUNTIF($BS$4:BS77,$CA$12),"")</f>
        <v/>
      </c>
    </row>
    <row r="78" spans="5:75" x14ac:dyDescent="0.25">
      <c r="E78">
        <v>75</v>
      </c>
      <c r="F78" t="s">
        <v>182</v>
      </c>
      <c r="G78" t="s">
        <v>59</v>
      </c>
      <c r="H78" t="s">
        <v>706</v>
      </c>
      <c r="I78" s="10">
        <v>47387</v>
      </c>
      <c r="J78" s="11">
        <v>15742</v>
      </c>
      <c r="K78" s="10">
        <v>339</v>
      </c>
      <c r="BE78">
        <v>75</v>
      </c>
      <c r="BF78" t="s">
        <v>182</v>
      </c>
      <c r="BG78" t="s">
        <v>706</v>
      </c>
      <c r="BH78" s="10">
        <v>47387</v>
      </c>
      <c r="BI78" s="11">
        <v>15742</v>
      </c>
      <c r="BJ78" t="s">
        <v>59</v>
      </c>
      <c r="BK78" s="10">
        <v>339</v>
      </c>
      <c r="BR78">
        <v>75</v>
      </c>
      <c r="BS78" t="s">
        <v>59</v>
      </c>
      <c r="BT78" s="10">
        <v>47387</v>
      </c>
      <c r="BU78" s="11">
        <v>15742</v>
      </c>
      <c r="BV78" s="10">
        <v>339</v>
      </c>
      <c r="BW78" s="1" t="str">
        <f>IF(BS78=$CA$12,COUNTIF($BS$4:BS78,$CA$12),"")</f>
        <v/>
      </c>
    </row>
    <row r="79" spans="5:75" x14ac:dyDescent="0.25">
      <c r="E79">
        <v>76</v>
      </c>
      <c r="F79" t="s">
        <v>183</v>
      </c>
      <c r="G79" t="s">
        <v>59</v>
      </c>
      <c r="H79" t="s">
        <v>707</v>
      </c>
      <c r="I79" s="10">
        <v>59407</v>
      </c>
      <c r="J79" s="11">
        <v>14949</v>
      </c>
      <c r="K79" s="10">
        <v>1054</v>
      </c>
      <c r="BE79">
        <v>76</v>
      </c>
      <c r="BF79" t="s">
        <v>183</v>
      </c>
      <c r="BG79" t="s">
        <v>707</v>
      </c>
      <c r="BH79" s="10">
        <v>59407</v>
      </c>
      <c r="BI79" s="11">
        <v>14949</v>
      </c>
      <c r="BJ79" t="s">
        <v>59</v>
      </c>
      <c r="BK79" s="10">
        <v>1054</v>
      </c>
      <c r="BR79">
        <v>76</v>
      </c>
      <c r="BS79" t="s">
        <v>59</v>
      </c>
      <c r="BT79" s="10">
        <v>59407</v>
      </c>
      <c r="BU79" s="11">
        <v>14949</v>
      </c>
      <c r="BV79" s="10">
        <v>1054</v>
      </c>
      <c r="BW79" s="1" t="str">
        <f>IF(BS79=$CA$12,COUNTIF($BS$4:BS79,$CA$12),"")</f>
        <v/>
      </c>
    </row>
    <row r="80" spans="5:75" x14ac:dyDescent="0.25">
      <c r="E80">
        <v>77</v>
      </c>
      <c r="F80" t="s">
        <v>184</v>
      </c>
      <c r="G80" t="s">
        <v>59</v>
      </c>
      <c r="H80" t="s">
        <v>708</v>
      </c>
      <c r="I80" s="10">
        <v>32518</v>
      </c>
      <c r="J80" s="11">
        <v>6722</v>
      </c>
      <c r="K80" s="10">
        <v>181</v>
      </c>
      <c r="BE80">
        <v>77</v>
      </c>
      <c r="BF80" t="s">
        <v>184</v>
      </c>
      <c r="BG80" t="s">
        <v>708</v>
      </c>
      <c r="BH80" s="10">
        <v>32518</v>
      </c>
      <c r="BI80" s="11">
        <v>6722</v>
      </c>
      <c r="BJ80" t="s">
        <v>59</v>
      </c>
      <c r="BK80" s="10">
        <v>181</v>
      </c>
      <c r="BR80">
        <v>77</v>
      </c>
      <c r="BS80" t="s">
        <v>59</v>
      </c>
      <c r="BT80" s="10">
        <v>32518</v>
      </c>
      <c r="BU80" s="11">
        <v>6722</v>
      </c>
      <c r="BV80" s="10">
        <v>181</v>
      </c>
      <c r="BW80" s="1" t="str">
        <f>IF(BS80=$CA$12,COUNTIF($BS$4:BS80,$CA$12),"")</f>
        <v/>
      </c>
    </row>
    <row r="81" spans="5:75" x14ac:dyDescent="0.25">
      <c r="E81">
        <v>78</v>
      </c>
      <c r="F81" t="s">
        <v>185</v>
      </c>
      <c r="G81" t="s">
        <v>59</v>
      </c>
      <c r="H81" t="s">
        <v>709</v>
      </c>
      <c r="I81" s="10">
        <v>81150</v>
      </c>
      <c r="J81" s="11">
        <v>24988</v>
      </c>
      <c r="K81" s="10">
        <v>2062</v>
      </c>
      <c r="BE81">
        <v>78</v>
      </c>
      <c r="BF81" t="s">
        <v>185</v>
      </c>
      <c r="BG81" t="s">
        <v>709</v>
      </c>
      <c r="BH81" s="10">
        <v>81150</v>
      </c>
      <c r="BI81" s="11">
        <v>24988</v>
      </c>
      <c r="BJ81" t="s">
        <v>59</v>
      </c>
      <c r="BK81" s="10">
        <v>2062</v>
      </c>
      <c r="BR81">
        <v>78</v>
      </c>
      <c r="BS81" t="s">
        <v>59</v>
      </c>
      <c r="BT81" s="10">
        <v>81150</v>
      </c>
      <c r="BU81" s="11">
        <v>24988</v>
      </c>
      <c r="BV81" s="10">
        <v>2062</v>
      </c>
      <c r="BW81" s="1" t="str">
        <f>IF(BS81=$CA$12,COUNTIF($BS$4:BS81,$CA$12),"")</f>
        <v/>
      </c>
    </row>
    <row r="82" spans="5:75" x14ac:dyDescent="0.25">
      <c r="E82">
        <v>79</v>
      </c>
      <c r="F82" t="s">
        <v>186</v>
      </c>
      <c r="G82" t="s">
        <v>59</v>
      </c>
      <c r="H82" t="s">
        <v>710</v>
      </c>
      <c r="I82" s="10">
        <v>126641</v>
      </c>
      <c r="J82" s="11">
        <v>32724</v>
      </c>
      <c r="K82" s="10">
        <v>1565</v>
      </c>
      <c r="BE82">
        <v>79</v>
      </c>
      <c r="BF82" t="s">
        <v>186</v>
      </c>
      <c r="BG82" t="s">
        <v>710</v>
      </c>
      <c r="BH82" s="10">
        <v>126641</v>
      </c>
      <c r="BI82" s="11">
        <v>32724</v>
      </c>
      <c r="BJ82" t="s">
        <v>59</v>
      </c>
      <c r="BK82" s="10">
        <v>1565</v>
      </c>
      <c r="BR82">
        <v>79</v>
      </c>
      <c r="BS82" t="s">
        <v>59</v>
      </c>
      <c r="BT82" s="10">
        <v>126641</v>
      </c>
      <c r="BU82" s="11">
        <v>32724</v>
      </c>
      <c r="BV82" s="10">
        <v>1565</v>
      </c>
      <c r="BW82" s="1" t="str">
        <f>IF(BS82=$CA$12,COUNTIF($BS$4:BS82,$CA$12),"")</f>
        <v/>
      </c>
    </row>
    <row r="83" spans="5:75" x14ac:dyDescent="0.25">
      <c r="E83">
        <v>80</v>
      </c>
      <c r="F83" t="s">
        <v>187</v>
      </c>
      <c r="G83" t="s">
        <v>59</v>
      </c>
      <c r="H83" t="s">
        <v>711</v>
      </c>
      <c r="I83" s="10">
        <v>14702</v>
      </c>
      <c r="J83" s="11">
        <v>5765</v>
      </c>
      <c r="K83" s="10">
        <v>330</v>
      </c>
      <c r="BE83">
        <v>80</v>
      </c>
      <c r="BF83" t="s">
        <v>187</v>
      </c>
      <c r="BG83" t="s">
        <v>711</v>
      </c>
      <c r="BH83" s="10">
        <v>14702</v>
      </c>
      <c r="BI83" s="11">
        <v>5765</v>
      </c>
      <c r="BJ83" t="s">
        <v>59</v>
      </c>
      <c r="BK83" s="10">
        <v>330</v>
      </c>
      <c r="BR83">
        <v>80</v>
      </c>
      <c r="BS83" t="s">
        <v>59</v>
      </c>
      <c r="BT83" s="10">
        <v>14702</v>
      </c>
      <c r="BU83" s="11">
        <v>5765</v>
      </c>
      <c r="BV83" s="10">
        <v>330</v>
      </c>
      <c r="BW83" s="1" t="str">
        <f>IF(BS83=$CA$12,COUNTIF($BS$4:BS83,$CA$12),"")</f>
        <v/>
      </c>
    </row>
    <row r="84" spans="5:75" x14ac:dyDescent="0.25">
      <c r="E84">
        <v>81</v>
      </c>
      <c r="F84" t="s">
        <v>188</v>
      </c>
      <c r="G84" t="s">
        <v>59</v>
      </c>
      <c r="H84" t="s">
        <v>712</v>
      </c>
      <c r="I84" s="10">
        <v>34775</v>
      </c>
      <c r="J84" s="11">
        <v>8024</v>
      </c>
      <c r="K84" s="10">
        <v>57</v>
      </c>
      <c r="BE84">
        <v>81</v>
      </c>
      <c r="BF84" t="s">
        <v>188</v>
      </c>
      <c r="BG84" t="s">
        <v>712</v>
      </c>
      <c r="BH84" s="10">
        <v>34775</v>
      </c>
      <c r="BI84" s="11">
        <v>8024</v>
      </c>
      <c r="BJ84" t="s">
        <v>59</v>
      </c>
      <c r="BK84" s="10">
        <v>57</v>
      </c>
      <c r="BR84">
        <v>81</v>
      </c>
      <c r="BS84" t="s">
        <v>59</v>
      </c>
      <c r="BT84" s="10">
        <v>34775</v>
      </c>
      <c r="BU84" s="11">
        <v>8024</v>
      </c>
      <c r="BV84" s="10">
        <v>57</v>
      </c>
      <c r="BW84" s="1" t="str">
        <f>IF(BS84=$CA$12,COUNTIF($BS$4:BS84,$CA$12),"")</f>
        <v/>
      </c>
    </row>
    <row r="85" spans="5:75" x14ac:dyDescent="0.25">
      <c r="E85">
        <v>82</v>
      </c>
      <c r="F85" t="s">
        <v>189</v>
      </c>
      <c r="G85" t="s">
        <v>59</v>
      </c>
      <c r="H85" t="s">
        <v>713</v>
      </c>
      <c r="I85" s="10">
        <v>24936</v>
      </c>
      <c r="J85" s="11">
        <v>8840</v>
      </c>
      <c r="K85" s="10">
        <v>293</v>
      </c>
      <c r="BE85">
        <v>82</v>
      </c>
      <c r="BF85" t="s">
        <v>189</v>
      </c>
      <c r="BG85" t="s">
        <v>713</v>
      </c>
      <c r="BH85" s="10">
        <v>24936</v>
      </c>
      <c r="BI85" s="11">
        <v>8840</v>
      </c>
      <c r="BJ85" t="s">
        <v>59</v>
      </c>
      <c r="BK85" s="10">
        <v>293</v>
      </c>
      <c r="BR85">
        <v>82</v>
      </c>
      <c r="BS85" t="s">
        <v>59</v>
      </c>
      <c r="BT85" s="10">
        <v>24936</v>
      </c>
      <c r="BU85" s="11">
        <v>8840</v>
      </c>
      <c r="BV85" s="10">
        <v>293</v>
      </c>
      <c r="BW85" s="1" t="str">
        <f>IF(BS85=$CA$12,COUNTIF($BS$4:BS85,$CA$12),"")</f>
        <v/>
      </c>
    </row>
    <row r="86" spans="5:75" x14ac:dyDescent="0.25">
      <c r="E86">
        <v>83</v>
      </c>
      <c r="F86" t="s">
        <v>190</v>
      </c>
      <c r="G86" t="s">
        <v>59</v>
      </c>
      <c r="H86" t="s">
        <v>714</v>
      </c>
      <c r="I86" s="10">
        <v>60095</v>
      </c>
      <c r="J86" s="11">
        <v>17047</v>
      </c>
      <c r="K86" s="10">
        <v>491</v>
      </c>
      <c r="BE86">
        <v>83</v>
      </c>
      <c r="BF86" t="s">
        <v>190</v>
      </c>
      <c r="BG86" t="s">
        <v>714</v>
      </c>
      <c r="BH86" s="10">
        <v>60095</v>
      </c>
      <c r="BI86" s="11">
        <v>17047</v>
      </c>
      <c r="BJ86" t="s">
        <v>59</v>
      </c>
      <c r="BK86" s="10">
        <v>491</v>
      </c>
      <c r="BR86">
        <v>83</v>
      </c>
      <c r="BS86" t="s">
        <v>59</v>
      </c>
      <c r="BT86" s="10">
        <v>60095</v>
      </c>
      <c r="BU86" s="11">
        <v>17047</v>
      </c>
      <c r="BV86" s="10">
        <v>491</v>
      </c>
      <c r="BW86" s="1" t="str">
        <f>IF(BS86=$CA$12,COUNTIF($BS$4:BS86,$CA$12),"")</f>
        <v/>
      </c>
    </row>
    <row r="87" spans="5:75" x14ac:dyDescent="0.25">
      <c r="E87">
        <v>84</v>
      </c>
      <c r="F87" t="s">
        <v>191</v>
      </c>
      <c r="G87" t="s">
        <v>59</v>
      </c>
      <c r="H87" t="s">
        <v>715</v>
      </c>
      <c r="I87" s="10">
        <v>55976</v>
      </c>
      <c r="J87" s="11">
        <v>19433</v>
      </c>
      <c r="K87" s="10">
        <v>1061</v>
      </c>
      <c r="BE87">
        <v>84</v>
      </c>
      <c r="BF87" t="s">
        <v>191</v>
      </c>
      <c r="BG87" t="s">
        <v>715</v>
      </c>
      <c r="BH87" s="10">
        <v>55976</v>
      </c>
      <c r="BI87" s="11">
        <v>19433</v>
      </c>
      <c r="BJ87" t="s">
        <v>59</v>
      </c>
      <c r="BK87" s="10">
        <v>1061</v>
      </c>
      <c r="BR87">
        <v>84</v>
      </c>
      <c r="BS87" t="s">
        <v>59</v>
      </c>
      <c r="BT87" s="10">
        <v>55976</v>
      </c>
      <c r="BU87" s="11">
        <v>19433</v>
      </c>
      <c r="BV87" s="10">
        <v>1061</v>
      </c>
      <c r="BW87" s="1" t="str">
        <f>IF(BS87=$CA$12,COUNTIF($BS$4:BS87,$CA$12),"")</f>
        <v/>
      </c>
    </row>
    <row r="88" spans="5:75" x14ac:dyDescent="0.25">
      <c r="E88">
        <v>85</v>
      </c>
      <c r="F88" t="s">
        <v>192</v>
      </c>
      <c r="G88" t="s">
        <v>60</v>
      </c>
      <c r="H88" t="s">
        <v>704</v>
      </c>
      <c r="I88" s="10">
        <v>13699</v>
      </c>
      <c r="J88" s="11">
        <v>5387</v>
      </c>
      <c r="K88" s="10">
        <v>135</v>
      </c>
      <c r="BE88">
        <v>85</v>
      </c>
      <c r="BF88" t="s">
        <v>192</v>
      </c>
      <c r="BG88" t="s">
        <v>704</v>
      </c>
      <c r="BH88" s="10">
        <v>13699</v>
      </c>
      <c r="BI88" s="11">
        <v>5387</v>
      </c>
      <c r="BJ88" t="s">
        <v>60</v>
      </c>
      <c r="BK88" s="10">
        <v>135</v>
      </c>
      <c r="BR88">
        <v>85</v>
      </c>
      <c r="BS88" t="s">
        <v>60</v>
      </c>
      <c r="BT88" s="10">
        <v>13699</v>
      </c>
      <c r="BU88" s="11">
        <v>5387</v>
      </c>
      <c r="BV88" s="10">
        <v>135</v>
      </c>
      <c r="BW88" s="1" t="str">
        <f>IF(BS88=$CA$12,COUNTIF($BS$4:BS88,$CA$12),"")</f>
        <v/>
      </c>
    </row>
    <row r="89" spans="5:75" x14ac:dyDescent="0.25">
      <c r="E89">
        <v>86</v>
      </c>
      <c r="F89" t="s">
        <v>193</v>
      </c>
      <c r="G89" t="s">
        <v>60</v>
      </c>
      <c r="H89" t="s">
        <v>705</v>
      </c>
      <c r="I89" s="10">
        <v>130660</v>
      </c>
      <c r="J89" s="11">
        <v>46170</v>
      </c>
      <c r="K89" s="10">
        <v>2588</v>
      </c>
      <c r="BE89">
        <v>86</v>
      </c>
      <c r="BF89" t="s">
        <v>193</v>
      </c>
      <c r="BG89" t="s">
        <v>705</v>
      </c>
      <c r="BH89" s="10">
        <v>130660</v>
      </c>
      <c r="BI89" s="11">
        <v>46170</v>
      </c>
      <c r="BJ89" t="s">
        <v>60</v>
      </c>
      <c r="BK89" s="10">
        <v>2588</v>
      </c>
      <c r="BR89">
        <v>86</v>
      </c>
      <c r="BS89" t="s">
        <v>60</v>
      </c>
      <c r="BT89" s="10">
        <v>130660</v>
      </c>
      <c r="BU89" s="11">
        <v>46170</v>
      </c>
      <c r="BV89" s="10">
        <v>2588</v>
      </c>
      <c r="BW89" s="1" t="str">
        <f>IF(BS89=$CA$12,COUNTIF($BS$4:BS89,$CA$12),"")</f>
        <v/>
      </c>
    </row>
    <row r="90" spans="5:75" x14ac:dyDescent="0.25">
      <c r="E90">
        <v>87</v>
      </c>
      <c r="F90" t="s">
        <v>194</v>
      </c>
      <c r="G90" t="s">
        <v>60</v>
      </c>
      <c r="H90" t="s">
        <v>706</v>
      </c>
      <c r="I90" s="10">
        <v>40579</v>
      </c>
      <c r="J90" s="11">
        <v>10360</v>
      </c>
      <c r="K90" s="10">
        <v>742</v>
      </c>
      <c r="BE90">
        <v>87</v>
      </c>
      <c r="BF90" t="s">
        <v>194</v>
      </c>
      <c r="BG90" t="s">
        <v>706</v>
      </c>
      <c r="BH90" s="10">
        <v>40579</v>
      </c>
      <c r="BI90" s="11">
        <v>10360</v>
      </c>
      <c r="BJ90" t="s">
        <v>60</v>
      </c>
      <c r="BK90" s="10">
        <v>742</v>
      </c>
      <c r="BR90">
        <v>87</v>
      </c>
      <c r="BS90" t="s">
        <v>60</v>
      </c>
      <c r="BT90" s="10">
        <v>40579</v>
      </c>
      <c r="BU90" s="11">
        <v>10360</v>
      </c>
      <c r="BV90" s="10">
        <v>742</v>
      </c>
      <c r="BW90" s="1" t="str">
        <f>IF(BS90=$CA$12,COUNTIF($BS$4:BS90,$CA$12),"")</f>
        <v/>
      </c>
    </row>
    <row r="91" spans="5:75" x14ac:dyDescent="0.25">
      <c r="E91">
        <v>88</v>
      </c>
      <c r="F91" t="s">
        <v>195</v>
      </c>
      <c r="G91" t="s">
        <v>60</v>
      </c>
      <c r="H91" t="s">
        <v>707</v>
      </c>
      <c r="I91" s="10">
        <v>86779</v>
      </c>
      <c r="J91" s="11">
        <v>18676</v>
      </c>
      <c r="K91" s="10">
        <v>917</v>
      </c>
      <c r="BE91">
        <v>88</v>
      </c>
      <c r="BF91" t="s">
        <v>195</v>
      </c>
      <c r="BG91" t="s">
        <v>707</v>
      </c>
      <c r="BH91" s="10">
        <v>86779</v>
      </c>
      <c r="BI91" s="11">
        <v>18676</v>
      </c>
      <c r="BJ91" t="s">
        <v>60</v>
      </c>
      <c r="BK91" s="10">
        <v>917</v>
      </c>
      <c r="BR91">
        <v>88</v>
      </c>
      <c r="BS91" t="s">
        <v>60</v>
      </c>
      <c r="BT91" s="10">
        <v>86779</v>
      </c>
      <c r="BU91" s="11">
        <v>18676</v>
      </c>
      <c r="BV91" s="10">
        <v>917</v>
      </c>
      <c r="BW91" s="1" t="str">
        <f>IF(BS91=$CA$12,COUNTIF($BS$4:BS91,$CA$12),"")</f>
        <v/>
      </c>
    </row>
    <row r="92" spans="5:75" x14ac:dyDescent="0.25">
      <c r="E92">
        <v>89</v>
      </c>
      <c r="F92" t="s">
        <v>196</v>
      </c>
      <c r="G92" t="s">
        <v>60</v>
      </c>
      <c r="H92" t="s">
        <v>708</v>
      </c>
      <c r="I92" s="10">
        <v>91275</v>
      </c>
      <c r="J92" s="11">
        <v>26968</v>
      </c>
      <c r="K92" s="10">
        <v>1429</v>
      </c>
      <c r="BE92">
        <v>89</v>
      </c>
      <c r="BF92" t="s">
        <v>196</v>
      </c>
      <c r="BG92" t="s">
        <v>708</v>
      </c>
      <c r="BH92" s="10">
        <v>91275</v>
      </c>
      <c r="BI92" s="11">
        <v>26968</v>
      </c>
      <c r="BJ92" t="s">
        <v>60</v>
      </c>
      <c r="BK92" s="10">
        <v>1429</v>
      </c>
      <c r="BR92">
        <v>89</v>
      </c>
      <c r="BS92" t="s">
        <v>60</v>
      </c>
      <c r="BT92" s="10">
        <v>91275</v>
      </c>
      <c r="BU92" s="11">
        <v>26968</v>
      </c>
      <c r="BV92" s="10">
        <v>1429</v>
      </c>
      <c r="BW92" s="1" t="str">
        <f>IF(BS92=$CA$12,COUNTIF($BS$4:BS92,$CA$12),"")</f>
        <v/>
      </c>
    </row>
    <row r="93" spans="5:75" x14ac:dyDescent="0.25">
      <c r="E93">
        <v>90</v>
      </c>
      <c r="F93" t="s">
        <v>197</v>
      </c>
      <c r="G93" t="s">
        <v>60</v>
      </c>
      <c r="H93" t="s">
        <v>709</v>
      </c>
      <c r="I93" s="10">
        <v>52106</v>
      </c>
      <c r="J93" s="11">
        <v>16896</v>
      </c>
      <c r="K93" s="10">
        <v>14</v>
      </c>
      <c r="BE93">
        <v>90</v>
      </c>
      <c r="BF93" t="s">
        <v>197</v>
      </c>
      <c r="BG93" t="s">
        <v>709</v>
      </c>
      <c r="BH93" s="10">
        <v>52106</v>
      </c>
      <c r="BI93" s="11">
        <v>16896</v>
      </c>
      <c r="BJ93" t="s">
        <v>60</v>
      </c>
      <c r="BK93" s="10">
        <v>14</v>
      </c>
      <c r="BR93">
        <v>90</v>
      </c>
      <c r="BS93" t="s">
        <v>60</v>
      </c>
      <c r="BT93" s="10">
        <v>52106</v>
      </c>
      <c r="BU93" s="11">
        <v>16896</v>
      </c>
      <c r="BV93" s="10">
        <v>14</v>
      </c>
      <c r="BW93" s="1" t="str">
        <f>IF(BS93=$CA$12,COUNTIF($BS$4:BS93,$CA$12),"")</f>
        <v/>
      </c>
    </row>
    <row r="94" spans="5:75" x14ac:dyDescent="0.25">
      <c r="E94">
        <v>91</v>
      </c>
      <c r="F94" t="s">
        <v>198</v>
      </c>
      <c r="G94" t="s">
        <v>60</v>
      </c>
      <c r="H94" t="s">
        <v>710</v>
      </c>
      <c r="I94" s="10">
        <v>130094</v>
      </c>
      <c r="J94" s="11">
        <v>42028</v>
      </c>
      <c r="K94" s="10">
        <v>1121</v>
      </c>
      <c r="BE94">
        <v>91</v>
      </c>
      <c r="BF94" t="s">
        <v>198</v>
      </c>
      <c r="BG94" t="s">
        <v>710</v>
      </c>
      <c r="BH94" s="10">
        <v>130094</v>
      </c>
      <c r="BI94" s="11">
        <v>42028</v>
      </c>
      <c r="BJ94" t="s">
        <v>60</v>
      </c>
      <c r="BK94" s="10">
        <v>1121</v>
      </c>
      <c r="BR94">
        <v>91</v>
      </c>
      <c r="BS94" t="s">
        <v>60</v>
      </c>
      <c r="BT94" s="10">
        <v>130094</v>
      </c>
      <c r="BU94" s="11">
        <v>42028</v>
      </c>
      <c r="BV94" s="10">
        <v>1121</v>
      </c>
      <c r="BW94" s="1" t="str">
        <f>IF(BS94=$CA$12,COUNTIF($BS$4:BS94,$CA$12),"")</f>
        <v/>
      </c>
    </row>
    <row r="95" spans="5:75" x14ac:dyDescent="0.25">
      <c r="E95">
        <v>92</v>
      </c>
      <c r="F95" t="s">
        <v>199</v>
      </c>
      <c r="G95" t="s">
        <v>60</v>
      </c>
      <c r="H95" t="s">
        <v>711</v>
      </c>
      <c r="I95" s="10">
        <v>100717</v>
      </c>
      <c r="J95" s="11">
        <v>26927</v>
      </c>
      <c r="K95" s="10">
        <v>269</v>
      </c>
      <c r="BE95">
        <v>92</v>
      </c>
      <c r="BF95" t="s">
        <v>199</v>
      </c>
      <c r="BG95" t="s">
        <v>711</v>
      </c>
      <c r="BH95" s="10">
        <v>100717</v>
      </c>
      <c r="BI95" s="11">
        <v>26927</v>
      </c>
      <c r="BJ95" t="s">
        <v>60</v>
      </c>
      <c r="BK95" s="10">
        <v>269</v>
      </c>
      <c r="BR95">
        <v>92</v>
      </c>
      <c r="BS95" t="s">
        <v>60</v>
      </c>
      <c r="BT95" s="10">
        <v>100717</v>
      </c>
      <c r="BU95" s="11">
        <v>26927</v>
      </c>
      <c r="BV95" s="10">
        <v>269</v>
      </c>
      <c r="BW95" s="1" t="str">
        <f>IF(BS95=$CA$12,COUNTIF($BS$4:BS95,$CA$12),"")</f>
        <v/>
      </c>
    </row>
    <row r="96" spans="5:75" x14ac:dyDescent="0.25">
      <c r="E96">
        <v>93</v>
      </c>
      <c r="F96" t="s">
        <v>200</v>
      </c>
      <c r="G96" t="s">
        <v>60</v>
      </c>
      <c r="H96" t="s">
        <v>712</v>
      </c>
      <c r="I96" s="10">
        <v>107019</v>
      </c>
      <c r="J96" s="11">
        <v>33632</v>
      </c>
      <c r="K96" s="10">
        <v>127</v>
      </c>
      <c r="BE96">
        <v>93</v>
      </c>
      <c r="BF96" t="s">
        <v>200</v>
      </c>
      <c r="BG96" t="s">
        <v>712</v>
      </c>
      <c r="BH96" s="10">
        <v>107019</v>
      </c>
      <c r="BI96" s="11">
        <v>33632</v>
      </c>
      <c r="BJ96" t="s">
        <v>60</v>
      </c>
      <c r="BK96" s="10">
        <v>127</v>
      </c>
      <c r="BR96">
        <v>93</v>
      </c>
      <c r="BS96" t="s">
        <v>60</v>
      </c>
      <c r="BT96" s="10">
        <v>107019</v>
      </c>
      <c r="BU96" s="11">
        <v>33632</v>
      </c>
      <c r="BV96" s="10">
        <v>127</v>
      </c>
      <c r="BW96" s="1" t="str">
        <f>IF(BS96=$CA$12,COUNTIF($BS$4:BS96,$CA$12),"")</f>
        <v/>
      </c>
    </row>
    <row r="97" spans="5:75" x14ac:dyDescent="0.25">
      <c r="E97">
        <v>94</v>
      </c>
      <c r="F97" t="s">
        <v>201</v>
      </c>
      <c r="G97" t="s">
        <v>60</v>
      </c>
      <c r="H97" t="s">
        <v>713</v>
      </c>
      <c r="I97" s="10">
        <v>131137</v>
      </c>
      <c r="J97" s="11">
        <v>31941</v>
      </c>
      <c r="K97" s="10">
        <v>2681</v>
      </c>
      <c r="BE97">
        <v>94</v>
      </c>
      <c r="BF97" t="s">
        <v>201</v>
      </c>
      <c r="BG97" t="s">
        <v>713</v>
      </c>
      <c r="BH97" s="10">
        <v>131137</v>
      </c>
      <c r="BI97" s="11">
        <v>31941</v>
      </c>
      <c r="BJ97" t="s">
        <v>60</v>
      </c>
      <c r="BK97" s="10">
        <v>2681</v>
      </c>
      <c r="BR97">
        <v>94</v>
      </c>
      <c r="BS97" t="s">
        <v>60</v>
      </c>
      <c r="BT97" s="10">
        <v>131137</v>
      </c>
      <c r="BU97" s="11">
        <v>31941</v>
      </c>
      <c r="BV97" s="10">
        <v>2681</v>
      </c>
      <c r="BW97" s="1" t="str">
        <f>IF(BS97=$CA$12,COUNTIF($BS$4:BS97,$CA$12),"")</f>
        <v/>
      </c>
    </row>
    <row r="98" spans="5:75" x14ac:dyDescent="0.25">
      <c r="E98">
        <v>95</v>
      </c>
      <c r="F98" t="s">
        <v>202</v>
      </c>
      <c r="G98" t="s">
        <v>60</v>
      </c>
      <c r="H98" t="s">
        <v>714</v>
      </c>
      <c r="I98" s="10">
        <v>91529</v>
      </c>
      <c r="J98" s="11">
        <v>32533</v>
      </c>
      <c r="K98" s="10">
        <v>482</v>
      </c>
      <c r="BE98">
        <v>95</v>
      </c>
      <c r="BF98" t="s">
        <v>202</v>
      </c>
      <c r="BG98" t="s">
        <v>714</v>
      </c>
      <c r="BH98" s="10">
        <v>91529</v>
      </c>
      <c r="BI98" s="11">
        <v>32533</v>
      </c>
      <c r="BJ98" t="s">
        <v>60</v>
      </c>
      <c r="BK98" s="10">
        <v>482</v>
      </c>
      <c r="BR98">
        <v>95</v>
      </c>
      <c r="BS98" t="s">
        <v>60</v>
      </c>
      <c r="BT98" s="10">
        <v>91529</v>
      </c>
      <c r="BU98" s="11">
        <v>32533</v>
      </c>
      <c r="BV98" s="10">
        <v>482</v>
      </c>
      <c r="BW98" s="1" t="str">
        <f>IF(BS98=$CA$12,COUNTIF($BS$4:BS98,$CA$12),"")</f>
        <v/>
      </c>
    </row>
    <row r="99" spans="5:75" x14ac:dyDescent="0.25">
      <c r="E99">
        <v>96</v>
      </c>
      <c r="F99" t="s">
        <v>203</v>
      </c>
      <c r="G99" t="s">
        <v>60</v>
      </c>
      <c r="H99" t="s">
        <v>715</v>
      </c>
      <c r="I99" s="10">
        <v>100705</v>
      </c>
      <c r="J99" s="11">
        <v>20627</v>
      </c>
      <c r="K99" s="10">
        <v>174</v>
      </c>
      <c r="BE99">
        <v>96</v>
      </c>
      <c r="BF99" t="s">
        <v>203</v>
      </c>
      <c r="BG99" t="s">
        <v>715</v>
      </c>
      <c r="BH99" s="10">
        <v>100705</v>
      </c>
      <c r="BI99" s="11">
        <v>20627</v>
      </c>
      <c r="BJ99" t="s">
        <v>60</v>
      </c>
      <c r="BK99" s="10">
        <v>174</v>
      </c>
      <c r="BR99">
        <v>96</v>
      </c>
      <c r="BS99" t="s">
        <v>60</v>
      </c>
      <c r="BT99" s="10">
        <v>100705</v>
      </c>
      <c r="BU99" s="11">
        <v>20627</v>
      </c>
      <c r="BV99" s="10">
        <v>174</v>
      </c>
      <c r="BW99" s="1" t="str">
        <f>IF(BS99=$CA$12,COUNTIF($BS$4:BS99,$CA$12),"")</f>
        <v/>
      </c>
    </row>
    <row r="100" spans="5:75" x14ac:dyDescent="0.25">
      <c r="E100">
        <v>97</v>
      </c>
      <c r="F100" t="s">
        <v>204</v>
      </c>
      <c r="G100" t="s">
        <v>61</v>
      </c>
      <c r="H100" t="s">
        <v>704</v>
      </c>
      <c r="I100" s="10">
        <v>55213</v>
      </c>
      <c r="J100" s="11">
        <v>21731</v>
      </c>
      <c r="K100" s="10">
        <v>1100</v>
      </c>
      <c r="BE100">
        <v>97</v>
      </c>
      <c r="BF100" t="s">
        <v>204</v>
      </c>
      <c r="BG100" t="s">
        <v>704</v>
      </c>
      <c r="BH100" s="10">
        <v>55213</v>
      </c>
      <c r="BI100" s="11">
        <v>21731</v>
      </c>
      <c r="BJ100" t="s">
        <v>61</v>
      </c>
      <c r="BK100" s="10">
        <v>1100</v>
      </c>
      <c r="BR100">
        <v>97</v>
      </c>
      <c r="BS100" t="s">
        <v>61</v>
      </c>
      <c r="BT100" s="10">
        <v>55213</v>
      </c>
      <c r="BU100" s="11">
        <v>21731</v>
      </c>
      <c r="BV100" s="10">
        <v>1100</v>
      </c>
      <c r="BW100" s="1" t="str">
        <f>IF(BS100=$CA$12,COUNTIF($BS$4:BS100,$CA$12),"")</f>
        <v/>
      </c>
    </row>
    <row r="101" spans="5:75" x14ac:dyDescent="0.25">
      <c r="E101">
        <v>98</v>
      </c>
      <c r="F101" t="s">
        <v>205</v>
      </c>
      <c r="G101" t="s">
        <v>61</v>
      </c>
      <c r="H101" t="s">
        <v>705</v>
      </c>
      <c r="I101" s="10">
        <v>32012</v>
      </c>
      <c r="J101" s="11">
        <v>9052</v>
      </c>
      <c r="K101" s="10">
        <v>158</v>
      </c>
      <c r="BE101">
        <v>98</v>
      </c>
      <c r="BF101" t="s">
        <v>205</v>
      </c>
      <c r="BG101" t="s">
        <v>705</v>
      </c>
      <c r="BH101" s="10">
        <v>32012</v>
      </c>
      <c r="BI101" s="11">
        <v>9052</v>
      </c>
      <c r="BJ101" t="s">
        <v>61</v>
      </c>
      <c r="BK101" s="10">
        <v>158</v>
      </c>
      <c r="BR101">
        <v>98</v>
      </c>
      <c r="BS101" t="s">
        <v>61</v>
      </c>
      <c r="BT101" s="10">
        <v>32012</v>
      </c>
      <c r="BU101" s="11">
        <v>9052</v>
      </c>
      <c r="BV101" s="10">
        <v>158</v>
      </c>
      <c r="BW101" s="1" t="str">
        <f>IF(BS101=$CA$12,COUNTIF($BS$4:BS101,$CA$12),"")</f>
        <v/>
      </c>
    </row>
    <row r="102" spans="5:75" x14ac:dyDescent="0.25">
      <c r="E102">
        <v>99</v>
      </c>
      <c r="F102" t="s">
        <v>206</v>
      </c>
      <c r="G102" t="s">
        <v>61</v>
      </c>
      <c r="H102" t="s">
        <v>706</v>
      </c>
      <c r="I102" s="10">
        <v>67301</v>
      </c>
      <c r="J102" s="11">
        <v>16339</v>
      </c>
      <c r="K102" s="10">
        <v>331</v>
      </c>
      <c r="BE102">
        <v>99</v>
      </c>
      <c r="BF102" t="s">
        <v>206</v>
      </c>
      <c r="BG102" t="s">
        <v>706</v>
      </c>
      <c r="BH102" s="10">
        <v>67301</v>
      </c>
      <c r="BI102" s="11">
        <v>16339</v>
      </c>
      <c r="BJ102" t="s">
        <v>61</v>
      </c>
      <c r="BK102" s="10">
        <v>331</v>
      </c>
      <c r="BR102">
        <v>99</v>
      </c>
      <c r="BS102" t="s">
        <v>61</v>
      </c>
      <c r="BT102" s="10">
        <v>67301</v>
      </c>
      <c r="BU102" s="11">
        <v>16339</v>
      </c>
      <c r="BV102" s="10">
        <v>331</v>
      </c>
      <c r="BW102" s="1" t="str">
        <f>IF(BS102=$CA$12,COUNTIF($BS$4:BS102,$CA$12),"")</f>
        <v/>
      </c>
    </row>
    <row r="103" spans="5:75" x14ac:dyDescent="0.25">
      <c r="E103">
        <v>100</v>
      </c>
      <c r="F103" t="s">
        <v>207</v>
      </c>
      <c r="G103" t="s">
        <v>61</v>
      </c>
      <c r="H103" t="s">
        <v>707</v>
      </c>
      <c r="I103" s="10">
        <v>130756</v>
      </c>
      <c r="J103" s="11">
        <v>41080</v>
      </c>
      <c r="K103" s="10">
        <v>3229</v>
      </c>
      <c r="BE103">
        <v>100</v>
      </c>
      <c r="BF103" t="s">
        <v>207</v>
      </c>
      <c r="BG103" t="s">
        <v>707</v>
      </c>
      <c r="BH103" s="10">
        <v>130756</v>
      </c>
      <c r="BI103" s="11">
        <v>41080</v>
      </c>
      <c r="BJ103" t="s">
        <v>61</v>
      </c>
      <c r="BK103" s="10">
        <v>3229</v>
      </c>
      <c r="BR103">
        <v>100</v>
      </c>
      <c r="BS103" t="s">
        <v>61</v>
      </c>
      <c r="BT103" s="10">
        <v>130756</v>
      </c>
      <c r="BU103" s="11">
        <v>41080</v>
      </c>
      <c r="BV103" s="10">
        <v>3229</v>
      </c>
      <c r="BW103" s="1" t="str">
        <f>IF(BS103=$CA$12,COUNTIF($BS$4:BS103,$CA$12),"")</f>
        <v/>
      </c>
    </row>
    <row r="104" spans="5:75" x14ac:dyDescent="0.25">
      <c r="E104">
        <v>101</v>
      </c>
      <c r="F104" t="s">
        <v>208</v>
      </c>
      <c r="G104" t="s">
        <v>61</v>
      </c>
      <c r="H104" t="s">
        <v>708</v>
      </c>
      <c r="I104" s="10">
        <v>81088</v>
      </c>
      <c r="J104" s="11">
        <v>31619</v>
      </c>
      <c r="K104" s="10">
        <v>1530</v>
      </c>
      <c r="BE104">
        <v>101</v>
      </c>
      <c r="BF104" t="s">
        <v>208</v>
      </c>
      <c r="BG104" t="s">
        <v>708</v>
      </c>
      <c r="BH104" s="10">
        <v>81088</v>
      </c>
      <c r="BI104" s="11">
        <v>31619</v>
      </c>
      <c r="BJ104" t="s">
        <v>61</v>
      </c>
      <c r="BK104" s="10">
        <v>1530</v>
      </c>
      <c r="BR104">
        <v>101</v>
      </c>
      <c r="BS104" t="s">
        <v>61</v>
      </c>
      <c r="BT104" s="10">
        <v>81088</v>
      </c>
      <c r="BU104" s="11">
        <v>31619</v>
      </c>
      <c r="BV104" s="10">
        <v>1530</v>
      </c>
      <c r="BW104" s="1" t="str">
        <f>IF(BS104=$CA$12,COUNTIF($BS$4:BS104,$CA$12),"")</f>
        <v/>
      </c>
    </row>
    <row r="105" spans="5:75" x14ac:dyDescent="0.25">
      <c r="E105">
        <v>102</v>
      </c>
      <c r="F105" t="s">
        <v>209</v>
      </c>
      <c r="G105" t="s">
        <v>61</v>
      </c>
      <c r="H105" t="s">
        <v>709</v>
      </c>
      <c r="I105" s="10">
        <v>27196</v>
      </c>
      <c r="J105" s="11">
        <v>8290</v>
      </c>
      <c r="K105" s="10">
        <v>189</v>
      </c>
      <c r="BE105">
        <v>102</v>
      </c>
      <c r="BF105" t="s">
        <v>209</v>
      </c>
      <c r="BG105" t="s">
        <v>709</v>
      </c>
      <c r="BH105" s="10">
        <v>27196</v>
      </c>
      <c r="BI105" s="11">
        <v>8290</v>
      </c>
      <c r="BJ105" t="s">
        <v>61</v>
      </c>
      <c r="BK105" s="10">
        <v>189</v>
      </c>
      <c r="BR105">
        <v>102</v>
      </c>
      <c r="BS105" t="s">
        <v>61</v>
      </c>
      <c r="BT105" s="10">
        <v>27196</v>
      </c>
      <c r="BU105" s="11">
        <v>8290</v>
      </c>
      <c r="BV105" s="10">
        <v>189</v>
      </c>
      <c r="BW105" s="1" t="str">
        <f>IF(BS105=$CA$12,COUNTIF($BS$4:BS105,$CA$12),"")</f>
        <v/>
      </c>
    </row>
    <row r="106" spans="5:75" x14ac:dyDescent="0.25">
      <c r="E106">
        <v>103</v>
      </c>
      <c r="F106" t="s">
        <v>210</v>
      </c>
      <c r="G106" t="s">
        <v>61</v>
      </c>
      <c r="H106" t="s">
        <v>710</v>
      </c>
      <c r="I106" s="10">
        <v>21208</v>
      </c>
      <c r="J106" s="11">
        <v>5577</v>
      </c>
      <c r="K106" s="10">
        <v>552</v>
      </c>
      <c r="BE106">
        <v>103</v>
      </c>
      <c r="BF106" t="s">
        <v>210</v>
      </c>
      <c r="BG106" t="s">
        <v>710</v>
      </c>
      <c r="BH106" s="10">
        <v>21208</v>
      </c>
      <c r="BI106" s="11">
        <v>5577</v>
      </c>
      <c r="BJ106" t="s">
        <v>61</v>
      </c>
      <c r="BK106" s="10">
        <v>552</v>
      </c>
      <c r="BR106">
        <v>103</v>
      </c>
      <c r="BS106" t="s">
        <v>61</v>
      </c>
      <c r="BT106" s="10">
        <v>21208</v>
      </c>
      <c r="BU106" s="11">
        <v>5577</v>
      </c>
      <c r="BV106" s="10">
        <v>552</v>
      </c>
      <c r="BW106" s="1" t="str">
        <f>IF(BS106=$CA$12,COUNTIF($BS$4:BS106,$CA$12),"")</f>
        <v/>
      </c>
    </row>
    <row r="107" spans="5:75" x14ac:dyDescent="0.25">
      <c r="E107">
        <v>104</v>
      </c>
      <c r="F107" t="s">
        <v>211</v>
      </c>
      <c r="G107" t="s">
        <v>61</v>
      </c>
      <c r="H107" t="s">
        <v>711</v>
      </c>
      <c r="I107" s="10">
        <v>16904</v>
      </c>
      <c r="J107" s="11">
        <v>3858</v>
      </c>
      <c r="K107" s="10">
        <v>40</v>
      </c>
      <c r="BE107">
        <v>104</v>
      </c>
      <c r="BF107" t="s">
        <v>211</v>
      </c>
      <c r="BG107" t="s">
        <v>711</v>
      </c>
      <c r="BH107" s="10">
        <v>16904</v>
      </c>
      <c r="BI107" s="11">
        <v>3858</v>
      </c>
      <c r="BJ107" t="s">
        <v>61</v>
      </c>
      <c r="BK107" s="10">
        <v>40</v>
      </c>
      <c r="BR107">
        <v>104</v>
      </c>
      <c r="BS107" t="s">
        <v>61</v>
      </c>
      <c r="BT107" s="10">
        <v>16904</v>
      </c>
      <c r="BU107" s="11">
        <v>3858</v>
      </c>
      <c r="BV107" s="10">
        <v>40</v>
      </c>
      <c r="BW107" s="1" t="str">
        <f>IF(BS107=$CA$12,COUNTIF($BS$4:BS107,$CA$12),"")</f>
        <v/>
      </c>
    </row>
    <row r="108" spans="5:75" x14ac:dyDescent="0.25">
      <c r="E108">
        <v>105</v>
      </c>
      <c r="F108" t="s">
        <v>212</v>
      </c>
      <c r="G108" t="s">
        <v>61</v>
      </c>
      <c r="H108" t="s">
        <v>712</v>
      </c>
      <c r="I108" s="10">
        <v>131488</v>
      </c>
      <c r="J108" s="11">
        <v>38738</v>
      </c>
      <c r="K108" s="10">
        <v>51</v>
      </c>
      <c r="BE108">
        <v>105</v>
      </c>
      <c r="BF108" t="s">
        <v>212</v>
      </c>
      <c r="BG108" t="s">
        <v>712</v>
      </c>
      <c r="BH108" s="10">
        <v>131488</v>
      </c>
      <c r="BI108" s="11">
        <v>38738</v>
      </c>
      <c r="BJ108" t="s">
        <v>61</v>
      </c>
      <c r="BK108" s="10">
        <v>51</v>
      </c>
      <c r="BR108">
        <v>105</v>
      </c>
      <c r="BS108" t="s">
        <v>61</v>
      </c>
      <c r="BT108" s="10">
        <v>131488</v>
      </c>
      <c r="BU108" s="11">
        <v>38738</v>
      </c>
      <c r="BV108" s="10">
        <v>51</v>
      </c>
      <c r="BW108" s="1" t="str">
        <f>IF(BS108=$CA$12,COUNTIF($BS$4:BS108,$CA$12),"")</f>
        <v/>
      </c>
    </row>
    <row r="109" spans="5:75" x14ac:dyDescent="0.25">
      <c r="E109">
        <v>106</v>
      </c>
      <c r="F109" t="s">
        <v>213</v>
      </c>
      <c r="G109" t="s">
        <v>61</v>
      </c>
      <c r="H109" t="s">
        <v>713</v>
      </c>
      <c r="I109" s="10">
        <v>130167</v>
      </c>
      <c r="J109" s="11">
        <v>42098</v>
      </c>
      <c r="K109" s="10">
        <v>2796</v>
      </c>
      <c r="BE109">
        <v>106</v>
      </c>
      <c r="BF109" t="s">
        <v>213</v>
      </c>
      <c r="BG109" t="s">
        <v>713</v>
      </c>
      <c r="BH109" s="10">
        <v>130167</v>
      </c>
      <c r="BI109" s="11">
        <v>42098</v>
      </c>
      <c r="BJ109" t="s">
        <v>61</v>
      </c>
      <c r="BK109" s="10">
        <v>2796</v>
      </c>
      <c r="BR109">
        <v>106</v>
      </c>
      <c r="BS109" t="s">
        <v>61</v>
      </c>
      <c r="BT109" s="10">
        <v>130167</v>
      </c>
      <c r="BU109" s="11">
        <v>42098</v>
      </c>
      <c r="BV109" s="10">
        <v>2796</v>
      </c>
      <c r="BW109" s="1" t="str">
        <f>IF(BS109=$CA$12,COUNTIF($BS$4:BS109,$CA$12),"")</f>
        <v/>
      </c>
    </row>
    <row r="110" spans="5:75" x14ac:dyDescent="0.25">
      <c r="E110">
        <v>107</v>
      </c>
      <c r="F110" t="s">
        <v>214</v>
      </c>
      <c r="G110" t="s">
        <v>61</v>
      </c>
      <c r="H110" t="s">
        <v>714</v>
      </c>
      <c r="I110" s="10">
        <v>30312</v>
      </c>
      <c r="J110" s="11">
        <v>10805</v>
      </c>
      <c r="K110" s="10">
        <v>85</v>
      </c>
      <c r="BE110">
        <v>107</v>
      </c>
      <c r="BF110" t="s">
        <v>214</v>
      </c>
      <c r="BG110" t="s">
        <v>714</v>
      </c>
      <c r="BH110" s="10">
        <v>30312</v>
      </c>
      <c r="BI110" s="11">
        <v>10805</v>
      </c>
      <c r="BJ110" t="s">
        <v>61</v>
      </c>
      <c r="BK110" s="10">
        <v>85</v>
      </c>
      <c r="BR110">
        <v>107</v>
      </c>
      <c r="BS110" t="s">
        <v>61</v>
      </c>
      <c r="BT110" s="10">
        <v>30312</v>
      </c>
      <c r="BU110" s="11">
        <v>10805</v>
      </c>
      <c r="BV110" s="10">
        <v>85</v>
      </c>
      <c r="BW110" s="1" t="str">
        <f>IF(BS110=$CA$12,COUNTIF($BS$4:BS110,$CA$12),"")</f>
        <v/>
      </c>
    </row>
    <row r="111" spans="5:75" x14ac:dyDescent="0.25">
      <c r="E111">
        <v>108</v>
      </c>
      <c r="F111" t="s">
        <v>215</v>
      </c>
      <c r="G111" t="s">
        <v>61</v>
      </c>
      <c r="H111" t="s">
        <v>715</v>
      </c>
      <c r="I111" s="10">
        <v>25950</v>
      </c>
      <c r="J111" s="11">
        <v>7184</v>
      </c>
      <c r="K111" s="10">
        <v>64</v>
      </c>
      <c r="BE111">
        <v>108</v>
      </c>
      <c r="BF111" t="s">
        <v>215</v>
      </c>
      <c r="BG111" t="s">
        <v>715</v>
      </c>
      <c r="BH111" s="10">
        <v>25950</v>
      </c>
      <c r="BI111" s="11">
        <v>7184</v>
      </c>
      <c r="BJ111" t="s">
        <v>61</v>
      </c>
      <c r="BK111" s="10">
        <v>64</v>
      </c>
      <c r="BR111">
        <v>108</v>
      </c>
      <c r="BS111" t="s">
        <v>61</v>
      </c>
      <c r="BT111" s="10">
        <v>25950</v>
      </c>
      <c r="BU111" s="11">
        <v>7184</v>
      </c>
      <c r="BV111" s="10">
        <v>64</v>
      </c>
      <c r="BW111" s="1" t="str">
        <f>IF(BS111=$CA$12,COUNTIF($BS$4:BS111,$CA$12),"")</f>
        <v/>
      </c>
    </row>
    <row r="112" spans="5:75" x14ac:dyDescent="0.25">
      <c r="E112">
        <v>109</v>
      </c>
      <c r="F112" t="s">
        <v>216</v>
      </c>
      <c r="G112" t="s">
        <v>62</v>
      </c>
      <c r="H112" t="s">
        <v>704</v>
      </c>
      <c r="I112" s="10">
        <v>136083</v>
      </c>
      <c r="J112" s="11">
        <v>42478</v>
      </c>
      <c r="K112" s="10">
        <v>733</v>
      </c>
      <c r="BE112">
        <v>109</v>
      </c>
      <c r="BF112" t="s">
        <v>216</v>
      </c>
      <c r="BG112" t="s">
        <v>704</v>
      </c>
      <c r="BH112" s="10">
        <v>136083</v>
      </c>
      <c r="BI112" s="11">
        <v>42478</v>
      </c>
      <c r="BJ112" t="s">
        <v>62</v>
      </c>
      <c r="BK112" s="10">
        <v>733</v>
      </c>
      <c r="BR112">
        <v>109</v>
      </c>
      <c r="BS112" t="s">
        <v>62</v>
      </c>
      <c r="BT112" s="10">
        <v>136083</v>
      </c>
      <c r="BU112" s="11">
        <v>42478</v>
      </c>
      <c r="BV112" s="10">
        <v>733</v>
      </c>
      <c r="BW112" s="1" t="str">
        <f>IF(BS112=$CA$12,COUNTIF($BS$4:BS112,$CA$12),"")</f>
        <v/>
      </c>
    </row>
    <row r="113" spans="5:75" x14ac:dyDescent="0.25">
      <c r="E113">
        <v>110</v>
      </c>
      <c r="F113" t="s">
        <v>217</v>
      </c>
      <c r="G113" t="s">
        <v>62</v>
      </c>
      <c r="H113" t="s">
        <v>705</v>
      </c>
      <c r="I113" s="10">
        <v>139904</v>
      </c>
      <c r="J113" s="11">
        <v>49572</v>
      </c>
      <c r="K113" s="10">
        <v>4316</v>
      </c>
      <c r="BE113">
        <v>110</v>
      </c>
      <c r="BF113" t="s">
        <v>217</v>
      </c>
      <c r="BG113" t="s">
        <v>705</v>
      </c>
      <c r="BH113" s="10">
        <v>139904</v>
      </c>
      <c r="BI113" s="11">
        <v>49572</v>
      </c>
      <c r="BJ113" t="s">
        <v>62</v>
      </c>
      <c r="BK113" s="10">
        <v>4316</v>
      </c>
      <c r="BR113">
        <v>110</v>
      </c>
      <c r="BS113" t="s">
        <v>62</v>
      </c>
      <c r="BT113" s="10">
        <v>139904</v>
      </c>
      <c r="BU113" s="11">
        <v>49572</v>
      </c>
      <c r="BV113" s="10">
        <v>4316</v>
      </c>
      <c r="BW113" s="1" t="str">
        <f>IF(BS113=$CA$12,COUNTIF($BS$4:BS113,$CA$12),"")</f>
        <v/>
      </c>
    </row>
    <row r="114" spans="5:75" x14ac:dyDescent="0.25">
      <c r="E114">
        <v>111</v>
      </c>
      <c r="F114" t="s">
        <v>218</v>
      </c>
      <c r="G114" t="s">
        <v>62</v>
      </c>
      <c r="H114" t="s">
        <v>706</v>
      </c>
      <c r="I114" s="10">
        <v>11154</v>
      </c>
      <c r="J114" s="11">
        <v>4292</v>
      </c>
      <c r="K114" s="10">
        <v>15</v>
      </c>
      <c r="BE114">
        <v>111</v>
      </c>
      <c r="BF114" t="s">
        <v>218</v>
      </c>
      <c r="BG114" t="s">
        <v>706</v>
      </c>
      <c r="BH114" s="10">
        <v>11154</v>
      </c>
      <c r="BI114" s="11">
        <v>4292</v>
      </c>
      <c r="BJ114" t="s">
        <v>62</v>
      </c>
      <c r="BK114" s="10">
        <v>15</v>
      </c>
      <c r="BR114">
        <v>111</v>
      </c>
      <c r="BS114" t="s">
        <v>62</v>
      </c>
      <c r="BT114" s="10">
        <v>11154</v>
      </c>
      <c r="BU114" s="11">
        <v>4292</v>
      </c>
      <c r="BV114" s="10">
        <v>15</v>
      </c>
      <c r="BW114" s="1" t="str">
        <f>IF(BS114=$CA$12,COUNTIF($BS$4:BS114,$CA$12),"")</f>
        <v/>
      </c>
    </row>
    <row r="115" spans="5:75" x14ac:dyDescent="0.25">
      <c r="E115">
        <v>112</v>
      </c>
      <c r="F115" t="s">
        <v>219</v>
      </c>
      <c r="G115" t="s">
        <v>62</v>
      </c>
      <c r="H115" t="s">
        <v>707</v>
      </c>
      <c r="I115" s="10">
        <v>122012</v>
      </c>
      <c r="J115" s="11">
        <v>30078</v>
      </c>
      <c r="K115" s="10">
        <v>1959</v>
      </c>
      <c r="BE115">
        <v>112</v>
      </c>
      <c r="BF115" t="s">
        <v>219</v>
      </c>
      <c r="BG115" t="s">
        <v>707</v>
      </c>
      <c r="BH115" s="10">
        <v>122012</v>
      </c>
      <c r="BI115" s="11">
        <v>30078</v>
      </c>
      <c r="BJ115" t="s">
        <v>62</v>
      </c>
      <c r="BK115" s="10">
        <v>1959</v>
      </c>
      <c r="BR115">
        <v>112</v>
      </c>
      <c r="BS115" t="s">
        <v>62</v>
      </c>
      <c r="BT115" s="10">
        <v>122012</v>
      </c>
      <c r="BU115" s="11">
        <v>30078</v>
      </c>
      <c r="BV115" s="10">
        <v>1959</v>
      </c>
      <c r="BW115" s="1" t="str">
        <f>IF(BS115=$CA$12,COUNTIF($BS$4:BS115,$CA$12),"")</f>
        <v/>
      </c>
    </row>
    <row r="116" spans="5:75" x14ac:dyDescent="0.25">
      <c r="E116">
        <v>113</v>
      </c>
      <c r="F116" t="s">
        <v>220</v>
      </c>
      <c r="G116" t="s">
        <v>62</v>
      </c>
      <c r="H116" t="s">
        <v>708</v>
      </c>
      <c r="I116" s="10">
        <v>46473</v>
      </c>
      <c r="J116" s="11">
        <v>10056</v>
      </c>
      <c r="K116" s="10">
        <v>399</v>
      </c>
      <c r="BE116">
        <v>113</v>
      </c>
      <c r="BF116" t="s">
        <v>220</v>
      </c>
      <c r="BG116" t="s">
        <v>708</v>
      </c>
      <c r="BH116" s="10">
        <v>46473</v>
      </c>
      <c r="BI116" s="11">
        <v>10056</v>
      </c>
      <c r="BJ116" t="s">
        <v>62</v>
      </c>
      <c r="BK116" s="10">
        <v>399</v>
      </c>
      <c r="BR116">
        <v>113</v>
      </c>
      <c r="BS116" t="s">
        <v>62</v>
      </c>
      <c r="BT116" s="10">
        <v>46473</v>
      </c>
      <c r="BU116" s="11">
        <v>10056</v>
      </c>
      <c r="BV116" s="10">
        <v>399</v>
      </c>
      <c r="BW116" s="1" t="str">
        <f>IF(BS116=$CA$12,COUNTIF($BS$4:BS116,$CA$12),"")</f>
        <v/>
      </c>
    </row>
    <row r="117" spans="5:75" x14ac:dyDescent="0.25">
      <c r="E117">
        <v>114</v>
      </c>
      <c r="F117" t="s">
        <v>221</v>
      </c>
      <c r="G117" t="s">
        <v>62</v>
      </c>
      <c r="H117" t="s">
        <v>709</v>
      </c>
      <c r="I117" s="10">
        <v>56362</v>
      </c>
      <c r="J117" s="11">
        <v>14213</v>
      </c>
      <c r="K117" s="10">
        <v>517</v>
      </c>
      <c r="BE117">
        <v>114</v>
      </c>
      <c r="BF117" t="s">
        <v>221</v>
      </c>
      <c r="BG117" t="s">
        <v>709</v>
      </c>
      <c r="BH117" s="10">
        <v>56362</v>
      </c>
      <c r="BI117" s="11">
        <v>14213</v>
      </c>
      <c r="BJ117" t="s">
        <v>62</v>
      </c>
      <c r="BK117" s="10">
        <v>517</v>
      </c>
      <c r="BR117">
        <v>114</v>
      </c>
      <c r="BS117" t="s">
        <v>62</v>
      </c>
      <c r="BT117" s="10">
        <v>56362</v>
      </c>
      <c r="BU117" s="11">
        <v>14213</v>
      </c>
      <c r="BV117" s="10">
        <v>517</v>
      </c>
      <c r="BW117" s="1" t="str">
        <f>IF(BS117=$CA$12,COUNTIF($BS$4:BS117,$CA$12),"")</f>
        <v/>
      </c>
    </row>
    <row r="118" spans="5:75" x14ac:dyDescent="0.25">
      <c r="E118">
        <v>115</v>
      </c>
      <c r="F118" t="s">
        <v>222</v>
      </c>
      <c r="G118" t="s">
        <v>62</v>
      </c>
      <c r="H118" t="s">
        <v>710</v>
      </c>
      <c r="I118" s="10">
        <v>57696</v>
      </c>
      <c r="J118" s="11">
        <v>22856</v>
      </c>
      <c r="K118" s="10">
        <v>437</v>
      </c>
      <c r="BE118">
        <v>115</v>
      </c>
      <c r="BF118" t="s">
        <v>222</v>
      </c>
      <c r="BG118" t="s">
        <v>710</v>
      </c>
      <c r="BH118" s="10">
        <v>57696</v>
      </c>
      <c r="BI118" s="11">
        <v>22856</v>
      </c>
      <c r="BJ118" t="s">
        <v>62</v>
      </c>
      <c r="BK118" s="10">
        <v>437</v>
      </c>
      <c r="BR118">
        <v>115</v>
      </c>
      <c r="BS118" t="s">
        <v>62</v>
      </c>
      <c r="BT118" s="10">
        <v>57696</v>
      </c>
      <c r="BU118" s="11">
        <v>22856</v>
      </c>
      <c r="BV118" s="10">
        <v>437</v>
      </c>
      <c r="BW118" s="1" t="str">
        <f>IF(BS118=$CA$12,COUNTIF($BS$4:BS118,$CA$12),"")</f>
        <v/>
      </c>
    </row>
    <row r="119" spans="5:75" x14ac:dyDescent="0.25">
      <c r="E119">
        <v>116</v>
      </c>
      <c r="F119" t="s">
        <v>223</v>
      </c>
      <c r="G119" t="s">
        <v>62</v>
      </c>
      <c r="H119" t="s">
        <v>711</v>
      </c>
      <c r="I119" s="10">
        <v>88658</v>
      </c>
      <c r="J119" s="11">
        <v>33639</v>
      </c>
      <c r="K119" s="10">
        <v>515</v>
      </c>
      <c r="BE119">
        <v>116</v>
      </c>
      <c r="BF119" t="s">
        <v>223</v>
      </c>
      <c r="BG119" t="s">
        <v>711</v>
      </c>
      <c r="BH119" s="10">
        <v>88658</v>
      </c>
      <c r="BI119" s="11">
        <v>33639</v>
      </c>
      <c r="BJ119" t="s">
        <v>62</v>
      </c>
      <c r="BK119" s="10">
        <v>515</v>
      </c>
      <c r="BR119">
        <v>116</v>
      </c>
      <c r="BS119" t="s">
        <v>62</v>
      </c>
      <c r="BT119" s="10">
        <v>88658</v>
      </c>
      <c r="BU119" s="11">
        <v>33639</v>
      </c>
      <c r="BV119" s="10">
        <v>515</v>
      </c>
      <c r="BW119" s="1" t="str">
        <f>IF(BS119=$CA$12,COUNTIF($BS$4:BS119,$CA$12),"")</f>
        <v/>
      </c>
    </row>
    <row r="120" spans="5:75" x14ac:dyDescent="0.25">
      <c r="E120">
        <v>117</v>
      </c>
      <c r="F120" t="s">
        <v>224</v>
      </c>
      <c r="G120" t="s">
        <v>62</v>
      </c>
      <c r="H120" t="s">
        <v>712</v>
      </c>
      <c r="I120" s="10">
        <v>58485</v>
      </c>
      <c r="J120" s="11">
        <v>20248</v>
      </c>
      <c r="K120" s="10">
        <v>888</v>
      </c>
      <c r="BE120">
        <v>117</v>
      </c>
      <c r="BF120" t="s">
        <v>224</v>
      </c>
      <c r="BG120" t="s">
        <v>712</v>
      </c>
      <c r="BH120" s="10">
        <v>58485</v>
      </c>
      <c r="BI120" s="11">
        <v>20248</v>
      </c>
      <c r="BJ120" t="s">
        <v>62</v>
      </c>
      <c r="BK120" s="10">
        <v>888</v>
      </c>
      <c r="BR120">
        <v>117</v>
      </c>
      <c r="BS120" t="s">
        <v>62</v>
      </c>
      <c r="BT120" s="10">
        <v>58485</v>
      </c>
      <c r="BU120" s="11">
        <v>20248</v>
      </c>
      <c r="BV120" s="10">
        <v>888</v>
      </c>
      <c r="BW120" s="1" t="str">
        <f>IF(BS120=$CA$12,COUNTIF($BS$4:BS120,$CA$12),"")</f>
        <v/>
      </c>
    </row>
    <row r="121" spans="5:75" x14ac:dyDescent="0.25">
      <c r="E121">
        <v>118</v>
      </c>
      <c r="F121" t="s">
        <v>225</v>
      </c>
      <c r="G121" t="s">
        <v>62</v>
      </c>
      <c r="H121" t="s">
        <v>713</v>
      </c>
      <c r="I121" s="10">
        <v>89605</v>
      </c>
      <c r="J121" s="11">
        <v>19983</v>
      </c>
      <c r="K121" s="10">
        <v>376</v>
      </c>
      <c r="BE121">
        <v>118</v>
      </c>
      <c r="BF121" t="s">
        <v>225</v>
      </c>
      <c r="BG121" t="s">
        <v>713</v>
      </c>
      <c r="BH121" s="10">
        <v>89605</v>
      </c>
      <c r="BI121" s="11">
        <v>19983</v>
      </c>
      <c r="BJ121" t="s">
        <v>62</v>
      </c>
      <c r="BK121" s="10">
        <v>376</v>
      </c>
      <c r="BR121">
        <v>118</v>
      </c>
      <c r="BS121" t="s">
        <v>62</v>
      </c>
      <c r="BT121" s="10">
        <v>89605</v>
      </c>
      <c r="BU121" s="11">
        <v>19983</v>
      </c>
      <c r="BV121" s="10">
        <v>376</v>
      </c>
      <c r="BW121" s="1" t="str">
        <f>IF(BS121=$CA$12,COUNTIF($BS$4:BS121,$CA$12),"")</f>
        <v/>
      </c>
    </row>
    <row r="122" spans="5:75" x14ac:dyDescent="0.25">
      <c r="E122">
        <v>119</v>
      </c>
      <c r="F122" t="s">
        <v>226</v>
      </c>
      <c r="G122" t="s">
        <v>62</v>
      </c>
      <c r="H122" t="s">
        <v>714</v>
      </c>
      <c r="I122" s="10">
        <v>61063</v>
      </c>
      <c r="J122" s="11">
        <v>19309</v>
      </c>
      <c r="K122" s="10">
        <v>949</v>
      </c>
      <c r="BE122">
        <v>119</v>
      </c>
      <c r="BF122" t="s">
        <v>226</v>
      </c>
      <c r="BG122" t="s">
        <v>714</v>
      </c>
      <c r="BH122" s="10">
        <v>61063</v>
      </c>
      <c r="BI122" s="11">
        <v>19309</v>
      </c>
      <c r="BJ122" t="s">
        <v>62</v>
      </c>
      <c r="BK122" s="10">
        <v>949</v>
      </c>
      <c r="BR122">
        <v>119</v>
      </c>
      <c r="BS122" t="s">
        <v>62</v>
      </c>
      <c r="BT122" s="10">
        <v>61063</v>
      </c>
      <c r="BU122" s="11">
        <v>19309</v>
      </c>
      <c r="BV122" s="10">
        <v>949</v>
      </c>
      <c r="BW122" s="1" t="str">
        <f>IF(BS122=$CA$12,COUNTIF($BS$4:BS122,$CA$12),"")</f>
        <v/>
      </c>
    </row>
    <row r="123" spans="5:75" x14ac:dyDescent="0.25">
      <c r="E123">
        <v>120</v>
      </c>
      <c r="F123" t="s">
        <v>227</v>
      </c>
      <c r="G123" t="s">
        <v>62</v>
      </c>
      <c r="H123" t="s">
        <v>715</v>
      </c>
      <c r="I123" s="10">
        <v>92629</v>
      </c>
      <c r="J123" s="11">
        <v>18555</v>
      </c>
      <c r="K123" s="10">
        <v>1841</v>
      </c>
      <c r="BE123">
        <v>120</v>
      </c>
      <c r="BF123" t="s">
        <v>227</v>
      </c>
      <c r="BG123" t="s">
        <v>715</v>
      </c>
      <c r="BH123" s="10">
        <v>92629</v>
      </c>
      <c r="BI123" s="11">
        <v>18555</v>
      </c>
      <c r="BJ123" t="s">
        <v>62</v>
      </c>
      <c r="BK123" s="10">
        <v>1841</v>
      </c>
      <c r="BR123">
        <v>120</v>
      </c>
      <c r="BS123" t="s">
        <v>62</v>
      </c>
      <c r="BT123" s="10">
        <v>92629</v>
      </c>
      <c r="BU123" s="11">
        <v>18555</v>
      </c>
      <c r="BV123" s="10">
        <v>1841</v>
      </c>
      <c r="BW123" s="1" t="str">
        <f>IF(BS123=$CA$12,COUNTIF($BS$4:BS123,$CA$12),"")</f>
        <v/>
      </c>
    </row>
    <row r="124" spans="5:75" x14ac:dyDescent="0.25">
      <c r="E124">
        <v>121</v>
      </c>
      <c r="F124" t="s">
        <v>228</v>
      </c>
      <c r="G124" t="s">
        <v>63</v>
      </c>
      <c r="H124" t="s">
        <v>704</v>
      </c>
      <c r="I124" s="10">
        <v>142492</v>
      </c>
      <c r="J124" s="11">
        <v>46784</v>
      </c>
      <c r="K124" s="10">
        <v>4549</v>
      </c>
      <c r="BE124">
        <v>121</v>
      </c>
      <c r="BF124" t="s">
        <v>228</v>
      </c>
      <c r="BG124" t="s">
        <v>704</v>
      </c>
      <c r="BH124" s="10">
        <v>142492</v>
      </c>
      <c r="BI124" s="11">
        <v>46784</v>
      </c>
      <c r="BJ124" t="s">
        <v>63</v>
      </c>
      <c r="BK124" s="10">
        <v>4549</v>
      </c>
      <c r="BR124">
        <v>121</v>
      </c>
      <c r="BS124" t="s">
        <v>63</v>
      </c>
      <c r="BT124" s="10">
        <v>142492</v>
      </c>
      <c r="BU124" s="11">
        <v>46784</v>
      </c>
      <c r="BV124" s="10">
        <v>4549</v>
      </c>
      <c r="BW124" s="1" t="str">
        <f>IF(BS124=$CA$12,COUNTIF($BS$4:BS124,$CA$12),"")</f>
        <v/>
      </c>
    </row>
    <row r="125" spans="5:75" x14ac:dyDescent="0.25">
      <c r="E125">
        <v>122</v>
      </c>
      <c r="F125" t="s">
        <v>229</v>
      </c>
      <c r="G125" t="s">
        <v>63</v>
      </c>
      <c r="H125" t="s">
        <v>705</v>
      </c>
      <c r="I125" s="10">
        <v>80153</v>
      </c>
      <c r="J125" s="11">
        <v>24199</v>
      </c>
      <c r="K125" s="10">
        <v>1075</v>
      </c>
      <c r="BE125">
        <v>122</v>
      </c>
      <c r="BF125" t="s">
        <v>229</v>
      </c>
      <c r="BG125" t="s">
        <v>705</v>
      </c>
      <c r="BH125" s="10">
        <v>80153</v>
      </c>
      <c r="BI125" s="11">
        <v>24199</v>
      </c>
      <c r="BJ125" t="s">
        <v>63</v>
      </c>
      <c r="BK125" s="10">
        <v>1075</v>
      </c>
      <c r="BR125">
        <v>122</v>
      </c>
      <c r="BS125" t="s">
        <v>63</v>
      </c>
      <c r="BT125" s="10">
        <v>80153</v>
      </c>
      <c r="BU125" s="11">
        <v>24199</v>
      </c>
      <c r="BV125" s="10">
        <v>1075</v>
      </c>
      <c r="BW125" s="1" t="str">
        <f>IF(BS125=$CA$12,COUNTIF($BS$4:BS125,$CA$12),"")</f>
        <v/>
      </c>
    </row>
    <row r="126" spans="5:75" x14ac:dyDescent="0.25">
      <c r="E126">
        <v>123</v>
      </c>
      <c r="F126" t="s">
        <v>230</v>
      </c>
      <c r="G126" t="s">
        <v>63</v>
      </c>
      <c r="H126" t="s">
        <v>706</v>
      </c>
      <c r="I126" s="10">
        <v>19016</v>
      </c>
      <c r="J126" s="11">
        <v>5515</v>
      </c>
      <c r="K126" s="10">
        <v>373</v>
      </c>
      <c r="BE126">
        <v>123</v>
      </c>
      <c r="BF126" t="s">
        <v>230</v>
      </c>
      <c r="BG126" t="s">
        <v>706</v>
      </c>
      <c r="BH126" s="10">
        <v>19016</v>
      </c>
      <c r="BI126" s="11">
        <v>5515</v>
      </c>
      <c r="BJ126" t="s">
        <v>63</v>
      </c>
      <c r="BK126" s="10">
        <v>373</v>
      </c>
      <c r="BR126">
        <v>123</v>
      </c>
      <c r="BS126" t="s">
        <v>63</v>
      </c>
      <c r="BT126" s="10">
        <v>19016</v>
      </c>
      <c r="BU126" s="11">
        <v>5515</v>
      </c>
      <c r="BV126" s="10">
        <v>373</v>
      </c>
      <c r="BW126" s="1" t="str">
        <f>IF(BS126=$CA$12,COUNTIF($BS$4:BS126,$CA$12),"")</f>
        <v/>
      </c>
    </row>
    <row r="127" spans="5:75" x14ac:dyDescent="0.25">
      <c r="E127">
        <v>124</v>
      </c>
      <c r="F127" t="s">
        <v>231</v>
      </c>
      <c r="G127" t="s">
        <v>63</v>
      </c>
      <c r="H127" t="s">
        <v>707</v>
      </c>
      <c r="I127" s="10">
        <v>87825</v>
      </c>
      <c r="J127" s="11">
        <v>21652</v>
      </c>
      <c r="K127" s="10">
        <v>1706</v>
      </c>
      <c r="BE127">
        <v>124</v>
      </c>
      <c r="BF127" t="s">
        <v>231</v>
      </c>
      <c r="BG127" t="s">
        <v>707</v>
      </c>
      <c r="BH127" s="10">
        <v>87825</v>
      </c>
      <c r="BI127" s="11">
        <v>21652</v>
      </c>
      <c r="BJ127" t="s">
        <v>63</v>
      </c>
      <c r="BK127" s="10">
        <v>1706</v>
      </c>
      <c r="BR127">
        <v>124</v>
      </c>
      <c r="BS127" t="s">
        <v>63</v>
      </c>
      <c r="BT127" s="10">
        <v>87825</v>
      </c>
      <c r="BU127" s="11">
        <v>21652</v>
      </c>
      <c r="BV127" s="10">
        <v>1706</v>
      </c>
      <c r="BW127" s="1" t="str">
        <f>IF(BS127=$CA$12,COUNTIF($BS$4:BS127,$CA$12),"")</f>
        <v/>
      </c>
    </row>
    <row r="128" spans="5:75" x14ac:dyDescent="0.25">
      <c r="E128">
        <v>125</v>
      </c>
      <c r="F128" t="s">
        <v>232</v>
      </c>
      <c r="G128" t="s">
        <v>63</v>
      </c>
      <c r="H128" t="s">
        <v>708</v>
      </c>
      <c r="I128" s="10">
        <v>139631</v>
      </c>
      <c r="J128" s="11">
        <v>31873</v>
      </c>
      <c r="K128" s="10">
        <v>298</v>
      </c>
      <c r="BE128">
        <v>125</v>
      </c>
      <c r="BF128" t="s">
        <v>232</v>
      </c>
      <c r="BG128" t="s">
        <v>708</v>
      </c>
      <c r="BH128" s="10">
        <v>139631</v>
      </c>
      <c r="BI128" s="11">
        <v>31873</v>
      </c>
      <c r="BJ128" t="s">
        <v>63</v>
      </c>
      <c r="BK128" s="10">
        <v>298</v>
      </c>
      <c r="BR128">
        <v>125</v>
      </c>
      <c r="BS128" t="s">
        <v>63</v>
      </c>
      <c r="BT128" s="10">
        <v>139631</v>
      </c>
      <c r="BU128" s="11">
        <v>31873</v>
      </c>
      <c r="BV128" s="10">
        <v>298</v>
      </c>
      <c r="BW128" s="1" t="str">
        <f>IF(BS128=$CA$12,COUNTIF($BS$4:BS128,$CA$12),"")</f>
        <v/>
      </c>
    </row>
    <row r="129" spans="5:75" x14ac:dyDescent="0.25">
      <c r="E129">
        <v>126</v>
      </c>
      <c r="F129" t="s">
        <v>233</v>
      </c>
      <c r="G129" t="s">
        <v>63</v>
      </c>
      <c r="H129" t="s">
        <v>709</v>
      </c>
      <c r="I129" s="10">
        <v>62288</v>
      </c>
      <c r="J129" s="11">
        <v>20271</v>
      </c>
      <c r="K129" s="10">
        <v>603</v>
      </c>
      <c r="BE129">
        <v>126</v>
      </c>
      <c r="BF129" t="s">
        <v>233</v>
      </c>
      <c r="BG129" t="s">
        <v>709</v>
      </c>
      <c r="BH129" s="10">
        <v>62288</v>
      </c>
      <c r="BI129" s="11">
        <v>20271</v>
      </c>
      <c r="BJ129" t="s">
        <v>63</v>
      </c>
      <c r="BK129" s="10">
        <v>603</v>
      </c>
      <c r="BR129">
        <v>126</v>
      </c>
      <c r="BS129" t="s">
        <v>63</v>
      </c>
      <c r="BT129" s="10">
        <v>62288</v>
      </c>
      <c r="BU129" s="11">
        <v>20271</v>
      </c>
      <c r="BV129" s="10">
        <v>603</v>
      </c>
      <c r="BW129" s="1" t="str">
        <f>IF(BS129=$CA$12,COUNTIF($BS$4:BS129,$CA$12),"")</f>
        <v/>
      </c>
    </row>
    <row r="130" spans="5:75" x14ac:dyDescent="0.25">
      <c r="E130">
        <v>127</v>
      </c>
      <c r="F130" t="s">
        <v>234</v>
      </c>
      <c r="G130" t="s">
        <v>63</v>
      </c>
      <c r="H130" t="s">
        <v>710</v>
      </c>
      <c r="I130" s="10">
        <v>32567</v>
      </c>
      <c r="J130" s="11">
        <v>10912</v>
      </c>
      <c r="K130" s="10">
        <v>1052</v>
      </c>
      <c r="BE130">
        <v>127</v>
      </c>
      <c r="BF130" t="s">
        <v>234</v>
      </c>
      <c r="BG130" t="s">
        <v>710</v>
      </c>
      <c r="BH130" s="10">
        <v>32567</v>
      </c>
      <c r="BI130" s="11">
        <v>10912</v>
      </c>
      <c r="BJ130" t="s">
        <v>63</v>
      </c>
      <c r="BK130" s="10">
        <v>1052</v>
      </c>
      <c r="BR130">
        <v>127</v>
      </c>
      <c r="BS130" t="s">
        <v>63</v>
      </c>
      <c r="BT130" s="10">
        <v>32567</v>
      </c>
      <c r="BU130" s="11">
        <v>10912</v>
      </c>
      <c r="BV130" s="10">
        <v>1052</v>
      </c>
      <c r="BW130" s="1" t="str">
        <f>IF(BS130=$CA$12,COUNTIF($BS$4:BS130,$CA$12),"")</f>
        <v/>
      </c>
    </row>
    <row r="131" spans="5:75" x14ac:dyDescent="0.25">
      <c r="E131">
        <v>128</v>
      </c>
      <c r="F131" t="s">
        <v>235</v>
      </c>
      <c r="G131" t="s">
        <v>63</v>
      </c>
      <c r="H131" t="s">
        <v>711</v>
      </c>
      <c r="I131" s="10">
        <v>133665</v>
      </c>
      <c r="J131" s="11">
        <v>44693</v>
      </c>
      <c r="K131" s="10">
        <v>634</v>
      </c>
      <c r="BE131">
        <v>128</v>
      </c>
      <c r="BF131" t="s">
        <v>235</v>
      </c>
      <c r="BG131" t="s">
        <v>711</v>
      </c>
      <c r="BH131" s="10">
        <v>133665</v>
      </c>
      <c r="BI131" s="11">
        <v>44693</v>
      </c>
      <c r="BJ131" t="s">
        <v>63</v>
      </c>
      <c r="BK131" s="10">
        <v>634</v>
      </c>
      <c r="BR131">
        <v>128</v>
      </c>
      <c r="BS131" t="s">
        <v>63</v>
      </c>
      <c r="BT131" s="10">
        <v>133665</v>
      </c>
      <c r="BU131" s="11">
        <v>44693</v>
      </c>
      <c r="BV131" s="10">
        <v>634</v>
      </c>
      <c r="BW131" s="1" t="str">
        <f>IF(BS131=$CA$12,COUNTIF($BS$4:BS131,$CA$12),"")</f>
        <v/>
      </c>
    </row>
    <row r="132" spans="5:75" x14ac:dyDescent="0.25">
      <c r="E132">
        <v>129</v>
      </c>
      <c r="F132" t="s">
        <v>236</v>
      </c>
      <c r="G132" t="s">
        <v>63</v>
      </c>
      <c r="H132" t="s">
        <v>712</v>
      </c>
      <c r="I132" s="10">
        <v>11393</v>
      </c>
      <c r="J132" s="11">
        <v>4434</v>
      </c>
      <c r="K132" s="10">
        <v>211</v>
      </c>
      <c r="BE132">
        <v>129</v>
      </c>
      <c r="BF132" t="s">
        <v>236</v>
      </c>
      <c r="BG132" t="s">
        <v>712</v>
      </c>
      <c r="BH132" s="10">
        <v>11393</v>
      </c>
      <c r="BI132" s="11">
        <v>4434</v>
      </c>
      <c r="BJ132" t="s">
        <v>63</v>
      </c>
      <c r="BK132" s="10">
        <v>211</v>
      </c>
      <c r="BR132">
        <v>129</v>
      </c>
      <c r="BS132" t="s">
        <v>63</v>
      </c>
      <c r="BT132" s="10">
        <v>11393</v>
      </c>
      <c r="BU132" s="11">
        <v>4434</v>
      </c>
      <c r="BV132" s="10">
        <v>211</v>
      </c>
      <c r="BW132" s="1" t="str">
        <f>IF(BS132=$CA$12,COUNTIF($BS$4:BS132,$CA$12),"")</f>
        <v/>
      </c>
    </row>
    <row r="133" spans="5:75" x14ac:dyDescent="0.25">
      <c r="E133">
        <v>130</v>
      </c>
      <c r="F133" t="s">
        <v>237</v>
      </c>
      <c r="G133" t="s">
        <v>63</v>
      </c>
      <c r="H133" t="s">
        <v>713</v>
      </c>
      <c r="I133" s="10">
        <v>129559</v>
      </c>
      <c r="J133" s="11">
        <v>44642</v>
      </c>
      <c r="K133" s="10">
        <v>2353</v>
      </c>
      <c r="BE133">
        <v>130</v>
      </c>
      <c r="BF133" t="s">
        <v>237</v>
      </c>
      <c r="BG133" t="s">
        <v>713</v>
      </c>
      <c r="BH133" s="10">
        <v>129559</v>
      </c>
      <c r="BI133" s="11">
        <v>44642</v>
      </c>
      <c r="BJ133" t="s">
        <v>63</v>
      </c>
      <c r="BK133" s="10">
        <v>2353</v>
      </c>
      <c r="BR133">
        <v>130</v>
      </c>
      <c r="BS133" t="s">
        <v>63</v>
      </c>
      <c r="BT133" s="10">
        <v>129559</v>
      </c>
      <c r="BU133" s="11">
        <v>44642</v>
      </c>
      <c r="BV133" s="10">
        <v>2353</v>
      </c>
      <c r="BW133" s="1" t="str">
        <f>IF(BS133=$CA$12,COUNTIF($BS$4:BS133,$CA$12),"")</f>
        <v/>
      </c>
    </row>
    <row r="134" spans="5:75" x14ac:dyDescent="0.25">
      <c r="E134">
        <v>131</v>
      </c>
      <c r="F134" t="s">
        <v>238</v>
      </c>
      <c r="G134" t="s">
        <v>63</v>
      </c>
      <c r="H134" t="s">
        <v>714</v>
      </c>
      <c r="I134" s="10">
        <v>31134</v>
      </c>
      <c r="J134" s="11">
        <v>10623</v>
      </c>
      <c r="K134" s="10">
        <v>82</v>
      </c>
      <c r="BE134">
        <v>131</v>
      </c>
      <c r="BF134" t="s">
        <v>238</v>
      </c>
      <c r="BG134" t="s">
        <v>714</v>
      </c>
      <c r="BH134" s="10">
        <v>31134</v>
      </c>
      <c r="BI134" s="11">
        <v>10623</v>
      </c>
      <c r="BJ134" t="s">
        <v>63</v>
      </c>
      <c r="BK134" s="10">
        <v>82</v>
      </c>
      <c r="BR134">
        <v>131</v>
      </c>
      <c r="BS134" t="s">
        <v>63</v>
      </c>
      <c r="BT134" s="10">
        <v>31134</v>
      </c>
      <c r="BU134" s="11">
        <v>10623</v>
      </c>
      <c r="BV134" s="10">
        <v>82</v>
      </c>
      <c r="BW134" s="1" t="str">
        <f>IF(BS134=$CA$12,COUNTIF($BS$4:BS134,$CA$12),"")</f>
        <v/>
      </c>
    </row>
    <row r="135" spans="5:75" x14ac:dyDescent="0.25">
      <c r="E135">
        <v>132</v>
      </c>
      <c r="F135" t="s">
        <v>239</v>
      </c>
      <c r="G135" t="s">
        <v>63</v>
      </c>
      <c r="H135" t="s">
        <v>715</v>
      </c>
      <c r="I135" s="10">
        <v>55129</v>
      </c>
      <c r="J135" s="11">
        <v>16672</v>
      </c>
      <c r="K135" s="10">
        <v>1585</v>
      </c>
      <c r="BE135">
        <v>132</v>
      </c>
      <c r="BF135" t="s">
        <v>239</v>
      </c>
      <c r="BG135" t="s">
        <v>715</v>
      </c>
      <c r="BH135" s="10">
        <v>55129</v>
      </c>
      <c r="BI135" s="11">
        <v>16672</v>
      </c>
      <c r="BJ135" t="s">
        <v>63</v>
      </c>
      <c r="BK135" s="10">
        <v>1585</v>
      </c>
      <c r="BR135">
        <v>132</v>
      </c>
      <c r="BS135" t="s">
        <v>63</v>
      </c>
      <c r="BT135" s="10">
        <v>55129</v>
      </c>
      <c r="BU135" s="11">
        <v>16672</v>
      </c>
      <c r="BV135" s="10">
        <v>1585</v>
      </c>
      <c r="BW135" s="1" t="str">
        <f>IF(BS135=$CA$12,COUNTIF($BS$4:BS135,$CA$12),"")</f>
        <v/>
      </c>
    </row>
    <row r="136" spans="5:75" x14ac:dyDescent="0.25">
      <c r="E136">
        <v>133</v>
      </c>
      <c r="F136" t="s">
        <v>240</v>
      </c>
      <c r="G136" t="s">
        <v>64</v>
      </c>
      <c r="H136" t="s">
        <v>704</v>
      </c>
      <c r="I136" s="10">
        <v>98872</v>
      </c>
      <c r="J136" s="11">
        <v>25548</v>
      </c>
      <c r="K136" s="10">
        <v>213</v>
      </c>
      <c r="BE136">
        <v>133</v>
      </c>
      <c r="BF136" t="s">
        <v>240</v>
      </c>
      <c r="BG136" t="s">
        <v>704</v>
      </c>
      <c r="BH136" s="10">
        <v>98872</v>
      </c>
      <c r="BI136" s="11">
        <v>25548</v>
      </c>
      <c r="BJ136" t="s">
        <v>64</v>
      </c>
      <c r="BK136" s="10">
        <v>213</v>
      </c>
      <c r="BR136">
        <v>133</v>
      </c>
      <c r="BS136" t="s">
        <v>64</v>
      </c>
      <c r="BT136" s="10">
        <v>98872</v>
      </c>
      <c r="BU136" s="11">
        <v>25548</v>
      </c>
      <c r="BV136" s="10">
        <v>213</v>
      </c>
      <c r="BW136" s="1" t="str">
        <f>IF(BS136=$CA$12,COUNTIF($BS$4:BS136,$CA$12),"")</f>
        <v/>
      </c>
    </row>
    <row r="137" spans="5:75" x14ac:dyDescent="0.25">
      <c r="E137">
        <v>134</v>
      </c>
      <c r="F137" t="s">
        <v>241</v>
      </c>
      <c r="G137" t="s">
        <v>64</v>
      </c>
      <c r="H137" t="s">
        <v>705</v>
      </c>
      <c r="I137" s="10">
        <v>86887</v>
      </c>
      <c r="J137" s="11">
        <v>34600</v>
      </c>
      <c r="K137" s="10">
        <v>2203</v>
      </c>
      <c r="BE137">
        <v>134</v>
      </c>
      <c r="BF137" t="s">
        <v>241</v>
      </c>
      <c r="BG137" t="s">
        <v>705</v>
      </c>
      <c r="BH137" s="10">
        <v>86887</v>
      </c>
      <c r="BI137" s="11">
        <v>34600</v>
      </c>
      <c r="BJ137" t="s">
        <v>64</v>
      </c>
      <c r="BK137" s="10">
        <v>2203</v>
      </c>
      <c r="BR137">
        <v>134</v>
      </c>
      <c r="BS137" t="s">
        <v>64</v>
      </c>
      <c r="BT137" s="10">
        <v>86887</v>
      </c>
      <c r="BU137" s="11">
        <v>34600</v>
      </c>
      <c r="BV137" s="10">
        <v>2203</v>
      </c>
      <c r="BW137" s="1" t="str">
        <f>IF(BS137=$CA$12,COUNTIF($BS$4:BS137,$CA$12),"")</f>
        <v/>
      </c>
    </row>
    <row r="138" spans="5:75" x14ac:dyDescent="0.25">
      <c r="E138">
        <v>135</v>
      </c>
      <c r="F138" t="s">
        <v>242</v>
      </c>
      <c r="G138" t="s">
        <v>64</v>
      </c>
      <c r="H138" t="s">
        <v>706</v>
      </c>
      <c r="I138" s="10">
        <v>148237</v>
      </c>
      <c r="J138" s="11">
        <v>34737</v>
      </c>
      <c r="K138" s="10">
        <v>2427</v>
      </c>
      <c r="BE138">
        <v>135</v>
      </c>
      <c r="BF138" t="s">
        <v>242</v>
      </c>
      <c r="BG138" t="s">
        <v>706</v>
      </c>
      <c r="BH138" s="10">
        <v>148237</v>
      </c>
      <c r="BI138" s="11">
        <v>34737</v>
      </c>
      <c r="BJ138" t="s">
        <v>64</v>
      </c>
      <c r="BK138" s="10">
        <v>2427</v>
      </c>
      <c r="BR138">
        <v>135</v>
      </c>
      <c r="BS138" t="s">
        <v>64</v>
      </c>
      <c r="BT138" s="10">
        <v>148237</v>
      </c>
      <c r="BU138" s="11">
        <v>34737</v>
      </c>
      <c r="BV138" s="10">
        <v>2427</v>
      </c>
      <c r="BW138" s="1" t="str">
        <f>IF(BS138=$CA$12,COUNTIF($BS$4:BS138,$CA$12),"")</f>
        <v/>
      </c>
    </row>
    <row r="139" spans="5:75" x14ac:dyDescent="0.25">
      <c r="E139">
        <v>136</v>
      </c>
      <c r="F139" t="s">
        <v>243</v>
      </c>
      <c r="G139" t="s">
        <v>64</v>
      </c>
      <c r="H139" t="s">
        <v>707</v>
      </c>
      <c r="I139" s="10">
        <v>50934</v>
      </c>
      <c r="J139" s="11">
        <v>20260</v>
      </c>
      <c r="K139" s="10">
        <v>1209</v>
      </c>
      <c r="BE139">
        <v>136</v>
      </c>
      <c r="BF139" t="s">
        <v>243</v>
      </c>
      <c r="BG139" t="s">
        <v>707</v>
      </c>
      <c r="BH139" s="10">
        <v>50934</v>
      </c>
      <c r="BI139" s="11">
        <v>20260</v>
      </c>
      <c r="BJ139" t="s">
        <v>64</v>
      </c>
      <c r="BK139" s="10">
        <v>1209</v>
      </c>
      <c r="BR139">
        <v>136</v>
      </c>
      <c r="BS139" t="s">
        <v>64</v>
      </c>
      <c r="BT139" s="10">
        <v>50934</v>
      </c>
      <c r="BU139" s="11">
        <v>20260</v>
      </c>
      <c r="BV139" s="10">
        <v>1209</v>
      </c>
      <c r="BW139" s="1" t="str">
        <f>IF(BS139=$CA$12,COUNTIF($BS$4:BS139,$CA$12),"")</f>
        <v/>
      </c>
    </row>
    <row r="140" spans="5:75" x14ac:dyDescent="0.25">
      <c r="E140">
        <v>137</v>
      </c>
      <c r="F140" t="s">
        <v>244</v>
      </c>
      <c r="G140" t="s">
        <v>64</v>
      </c>
      <c r="H140" t="s">
        <v>708</v>
      </c>
      <c r="I140" s="10">
        <v>87557</v>
      </c>
      <c r="J140" s="11">
        <v>29883</v>
      </c>
      <c r="K140" s="10">
        <v>2253</v>
      </c>
      <c r="BE140">
        <v>137</v>
      </c>
      <c r="BF140" t="s">
        <v>244</v>
      </c>
      <c r="BG140" t="s">
        <v>708</v>
      </c>
      <c r="BH140" s="10">
        <v>87557</v>
      </c>
      <c r="BI140" s="11">
        <v>29883</v>
      </c>
      <c r="BJ140" t="s">
        <v>64</v>
      </c>
      <c r="BK140" s="10">
        <v>2253</v>
      </c>
      <c r="BR140">
        <v>137</v>
      </c>
      <c r="BS140" t="s">
        <v>64</v>
      </c>
      <c r="BT140" s="10">
        <v>87557</v>
      </c>
      <c r="BU140" s="11">
        <v>29883</v>
      </c>
      <c r="BV140" s="10">
        <v>2253</v>
      </c>
      <c r="BW140" s="1" t="str">
        <f>IF(BS140=$CA$12,COUNTIF($BS$4:BS140,$CA$12),"")</f>
        <v/>
      </c>
    </row>
    <row r="141" spans="5:75" x14ac:dyDescent="0.25">
      <c r="E141">
        <v>138</v>
      </c>
      <c r="F141" t="s">
        <v>245</v>
      </c>
      <c r="G141" t="s">
        <v>64</v>
      </c>
      <c r="H141" t="s">
        <v>709</v>
      </c>
      <c r="I141" s="10">
        <v>32307</v>
      </c>
      <c r="J141" s="11">
        <v>10255</v>
      </c>
      <c r="K141" s="10">
        <v>248</v>
      </c>
      <c r="BE141">
        <v>138</v>
      </c>
      <c r="BF141" t="s">
        <v>245</v>
      </c>
      <c r="BG141" t="s">
        <v>709</v>
      </c>
      <c r="BH141" s="10">
        <v>32307</v>
      </c>
      <c r="BI141" s="11">
        <v>10255</v>
      </c>
      <c r="BJ141" t="s">
        <v>64</v>
      </c>
      <c r="BK141" s="10">
        <v>248</v>
      </c>
      <c r="BR141">
        <v>138</v>
      </c>
      <c r="BS141" t="s">
        <v>64</v>
      </c>
      <c r="BT141" s="10">
        <v>32307</v>
      </c>
      <c r="BU141" s="11">
        <v>10255</v>
      </c>
      <c r="BV141" s="10">
        <v>248</v>
      </c>
      <c r="BW141" s="1" t="str">
        <f>IF(BS141=$CA$12,COUNTIF($BS$4:BS141,$CA$12),"")</f>
        <v/>
      </c>
    </row>
    <row r="142" spans="5:75" x14ac:dyDescent="0.25">
      <c r="E142">
        <v>139</v>
      </c>
      <c r="F142" t="s">
        <v>246</v>
      </c>
      <c r="G142" t="s">
        <v>64</v>
      </c>
      <c r="H142" t="s">
        <v>710</v>
      </c>
      <c r="I142" s="10">
        <v>113675</v>
      </c>
      <c r="J142" s="11">
        <v>25922</v>
      </c>
      <c r="K142" s="10">
        <v>230</v>
      </c>
      <c r="BE142">
        <v>139</v>
      </c>
      <c r="BF142" t="s">
        <v>246</v>
      </c>
      <c r="BG142" t="s">
        <v>710</v>
      </c>
      <c r="BH142" s="10">
        <v>113675</v>
      </c>
      <c r="BI142" s="11">
        <v>25922</v>
      </c>
      <c r="BJ142" t="s">
        <v>64</v>
      </c>
      <c r="BK142" s="10">
        <v>230</v>
      </c>
      <c r="BR142">
        <v>139</v>
      </c>
      <c r="BS142" t="s">
        <v>64</v>
      </c>
      <c r="BT142" s="10">
        <v>113675</v>
      </c>
      <c r="BU142" s="11">
        <v>25922</v>
      </c>
      <c r="BV142" s="10">
        <v>230</v>
      </c>
      <c r="BW142" s="1" t="str">
        <f>IF(BS142=$CA$12,COUNTIF($BS$4:BS142,$CA$12),"")</f>
        <v/>
      </c>
    </row>
    <row r="143" spans="5:75" x14ac:dyDescent="0.25">
      <c r="E143">
        <v>140</v>
      </c>
      <c r="F143" t="s">
        <v>247</v>
      </c>
      <c r="G143" t="s">
        <v>64</v>
      </c>
      <c r="H143" t="s">
        <v>711</v>
      </c>
      <c r="I143" s="10">
        <v>72658</v>
      </c>
      <c r="J143" s="11">
        <v>27271</v>
      </c>
      <c r="K143" s="10">
        <v>534</v>
      </c>
      <c r="BE143">
        <v>140</v>
      </c>
      <c r="BF143" t="s">
        <v>247</v>
      </c>
      <c r="BG143" t="s">
        <v>711</v>
      </c>
      <c r="BH143" s="10">
        <v>72658</v>
      </c>
      <c r="BI143" s="11">
        <v>27271</v>
      </c>
      <c r="BJ143" t="s">
        <v>64</v>
      </c>
      <c r="BK143" s="10">
        <v>534</v>
      </c>
      <c r="BR143">
        <v>140</v>
      </c>
      <c r="BS143" t="s">
        <v>64</v>
      </c>
      <c r="BT143" s="10">
        <v>72658</v>
      </c>
      <c r="BU143" s="11">
        <v>27271</v>
      </c>
      <c r="BV143" s="10">
        <v>534</v>
      </c>
      <c r="BW143" s="1" t="str">
        <f>IF(BS143=$CA$12,COUNTIF($BS$4:BS143,$CA$12),"")</f>
        <v/>
      </c>
    </row>
    <row r="144" spans="5:75" x14ac:dyDescent="0.25">
      <c r="E144">
        <v>141</v>
      </c>
      <c r="F144" t="s">
        <v>248</v>
      </c>
      <c r="G144" t="s">
        <v>64</v>
      </c>
      <c r="H144" t="s">
        <v>712</v>
      </c>
      <c r="I144" s="10">
        <v>55066</v>
      </c>
      <c r="J144" s="11">
        <v>15120</v>
      </c>
      <c r="K144" s="10">
        <v>1259</v>
      </c>
      <c r="BE144">
        <v>141</v>
      </c>
      <c r="BF144" t="s">
        <v>248</v>
      </c>
      <c r="BG144" t="s">
        <v>712</v>
      </c>
      <c r="BH144" s="10">
        <v>55066</v>
      </c>
      <c r="BI144" s="11">
        <v>15120</v>
      </c>
      <c r="BJ144" t="s">
        <v>64</v>
      </c>
      <c r="BK144" s="10">
        <v>1259</v>
      </c>
      <c r="BR144">
        <v>141</v>
      </c>
      <c r="BS144" t="s">
        <v>64</v>
      </c>
      <c r="BT144" s="10">
        <v>55066</v>
      </c>
      <c r="BU144" s="11">
        <v>15120</v>
      </c>
      <c r="BV144" s="10">
        <v>1259</v>
      </c>
      <c r="BW144" s="1" t="str">
        <f>IF(BS144=$CA$12,COUNTIF($BS$4:BS144,$CA$12),"")</f>
        <v/>
      </c>
    </row>
    <row r="145" spans="5:75" x14ac:dyDescent="0.25">
      <c r="E145">
        <v>142</v>
      </c>
      <c r="F145" t="s">
        <v>249</v>
      </c>
      <c r="G145" t="s">
        <v>64</v>
      </c>
      <c r="H145" t="s">
        <v>713</v>
      </c>
      <c r="I145" s="10">
        <v>114726</v>
      </c>
      <c r="J145" s="11">
        <v>27244</v>
      </c>
      <c r="K145" s="10">
        <v>475</v>
      </c>
      <c r="BE145">
        <v>142</v>
      </c>
      <c r="BF145" t="s">
        <v>249</v>
      </c>
      <c r="BG145" t="s">
        <v>713</v>
      </c>
      <c r="BH145" s="10">
        <v>114726</v>
      </c>
      <c r="BI145" s="11">
        <v>27244</v>
      </c>
      <c r="BJ145" t="s">
        <v>64</v>
      </c>
      <c r="BK145" s="10">
        <v>475</v>
      </c>
      <c r="BR145">
        <v>142</v>
      </c>
      <c r="BS145" t="s">
        <v>64</v>
      </c>
      <c r="BT145" s="10">
        <v>114726</v>
      </c>
      <c r="BU145" s="11">
        <v>27244</v>
      </c>
      <c r="BV145" s="10">
        <v>475</v>
      </c>
      <c r="BW145" s="1" t="str">
        <f>IF(BS145=$CA$12,COUNTIF($BS$4:BS145,$CA$12),"")</f>
        <v/>
      </c>
    </row>
    <row r="146" spans="5:75" x14ac:dyDescent="0.25">
      <c r="E146">
        <v>143</v>
      </c>
      <c r="F146" t="s">
        <v>250</v>
      </c>
      <c r="G146" t="s">
        <v>64</v>
      </c>
      <c r="H146" t="s">
        <v>714</v>
      </c>
      <c r="I146" s="10">
        <v>36854</v>
      </c>
      <c r="J146" s="11">
        <v>11105</v>
      </c>
      <c r="K146" s="10">
        <v>986</v>
      </c>
      <c r="BE146">
        <v>143</v>
      </c>
      <c r="BF146" t="s">
        <v>250</v>
      </c>
      <c r="BG146" t="s">
        <v>714</v>
      </c>
      <c r="BH146" s="10">
        <v>36854</v>
      </c>
      <c r="BI146" s="11">
        <v>11105</v>
      </c>
      <c r="BJ146" t="s">
        <v>64</v>
      </c>
      <c r="BK146" s="10">
        <v>986</v>
      </c>
      <c r="BR146">
        <v>143</v>
      </c>
      <c r="BS146" t="s">
        <v>64</v>
      </c>
      <c r="BT146" s="10">
        <v>36854</v>
      </c>
      <c r="BU146" s="11">
        <v>11105</v>
      </c>
      <c r="BV146" s="10">
        <v>986</v>
      </c>
      <c r="BW146" s="1" t="str">
        <f>IF(BS146=$CA$12,COUNTIF($BS$4:BS146,$CA$12),"")</f>
        <v/>
      </c>
    </row>
    <row r="147" spans="5:75" x14ac:dyDescent="0.25">
      <c r="E147">
        <v>144</v>
      </c>
      <c r="F147" t="s">
        <v>251</v>
      </c>
      <c r="G147" t="s">
        <v>64</v>
      </c>
      <c r="H147" t="s">
        <v>715</v>
      </c>
      <c r="I147" s="10">
        <v>25744</v>
      </c>
      <c r="J147" s="11">
        <v>8685</v>
      </c>
      <c r="K147" s="10">
        <v>121</v>
      </c>
      <c r="BE147">
        <v>144</v>
      </c>
      <c r="BF147" t="s">
        <v>251</v>
      </c>
      <c r="BG147" t="s">
        <v>715</v>
      </c>
      <c r="BH147" s="10">
        <v>25744</v>
      </c>
      <c r="BI147" s="11">
        <v>8685</v>
      </c>
      <c r="BJ147" t="s">
        <v>64</v>
      </c>
      <c r="BK147" s="10">
        <v>121</v>
      </c>
      <c r="BR147">
        <v>144</v>
      </c>
      <c r="BS147" t="s">
        <v>64</v>
      </c>
      <c r="BT147" s="10">
        <v>25744</v>
      </c>
      <c r="BU147" s="11">
        <v>8685</v>
      </c>
      <c r="BV147" s="10">
        <v>121</v>
      </c>
      <c r="BW147" s="1" t="str">
        <f>IF(BS147=$CA$12,COUNTIF($BS$4:BS147,$CA$12),"")</f>
        <v/>
      </c>
    </row>
    <row r="148" spans="5:75" x14ac:dyDescent="0.25">
      <c r="E148">
        <v>145</v>
      </c>
      <c r="F148" t="s">
        <v>252</v>
      </c>
      <c r="G148" t="s">
        <v>65</v>
      </c>
      <c r="H148" t="s">
        <v>704</v>
      </c>
      <c r="I148" s="10">
        <v>83270</v>
      </c>
      <c r="J148" s="11">
        <v>20636</v>
      </c>
      <c r="K148" s="10">
        <v>577</v>
      </c>
      <c r="BE148">
        <v>145</v>
      </c>
      <c r="BF148" t="s">
        <v>252</v>
      </c>
      <c r="BG148" t="s">
        <v>704</v>
      </c>
      <c r="BH148" s="10">
        <v>83270</v>
      </c>
      <c r="BI148" s="11">
        <v>20636</v>
      </c>
      <c r="BJ148" t="s">
        <v>65</v>
      </c>
      <c r="BK148" s="10">
        <v>577</v>
      </c>
      <c r="BR148">
        <v>145</v>
      </c>
      <c r="BS148" t="s">
        <v>65</v>
      </c>
      <c r="BT148" s="10">
        <v>83270</v>
      </c>
      <c r="BU148" s="11">
        <v>20636</v>
      </c>
      <c r="BV148" s="10">
        <v>577</v>
      </c>
      <c r="BW148" s="1" t="str">
        <f>IF(BS148=$CA$12,COUNTIF($BS$4:BS148,$CA$12),"")</f>
        <v/>
      </c>
    </row>
    <row r="149" spans="5:75" x14ac:dyDescent="0.25">
      <c r="E149">
        <v>146</v>
      </c>
      <c r="F149" t="s">
        <v>253</v>
      </c>
      <c r="G149" t="s">
        <v>65</v>
      </c>
      <c r="H149" t="s">
        <v>705</v>
      </c>
      <c r="I149" s="10">
        <v>60636</v>
      </c>
      <c r="J149" s="11">
        <v>21253</v>
      </c>
      <c r="K149" s="10">
        <v>1194</v>
      </c>
      <c r="BE149">
        <v>146</v>
      </c>
      <c r="BF149" t="s">
        <v>253</v>
      </c>
      <c r="BG149" t="s">
        <v>705</v>
      </c>
      <c r="BH149" s="10">
        <v>60636</v>
      </c>
      <c r="BI149" s="11">
        <v>21253</v>
      </c>
      <c r="BJ149" t="s">
        <v>65</v>
      </c>
      <c r="BK149" s="10">
        <v>1194</v>
      </c>
      <c r="BR149">
        <v>146</v>
      </c>
      <c r="BS149" t="s">
        <v>65</v>
      </c>
      <c r="BT149" s="10">
        <v>60636</v>
      </c>
      <c r="BU149" s="11">
        <v>21253</v>
      </c>
      <c r="BV149" s="10">
        <v>1194</v>
      </c>
      <c r="BW149" s="1" t="str">
        <f>IF(BS149=$CA$12,COUNTIF($BS$4:BS149,$CA$12),"")</f>
        <v/>
      </c>
    </row>
    <row r="150" spans="5:75" x14ac:dyDescent="0.25">
      <c r="E150">
        <v>147</v>
      </c>
      <c r="F150" t="s">
        <v>254</v>
      </c>
      <c r="G150" t="s">
        <v>65</v>
      </c>
      <c r="H150" t="s">
        <v>706</v>
      </c>
      <c r="I150" s="10">
        <v>115731</v>
      </c>
      <c r="J150" s="11">
        <v>24925</v>
      </c>
      <c r="K150" s="10">
        <v>1037</v>
      </c>
      <c r="BE150">
        <v>147</v>
      </c>
      <c r="BF150" t="s">
        <v>254</v>
      </c>
      <c r="BG150" t="s">
        <v>706</v>
      </c>
      <c r="BH150" s="10">
        <v>115731</v>
      </c>
      <c r="BI150" s="11">
        <v>24925</v>
      </c>
      <c r="BJ150" t="s">
        <v>65</v>
      </c>
      <c r="BK150" s="10">
        <v>1037</v>
      </c>
      <c r="BR150">
        <v>147</v>
      </c>
      <c r="BS150" t="s">
        <v>65</v>
      </c>
      <c r="BT150" s="10">
        <v>115731</v>
      </c>
      <c r="BU150" s="11">
        <v>24925</v>
      </c>
      <c r="BV150" s="10">
        <v>1037</v>
      </c>
      <c r="BW150" s="1" t="str">
        <f>IF(BS150=$CA$12,COUNTIF($BS$4:BS150,$CA$12),"")</f>
        <v/>
      </c>
    </row>
    <row r="151" spans="5:75" x14ac:dyDescent="0.25">
      <c r="E151">
        <v>148</v>
      </c>
      <c r="F151" t="s">
        <v>255</v>
      </c>
      <c r="G151" t="s">
        <v>65</v>
      </c>
      <c r="H151" t="s">
        <v>707</v>
      </c>
      <c r="I151" s="10">
        <v>44710</v>
      </c>
      <c r="J151" s="11">
        <v>16574</v>
      </c>
      <c r="K151" s="10">
        <v>830</v>
      </c>
      <c r="BE151">
        <v>148</v>
      </c>
      <c r="BF151" t="s">
        <v>255</v>
      </c>
      <c r="BG151" t="s">
        <v>707</v>
      </c>
      <c r="BH151" s="10">
        <v>44710</v>
      </c>
      <c r="BI151" s="11">
        <v>16574</v>
      </c>
      <c r="BJ151" t="s">
        <v>65</v>
      </c>
      <c r="BK151" s="10">
        <v>830</v>
      </c>
      <c r="BR151">
        <v>148</v>
      </c>
      <c r="BS151" t="s">
        <v>65</v>
      </c>
      <c r="BT151" s="10">
        <v>44710</v>
      </c>
      <c r="BU151" s="11">
        <v>16574</v>
      </c>
      <c r="BV151" s="10">
        <v>830</v>
      </c>
      <c r="BW151" s="1" t="str">
        <f>IF(BS151=$CA$12,COUNTIF($BS$4:BS151,$CA$12),"")</f>
        <v/>
      </c>
    </row>
    <row r="152" spans="5:75" x14ac:dyDescent="0.25">
      <c r="E152">
        <v>149</v>
      </c>
      <c r="F152" t="s">
        <v>256</v>
      </c>
      <c r="G152" t="s">
        <v>65</v>
      </c>
      <c r="H152" t="s">
        <v>708</v>
      </c>
      <c r="I152" s="10">
        <v>146068</v>
      </c>
      <c r="J152" s="11">
        <v>49985</v>
      </c>
      <c r="K152" s="10">
        <v>595</v>
      </c>
      <c r="BE152">
        <v>149</v>
      </c>
      <c r="BF152" t="s">
        <v>256</v>
      </c>
      <c r="BG152" t="s">
        <v>708</v>
      </c>
      <c r="BH152" s="10">
        <v>146068</v>
      </c>
      <c r="BI152" s="11">
        <v>49985</v>
      </c>
      <c r="BJ152" t="s">
        <v>65</v>
      </c>
      <c r="BK152" s="10">
        <v>595</v>
      </c>
      <c r="BR152">
        <v>149</v>
      </c>
      <c r="BS152" t="s">
        <v>65</v>
      </c>
      <c r="BT152" s="10">
        <v>146068</v>
      </c>
      <c r="BU152" s="11">
        <v>49985</v>
      </c>
      <c r="BV152" s="10">
        <v>595</v>
      </c>
      <c r="BW152" s="1" t="str">
        <f>IF(BS152=$CA$12,COUNTIF($BS$4:BS152,$CA$12),"")</f>
        <v/>
      </c>
    </row>
    <row r="153" spans="5:75" x14ac:dyDescent="0.25">
      <c r="E153">
        <v>150</v>
      </c>
      <c r="F153" t="s">
        <v>257</v>
      </c>
      <c r="G153" t="s">
        <v>65</v>
      </c>
      <c r="H153" t="s">
        <v>709</v>
      </c>
      <c r="I153" s="10">
        <v>146416</v>
      </c>
      <c r="J153" s="11">
        <v>51796</v>
      </c>
      <c r="K153" s="10">
        <v>2944</v>
      </c>
      <c r="BE153">
        <v>150</v>
      </c>
      <c r="BF153" t="s">
        <v>257</v>
      </c>
      <c r="BG153" t="s">
        <v>709</v>
      </c>
      <c r="BH153" s="10">
        <v>146416</v>
      </c>
      <c r="BI153" s="11">
        <v>51796</v>
      </c>
      <c r="BJ153" t="s">
        <v>65</v>
      </c>
      <c r="BK153" s="10">
        <v>2944</v>
      </c>
      <c r="BR153">
        <v>150</v>
      </c>
      <c r="BS153" t="s">
        <v>65</v>
      </c>
      <c r="BT153" s="10">
        <v>146416</v>
      </c>
      <c r="BU153" s="11">
        <v>51796</v>
      </c>
      <c r="BV153" s="10">
        <v>2944</v>
      </c>
      <c r="BW153" s="1" t="str">
        <f>IF(BS153=$CA$12,COUNTIF($BS$4:BS153,$CA$12),"")</f>
        <v/>
      </c>
    </row>
    <row r="154" spans="5:75" x14ac:dyDescent="0.25">
      <c r="E154">
        <v>151</v>
      </c>
      <c r="F154" t="s">
        <v>258</v>
      </c>
      <c r="G154" t="s">
        <v>65</v>
      </c>
      <c r="H154" t="s">
        <v>710</v>
      </c>
      <c r="I154" s="10">
        <v>19883</v>
      </c>
      <c r="J154" s="11">
        <v>4068</v>
      </c>
      <c r="K154" s="10">
        <v>125</v>
      </c>
      <c r="BE154">
        <v>151</v>
      </c>
      <c r="BF154" t="s">
        <v>258</v>
      </c>
      <c r="BG154" t="s">
        <v>710</v>
      </c>
      <c r="BH154" s="10">
        <v>19883</v>
      </c>
      <c r="BI154" s="11">
        <v>4068</v>
      </c>
      <c r="BJ154" t="s">
        <v>65</v>
      </c>
      <c r="BK154" s="10">
        <v>125</v>
      </c>
      <c r="BR154">
        <v>151</v>
      </c>
      <c r="BS154" t="s">
        <v>65</v>
      </c>
      <c r="BT154" s="10">
        <v>19883</v>
      </c>
      <c r="BU154" s="11">
        <v>4068</v>
      </c>
      <c r="BV154" s="10">
        <v>125</v>
      </c>
      <c r="BW154" s="1" t="str">
        <f>IF(BS154=$CA$12,COUNTIF($BS$4:BS154,$CA$12),"")</f>
        <v/>
      </c>
    </row>
    <row r="155" spans="5:75" x14ac:dyDescent="0.25">
      <c r="E155">
        <v>152</v>
      </c>
      <c r="F155" t="s">
        <v>259</v>
      </c>
      <c r="G155" t="s">
        <v>65</v>
      </c>
      <c r="H155" t="s">
        <v>711</v>
      </c>
      <c r="I155" s="10">
        <v>116217</v>
      </c>
      <c r="J155" s="11">
        <v>35495</v>
      </c>
      <c r="K155" s="10">
        <v>2682</v>
      </c>
      <c r="BE155">
        <v>152</v>
      </c>
      <c r="BF155" t="s">
        <v>259</v>
      </c>
      <c r="BG155" t="s">
        <v>711</v>
      </c>
      <c r="BH155" s="10">
        <v>116217</v>
      </c>
      <c r="BI155" s="11">
        <v>35495</v>
      </c>
      <c r="BJ155" t="s">
        <v>65</v>
      </c>
      <c r="BK155" s="10">
        <v>2682</v>
      </c>
      <c r="BR155">
        <v>152</v>
      </c>
      <c r="BS155" t="s">
        <v>65</v>
      </c>
      <c r="BT155" s="10">
        <v>116217</v>
      </c>
      <c r="BU155" s="11">
        <v>35495</v>
      </c>
      <c r="BV155" s="10">
        <v>2682</v>
      </c>
      <c r="BW155" s="1" t="str">
        <f>IF(BS155=$CA$12,COUNTIF($BS$4:BS155,$CA$12),"")</f>
        <v/>
      </c>
    </row>
    <row r="156" spans="5:75" x14ac:dyDescent="0.25">
      <c r="E156">
        <v>153</v>
      </c>
      <c r="F156" t="s">
        <v>260</v>
      </c>
      <c r="G156" t="s">
        <v>65</v>
      </c>
      <c r="H156" t="s">
        <v>712</v>
      </c>
      <c r="I156" s="10">
        <v>74465</v>
      </c>
      <c r="J156" s="11">
        <v>29058</v>
      </c>
      <c r="K156" s="10">
        <v>2905</v>
      </c>
      <c r="BE156">
        <v>153</v>
      </c>
      <c r="BF156" t="s">
        <v>260</v>
      </c>
      <c r="BG156" t="s">
        <v>712</v>
      </c>
      <c r="BH156" s="10">
        <v>74465</v>
      </c>
      <c r="BI156" s="11">
        <v>29058</v>
      </c>
      <c r="BJ156" t="s">
        <v>65</v>
      </c>
      <c r="BK156" s="10">
        <v>2905</v>
      </c>
      <c r="BR156">
        <v>153</v>
      </c>
      <c r="BS156" t="s">
        <v>65</v>
      </c>
      <c r="BT156" s="10">
        <v>74465</v>
      </c>
      <c r="BU156" s="11">
        <v>29058</v>
      </c>
      <c r="BV156" s="10">
        <v>2905</v>
      </c>
      <c r="BW156" s="1" t="str">
        <f>IF(BS156=$CA$12,COUNTIF($BS$4:BS156,$CA$12),"")</f>
        <v/>
      </c>
    </row>
    <row r="157" spans="5:75" x14ac:dyDescent="0.25">
      <c r="E157">
        <v>154</v>
      </c>
      <c r="F157" t="s">
        <v>261</v>
      </c>
      <c r="G157" t="s">
        <v>65</v>
      </c>
      <c r="H157" t="s">
        <v>713</v>
      </c>
      <c r="I157" s="10">
        <v>66069</v>
      </c>
      <c r="J157" s="11">
        <v>25141</v>
      </c>
      <c r="K157" s="10">
        <v>1229</v>
      </c>
      <c r="BE157">
        <v>154</v>
      </c>
      <c r="BF157" t="s">
        <v>261</v>
      </c>
      <c r="BG157" t="s">
        <v>713</v>
      </c>
      <c r="BH157" s="10">
        <v>66069</v>
      </c>
      <c r="BI157" s="11">
        <v>25141</v>
      </c>
      <c r="BJ157" t="s">
        <v>65</v>
      </c>
      <c r="BK157" s="10">
        <v>1229</v>
      </c>
      <c r="BR157">
        <v>154</v>
      </c>
      <c r="BS157" t="s">
        <v>65</v>
      </c>
      <c r="BT157" s="10">
        <v>66069</v>
      </c>
      <c r="BU157" s="11">
        <v>25141</v>
      </c>
      <c r="BV157" s="10">
        <v>1229</v>
      </c>
      <c r="BW157" s="1" t="str">
        <f>IF(BS157=$CA$12,COUNTIF($BS$4:BS157,$CA$12),"")</f>
        <v/>
      </c>
    </row>
    <row r="158" spans="5:75" x14ac:dyDescent="0.25">
      <c r="E158">
        <v>155</v>
      </c>
      <c r="F158" t="s">
        <v>262</v>
      </c>
      <c r="G158" t="s">
        <v>65</v>
      </c>
      <c r="H158" t="s">
        <v>714</v>
      </c>
      <c r="I158" s="10">
        <v>89555</v>
      </c>
      <c r="J158" s="11">
        <v>29905</v>
      </c>
      <c r="K158" s="10">
        <v>2747</v>
      </c>
      <c r="BE158">
        <v>155</v>
      </c>
      <c r="BF158" t="s">
        <v>262</v>
      </c>
      <c r="BG158" t="s">
        <v>714</v>
      </c>
      <c r="BH158" s="10">
        <v>89555</v>
      </c>
      <c r="BI158" s="11">
        <v>29905</v>
      </c>
      <c r="BJ158" t="s">
        <v>65</v>
      </c>
      <c r="BK158" s="10">
        <v>2747</v>
      </c>
      <c r="BR158">
        <v>155</v>
      </c>
      <c r="BS158" t="s">
        <v>65</v>
      </c>
      <c r="BT158" s="10">
        <v>89555</v>
      </c>
      <c r="BU158" s="11">
        <v>29905</v>
      </c>
      <c r="BV158" s="10">
        <v>2747</v>
      </c>
      <c r="BW158" s="1" t="str">
        <f>IF(BS158=$CA$12,COUNTIF($BS$4:BS158,$CA$12),"")</f>
        <v/>
      </c>
    </row>
    <row r="159" spans="5:75" x14ac:dyDescent="0.25">
      <c r="E159">
        <v>156</v>
      </c>
      <c r="F159" t="s">
        <v>263</v>
      </c>
      <c r="G159" t="s">
        <v>65</v>
      </c>
      <c r="H159" t="s">
        <v>715</v>
      </c>
      <c r="I159" s="10">
        <v>61314</v>
      </c>
      <c r="J159" s="11">
        <v>21420</v>
      </c>
      <c r="K159" s="10">
        <v>502</v>
      </c>
      <c r="BE159">
        <v>156</v>
      </c>
      <c r="BF159" t="s">
        <v>263</v>
      </c>
      <c r="BG159" t="s">
        <v>715</v>
      </c>
      <c r="BH159" s="10">
        <v>61314</v>
      </c>
      <c r="BI159" s="11">
        <v>21420</v>
      </c>
      <c r="BJ159" t="s">
        <v>65</v>
      </c>
      <c r="BK159" s="10">
        <v>502</v>
      </c>
      <c r="BR159">
        <v>156</v>
      </c>
      <c r="BS159" t="s">
        <v>65</v>
      </c>
      <c r="BT159" s="10">
        <v>61314</v>
      </c>
      <c r="BU159" s="11">
        <v>21420</v>
      </c>
      <c r="BV159" s="10">
        <v>502</v>
      </c>
      <c r="BW159" s="1" t="str">
        <f>IF(BS159=$CA$12,COUNTIF($BS$4:BS159,$CA$12),"")</f>
        <v/>
      </c>
    </row>
    <row r="160" spans="5:75" x14ac:dyDescent="0.25">
      <c r="E160">
        <v>157</v>
      </c>
      <c r="F160" t="s">
        <v>264</v>
      </c>
      <c r="G160" t="s">
        <v>66</v>
      </c>
      <c r="H160" t="s">
        <v>704</v>
      </c>
      <c r="I160" s="10">
        <v>56003</v>
      </c>
      <c r="J160" s="11">
        <v>18958</v>
      </c>
      <c r="K160" s="10">
        <v>164</v>
      </c>
      <c r="BE160">
        <v>157</v>
      </c>
      <c r="BF160" t="s">
        <v>264</v>
      </c>
      <c r="BG160" t="s">
        <v>704</v>
      </c>
      <c r="BH160" s="10">
        <v>56003</v>
      </c>
      <c r="BI160" s="11">
        <v>18958</v>
      </c>
      <c r="BJ160" t="s">
        <v>66</v>
      </c>
      <c r="BK160" s="10">
        <v>164</v>
      </c>
      <c r="BR160">
        <v>157</v>
      </c>
      <c r="BS160" t="s">
        <v>66</v>
      </c>
      <c r="BT160" s="10">
        <v>56003</v>
      </c>
      <c r="BU160" s="11">
        <v>18958</v>
      </c>
      <c r="BV160" s="10">
        <v>164</v>
      </c>
      <c r="BW160" s="1" t="str">
        <f>IF(BS160=$CA$12,COUNTIF($BS$4:BS160,$CA$12),"")</f>
        <v/>
      </c>
    </row>
    <row r="161" spans="5:75" x14ac:dyDescent="0.25">
      <c r="E161">
        <v>158</v>
      </c>
      <c r="F161" t="s">
        <v>265</v>
      </c>
      <c r="G161" t="s">
        <v>66</v>
      </c>
      <c r="H161" t="s">
        <v>705</v>
      </c>
      <c r="I161" s="10">
        <v>114632</v>
      </c>
      <c r="J161" s="11">
        <v>38501</v>
      </c>
      <c r="K161" s="10">
        <v>3774</v>
      </c>
      <c r="BE161">
        <v>158</v>
      </c>
      <c r="BF161" t="s">
        <v>265</v>
      </c>
      <c r="BG161" t="s">
        <v>705</v>
      </c>
      <c r="BH161" s="10">
        <v>114632</v>
      </c>
      <c r="BI161" s="11">
        <v>38501</v>
      </c>
      <c r="BJ161" t="s">
        <v>66</v>
      </c>
      <c r="BK161" s="10">
        <v>3774</v>
      </c>
      <c r="BR161">
        <v>158</v>
      </c>
      <c r="BS161" t="s">
        <v>66</v>
      </c>
      <c r="BT161" s="10">
        <v>114632</v>
      </c>
      <c r="BU161" s="11">
        <v>38501</v>
      </c>
      <c r="BV161" s="10">
        <v>3774</v>
      </c>
      <c r="BW161" s="1" t="str">
        <f>IF(BS161=$CA$12,COUNTIF($BS$4:BS161,$CA$12),"")</f>
        <v/>
      </c>
    </row>
    <row r="162" spans="5:75" x14ac:dyDescent="0.25">
      <c r="E162">
        <v>159</v>
      </c>
      <c r="F162" t="s">
        <v>266</v>
      </c>
      <c r="G162" t="s">
        <v>66</v>
      </c>
      <c r="H162" t="s">
        <v>706</v>
      </c>
      <c r="I162" s="10">
        <v>124630</v>
      </c>
      <c r="J162" s="11">
        <v>29484</v>
      </c>
      <c r="K162" s="10">
        <v>1438</v>
      </c>
      <c r="BE162">
        <v>159</v>
      </c>
      <c r="BF162" t="s">
        <v>266</v>
      </c>
      <c r="BG162" t="s">
        <v>706</v>
      </c>
      <c r="BH162" s="10">
        <v>124630</v>
      </c>
      <c r="BI162" s="11">
        <v>29484</v>
      </c>
      <c r="BJ162" t="s">
        <v>66</v>
      </c>
      <c r="BK162" s="10">
        <v>1438</v>
      </c>
      <c r="BR162">
        <v>159</v>
      </c>
      <c r="BS162" t="s">
        <v>66</v>
      </c>
      <c r="BT162" s="10">
        <v>124630</v>
      </c>
      <c r="BU162" s="11">
        <v>29484</v>
      </c>
      <c r="BV162" s="10">
        <v>1438</v>
      </c>
      <c r="BW162" s="1" t="str">
        <f>IF(BS162=$CA$12,COUNTIF($BS$4:BS162,$CA$12),"")</f>
        <v/>
      </c>
    </row>
    <row r="163" spans="5:75" x14ac:dyDescent="0.25">
      <c r="E163">
        <v>160</v>
      </c>
      <c r="F163" t="s">
        <v>267</v>
      </c>
      <c r="G163" t="s">
        <v>66</v>
      </c>
      <c r="H163" t="s">
        <v>707</v>
      </c>
      <c r="I163" s="10">
        <v>18005</v>
      </c>
      <c r="J163" s="11">
        <v>5901</v>
      </c>
      <c r="K163" s="10">
        <v>318</v>
      </c>
      <c r="BE163">
        <v>160</v>
      </c>
      <c r="BF163" t="s">
        <v>267</v>
      </c>
      <c r="BG163" t="s">
        <v>707</v>
      </c>
      <c r="BH163" s="10">
        <v>18005</v>
      </c>
      <c r="BI163" s="11">
        <v>5901</v>
      </c>
      <c r="BJ163" t="s">
        <v>66</v>
      </c>
      <c r="BK163" s="10">
        <v>318</v>
      </c>
      <c r="BR163">
        <v>160</v>
      </c>
      <c r="BS163" t="s">
        <v>66</v>
      </c>
      <c r="BT163" s="10">
        <v>18005</v>
      </c>
      <c r="BU163" s="11">
        <v>5901</v>
      </c>
      <c r="BV163" s="10">
        <v>318</v>
      </c>
      <c r="BW163" s="1" t="str">
        <f>IF(BS163=$CA$12,COUNTIF($BS$4:BS163,$CA$12),"")</f>
        <v/>
      </c>
    </row>
    <row r="164" spans="5:75" x14ac:dyDescent="0.25">
      <c r="E164">
        <v>161</v>
      </c>
      <c r="F164" t="s">
        <v>268</v>
      </c>
      <c r="G164" t="s">
        <v>66</v>
      </c>
      <c r="H164" t="s">
        <v>708</v>
      </c>
      <c r="I164" s="10">
        <v>47825</v>
      </c>
      <c r="J164" s="11">
        <v>13975</v>
      </c>
      <c r="K164" s="10">
        <v>1124</v>
      </c>
      <c r="BE164">
        <v>161</v>
      </c>
      <c r="BF164" t="s">
        <v>268</v>
      </c>
      <c r="BG164" t="s">
        <v>708</v>
      </c>
      <c r="BH164" s="10">
        <v>47825</v>
      </c>
      <c r="BI164" s="11">
        <v>13975</v>
      </c>
      <c r="BJ164" t="s">
        <v>66</v>
      </c>
      <c r="BK164" s="10">
        <v>1124</v>
      </c>
      <c r="BR164">
        <v>161</v>
      </c>
      <c r="BS164" t="s">
        <v>66</v>
      </c>
      <c r="BT164" s="10">
        <v>47825</v>
      </c>
      <c r="BU164" s="11">
        <v>13975</v>
      </c>
      <c r="BV164" s="10">
        <v>1124</v>
      </c>
      <c r="BW164" s="1" t="str">
        <f>IF(BS164=$CA$12,COUNTIF($BS$4:BS164,$CA$12),"")</f>
        <v/>
      </c>
    </row>
    <row r="165" spans="5:75" x14ac:dyDescent="0.25">
      <c r="E165">
        <v>162</v>
      </c>
      <c r="F165" t="s">
        <v>269</v>
      </c>
      <c r="G165" t="s">
        <v>66</v>
      </c>
      <c r="H165" t="s">
        <v>709</v>
      </c>
      <c r="I165" s="10">
        <v>57782</v>
      </c>
      <c r="J165" s="11">
        <v>15893</v>
      </c>
      <c r="K165" s="10">
        <v>1303</v>
      </c>
      <c r="BE165">
        <v>162</v>
      </c>
      <c r="BF165" t="s">
        <v>269</v>
      </c>
      <c r="BG165" t="s">
        <v>709</v>
      </c>
      <c r="BH165" s="10">
        <v>57782</v>
      </c>
      <c r="BI165" s="11">
        <v>15893</v>
      </c>
      <c r="BJ165" t="s">
        <v>66</v>
      </c>
      <c r="BK165" s="10">
        <v>1303</v>
      </c>
      <c r="BR165">
        <v>162</v>
      </c>
      <c r="BS165" t="s">
        <v>66</v>
      </c>
      <c r="BT165" s="10">
        <v>57782</v>
      </c>
      <c r="BU165" s="11">
        <v>15893</v>
      </c>
      <c r="BV165" s="10">
        <v>1303</v>
      </c>
      <c r="BW165" s="1" t="str">
        <f>IF(BS165=$CA$12,COUNTIF($BS$4:BS165,$CA$12),"")</f>
        <v/>
      </c>
    </row>
    <row r="166" spans="5:75" x14ac:dyDescent="0.25">
      <c r="E166">
        <v>163</v>
      </c>
      <c r="F166" t="s">
        <v>270</v>
      </c>
      <c r="G166" t="s">
        <v>66</v>
      </c>
      <c r="H166" t="s">
        <v>710</v>
      </c>
      <c r="I166" s="10">
        <v>81008</v>
      </c>
      <c r="J166" s="11">
        <v>22058</v>
      </c>
      <c r="K166" s="10">
        <v>1124</v>
      </c>
      <c r="BE166">
        <v>163</v>
      </c>
      <c r="BF166" t="s">
        <v>270</v>
      </c>
      <c r="BG166" t="s">
        <v>710</v>
      </c>
      <c r="BH166" s="10">
        <v>81008</v>
      </c>
      <c r="BI166" s="11">
        <v>22058</v>
      </c>
      <c r="BJ166" t="s">
        <v>66</v>
      </c>
      <c r="BK166" s="10">
        <v>1124</v>
      </c>
      <c r="BR166">
        <v>163</v>
      </c>
      <c r="BS166" t="s">
        <v>66</v>
      </c>
      <c r="BT166" s="10">
        <v>81008</v>
      </c>
      <c r="BU166" s="11">
        <v>22058</v>
      </c>
      <c r="BV166" s="10">
        <v>1124</v>
      </c>
      <c r="BW166" s="1" t="str">
        <f>IF(BS166=$CA$12,COUNTIF($BS$4:BS166,$CA$12),"")</f>
        <v/>
      </c>
    </row>
    <row r="167" spans="5:75" x14ac:dyDescent="0.25">
      <c r="E167">
        <v>164</v>
      </c>
      <c r="F167" t="s">
        <v>271</v>
      </c>
      <c r="G167" t="s">
        <v>66</v>
      </c>
      <c r="H167" t="s">
        <v>711</v>
      </c>
      <c r="I167" s="10">
        <v>73488</v>
      </c>
      <c r="J167" s="11">
        <v>27073</v>
      </c>
      <c r="K167" s="10">
        <v>1364</v>
      </c>
      <c r="BE167">
        <v>164</v>
      </c>
      <c r="BF167" t="s">
        <v>271</v>
      </c>
      <c r="BG167" t="s">
        <v>711</v>
      </c>
      <c r="BH167" s="10">
        <v>73488</v>
      </c>
      <c r="BI167" s="11">
        <v>27073</v>
      </c>
      <c r="BJ167" t="s">
        <v>66</v>
      </c>
      <c r="BK167" s="10">
        <v>1364</v>
      </c>
      <c r="BR167">
        <v>164</v>
      </c>
      <c r="BS167" t="s">
        <v>66</v>
      </c>
      <c r="BT167" s="10">
        <v>73488</v>
      </c>
      <c r="BU167" s="11">
        <v>27073</v>
      </c>
      <c r="BV167" s="10">
        <v>1364</v>
      </c>
      <c r="BW167" s="1" t="str">
        <f>IF(BS167=$CA$12,COUNTIF($BS$4:BS167,$CA$12),"")</f>
        <v/>
      </c>
    </row>
    <row r="168" spans="5:75" x14ac:dyDescent="0.25">
      <c r="E168">
        <v>165</v>
      </c>
      <c r="F168" t="s">
        <v>272</v>
      </c>
      <c r="G168" t="s">
        <v>66</v>
      </c>
      <c r="H168" t="s">
        <v>712</v>
      </c>
      <c r="I168" s="10">
        <v>115465</v>
      </c>
      <c r="J168" s="11">
        <v>41736</v>
      </c>
      <c r="K168" s="10">
        <v>2147</v>
      </c>
      <c r="BE168">
        <v>165</v>
      </c>
      <c r="BF168" t="s">
        <v>272</v>
      </c>
      <c r="BG168" t="s">
        <v>712</v>
      </c>
      <c r="BH168" s="10">
        <v>115465</v>
      </c>
      <c r="BI168" s="11">
        <v>41736</v>
      </c>
      <c r="BJ168" t="s">
        <v>66</v>
      </c>
      <c r="BK168" s="10">
        <v>2147</v>
      </c>
      <c r="BR168">
        <v>165</v>
      </c>
      <c r="BS168" t="s">
        <v>66</v>
      </c>
      <c r="BT168" s="10">
        <v>115465</v>
      </c>
      <c r="BU168" s="11">
        <v>41736</v>
      </c>
      <c r="BV168" s="10">
        <v>2147</v>
      </c>
      <c r="BW168" s="1" t="str">
        <f>IF(BS168=$CA$12,COUNTIF($BS$4:BS168,$CA$12),"")</f>
        <v/>
      </c>
    </row>
    <row r="169" spans="5:75" x14ac:dyDescent="0.25">
      <c r="E169">
        <v>166</v>
      </c>
      <c r="F169" t="s">
        <v>273</v>
      </c>
      <c r="G169" t="s">
        <v>66</v>
      </c>
      <c r="H169" t="s">
        <v>713</v>
      </c>
      <c r="I169" s="10">
        <v>137882</v>
      </c>
      <c r="J169" s="11">
        <v>31197</v>
      </c>
      <c r="K169" s="10">
        <v>3063</v>
      </c>
      <c r="BE169">
        <v>166</v>
      </c>
      <c r="BF169" t="s">
        <v>273</v>
      </c>
      <c r="BG169" t="s">
        <v>713</v>
      </c>
      <c r="BH169" s="10">
        <v>137882</v>
      </c>
      <c r="BI169" s="11">
        <v>31197</v>
      </c>
      <c r="BJ169" t="s">
        <v>66</v>
      </c>
      <c r="BK169" s="10">
        <v>3063</v>
      </c>
      <c r="BR169">
        <v>166</v>
      </c>
      <c r="BS169" t="s">
        <v>66</v>
      </c>
      <c r="BT169" s="10">
        <v>137882</v>
      </c>
      <c r="BU169" s="11">
        <v>31197</v>
      </c>
      <c r="BV169" s="10">
        <v>3063</v>
      </c>
      <c r="BW169" s="1" t="str">
        <f>IF(BS169=$CA$12,COUNTIF($BS$4:BS169,$CA$12),"")</f>
        <v/>
      </c>
    </row>
    <row r="170" spans="5:75" x14ac:dyDescent="0.25">
      <c r="E170">
        <v>167</v>
      </c>
      <c r="F170" t="s">
        <v>274</v>
      </c>
      <c r="G170" t="s">
        <v>66</v>
      </c>
      <c r="H170" t="s">
        <v>714</v>
      </c>
      <c r="I170" s="10">
        <v>52099</v>
      </c>
      <c r="J170" s="11">
        <v>10858</v>
      </c>
      <c r="K170" s="10">
        <v>223</v>
      </c>
      <c r="BE170">
        <v>167</v>
      </c>
      <c r="BF170" t="s">
        <v>274</v>
      </c>
      <c r="BG170" t="s">
        <v>714</v>
      </c>
      <c r="BH170" s="10">
        <v>52099</v>
      </c>
      <c r="BI170" s="11">
        <v>10858</v>
      </c>
      <c r="BJ170" t="s">
        <v>66</v>
      </c>
      <c r="BK170" s="10">
        <v>223</v>
      </c>
      <c r="BR170">
        <v>167</v>
      </c>
      <c r="BS170" t="s">
        <v>66</v>
      </c>
      <c r="BT170" s="10">
        <v>52099</v>
      </c>
      <c r="BU170" s="11">
        <v>10858</v>
      </c>
      <c r="BV170" s="10">
        <v>223</v>
      </c>
      <c r="BW170" s="1" t="str">
        <f>IF(BS170=$CA$12,COUNTIF($BS$4:BS170,$CA$12),"")</f>
        <v/>
      </c>
    </row>
    <row r="171" spans="5:75" x14ac:dyDescent="0.25">
      <c r="E171">
        <v>168</v>
      </c>
      <c r="F171" t="s">
        <v>275</v>
      </c>
      <c r="G171" t="s">
        <v>66</v>
      </c>
      <c r="H171" t="s">
        <v>715</v>
      </c>
      <c r="I171" s="10">
        <v>38421</v>
      </c>
      <c r="J171" s="11">
        <v>10368</v>
      </c>
      <c r="K171" s="10">
        <v>569</v>
      </c>
      <c r="BE171">
        <v>168</v>
      </c>
      <c r="BF171" t="s">
        <v>275</v>
      </c>
      <c r="BG171" t="s">
        <v>715</v>
      </c>
      <c r="BH171" s="10">
        <v>38421</v>
      </c>
      <c r="BI171" s="11">
        <v>10368</v>
      </c>
      <c r="BJ171" t="s">
        <v>66</v>
      </c>
      <c r="BK171" s="10">
        <v>569</v>
      </c>
      <c r="BR171">
        <v>168</v>
      </c>
      <c r="BS171" t="s">
        <v>66</v>
      </c>
      <c r="BT171" s="10">
        <v>38421</v>
      </c>
      <c r="BU171" s="11">
        <v>10368</v>
      </c>
      <c r="BV171" s="10">
        <v>569</v>
      </c>
      <c r="BW171" s="1" t="str">
        <f>IF(BS171=$CA$12,COUNTIF($BS$4:BS171,$CA$12),"")</f>
        <v/>
      </c>
    </row>
    <row r="172" spans="5:75" x14ac:dyDescent="0.25">
      <c r="E172">
        <v>169</v>
      </c>
      <c r="F172" t="s">
        <v>276</v>
      </c>
      <c r="G172" t="s">
        <v>67</v>
      </c>
      <c r="H172" t="s">
        <v>704</v>
      </c>
      <c r="I172" s="10">
        <v>62031</v>
      </c>
      <c r="J172" s="11">
        <v>19613</v>
      </c>
      <c r="K172" s="10">
        <v>1779</v>
      </c>
      <c r="BE172">
        <v>169</v>
      </c>
      <c r="BF172" t="s">
        <v>276</v>
      </c>
      <c r="BG172" t="s">
        <v>704</v>
      </c>
      <c r="BH172" s="10">
        <v>62031</v>
      </c>
      <c r="BI172" s="11">
        <v>19613</v>
      </c>
      <c r="BJ172" t="s">
        <v>67</v>
      </c>
      <c r="BK172" s="10">
        <v>1779</v>
      </c>
      <c r="BR172">
        <v>169</v>
      </c>
      <c r="BS172" t="s">
        <v>67</v>
      </c>
      <c r="BT172" s="10">
        <v>62031</v>
      </c>
      <c r="BU172" s="11">
        <v>19613</v>
      </c>
      <c r="BV172" s="10">
        <v>1779</v>
      </c>
      <c r="BW172" s="1" t="str">
        <f>IF(BS172=$CA$12,COUNTIF($BS$4:BS172,$CA$12),"")</f>
        <v/>
      </c>
    </row>
    <row r="173" spans="5:75" x14ac:dyDescent="0.25">
      <c r="E173">
        <v>170</v>
      </c>
      <c r="F173" t="s">
        <v>277</v>
      </c>
      <c r="G173" t="s">
        <v>67</v>
      </c>
      <c r="H173" t="s">
        <v>705</v>
      </c>
      <c r="I173" s="10">
        <v>64219</v>
      </c>
      <c r="J173" s="11">
        <v>23376</v>
      </c>
      <c r="K173" s="10">
        <v>1544</v>
      </c>
      <c r="BE173">
        <v>170</v>
      </c>
      <c r="BF173" t="s">
        <v>277</v>
      </c>
      <c r="BG173" t="s">
        <v>705</v>
      </c>
      <c r="BH173" s="10">
        <v>64219</v>
      </c>
      <c r="BI173" s="11">
        <v>23376</v>
      </c>
      <c r="BJ173" t="s">
        <v>67</v>
      </c>
      <c r="BK173" s="10">
        <v>1544</v>
      </c>
      <c r="BR173">
        <v>170</v>
      </c>
      <c r="BS173" t="s">
        <v>67</v>
      </c>
      <c r="BT173" s="10">
        <v>64219</v>
      </c>
      <c r="BU173" s="11">
        <v>23376</v>
      </c>
      <c r="BV173" s="10">
        <v>1544</v>
      </c>
      <c r="BW173" s="1" t="str">
        <f>IF(BS173=$CA$12,COUNTIF($BS$4:BS173,$CA$12),"")</f>
        <v/>
      </c>
    </row>
    <row r="174" spans="5:75" x14ac:dyDescent="0.25">
      <c r="E174">
        <v>171</v>
      </c>
      <c r="F174" t="s">
        <v>278</v>
      </c>
      <c r="G174" t="s">
        <v>67</v>
      </c>
      <c r="H174" t="s">
        <v>706</v>
      </c>
      <c r="I174" s="10">
        <v>19471</v>
      </c>
      <c r="J174" s="11">
        <v>6856</v>
      </c>
      <c r="K174" s="10">
        <v>167</v>
      </c>
      <c r="BE174">
        <v>171</v>
      </c>
      <c r="BF174" t="s">
        <v>278</v>
      </c>
      <c r="BG174" t="s">
        <v>706</v>
      </c>
      <c r="BH174" s="10">
        <v>19471</v>
      </c>
      <c r="BI174" s="11">
        <v>6856</v>
      </c>
      <c r="BJ174" t="s">
        <v>67</v>
      </c>
      <c r="BK174" s="10">
        <v>167</v>
      </c>
      <c r="BR174">
        <v>171</v>
      </c>
      <c r="BS174" t="s">
        <v>67</v>
      </c>
      <c r="BT174" s="10">
        <v>19471</v>
      </c>
      <c r="BU174" s="11">
        <v>6856</v>
      </c>
      <c r="BV174" s="10">
        <v>167</v>
      </c>
      <c r="BW174" s="1" t="str">
        <f>IF(BS174=$CA$12,COUNTIF($BS$4:BS174,$CA$12),"")</f>
        <v/>
      </c>
    </row>
    <row r="175" spans="5:75" x14ac:dyDescent="0.25">
      <c r="E175">
        <v>172</v>
      </c>
      <c r="F175" t="s">
        <v>279</v>
      </c>
      <c r="G175" t="s">
        <v>67</v>
      </c>
      <c r="H175" t="s">
        <v>707</v>
      </c>
      <c r="I175" s="10">
        <v>74789</v>
      </c>
      <c r="J175" s="11">
        <v>19642</v>
      </c>
      <c r="K175" s="10">
        <v>1184</v>
      </c>
      <c r="BE175">
        <v>172</v>
      </c>
      <c r="BF175" t="s">
        <v>279</v>
      </c>
      <c r="BG175" t="s">
        <v>707</v>
      </c>
      <c r="BH175" s="10">
        <v>74789</v>
      </c>
      <c r="BI175" s="11">
        <v>19642</v>
      </c>
      <c r="BJ175" t="s">
        <v>67</v>
      </c>
      <c r="BK175" s="10">
        <v>1184</v>
      </c>
      <c r="BR175">
        <v>172</v>
      </c>
      <c r="BS175" t="s">
        <v>67</v>
      </c>
      <c r="BT175" s="10">
        <v>74789</v>
      </c>
      <c r="BU175" s="11">
        <v>19642</v>
      </c>
      <c r="BV175" s="10">
        <v>1184</v>
      </c>
      <c r="BW175" s="1" t="str">
        <f>IF(BS175=$CA$12,COUNTIF($BS$4:BS175,$CA$12),"")</f>
        <v/>
      </c>
    </row>
    <row r="176" spans="5:75" x14ac:dyDescent="0.25">
      <c r="E176">
        <v>173</v>
      </c>
      <c r="F176" t="s">
        <v>280</v>
      </c>
      <c r="G176" t="s">
        <v>67</v>
      </c>
      <c r="H176" t="s">
        <v>708</v>
      </c>
      <c r="I176" s="10">
        <v>136467</v>
      </c>
      <c r="J176" s="11">
        <v>41839</v>
      </c>
      <c r="K176" s="10">
        <v>1836</v>
      </c>
      <c r="BE176">
        <v>173</v>
      </c>
      <c r="BF176" t="s">
        <v>280</v>
      </c>
      <c r="BG176" t="s">
        <v>708</v>
      </c>
      <c r="BH176" s="10">
        <v>136467</v>
      </c>
      <c r="BI176" s="11">
        <v>41839</v>
      </c>
      <c r="BJ176" t="s">
        <v>67</v>
      </c>
      <c r="BK176" s="10">
        <v>1836</v>
      </c>
      <c r="BR176">
        <v>173</v>
      </c>
      <c r="BS176" t="s">
        <v>67</v>
      </c>
      <c r="BT176" s="10">
        <v>136467</v>
      </c>
      <c r="BU176" s="11">
        <v>41839</v>
      </c>
      <c r="BV176" s="10">
        <v>1836</v>
      </c>
      <c r="BW176" s="1" t="str">
        <f>IF(BS176=$CA$12,COUNTIF($BS$4:BS176,$CA$12),"")</f>
        <v/>
      </c>
    </row>
    <row r="177" spans="5:75" x14ac:dyDescent="0.25">
      <c r="E177">
        <v>174</v>
      </c>
      <c r="F177" t="s">
        <v>281</v>
      </c>
      <c r="G177" t="s">
        <v>67</v>
      </c>
      <c r="H177" t="s">
        <v>709</v>
      </c>
      <c r="I177" s="10">
        <v>92041</v>
      </c>
      <c r="J177" s="11">
        <v>25277</v>
      </c>
      <c r="K177" s="10">
        <v>2322</v>
      </c>
      <c r="BE177">
        <v>174</v>
      </c>
      <c r="BF177" t="s">
        <v>281</v>
      </c>
      <c r="BG177" t="s">
        <v>709</v>
      </c>
      <c r="BH177" s="10">
        <v>92041</v>
      </c>
      <c r="BI177" s="11">
        <v>25277</v>
      </c>
      <c r="BJ177" t="s">
        <v>67</v>
      </c>
      <c r="BK177" s="10">
        <v>2322</v>
      </c>
      <c r="BR177">
        <v>174</v>
      </c>
      <c r="BS177" t="s">
        <v>67</v>
      </c>
      <c r="BT177" s="10">
        <v>92041</v>
      </c>
      <c r="BU177" s="11">
        <v>25277</v>
      </c>
      <c r="BV177" s="10">
        <v>2322</v>
      </c>
      <c r="BW177" s="1" t="str">
        <f>IF(BS177=$CA$12,COUNTIF($BS$4:BS177,$CA$12),"")</f>
        <v/>
      </c>
    </row>
    <row r="178" spans="5:75" x14ac:dyDescent="0.25">
      <c r="E178">
        <v>175</v>
      </c>
      <c r="F178" t="s">
        <v>282</v>
      </c>
      <c r="G178" t="s">
        <v>67</v>
      </c>
      <c r="H178" t="s">
        <v>710</v>
      </c>
      <c r="I178" s="10">
        <v>121152</v>
      </c>
      <c r="J178" s="11">
        <v>25886</v>
      </c>
      <c r="K178" s="10">
        <v>1899</v>
      </c>
      <c r="BE178">
        <v>175</v>
      </c>
      <c r="BF178" t="s">
        <v>282</v>
      </c>
      <c r="BG178" t="s">
        <v>710</v>
      </c>
      <c r="BH178" s="10">
        <v>121152</v>
      </c>
      <c r="BI178" s="11">
        <v>25886</v>
      </c>
      <c r="BJ178" t="s">
        <v>67</v>
      </c>
      <c r="BK178" s="10">
        <v>1899</v>
      </c>
      <c r="BR178">
        <v>175</v>
      </c>
      <c r="BS178" t="s">
        <v>67</v>
      </c>
      <c r="BT178" s="10">
        <v>121152</v>
      </c>
      <c r="BU178" s="11">
        <v>25886</v>
      </c>
      <c r="BV178" s="10">
        <v>1899</v>
      </c>
      <c r="BW178" s="1" t="str">
        <f>IF(BS178=$CA$12,COUNTIF($BS$4:BS178,$CA$12),"")</f>
        <v/>
      </c>
    </row>
    <row r="179" spans="5:75" x14ac:dyDescent="0.25">
      <c r="E179">
        <v>176</v>
      </c>
      <c r="F179" t="s">
        <v>283</v>
      </c>
      <c r="G179" t="s">
        <v>67</v>
      </c>
      <c r="H179" t="s">
        <v>711</v>
      </c>
      <c r="I179" s="10">
        <v>124540</v>
      </c>
      <c r="J179" s="11">
        <v>35145</v>
      </c>
      <c r="K179" s="10">
        <v>3022</v>
      </c>
      <c r="BE179">
        <v>176</v>
      </c>
      <c r="BF179" t="s">
        <v>283</v>
      </c>
      <c r="BG179" t="s">
        <v>711</v>
      </c>
      <c r="BH179" s="10">
        <v>124540</v>
      </c>
      <c r="BI179" s="11">
        <v>35145</v>
      </c>
      <c r="BJ179" t="s">
        <v>67</v>
      </c>
      <c r="BK179" s="10">
        <v>3022</v>
      </c>
      <c r="BR179">
        <v>176</v>
      </c>
      <c r="BS179" t="s">
        <v>67</v>
      </c>
      <c r="BT179" s="10">
        <v>124540</v>
      </c>
      <c r="BU179" s="11">
        <v>35145</v>
      </c>
      <c r="BV179" s="10">
        <v>3022</v>
      </c>
      <c r="BW179" s="1" t="str">
        <f>IF(BS179=$CA$12,COUNTIF($BS$4:BS179,$CA$12),"")</f>
        <v/>
      </c>
    </row>
    <row r="180" spans="5:75" x14ac:dyDescent="0.25">
      <c r="E180">
        <v>177</v>
      </c>
      <c r="F180" t="s">
        <v>284</v>
      </c>
      <c r="G180" t="s">
        <v>67</v>
      </c>
      <c r="H180" t="s">
        <v>712</v>
      </c>
      <c r="I180" s="10">
        <v>109030</v>
      </c>
      <c r="J180" s="11">
        <v>39824</v>
      </c>
      <c r="K180" s="10">
        <v>3414</v>
      </c>
      <c r="BE180">
        <v>177</v>
      </c>
      <c r="BF180" t="s">
        <v>284</v>
      </c>
      <c r="BG180" t="s">
        <v>712</v>
      </c>
      <c r="BH180" s="10">
        <v>109030</v>
      </c>
      <c r="BI180" s="11">
        <v>39824</v>
      </c>
      <c r="BJ180" t="s">
        <v>67</v>
      </c>
      <c r="BK180" s="10">
        <v>3414</v>
      </c>
      <c r="BR180">
        <v>177</v>
      </c>
      <c r="BS180" t="s">
        <v>67</v>
      </c>
      <c r="BT180" s="10">
        <v>109030</v>
      </c>
      <c r="BU180" s="11">
        <v>39824</v>
      </c>
      <c r="BV180" s="10">
        <v>3414</v>
      </c>
      <c r="BW180" s="1" t="str">
        <f>IF(BS180=$CA$12,COUNTIF($BS$4:BS180,$CA$12),"")</f>
        <v/>
      </c>
    </row>
    <row r="181" spans="5:75" x14ac:dyDescent="0.25">
      <c r="E181">
        <v>178</v>
      </c>
      <c r="F181" t="s">
        <v>285</v>
      </c>
      <c r="G181" t="s">
        <v>67</v>
      </c>
      <c r="H181" t="s">
        <v>713</v>
      </c>
      <c r="I181" s="10">
        <v>133724</v>
      </c>
      <c r="J181" s="11">
        <v>28304</v>
      </c>
      <c r="K181" s="10">
        <v>705</v>
      </c>
      <c r="BE181">
        <v>178</v>
      </c>
      <c r="BF181" t="s">
        <v>285</v>
      </c>
      <c r="BG181" t="s">
        <v>713</v>
      </c>
      <c r="BH181" s="10">
        <v>133724</v>
      </c>
      <c r="BI181" s="11">
        <v>28304</v>
      </c>
      <c r="BJ181" t="s">
        <v>67</v>
      </c>
      <c r="BK181" s="10">
        <v>705</v>
      </c>
      <c r="BR181">
        <v>178</v>
      </c>
      <c r="BS181" t="s">
        <v>67</v>
      </c>
      <c r="BT181" s="10">
        <v>133724</v>
      </c>
      <c r="BU181" s="11">
        <v>28304</v>
      </c>
      <c r="BV181" s="10">
        <v>705</v>
      </c>
      <c r="BW181" s="1" t="str">
        <f>IF(BS181=$CA$12,COUNTIF($BS$4:BS181,$CA$12),"")</f>
        <v/>
      </c>
    </row>
    <row r="182" spans="5:75" x14ac:dyDescent="0.25">
      <c r="E182">
        <v>179</v>
      </c>
      <c r="F182" t="s">
        <v>286</v>
      </c>
      <c r="G182" t="s">
        <v>67</v>
      </c>
      <c r="H182" t="s">
        <v>714</v>
      </c>
      <c r="I182" s="10">
        <v>108818</v>
      </c>
      <c r="J182" s="11">
        <v>29176</v>
      </c>
      <c r="K182" s="10">
        <v>2520</v>
      </c>
      <c r="BE182">
        <v>179</v>
      </c>
      <c r="BF182" t="s">
        <v>286</v>
      </c>
      <c r="BG182" t="s">
        <v>714</v>
      </c>
      <c r="BH182" s="10">
        <v>108818</v>
      </c>
      <c r="BI182" s="11">
        <v>29176</v>
      </c>
      <c r="BJ182" t="s">
        <v>67</v>
      </c>
      <c r="BK182" s="10">
        <v>2520</v>
      </c>
      <c r="BR182">
        <v>179</v>
      </c>
      <c r="BS182" t="s">
        <v>67</v>
      </c>
      <c r="BT182" s="10">
        <v>108818</v>
      </c>
      <c r="BU182" s="11">
        <v>29176</v>
      </c>
      <c r="BV182" s="10">
        <v>2520</v>
      </c>
      <c r="BW182" s="1" t="str">
        <f>IF(BS182=$CA$12,COUNTIF($BS$4:BS182,$CA$12),"")</f>
        <v/>
      </c>
    </row>
    <row r="183" spans="5:75" x14ac:dyDescent="0.25">
      <c r="E183">
        <v>180</v>
      </c>
      <c r="F183" t="s">
        <v>287</v>
      </c>
      <c r="G183" t="s">
        <v>67</v>
      </c>
      <c r="H183" t="s">
        <v>715</v>
      </c>
      <c r="I183" s="10">
        <v>111505</v>
      </c>
      <c r="J183" s="11">
        <v>29973</v>
      </c>
      <c r="K183" s="10">
        <v>89</v>
      </c>
      <c r="BE183">
        <v>180</v>
      </c>
      <c r="BF183" t="s">
        <v>287</v>
      </c>
      <c r="BG183" t="s">
        <v>715</v>
      </c>
      <c r="BH183" s="10">
        <v>111505</v>
      </c>
      <c r="BI183" s="11">
        <v>29973</v>
      </c>
      <c r="BJ183" t="s">
        <v>67</v>
      </c>
      <c r="BK183" s="10">
        <v>89</v>
      </c>
      <c r="BR183">
        <v>180</v>
      </c>
      <c r="BS183" t="s">
        <v>67</v>
      </c>
      <c r="BT183" s="10">
        <v>111505</v>
      </c>
      <c r="BU183" s="11">
        <v>29973</v>
      </c>
      <c r="BV183" s="10">
        <v>89</v>
      </c>
      <c r="BW183" s="1" t="str">
        <f>IF(BS183=$CA$12,COUNTIF($BS$4:BS183,$CA$12),"")</f>
        <v/>
      </c>
    </row>
    <row r="184" spans="5:75" x14ac:dyDescent="0.25">
      <c r="E184">
        <v>181</v>
      </c>
      <c r="F184" t="s">
        <v>288</v>
      </c>
      <c r="G184" t="s">
        <v>68</v>
      </c>
      <c r="H184" t="s">
        <v>704</v>
      </c>
      <c r="I184" s="10">
        <v>106208</v>
      </c>
      <c r="J184" s="11">
        <v>34468</v>
      </c>
      <c r="K184" s="10">
        <v>1627</v>
      </c>
      <c r="BE184">
        <v>181</v>
      </c>
      <c r="BF184" t="s">
        <v>288</v>
      </c>
      <c r="BG184" t="s">
        <v>704</v>
      </c>
      <c r="BH184" s="10">
        <v>106208</v>
      </c>
      <c r="BI184" s="11">
        <v>34468</v>
      </c>
      <c r="BJ184" t="s">
        <v>68</v>
      </c>
      <c r="BK184" s="10">
        <v>1627</v>
      </c>
      <c r="BR184">
        <v>181</v>
      </c>
      <c r="BS184" t="s">
        <v>68</v>
      </c>
      <c r="BT184" s="10">
        <v>106208</v>
      </c>
      <c r="BU184" s="11">
        <v>34468</v>
      </c>
      <c r="BV184" s="10">
        <v>1627</v>
      </c>
      <c r="BW184" s="1" t="str">
        <f>IF(BS184=$CA$12,COUNTIF($BS$4:BS184,$CA$12),"")</f>
        <v/>
      </c>
    </row>
    <row r="185" spans="5:75" x14ac:dyDescent="0.25">
      <c r="E185">
        <v>182</v>
      </c>
      <c r="F185" t="s">
        <v>289</v>
      </c>
      <c r="G185" t="s">
        <v>68</v>
      </c>
      <c r="H185" t="s">
        <v>705</v>
      </c>
      <c r="I185" s="10">
        <v>69445</v>
      </c>
      <c r="J185" s="11">
        <v>20713</v>
      </c>
      <c r="K185" s="10">
        <v>1688</v>
      </c>
      <c r="BE185">
        <v>182</v>
      </c>
      <c r="BF185" t="s">
        <v>289</v>
      </c>
      <c r="BG185" t="s">
        <v>705</v>
      </c>
      <c r="BH185" s="10">
        <v>69445</v>
      </c>
      <c r="BI185" s="11">
        <v>20713</v>
      </c>
      <c r="BJ185" t="s">
        <v>68</v>
      </c>
      <c r="BK185" s="10">
        <v>1688</v>
      </c>
      <c r="BR185">
        <v>182</v>
      </c>
      <c r="BS185" t="s">
        <v>68</v>
      </c>
      <c r="BT185" s="10">
        <v>69445</v>
      </c>
      <c r="BU185" s="11">
        <v>20713</v>
      </c>
      <c r="BV185" s="10">
        <v>1688</v>
      </c>
      <c r="BW185" s="1" t="str">
        <f>IF(BS185=$CA$12,COUNTIF($BS$4:BS185,$CA$12),"")</f>
        <v/>
      </c>
    </row>
    <row r="186" spans="5:75" x14ac:dyDescent="0.25">
      <c r="E186">
        <v>183</v>
      </c>
      <c r="F186" t="s">
        <v>290</v>
      </c>
      <c r="G186" t="s">
        <v>68</v>
      </c>
      <c r="H186" t="s">
        <v>706</v>
      </c>
      <c r="I186" s="10">
        <v>10816</v>
      </c>
      <c r="J186" s="11">
        <v>2566</v>
      </c>
      <c r="K186" s="10">
        <v>164</v>
      </c>
      <c r="BE186">
        <v>183</v>
      </c>
      <c r="BF186" t="s">
        <v>290</v>
      </c>
      <c r="BG186" t="s">
        <v>706</v>
      </c>
      <c r="BH186" s="10">
        <v>10816</v>
      </c>
      <c r="BI186" s="11">
        <v>2566</v>
      </c>
      <c r="BJ186" t="s">
        <v>68</v>
      </c>
      <c r="BK186" s="10">
        <v>164</v>
      </c>
      <c r="BR186">
        <v>183</v>
      </c>
      <c r="BS186" t="s">
        <v>68</v>
      </c>
      <c r="BT186" s="10">
        <v>10816</v>
      </c>
      <c r="BU186" s="11">
        <v>2566</v>
      </c>
      <c r="BV186" s="10">
        <v>164</v>
      </c>
      <c r="BW186" s="1" t="str">
        <f>IF(BS186=$CA$12,COUNTIF($BS$4:BS186,$CA$12),"")</f>
        <v/>
      </c>
    </row>
    <row r="187" spans="5:75" x14ac:dyDescent="0.25">
      <c r="E187">
        <v>184</v>
      </c>
      <c r="F187" t="s">
        <v>291</v>
      </c>
      <c r="G187" t="s">
        <v>68</v>
      </c>
      <c r="H187" t="s">
        <v>707</v>
      </c>
      <c r="I187" s="10">
        <v>101732</v>
      </c>
      <c r="J187" s="11">
        <v>31596</v>
      </c>
      <c r="K187" s="10">
        <v>1878</v>
      </c>
      <c r="BE187">
        <v>184</v>
      </c>
      <c r="BF187" t="s">
        <v>291</v>
      </c>
      <c r="BG187" t="s">
        <v>707</v>
      </c>
      <c r="BH187" s="10">
        <v>101732</v>
      </c>
      <c r="BI187" s="11">
        <v>31596</v>
      </c>
      <c r="BJ187" t="s">
        <v>68</v>
      </c>
      <c r="BK187" s="10">
        <v>1878</v>
      </c>
      <c r="BR187">
        <v>184</v>
      </c>
      <c r="BS187" t="s">
        <v>68</v>
      </c>
      <c r="BT187" s="10">
        <v>101732</v>
      </c>
      <c r="BU187" s="11">
        <v>31596</v>
      </c>
      <c r="BV187" s="10">
        <v>1878</v>
      </c>
      <c r="BW187" s="1" t="str">
        <f>IF(BS187=$CA$12,COUNTIF($BS$4:BS187,$CA$12),"")</f>
        <v/>
      </c>
    </row>
    <row r="188" spans="5:75" x14ac:dyDescent="0.25">
      <c r="E188">
        <v>185</v>
      </c>
      <c r="F188" t="s">
        <v>292</v>
      </c>
      <c r="G188" t="s">
        <v>68</v>
      </c>
      <c r="H188" t="s">
        <v>708</v>
      </c>
      <c r="I188" s="10">
        <v>77557</v>
      </c>
      <c r="J188" s="11">
        <v>16493</v>
      </c>
      <c r="K188" s="10">
        <v>695</v>
      </c>
      <c r="BE188">
        <v>185</v>
      </c>
      <c r="BF188" t="s">
        <v>292</v>
      </c>
      <c r="BG188" t="s">
        <v>708</v>
      </c>
      <c r="BH188" s="10">
        <v>77557</v>
      </c>
      <c r="BI188" s="11">
        <v>16493</v>
      </c>
      <c r="BJ188" t="s">
        <v>68</v>
      </c>
      <c r="BK188" s="10">
        <v>695</v>
      </c>
      <c r="BR188">
        <v>185</v>
      </c>
      <c r="BS188" t="s">
        <v>68</v>
      </c>
      <c r="BT188" s="10">
        <v>77557</v>
      </c>
      <c r="BU188" s="11">
        <v>16493</v>
      </c>
      <c r="BV188" s="10">
        <v>695</v>
      </c>
      <c r="BW188" s="1" t="str">
        <f>IF(BS188=$CA$12,COUNTIF($BS$4:BS188,$CA$12),"")</f>
        <v/>
      </c>
    </row>
    <row r="189" spans="5:75" x14ac:dyDescent="0.25">
      <c r="E189">
        <v>186</v>
      </c>
      <c r="F189" t="s">
        <v>293</v>
      </c>
      <c r="G189" t="s">
        <v>68</v>
      </c>
      <c r="H189" t="s">
        <v>709</v>
      </c>
      <c r="I189" s="10">
        <v>79750</v>
      </c>
      <c r="J189" s="11">
        <v>24373</v>
      </c>
      <c r="K189" s="10">
        <v>225</v>
      </c>
      <c r="BE189">
        <v>186</v>
      </c>
      <c r="BF189" t="s">
        <v>293</v>
      </c>
      <c r="BG189" t="s">
        <v>709</v>
      </c>
      <c r="BH189" s="10">
        <v>79750</v>
      </c>
      <c r="BI189" s="11">
        <v>24373</v>
      </c>
      <c r="BJ189" t="s">
        <v>68</v>
      </c>
      <c r="BK189" s="10">
        <v>225</v>
      </c>
      <c r="BR189">
        <v>186</v>
      </c>
      <c r="BS189" t="s">
        <v>68</v>
      </c>
      <c r="BT189" s="10">
        <v>79750</v>
      </c>
      <c r="BU189" s="11">
        <v>24373</v>
      </c>
      <c r="BV189" s="10">
        <v>225</v>
      </c>
      <c r="BW189" s="1" t="str">
        <f>IF(BS189=$CA$12,COUNTIF($BS$4:BS189,$CA$12),"")</f>
        <v/>
      </c>
    </row>
    <row r="190" spans="5:75" x14ac:dyDescent="0.25">
      <c r="E190">
        <v>187</v>
      </c>
      <c r="F190" t="s">
        <v>294</v>
      </c>
      <c r="G190" t="s">
        <v>68</v>
      </c>
      <c r="H190" t="s">
        <v>710</v>
      </c>
      <c r="I190" s="10">
        <v>149719</v>
      </c>
      <c r="J190" s="11">
        <v>54257</v>
      </c>
      <c r="K190" s="10">
        <v>2261</v>
      </c>
      <c r="BE190">
        <v>187</v>
      </c>
      <c r="BF190" t="s">
        <v>294</v>
      </c>
      <c r="BG190" t="s">
        <v>710</v>
      </c>
      <c r="BH190" s="10">
        <v>149719</v>
      </c>
      <c r="BI190" s="11">
        <v>54257</v>
      </c>
      <c r="BJ190" t="s">
        <v>68</v>
      </c>
      <c r="BK190" s="10">
        <v>2261</v>
      </c>
      <c r="BR190">
        <v>187</v>
      </c>
      <c r="BS190" t="s">
        <v>68</v>
      </c>
      <c r="BT190" s="10">
        <v>149719</v>
      </c>
      <c r="BU190" s="11">
        <v>54257</v>
      </c>
      <c r="BV190" s="10">
        <v>2261</v>
      </c>
      <c r="BW190" s="1" t="str">
        <f>IF(BS190=$CA$12,COUNTIF($BS$4:BS190,$CA$12),"")</f>
        <v/>
      </c>
    </row>
    <row r="191" spans="5:75" x14ac:dyDescent="0.25">
      <c r="E191">
        <v>188</v>
      </c>
      <c r="F191" t="s">
        <v>295</v>
      </c>
      <c r="G191" t="s">
        <v>68</v>
      </c>
      <c r="H191" t="s">
        <v>711</v>
      </c>
      <c r="I191" s="10">
        <v>115193</v>
      </c>
      <c r="J191" s="11">
        <v>33389</v>
      </c>
      <c r="K191" s="10">
        <v>888</v>
      </c>
      <c r="BE191">
        <v>188</v>
      </c>
      <c r="BF191" t="s">
        <v>295</v>
      </c>
      <c r="BG191" t="s">
        <v>711</v>
      </c>
      <c r="BH191" s="10">
        <v>115193</v>
      </c>
      <c r="BI191" s="11">
        <v>33389</v>
      </c>
      <c r="BJ191" t="s">
        <v>68</v>
      </c>
      <c r="BK191" s="10">
        <v>888</v>
      </c>
      <c r="BR191">
        <v>188</v>
      </c>
      <c r="BS191" t="s">
        <v>68</v>
      </c>
      <c r="BT191" s="10">
        <v>115193</v>
      </c>
      <c r="BU191" s="11">
        <v>33389</v>
      </c>
      <c r="BV191" s="10">
        <v>888</v>
      </c>
      <c r="BW191" s="1" t="str">
        <f>IF(BS191=$CA$12,COUNTIF($BS$4:BS191,$CA$12),"")</f>
        <v/>
      </c>
    </row>
    <row r="192" spans="5:75" x14ac:dyDescent="0.25">
      <c r="E192">
        <v>189</v>
      </c>
      <c r="F192" t="s">
        <v>296</v>
      </c>
      <c r="G192" t="s">
        <v>68</v>
      </c>
      <c r="H192" t="s">
        <v>712</v>
      </c>
      <c r="I192" s="10">
        <v>35864</v>
      </c>
      <c r="J192" s="11">
        <v>8000</v>
      </c>
      <c r="K192" s="10">
        <v>584</v>
      </c>
      <c r="BE192">
        <v>189</v>
      </c>
      <c r="BF192" t="s">
        <v>296</v>
      </c>
      <c r="BG192" t="s">
        <v>712</v>
      </c>
      <c r="BH192" s="10">
        <v>35864</v>
      </c>
      <c r="BI192" s="11">
        <v>8000</v>
      </c>
      <c r="BJ192" t="s">
        <v>68</v>
      </c>
      <c r="BK192" s="10">
        <v>584</v>
      </c>
      <c r="BR192">
        <v>189</v>
      </c>
      <c r="BS192" t="s">
        <v>68</v>
      </c>
      <c r="BT192" s="10">
        <v>35864</v>
      </c>
      <c r="BU192" s="11">
        <v>8000</v>
      </c>
      <c r="BV192" s="10">
        <v>584</v>
      </c>
      <c r="BW192" s="1" t="str">
        <f>IF(BS192=$CA$12,COUNTIF($BS$4:BS192,$CA$12),"")</f>
        <v/>
      </c>
    </row>
    <row r="193" spans="5:75" x14ac:dyDescent="0.25">
      <c r="E193">
        <v>190</v>
      </c>
      <c r="F193" t="s">
        <v>297</v>
      </c>
      <c r="G193" t="s">
        <v>68</v>
      </c>
      <c r="H193" t="s">
        <v>713</v>
      </c>
      <c r="I193" s="10">
        <v>66070</v>
      </c>
      <c r="J193" s="11">
        <v>14208</v>
      </c>
      <c r="K193" s="10">
        <v>1067</v>
      </c>
      <c r="BE193">
        <v>190</v>
      </c>
      <c r="BF193" t="s">
        <v>297</v>
      </c>
      <c r="BG193" t="s">
        <v>713</v>
      </c>
      <c r="BH193" s="10">
        <v>66070</v>
      </c>
      <c r="BI193" s="11">
        <v>14208</v>
      </c>
      <c r="BJ193" t="s">
        <v>68</v>
      </c>
      <c r="BK193" s="10">
        <v>1067</v>
      </c>
      <c r="BR193">
        <v>190</v>
      </c>
      <c r="BS193" t="s">
        <v>68</v>
      </c>
      <c r="BT193" s="10">
        <v>66070</v>
      </c>
      <c r="BU193" s="11">
        <v>14208</v>
      </c>
      <c r="BV193" s="10">
        <v>1067</v>
      </c>
      <c r="BW193" s="1" t="str">
        <f>IF(BS193=$CA$12,COUNTIF($BS$4:BS193,$CA$12),"")</f>
        <v/>
      </c>
    </row>
    <row r="194" spans="5:75" x14ac:dyDescent="0.25">
      <c r="E194">
        <v>191</v>
      </c>
      <c r="F194" t="s">
        <v>298</v>
      </c>
      <c r="G194" t="s">
        <v>68</v>
      </c>
      <c r="H194" t="s">
        <v>714</v>
      </c>
      <c r="I194" s="10">
        <v>39814</v>
      </c>
      <c r="J194" s="11">
        <v>9253</v>
      </c>
      <c r="K194" s="10">
        <v>539</v>
      </c>
      <c r="BE194">
        <v>191</v>
      </c>
      <c r="BF194" t="s">
        <v>298</v>
      </c>
      <c r="BG194" t="s">
        <v>714</v>
      </c>
      <c r="BH194" s="10">
        <v>39814</v>
      </c>
      <c r="BI194" s="11">
        <v>9253</v>
      </c>
      <c r="BJ194" t="s">
        <v>68</v>
      </c>
      <c r="BK194" s="10">
        <v>539</v>
      </c>
      <c r="BR194">
        <v>191</v>
      </c>
      <c r="BS194" t="s">
        <v>68</v>
      </c>
      <c r="BT194" s="10">
        <v>39814</v>
      </c>
      <c r="BU194" s="11">
        <v>9253</v>
      </c>
      <c r="BV194" s="10">
        <v>539</v>
      </c>
      <c r="BW194" s="1" t="str">
        <f>IF(BS194=$CA$12,COUNTIF($BS$4:BS194,$CA$12),"")</f>
        <v/>
      </c>
    </row>
    <row r="195" spans="5:75" x14ac:dyDescent="0.25">
      <c r="E195">
        <v>192</v>
      </c>
      <c r="F195" t="s">
        <v>299</v>
      </c>
      <c r="G195" t="s">
        <v>68</v>
      </c>
      <c r="H195" t="s">
        <v>715</v>
      </c>
      <c r="I195" s="10">
        <v>39466</v>
      </c>
      <c r="J195" s="11">
        <v>10604</v>
      </c>
      <c r="K195" s="10">
        <v>287</v>
      </c>
      <c r="BE195">
        <v>192</v>
      </c>
      <c r="BF195" t="s">
        <v>299</v>
      </c>
      <c r="BG195" t="s">
        <v>715</v>
      </c>
      <c r="BH195" s="10">
        <v>39466</v>
      </c>
      <c r="BI195" s="11">
        <v>10604</v>
      </c>
      <c r="BJ195" t="s">
        <v>68</v>
      </c>
      <c r="BK195" s="10">
        <v>287</v>
      </c>
      <c r="BR195">
        <v>192</v>
      </c>
      <c r="BS195" t="s">
        <v>68</v>
      </c>
      <c r="BT195" s="10">
        <v>39466</v>
      </c>
      <c r="BU195" s="11">
        <v>10604</v>
      </c>
      <c r="BV195" s="10">
        <v>287</v>
      </c>
      <c r="BW195" s="1" t="str">
        <f>IF(BS195=$CA$12,COUNTIF($BS$4:BS195,$CA$12),"")</f>
        <v/>
      </c>
    </row>
    <row r="196" spans="5:75" x14ac:dyDescent="0.25">
      <c r="E196">
        <v>193</v>
      </c>
      <c r="F196" t="s">
        <v>300</v>
      </c>
      <c r="G196" t="s">
        <v>69</v>
      </c>
      <c r="H196" t="s">
        <v>704</v>
      </c>
      <c r="I196" s="10">
        <v>14266</v>
      </c>
      <c r="J196" s="11">
        <v>3701</v>
      </c>
      <c r="K196" s="10">
        <v>28</v>
      </c>
      <c r="BE196">
        <v>193</v>
      </c>
      <c r="BF196" t="s">
        <v>300</v>
      </c>
      <c r="BG196" t="s">
        <v>704</v>
      </c>
      <c r="BH196" s="10">
        <v>14266</v>
      </c>
      <c r="BI196" s="11">
        <v>3701</v>
      </c>
      <c r="BJ196" t="s">
        <v>69</v>
      </c>
      <c r="BK196" s="10">
        <v>28</v>
      </c>
      <c r="BR196">
        <v>193</v>
      </c>
      <c r="BS196" t="s">
        <v>69</v>
      </c>
      <c r="BT196" s="10">
        <v>14266</v>
      </c>
      <c r="BU196" s="11">
        <v>3701</v>
      </c>
      <c r="BV196" s="10">
        <v>28</v>
      </c>
      <c r="BW196" s="1" t="str">
        <f>IF(BS196=$CA$12,COUNTIF($BS$4:BS196,$CA$12),"")</f>
        <v/>
      </c>
    </row>
    <row r="197" spans="5:75" x14ac:dyDescent="0.25">
      <c r="E197">
        <v>194</v>
      </c>
      <c r="F197" t="s">
        <v>301</v>
      </c>
      <c r="G197" t="s">
        <v>69</v>
      </c>
      <c r="H197" t="s">
        <v>705</v>
      </c>
      <c r="I197" s="10">
        <v>90539</v>
      </c>
      <c r="J197" s="11">
        <v>32224</v>
      </c>
      <c r="K197" s="10">
        <v>1550</v>
      </c>
      <c r="BE197">
        <v>194</v>
      </c>
      <c r="BF197" t="s">
        <v>301</v>
      </c>
      <c r="BG197" t="s">
        <v>705</v>
      </c>
      <c r="BH197" s="10">
        <v>90539</v>
      </c>
      <c r="BI197" s="11">
        <v>32224</v>
      </c>
      <c r="BJ197" t="s">
        <v>69</v>
      </c>
      <c r="BK197" s="10">
        <v>1550</v>
      </c>
      <c r="BR197">
        <v>194</v>
      </c>
      <c r="BS197" t="s">
        <v>69</v>
      </c>
      <c r="BT197" s="10">
        <v>90539</v>
      </c>
      <c r="BU197" s="11">
        <v>32224</v>
      </c>
      <c r="BV197" s="10">
        <v>1550</v>
      </c>
      <c r="BW197" s="1" t="str">
        <f>IF(BS197=$CA$12,COUNTIF($BS$4:BS197,$CA$12),"")</f>
        <v/>
      </c>
    </row>
    <row r="198" spans="5:75" x14ac:dyDescent="0.25">
      <c r="E198">
        <v>195</v>
      </c>
      <c r="F198" t="s">
        <v>302</v>
      </c>
      <c r="G198" t="s">
        <v>69</v>
      </c>
      <c r="H198" t="s">
        <v>706</v>
      </c>
      <c r="I198" s="10">
        <v>54366</v>
      </c>
      <c r="J198" s="11">
        <v>19704</v>
      </c>
      <c r="K198" s="10">
        <v>1746</v>
      </c>
      <c r="BE198">
        <v>195</v>
      </c>
      <c r="BF198" t="s">
        <v>302</v>
      </c>
      <c r="BG198" t="s">
        <v>706</v>
      </c>
      <c r="BH198" s="10">
        <v>54366</v>
      </c>
      <c r="BI198" s="11">
        <v>19704</v>
      </c>
      <c r="BJ198" t="s">
        <v>69</v>
      </c>
      <c r="BK198" s="10">
        <v>1746</v>
      </c>
      <c r="BR198">
        <v>195</v>
      </c>
      <c r="BS198" t="s">
        <v>69</v>
      </c>
      <c r="BT198" s="10">
        <v>54366</v>
      </c>
      <c r="BU198" s="11">
        <v>19704</v>
      </c>
      <c r="BV198" s="10">
        <v>1746</v>
      </c>
      <c r="BW198" s="1" t="str">
        <f>IF(BS198=$CA$12,COUNTIF($BS$4:BS198,$CA$12),"")</f>
        <v/>
      </c>
    </row>
    <row r="199" spans="5:75" x14ac:dyDescent="0.25">
      <c r="E199">
        <v>196</v>
      </c>
      <c r="F199" t="s">
        <v>303</v>
      </c>
      <c r="G199" t="s">
        <v>69</v>
      </c>
      <c r="H199" t="s">
        <v>707</v>
      </c>
      <c r="I199" s="10">
        <v>82694</v>
      </c>
      <c r="J199" s="11">
        <v>17301</v>
      </c>
      <c r="K199" s="10">
        <v>612</v>
      </c>
      <c r="BE199">
        <v>196</v>
      </c>
      <c r="BF199" t="s">
        <v>303</v>
      </c>
      <c r="BG199" t="s">
        <v>707</v>
      </c>
      <c r="BH199" s="10">
        <v>82694</v>
      </c>
      <c r="BI199" s="11">
        <v>17301</v>
      </c>
      <c r="BJ199" t="s">
        <v>69</v>
      </c>
      <c r="BK199" s="10">
        <v>612</v>
      </c>
      <c r="BR199">
        <v>196</v>
      </c>
      <c r="BS199" t="s">
        <v>69</v>
      </c>
      <c r="BT199" s="10">
        <v>82694</v>
      </c>
      <c r="BU199" s="11">
        <v>17301</v>
      </c>
      <c r="BV199" s="10">
        <v>612</v>
      </c>
      <c r="BW199" s="1" t="str">
        <f>IF(BS199=$CA$12,COUNTIF($BS$4:BS199,$CA$12),"")</f>
        <v/>
      </c>
    </row>
    <row r="200" spans="5:75" x14ac:dyDescent="0.25">
      <c r="E200">
        <v>197</v>
      </c>
      <c r="F200" t="s">
        <v>304</v>
      </c>
      <c r="G200" t="s">
        <v>69</v>
      </c>
      <c r="H200" t="s">
        <v>708</v>
      </c>
      <c r="I200" s="10">
        <v>33960</v>
      </c>
      <c r="J200" s="11">
        <v>11631</v>
      </c>
      <c r="K200" s="10">
        <v>839</v>
      </c>
      <c r="BE200">
        <v>197</v>
      </c>
      <c r="BF200" t="s">
        <v>304</v>
      </c>
      <c r="BG200" t="s">
        <v>708</v>
      </c>
      <c r="BH200" s="10">
        <v>33960</v>
      </c>
      <c r="BI200" s="11">
        <v>11631</v>
      </c>
      <c r="BJ200" t="s">
        <v>69</v>
      </c>
      <c r="BK200" s="10">
        <v>839</v>
      </c>
      <c r="BR200">
        <v>197</v>
      </c>
      <c r="BS200" t="s">
        <v>69</v>
      </c>
      <c r="BT200" s="10">
        <v>33960</v>
      </c>
      <c r="BU200" s="11">
        <v>11631</v>
      </c>
      <c r="BV200" s="10">
        <v>839</v>
      </c>
      <c r="BW200" s="1" t="str">
        <f>IF(BS200=$CA$12,COUNTIF($BS$4:BS200,$CA$12),"")</f>
        <v/>
      </c>
    </row>
    <row r="201" spans="5:75" x14ac:dyDescent="0.25">
      <c r="E201">
        <v>198</v>
      </c>
      <c r="F201" t="s">
        <v>305</v>
      </c>
      <c r="G201" t="s">
        <v>69</v>
      </c>
      <c r="H201" t="s">
        <v>709</v>
      </c>
      <c r="I201" s="10">
        <v>70801</v>
      </c>
      <c r="J201" s="11">
        <v>16529</v>
      </c>
      <c r="K201" s="10">
        <v>625</v>
      </c>
      <c r="BE201">
        <v>198</v>
      </c>
      <c r="BF201" t="s">
        <v>305</v>
      </c>
      <c r="BG201" t="s">
        <v>709</v>
      </c>
      <c r="BH201" s="10">
        <v>70801</v>
      </c>
      <c r="BI201" s="11">
        <v>16529</v>
      </c>
      <c r="BJ201" t="s">
        <v>69</v>
      </c>
      <c r="BK201" s="10">
        <v>625</v>
      </c>
      <c r="BR201">
        <v>198</v>
      </c>
      <c r="BS201" t="s">
        <v>69</v>
      </c>
      <c r="BT201" s="10">
        <v>70801</v>
      </c>
      <c r="BU201" s="11">
        <v>16529</v>
      </c>
      <c r="BV201" s="10">
        <v>625</v>
      </c>
      <c r="BW201" s="1" t="str">
        <f>IF(BS201=$CA$12,COUNTIF($BS$4:BS201,$CA$12),"")</f>
        <v/>
      </c>
    </row>
    <row r="202" spans="5:75" x14ac:dyDescent="0.25">
      <c r="E202">
        <v>199</v>
      </c>
      <c r="F202" t="s">
        <v>306</v>
      </c>
      <c r="G202" t="s">
        <v>69</v>
      </c>
      <c r="H202" t="s">
        <v>710</v>
      </c>
      <c r="I202" s="10">
        <v>87567</v>
      </c>
      <c r="J202" s="11">
        <v>19895</v>
      </c>
      <c r="K202" s="10">
        <v>445</v>
      </c>
      <c r="BE202">
        <v>199</v>
      </c>
      <c r="BF202" t="s">
        <v>306</v>
      </c>
      <c r="BG202" t="s">
        <v>710</v>
      </c>
      <c r="BH202" s="10">
        <v>87567</v>
      </c>
      <c r="BI202" s="11">
        <v>19895</v>
      </c>
      <c r="BJ202" t="s">
        <v>69</v>
      </c>
      <c r="BK202" s="10">
        <v>445</v>
      </c>
      <c r="BR202">
        <v>199</v>
      </c>
      <c r="BS202" t="s">
        <v>69</v>
      </c>
      <c r="BT202" s="10">
        <v>87567</v>
      </c>
      <c r="BU202" s="11">
        <v>19895</v>
      </c>
      <c r="BV202" s="10">
        <v>445</v>
      </c>
      <c r="BW202" s="1" t="str">
        <f>IF(BS202=$CA$12,COUNTIF($BS$4:BS202,$CA$12),"")</f>
        <v/>
      </c>
    </row>
    <row r="203" spans="5:75" x14ac:dyDescent="0.25">
      <c r="E203">
        <v>200</v>
      </c>
      <c r="F203" t="s">
        <v>307</v>
      </c>
      <c r="G203" t="s">
        <v>69</v>
      </c>
      <c r="H203" t="s">
        <v>711</v>
      </c>
      <c r="I203" s="10">
        <v>126820</v>
      </c>
      <c r="J203" s="11">
        <v>34736</v>
      </c>
      <c r="K203" s="10">
        <v>2622</v>
      </c>
      <c r="BE203">
        <v>200</v>
      </c>
      <c r="BF203" t="s">
        <v>307</v>
      </c>
      <c r="BG203" t="s">
        <v>711</v>
      </c>
      <c r="BH203" s="10">
        <v>126820</v>
      </c>
      <c r="BI203" s="11">
        <v>34736</v>
      </c>
      <c r="BJ203" t="s">
        <v>69</v>
      </c>
      <c r="BK203" s="10">
        <v>2622</v>
      </c>
      <c r="BR203">
        <v>200</v>
      </c>
      <c r="BS203" t="s">
        <v>69</v>
      </c>
      <c r="BT203" s="10">
        <v>126820</v>
      </c>
      <c r="BU203" s="11">
        <v>34736</v>
      </c>
      <c r="BV203" s="10">
        <v>2622</v>
      </c>
      <c r="BW203" s="1" t="str">
        <f>IF(BS203=$CA$12,COUNTIF($BS$4:BS203,$CA$12),"")</f>
        <v/>
      </c>
    </row>
    <row r="204" spans="5:75" x14ac:dyDescent="0.25">
      <c r="E204">
        <v>201</v>
      </c>
      <c r="F204" t="s">
        <v>308</v>
      </c>
      <c r="G204" t="s">
        <v>69</v>
      </c>
      <c r="H204" t="s">
        <v>712</v>
      </c>
      <c r="I204" s="10">
        <v>76073</v>
      </c>
      <c r="J204" s="11">
        <v>22643</v>
      </c>
      <c r="K204" s="10">
        <v>1906</v>
      </c>
      <c r="BE204">
        <v>201</v>
      </c>
      <c r="BF204" t="s">
        <v>308</v>
      </c>
      <c r="BG204" t="s">
        <v>712</v>
      </c>
      <c r="BH204" s="10">
        <v>76073</v>
      </c>
      <c r="BI204" s="11">
        <v>22643</v>
      </c>
      <c r="BJ204" t="s">
        <v>69</v>
      </c>
      <c r="BK204" s="10">
        <v>1906</v>
      </c>
      <c r="BR204">
        <v>201</v>
      </c>
      <c r="BS204" t="s">
        <v>69</v>
      </c>
      <c r="BT204" s="10">
        <v>76073</v>
      </c>
      <c r="BU204" s="11">
        <v>22643</v>
      </c>
      <c r="BV204" s="10">
        <v>1906</v>
      </c>
      <c r="BW204" s="1" t="str">
        <f>IF(BS204=$CA$12,COUNTIF($BS$4:BS204,$CA$12),"")</f>
        <v/>
      </c>
    </row>
    <row r="205" spans="5:75" x14ac:dyDescent="0.25">
      <c r="E205">
        <v>202</v>
      </c>
      <c r="F205" t="s">
        <v>309</v>
      </c>
      <c r="G205" t="s">
        <v>69</v>
      </c>
      <c r="H205" t="s">
        <v>713</v>
      </c>
      <c r="I205" s="10">
        <v>63627</v>
      </c>
      <c r="J205" s="11">
        <v>22652</v>
      </c>
      <c r="K205" s="10">
        <v>539</v>
      </c>
      <c r="BE205">
        <v>202</v>
      </c>
      <c r="BF205" t="s">
        <v>309</v>
      </c>
      <c r="BG205" t="s">
        <v>713</v>
      </c>
      <c r="BH205" s="10">
        <v>63627</v>
      </c>
      <c r="BI205" s="11">
        <v>22652</v>
      </c>
      <c r="BJ205" t="s">
        <v>69</v>
      </c>
      <c r="BK205" s="10">
        <v>539</v>
      </c>
      <c r="BR205">
        <v>202</v>
      </c>
      <c r="BS205" t="s">
        <v>69</v>
      </c>
      <c r="BT205" s="10">
        <v>63627</v>
      </c>
      <c r="BU205" s="11">
        <v>22652</v>
      </c>
      <c r="BV205" s="10">
        <v>539</v>
      </c>
      <c r="BW205" s="1" t="str">
        <f>IF(BS205=$CA$12,COUNTIF($BS$4:BS205,$CA$12),"")</f>
        <v/>
      </c>
    </row>
    <row r="206" spans="5:75" x14ac:dyDescent="0.25">
      <c r="E206">
        <v>203</v>
      </c>
      <c r="F206" t="s">
        <v>310</v>
      </c>
      <c r="G206" t="s">
        <v>69</v>
      </c>
      <c r="H206" t="s">
        <v>714</v>
      </c>
      <c r="I206" s="10">
        <v>126993</v>
      </c>
      <c r="J206" s="11">
        <v>25855</v>
      </c>
      <c r="K206" s="10">
        <v>992</v>
      </c>
      <c r="BE206">
        <v>203</v>
      </c>
      <c r="BF206" t="s">
        <v>310</v>
      </c>
      <c r="BG206" t="s">
        <v>714</v>
      </c>
      <c r="BH206" s="10">
        <v>126993</v>
      </c>
      <c r="BI206" s="11">
        <v>25855</v>
      </c>
      <c r="BJ206" t="s">
        <v>69</v>
      </c>
      <c r="BK206" s="10">
        <v>992</v>
      </c>
      <c r="BR206">
        <v>203</v>
      </c>
      <c r="BS206" t="s">
        <v>69</v>
      </c>
      <c r="BT206" s="10">
        <v>126993</v>
      </c>
      <c r="BU206" s="11">
        <v>25855</v>
      </c>
      <c r="BV206" s="10">
        <v>992</v>
      </c>
      <c r="BW206" s="1" t="str">
        <f>IF(BS206=$CA$12,COUNTIF($BS$4:BS206,$CA$12),"")</f>
        <v/>
      </c>
    </row>
    <row r="207" spans="5:75" x14ac:dyDescent="0.25">
      <c r="E207">
        <v>204</v>
      </c>
      <c r="F207" t="s">
        <v>311</v>
      </c>
      <c r="G207" t="s">
        <v>69</v>
      </c>
      <c r="H207" t="s">
        <v>715</v>
      </c>
      <c r="I207" s="10">
        <v>32659</v>
      </c>
      <c r="J207" s="11">
        <v>6547</v>
      </c>
      <c r="K207" s="10">
        <v>135</v>
      </c>
      <c r="BE207">
        <v>204</v>
      </c>
      <c r="BF207" t="s">
        <v>311</v>
      </c>
      <c r="BG207" t="s">
        <v>715</v>
      </c>
      <c r="BH207" s="10">
        <v>32659</v>
      </c>
      <c r="BI207" s="11">
        <v>6547</v>
      </c>
      <c r="BJ207" t="s">
        <v>69</v>
      </c>
      <c r="BK207" s="10">
        <v>135</v>
      </c>
      <c r="BR207">
        <v>204</v>
      </c>
      <c r="BS207" t="s">
        <v>69</v>
      </c>
      <c r="BT207" s="10">
        <v>32659</v>
      </c>
      <c r="BU207" s="11">
        <v>6547</v>
      </c>
      <c r="BV207" s="10">
        <v>135</v>
      </c>
      <c r="BW207" s="1" t="str">
        <f>IF(BS207=$CA$12,COUNTIF($BS$4:BS207,$CA$12),"")</f>
        <v/>
      </c>
    </row>
    <row r="208" spans="5:75" x14ac:dyDescent="0.25">
      <c r="E208">
        <v>205</v>
      </c>
      <c r="F208" t="s">
        <v>312</v>
      </c>
      <c r="G208" t="s">
        <v>70</v>
      </c>
      <c r="H208" t="s">
        <v>704</v>
      </c>
      <c r="I208" s="10">
        <v>18805</v>
      </c>
      <c r="J208" s="11">
        <v>4870</v>
      </c>
      <c r="K208" s="10">
        <v>390</v>
      </c>
      <c r="BE208">
        <v>205</v>
      </c>
      <c r="BF208" t="s">
        <v>312</v>
      </c>
      <c r="BG208" t="s">
        <v>704</v>
      </c>
      <c r="BH208" s="10">
        <v>18805</v>
      </c>
      <c r="BI208" s="11">
        <v>4870</v>
      </c>
      <c r="BJ208" t="s">
        <v>70</v>
      </c>
      <c r="BK208" s="10">
        <v>390</v>
      </c>
      <c r="BR208">
        <v>205</v>
      </c>
      <c r="BS208" t="s">
        <v>70</v>
      </c>
      <c r="BT208" s="10">
        <v>18805</v>
      </c>
      <c r="BU208" s="11">
        <v>4870</v>
      </c>
      <c r="BV208" s="10">
        <v>390</v>
      </c>
      <c r="BW208" s="1" t="str">
        <f>IF(BS208=$CA$12,COUNTIF($BS$4:BS208,$CA$12),"")</f>
        <v/>
      </c>
    </row>
    <row r="209" spans="5:75" x14ac:dyDescent="0.25">
      <c r="E209">
        <v>206</v>
      </c>
      <c r="F209" t="s">
        <v>313</v>
      </c>
      <c r="G209" t="s">
        <v>70</v>
      </c>
      <c r="H209" t="s">
        <v>705</v>
      </c>
      <c r="I209" s="10">
        <v>127174</v>
      </c>
      <c r="J209" s="11">
        <v>50489</v>
      </c>
      <c r="K209" s="10">
        <v>2284</v>
      </c>
      <c r="BE209">
        <v>206</v>
      </c>
      <c r="BF209" t="s">
        <v>313</v>
      </c>
      <c r="BG209" t="s">
        <v>705</v>
      </c>
      <c r="BH209" s="10">
        <v>127174</v>
      </c>
      <c r="BI209" s="11">
        <v>50489</v>
      </c>
      <c r="BJ209" t="s">
        <v>70</v>
      </c>
      <c r="BK209" s="10">
        <v>2284</v>
      </c>
      <c r="BR209">
        <v>206</v>
      </c>
      <c r="BS209" t="s">
        <v>70</v>
      </c>
      <c r="BT209" s="10">
        <v>127174</v>
      </c>
      <c r="BU209" s="11">
        <v>50489</v>
      </c>
      <c r="BV209" s="10">
        <v>2284</v>
      </c>
      <c r="BW209" s="1" t="str">
        <f>IF(BS209=$CA$12,COUNTIF($BS$4:BS209,$CA$12),"")</f>
        <v/>
      </c>
    </row>
    <row r="210" spans="5:75" x14ac:dyDescent="0.25">
      <c r="E210">
        <v>207</v>
      </c>
      <c r="F210" t="s">
        <v>314</v>
      </c>
      <c r="G210" t="s">
        <v>70</v>
      </c>
      <c r="H210" t="s">
        <v>706</v>
      </c>
      <c r="I210" s="10">
        <v>15096</v>
      </c>
      <c r="J210" s="11">
        <v>3554</v>
      </c>
      <c r="K210" s="10">
        <v>192</v>
      </c>
      <c r="BE210">
        <v>207</v>
      </c>
      <c r="BF210" t="s">
        <v>314</v>
      </c>
      <c r="BG210" t="s">
        <v>706</v>
      </c>
      <c r="BH210" s="10">
        <v>15096</v>
      </c>
      <c r="BI210" s="11">
        <v>3554</v>
      </c>
      <c r="BJ210" t="s">
        <v>70</v>
      </c>
      <c r="BK210" s="10">
        <v>192</v>
      </c>
      <c r="BR210">
        <v>207</v>
      </c>
      <c r="BS210" t="s">
        <v>70</v>
      </c>
      <c r="BT210" s="10">
        <v>15096</v>
      </c>
      <c r="BU210" s="11">
        <v>3554</v>
      </c>
      <c r="BV210" s="10">
        <v>192</v>
      </c>
      <c r="BW210" s="1" t="str">
        <f>IF(BS210=$CA$12,COUNTIF($BS$4:BS210,$CA$12),"")</f>
        <v/>
      </c>
    </row>
    <row r="211" spans="5:75" x14ac:dyDescent="0.25">
      <c r="E211">
        <v>208</v>
      </c>
      <c r="F211" t="s">
        <v>315</v>
      </c>
      <c r="G211" t="s">
        <v>70</v>
      </c>
      <c r="H211" t="s">
        <v>707</v>
      </c>
      <c r="I211" s="10">
        <v>52040</v>
      </c>
      <c r="J211" s="11">
        <v>15818</v>
      </c>
      <c r="K211" s="10">
        <v>1325</v>
      </c>
      <c r="BE211">
        <v>208</v>
      </c>
      <c r="BF211" t="s">
        <v>315</v>
      </c>
      <c r="BG211" t="s">
        <v>707</v>
      </c>
      <c r="BH211" s="10">
        <v>52040</v>
      </c>
      <c r="BI211" s="11">
        <v>15818</v>
      </c>
      <c r="BJ211" t="s">
        <v>70</v>
      </c>
      <c r="BK211" s="10">
        <v>1325</v>
      </c>
      <c r="BR211">
        <v>208</v>
      </c>
      <c r="BS211" t="s">
        <v>70</v>
      </c>
      <c r="BT211" s="10">
        <v>52040</v>
      </c>
      <c r="BU211" s="11">
        <v>15818</v>
      </c>
      <c r="BV211" s="10">
        <v>1325</v>
      </c>
      <c r="BW211" s="1" t="str">
        <f>IF(BS211=$CA$12,COUNTIF($BS$4:BS211,$CA$12),"")</f>
        <v/>
      </c>
    </row>
    <row r="212" spans="5:75" x14ac:dyDescent="0.25">
      <c r="E212">
        <v>209</v>
      </c>
      <c r="F212" t="s">
        <v>316</v>
      </c>
      <c r="G212" t="s">
        <v>70</v>
      </c>
      <c r="H212" t="s">
        <v>708</v>
      </c>
      <c r="I212" s="10">
        <v>95405</v>
      </c>
      <c r="J212" s="11">
        <v>33943</v>
      </c>
      <c r="K212" s="10">
        <v>3114</v>
      </c>
      <c r="BE212">
        <v>209</v>
      </c>
      <c r="BF212" t="s">
        <v>316</v>
      </c>
      <c r="BG212" t="s">
        <v>708</v>
      </c>
      <c r="BH212" s="10">
        <v>95405</v>
      </c>
      <c r="BI212" s="11">
        <v>33943</v>
      </c>
      <c r="BJ212" t="s">
        <v>70</v>
      </c>
      <c r="BK212" s="10">
        <v>3114</v>
      </c>
      <c r="BR212">
        <v>209</v>
      </c>
      <c r="BS212" t="s">
        <v>70</v>
      </c>
      <c r="BT212" s="10">
        <v>95405</v>
      </c>
      <c r="BU212" s="11">
        <v>33943</v>
      </c>
      <c r="BV212" s="10">
        <v>3114</v>
      </c>
      <c r="BW212" s="1" t="str">
        <f>IF(BS212=$CA$12,COUNTIF($BS$4:BS212,$CA$12),"")</f>
        <v/>
      </c>
    </row>
    <row r="213" spans="5:75" x14ac:dyDescent="0.25">
      <c r="E213">
        <v>210</v>
      </c>
      <c r="F213" t="s">
        <v>317</v>
      </c>
      <c r="G213" t="s">
        <v>70</v>
      </c>
      <c r="H213" t="s">
        <v>709</v>
      </c>
      <c r="I213" s="10">
        <v>100861</v>
      </c>
      <c r="J213" s="11">
        <v>40011</v>
      </c>
      <c r="K213" s="10">
        <v>951</v>
      </c>
      <c r="BE213">
        <v>210</v>
      </c>
      <c r="BF213" t="s">
        <v>317</v>
      </c>
      <c r="BG213" t="s">
        <v>709</v>
      </c>
      <c r="BH213" s="10">
        <v>100861</v>
      </c>
      <c r="BI213" s="11">
        <v>40011</v>
      </c>
      <c r="BJ213" t="s">
        <v>70</v>
      </c>
      <c r="BK213" s="10">
        <v>951</v>
      </c>
      <c r="BR213">
        <v>210</v>
      </c>
      <c r="BS213" t="s">
        <v>70</v>
      </c>
      <c r="BT213" s="10">
        <v>100861</v>
      </c>
      <c r="BU213" s="11">
        <v>40011</v>
      </c>
      <c r="BV213" s="10">
        <v>951</v>
      </c>
      <c r="BW213" s="1" t="str">
        <f>IF(BS213=$CA$12,COUNTIF($BS$4:BS213,$CA$12),"")</f>
        <v/>
      </c>
    </row>
    <row r="214" spans="5:75" x14ac:dyDescent="0.25">
      <c r="E214">
        <v>211</v>
      </c>
      <c r="F214" t="s">
        <v>318</v>
      </c>
      <c r="G214" t="s">
        <v>70</v>
      </c>
      <c r="H214" t="s">
        <v>710</v>
      </c>
      <c r="I214" s="10">
        <v>24702</v>
      </c>
      <c r="J214" s="11">
        <v>7412</v>
      </c>
      <c r="K214" s="10">
        <v>587</v>
      </c>
      <c r="BE214">
        <v>211</v>
      </c>
      <c r="BF214" t="s">
        <v>318</v>
      </c>
      <c r="BG214" t="s">
        <v>710</v>
      </c>
      <c r="BH214" s="10">
        <v>24702</v>
      </c>
      <c r="BI214" s="11">
        <v>7412</v>
      </c>
      <c r="BJ214" t="s">
        <v>70</v>
      </c>
      <c r="BK214" s="10">
        <v>587</v>
      </c>
      <c r="BR214">
        <v>211</v>
      </c>
      <c r="BS214" t="s">
        <v>70</v>
      </c>
      <c r="BT214" s="10">
        <v>24702</v>
      </c>
      <c r="BU214" s="11">
        <v>7412</v>
      </c>
      <c r="BV214" s="10">
        <v>587</v>
      </c>
      <c r="BW214" s="1" t="str">
        <f>IF(BS214=$CA$12,COUNTIF($BS$4:BS214,$CA$12),"")</f>
        <v/>
      </c>
    </row>
    <row r="215" spans="5:75" x14ac:dyDescent="0.25">
      <c r="E215">
        <v>212</v>
      </c>
      <c r="F215" t="s">
        <v>319</v>
      </c>
      <c r="G215" t="s">
        <v>70</v>
      </c>
      <c r="H215" t="s">
        <v>711</v>
      </c>
      <c r="I215" s="10">
        <v>77916</v>
      </c>
      <c r="J215" s="11">
        <v>28660</v>
      </c>
      <c r="K215" s="10">
        <v>2483</v>
      </c>
      <c r="BE215">
        <v>212</v>
      </c>
      <c r="BF215" t="s">
        <v>319</v>
      </c>
      <c r="BG215" t="s">
        <v>711</v>
      </c>
      <c r="BH215" s="10">
        <v>77916</v>
      </c>
      <c r="BI215" s="11">
        <v>28660</v>
      </c>
      <c r="BJ215" t="s">
        <v>70</v>
      </c>
      <c r="BK215" s="10">
        <v>2483</v>
      </c>
      <c r="BR215">
        <v>212</v>
      </c>
      <c r="BS215" t="s">
        <v>70</v>
      </c>
      <c r="BT215" s="10">
        <v>77916</v>
      </c>
      <c r="BU215" s="11">
        <v>28660</v>
      </c>
      <c r="BV215" s="10">
        <v>2483</v>
      </c>
      <c r="BW215" s="1" t="str">
        <f>IF(BS215=$CA$12,COUNTIF($BS$4:BS215,$CA$12),"")</f>
        <v/>
      </c>
    </row>
    <row r="216" spans="5:75" x14ac:dyDescent="0.25">
      <c r="E216">
        <v>213</v>
      </c>
      <c r="F216" t="s">
        <v>320</v>
      </c>
      <c r="G216" t="s">
        <v>70</v>
      </c>
      <c r="H216" t="s">
        <v>712</v>
      </c>
      <c r="I216" s="10">
        <v>86165</v>
      </c>
      <c r="J216" s="11">
        <v>21916</v>
      </c>
      <c r="K216" s="10">
        <v>337</v>
      </c>
      <c r="BE216">
        <v>213</v>
      </c>
      <c r="BF216" t="s">
        <v>320</v>
      </c>
      <c r="BG216" t="s">
        <v>712</v>
      </c>
      <c r="BH216" s="10">
        <v>86165</v>
      </c>
      <c r="BI216" s="11">
        <v>21916</v>
      </c>
      <c r="BJ216" t="s">
        <v>70</v>
      </c>
      <c r="BK216" s="10">
        <v>337</v>
      </c>
      <c r="BR216">
        <v>213</v>
      </c>
      <c r="BS216" t="s">
        <v>70</v>
      </c>
      <c r="BT216" s="10">
        <v>86165</v>
      </c>
      <c r="BU216" s="11">
        <v>21916</v>
      </c>
      <c r="BV216" s="10">
        <v>337</v>
      </c>
      <c r="BW216" s="1" t="str">
        <f>IF(BS216=$CA$12,COUNTIF($BS$4:BS216,$CA$12),"")</f>
        <v/>
      </c>
    </row>
    <row r="217" spans="5:75" x14ac:dyDescent="0.25">
      <c r="E217">
        <v>214</v>
      </c>
      <c r="F217" t="s">
        <v>321</v>
      </c>
      <c r="G217" t="s">
        <v>70</v>
      </c>
      <c r="H217" t="s">
        <v>713</v>
      </c>
      <c r="I217" s="10">
        <v>95699</v>
      </c>
      <c r="J217" s="11">
        <v>29270</v>
      </c>
      <c r="K217" s="10">
        <v>205</v>
      </c>
      <c r="BE217">
        <v>214</v>
      </c>
      <c r="BF217" t="s">
        <v>321</v>
      </c>
      <c r="BG217" t="s">
        <v>713</v>
      </c>
      <c r="BH217" s="10">
        <v>95699</v>
      </c>
      <c r="BI217" s="11">
        <v>29270</v>
      </c>
      <c r="BJ217" t="s">
        <v>70</v>
      </c>
      <c r="BK217" s="10">
        <v>205</v>
      </c>
      <c r="BR217">
        <v>214</v>
      </c>
      <c r="BS217" t="s">
        <v>70</v>
      </c>
      <c r="BT217" s="10">
        <v>95699</v>
      </c>
      <c r="BU217" s="11">
        <v>29270</v>
      </c>
      <c r="BV217" s="10">
        <v>205</v>
      </c>
      <c r="BW217" s="1" t="str">
        <f>IF(BS217=$CA$12,COUNTIF($BS$4:BS217,$CA$12),"")</f>
        <v/>
      </c>
    </row>
    <row r="218" spans="5:75" x14ac:dyDescent="0.25">
      <c r="E218">
        <v>215</v>
      </c>
      <c r="F218" t="s">
        <v>322</v>
      </c>
      <c r="G218" t="s">
        <v>70</v>
      </c>
      <c r="H218" t="s">
        <v>714</v>
      </c>
      <c r="I218" s="10">
        <v>18029</v>
      </c>
      <c r="J218" s="11">
        <v>5298</v>
      </c>
      <c r="K218" s="10">
        <v>313</v>
      </c>
      <c r="BE218">
        <v>215</v>
      </c>
      <c r="BF218" t="s">
        <v>322</v>
      </c>
      <c r="BG218" t="s">
        <v>714</v>
      </c>
      <c r="BH218" s="10">
        <v>18029</v>
      </c>
      <c r="BI218" s="11">
        <v>5298</v>
      </c>
      <c r="BJ218" t="s">
        <v>70</v>
      </c>
      <c r="BK218" s="10">
        <v>313</v>
      </c>
      <c r="BR218">
        <v>215</v>
      </c>
      <c r="BS218" t="s">
        <v>70</v>
      </c>
      <c r="BT218" s="10">
        <v>18029</v>
      </c>
      <c r="BU218" s="11">
        <v>5298</v>
      </c>
      <c r="BV218" s="10">
        <v>313</v>
      </c>
      <c r="BW218" s="1" t="str">
        <f>IF(BS218=$CA$12,COUNTIF($BS$4:BS218,$CA$12),"")</f>
        <v/>
      </c>
    </row>
    <row r="219" spans="5:75" x14ac:dyDescent="0.25">
      <c r="E219">
        <v>216</v>
      </c>
      <c r="F219" t="s">
        <v>323</v>
      </c>
      <c r="G219" t="s">
        <v>70</v>
      </c>
      <c r="H219" t="s">
        <v>715</v>
      </c>
      <c r="I219" s="10">
        <v>21124</v>
      </c>
      <c r="J219" s="11">
        <v>4467</v>
      </c>
      <c r="K219" s="10">
        <v>256</v>
      </c>
      <c r="BE219">
        <v>216</v>
      </c>
      <c r="BF219" t="s">
        <v>323</v>
      </c>
      <c r="BG219" t="s">
        <v>715</v>
      </c>
      <c r="BH219" s="10">
        <v>21124</v>
      </c>
      <c r="BI219" s="11">
        <v>4467</v>
      </c>
      <c r="BJ219" t="s">
        <v>70</v>
      </c>
      <c r="BK219" s="10">
        <v>256</v>
      </c>
      <c r="BR219">
        <v>216</v>
      </c>
      <c r="BS219" t="s">
        <v>70</v>
      </c>
      <c r="BT219" s="10">
        <v>21124</v>
      </c>
      <c r="BU219" s="11">
        <v>4467</v>
      </c>
      <c r="BV219" s="10">
        <v>256</v>
      </c>
      <c r="BW219" s="1" t="str">
        <f>IF(BS219=$CA$12,COUNTIF($BS$4:BS219,$CA$12),"")</f>
        <v/>
      </c>
    </row>
    <row r="220" spans="5:75" x14ac:dyDescent="0.25">
      <c r="E220">
        <v>217</v>
      </c>
      <c r="F220" t="s">
        <v>324</v>
      </c>
      <c r="G220" t="s">
        <v>71</v>
      </c>
      <c r="H220" t="s">
        <v>704</v>
      </c>
      <c r="I220" s="10">
        <v>148884</v>
      </c>
      <c r="J220" s="11">
        <v>57026</v>
      </c>
      <c r="K220" s="10">
        <v>4051</v>
      </c>
      <c r="BE220">
        <v>217</v>
      </c>
      <c r="BF220" t="s">
        <v>324</v>
      </c>
      <c r="BG220" t="s">
        <v>704</v>
      </c>
      <c r="BH220" s="10">
        <v>148884</v>
      </c>
      <c r="BI220" s="11">
        <v>57026</v>
      </c>
      <c r="BJ220" t="s">
        <v>71</v>
      </c>
      <c r="BK220" s="10">
        <v>4051</v>
      </c>
      <c r="BR220">
        <v>217</v>
      </c>
      <c r="BS220" t="s">
        <v>71</v>
      </c>
      <c r="BT220" s="10">
        <v>148884</v>
      </c>
      <c r="BU220" s="11">
        <v>57026</v>
      </c>
      <c r="BV220" s="10">
        <v>4051</v>
      </c>
      <c r="BW220" s="1" t="str">
        <f>IF(BS220=$CA$12,COUNTIF($BS$4:BS220,$CA$12),"")</f>
        <v/>
      </c>
    </row>
    <row r="221" spans="5:75" x14ac:dyDescent="0.25">
      <c r="E221">
        <v>218</v>
      </c>
      <c r="F221" t="s">
        <v>325</v>
      </c>
      <c r="G221" t="s">
        <v>71</v>
      </c>
      <c r="H221" t="s">
        <v>705</v>
      </c>
      <c r="I221" s="10">
        <v>77897</v>
      </c>
      <c r="J221" s="11">
        <v>17359</v>
      </c>
      <c r="K221" s="10">
        <v>1162</v>
      </c>
      <c r="BE221">
        <v>218</v>
      </c>
      <c r="BF221" t="s">
        <v>325</v>
      </c>
      <c r="BG221" t="s">
        <v>705</v>
      </c>
      <c r="BH221" s="10">
        <v>77897</v>
      </c>
      <c r="BI221" s="11">
        <v>17359</v>
      </c>
      <c r="BJ221" t="s">
        <v>71</v>
      </c>
      <c r="BK221" s="10">
        <v>1162</v>
      </c>
      <c r="BR221">
        <v>218</v>
      </c>
      <c r="BS221" t="s">
        <v>71</v>
      </c>
      <c r="BT221" s="10">
        <v>77897</v>
      </c>
      <c r="BU221" s="11">
        <v>17359</v>
      </c>
      <c r="BV221" s="10">
        <v>1162</v>
      </c>
      <c r="BW221" s="1" t="str">
        <f>IF(BS221=$CA$12,COUNTIF($BS$4:BS221,$CA$12),"")</f>
        <v/>
      </c>
    </row>
    <row r="222" spans="5:75" x14ac:dyDescent="0.25">
      <c r="E222">
        <v>219</v>
      </c>
      <c r="F222" t="s">
        <v>326</v>
      </c>
      <c r="G222" t="s">
        <v>71</v>
      </c>
      <c r="H222" t="s">
        <v>706</v>
      </c>
      <c r="I222" s="10">
        <v>23315</v>
      </c>
      <c r="J222" s="11">
        <v>4683</v>
      </c>
      <c r="K222" s="10">
        <v>195</v>
      </c>
      <c r="BE222">
        <v>219</v>
      </c>
      <c r="BF222" t="s">
        <v>326</v>
      </c>
      <c r="BG222" t="s">
        <v>706</v>
      </c>
      <c r="BH222" s="10">
        <v>23315</v>
      </c>
      <c r="BI222" s="11">
        <v>4683</v>
      </c>
      <c r="BJ222" t="s">
        <v>71</v>
      </c>
      <c r="BK222" s="10">
        <v>195</v>
      </c>
      <c r="BR222">
        <v>219</v>
      </c>
      <c r="BS222" t="s">
        <v>71</v>
      </c>
      <c r="BT222" s="10">
        <v>23315</v>
      </c>
      <c r="BU222" s="11">
        <v>4683</v>
      </c>
      <c r="BV222" s="10">
        <v>195</v>
      </c>
      <c r="BW222" s="1" t="str">
        <f>IF(BS222=$CA$12,COUNTIF($BS$4:BS222,$CA$12),"")</f>
        <v/>
      </c>
    </row>
    <row r="223" spans="5:75" x14ac:dyDescent="0.25">
      <c r="E223">
        <v>220</v>
      </c>
      <c r="F223" t="s">
        <v>327</v>
      </c>
      <c r="G223" t="s">
        <v>71</v>
      </c>
      <c r="H223" t="s">
        <v>707</v>
      </c>
      <c r="I223" s="10">
        <v>55722</v>
      </c>
      <c r="J223" s="11">
        <v>19096</v>
      </c>
      <c r="K223" s="10">
        <v>47</v>
      </c>
      <c r="BE223">
        <v>220</v>
      </c>
      <c r="BF223" t="s">
        <v>327</v>
      </c>
      <c r="BG223" t="s">
        <v>707</v>
      </c>
      <c r="BH223" s="10">
        <v>55722</v>
      </c>
      <c r="BI223" s="11">
        <v>19096</v>
      </c>
      <c r="BJ223" t="s">
        <v>71</v>
      </c>
      <c r="BK223" s="10">
        <v>47</v>
      </c>
      <c r="BR223">
        <v>220</v>
      </c>
      <c r="BS223" t="s">
        <v>71</v>
      </c>
      <c r="BT223" s="10">
        <v>55722</v>
      </c>
      <c r="BU223" s="11">
        <v>19096</v>
      </c>
      <c r="BV223" s="10">
        <v>47</v>
      </c>
      <c r="BW223" s="1" t="str">
        <f>IF(BS223=$CA$12,COUNTIF($BS$4:BS223,$CA$12),"")</f>
        <v/>
      </c>
    </row>
    <row r="224" spans="5:75" x14ac:dyDescent="0.25">
      <c r="E224">
        <v>221</v>
      </c>
      <c r="F224" t="s">
        <v>328</v>
      </c>
      <c r="G224" t="s">
        <v>71</v>
      </c>
      <c r="H224" t="s">
        <v>708</v>
      </c>
      <c r="I224" s="10">
        <v>40736</v>
      </c>
      <c r="J224" s="11">
        <v>14977</v>
      </c>
      <c r="K224" s="10">
        <v>895</v>
      </c>
      <c r="BE224">
        <v>221</v>
      </c>
      <c r="BF224" t="s">
        <v>328</v>
      </c>
      <c r="BG224" t="s">
        <v>708</v>
      </c>
      <c r="BH224" s="10">
        <v>40736</v>
      </c>
      <c r="BI224" s="11">
        <v>14977</v>
      </c>
      <c r="BJ224" t="s">
        <v>71</v>
      </c>
      <c r="BK224" s="10">
        <v>895</v>
      </c>
      <c r="BR224">
        <v>221</v>
      </c>
      <c r="BS224" t="s">
        <v>71</v>
      </c>
      <c r="BT224" s="10">
        <v>40736</v>
      </c>
      <c r="BU224" s="11">
        <v>14977</v>
      </c>
      <c r="BV224" s="10">
        <v>895</v>
      </c>
      <c r="BW224" s="1" t="str">
        <f>IF(BS224=$CA$12,COUNTIF($BS$4:BS224,$CA$12),"")</f>
        <v/>
      </c>
    </row>
    <row r="225" spans="5:75" x14ac:dyDescent="0.25">
      <c r="E225">
        <v>222</v>
      </c>
      <c r="F225" t="s">
        <v>329</v>
      </c>
      <c r="G225" t="s">
        <v>71</v>
      </c>
      <c r="H225" t="s">
        <v>709</v>
      </c>
      <c r="I225" s="10">
        <v>29945</v>
      </c>
      <c r="J225" s="11">
        <v>11521</v>
      </c>
      <c r="K225" s="10">
        <v>560</v>
      </c>
      <c r="BE225">
        <v>222</v>
      </c>
      <c r="BF225" t="s">
        <v>329</v>
      </c>
      <c r="BG225" t="s">
        <v>709</v>
      </c>
      <c r="BH225" s="10">
        <v>29945</v>
      </c>
      <c r="BI225" s="11">
        <v>11521</v>
      </c>
      <c r="BJ225" t="s">
        <v>71</v>
      </c>
      <c r="BK225" s="10">
        <v>560</v>
      </c>
      <c r="BR225">
        <v>222</v>
      </c>
      <c r="BS225" t="s">
        <v>71</v>
      </c>
      <c r="BT225" s="10">
        <v>29945</v>
      </c>
      <c r="BU225" s="11">
        <v>11521</v>
      </c>
      <c r="BV225" s="10">
        <v>560</v>
      </c>
      <c r="BW225" s="1" t="str">
        <f>IF(BS225=$CA$12,COUNTIF($BS$4:BS225,$CA$12),"")</f>
        <v/>
      </c>
    </row>
    <row r="226" spans="5:75" x14ac:dyDescent="0.25">
      <c r="E226">
        <v>223</v>
      </c>
      <c r="F226" t="s">
        <v>330</v>
      </c>
      <c r="G226" t="s">
        <v>71</v>
      </c>
      <c r="H226" t="s">
        <v>710</v>
      </c>
      <c r="I226" s="10">
        <v>27487</v>
      </c>
      <c r="J226" s="11">
        <v>10364</v>
      </c>
      <c r="K226" s="10">
        <v>92</v>
      </c>
      <c r="BE226">
        <v>223</v>
      </c>
      <c r="BF226" t="s">
        <v>330</v>
      </c>
      <c r="BG226" t="s">
        <v>710</v>
      </c>
      <c r="BH226" s="10">
        <v>27487</v>
      </c>
      <c r="BI226" s="11">
        <v>10364</v>
      </c>
      <c r="BJ226" t="s">
        <v>71</v>
      </c>
      <c r="BK226" s="10">
        <v>92</v>
      </c>
      <c r="BR226">
        <v>223</v>
      </c>
      <c r="BS226" t="s">
        <v>71</v>
      </c>
      <c r="BT226" s="10">
        <v>27487</v>
      </c>
      <c r="BU226" s="11">
        <v>10364</v>
      </c>
      <c r="BV226" s="10">
        <v>92</v>
      </c>
      <c r="BW226" s="1" t="str">
        <f>IF(BS226=$CA$12,COUNTIF($BS$4:BS226,$CA$12),"")</f>
        <v/>
      </c>
    </row>
    <row r="227" spans="5:75" x14ac:dyDescent="0.25">
      <c r="E227">
        <v>224</v>
      </c>
      <c r="F227" t="s">
        <v>331</v>
      </c>
      <c r="G227" t="s">
        <v>71</v>
      </c>
      <c r="H227" t="s">
        <v>711</v>
      </c>
      <c r="I227" s="10">
        <v>58688</v>
      </c>
      <c r="J227" s="11">
        <v>22735</v>
      </c>
      <c r="K227" s="10">
        <v>1289</v>
      </c>
      <c r="BE227">
        <v>224</v>
      </c>
      <c r="BF227" t="s">
        <v>331</v>
      </c>
      <c r="BG227" t="s">
        <v>711</v>
      </c>
      <c r="BH227" s="10">
        <v>58688</v>
      </c>
      <c r="BI227" s="11">
        <v>22735</v>
      </c>
      <c r="BJ227" t="s">
        <v>71</v>
      </c>
      <c r="BK227" s="10">
        <v>1289</v>
      </c>
      <c r="BR227">
        <v>224</v>
      </c>
      <c r="BS227" t="s">
        <v>71</v>
      </c>
      <c r="BT227" s="10">
        <v>58688</v>
      </c>
      <c r="BU227" s="11">
        <v>22735</v>
      </c>
      <c r="BV227" s="10">
        <v>1289</v>
      </c>
      <c r="BW227" s="1" t="str">
        <f>IF(BS227=$CA$12,COUNTIF($BS$4:BS227,$CA$12),"")</f>
        <v/>
      </c>
    </row>
    <row r="228" spans="5:75" x14ac:dyDescent="0.25">
      <c r="E228">
        <v>225</v>
      </c>
      <c r="F228" t="s">
        <v>332</v>
      </c>
      <c r="G228" t="s">
        <v>71</v>
      </c>
      <c r="H228" t="s">
        <v>712</v>
      </c>
      <c r="I228" s="10">
        <v>21291</v>
      </c>
      <c r="J228" s="11">
        <v>6834</v>
      </c>
      <c r="K228" s="10">
        <v>437</v>
      </c>
      <c r="BE228">
        <v>225</v>
      </c>
      <c r="BF228" t="s">
        <v>332</v>
      </c>
      <c r="BG228" t="s">
        <v>712</v>
      </c>
      <c r="BH228" s="10">
        <v>21291</v>
      </c>
      <c r="BI228" s="11">
        <v>6834</v>
      </c>
      <c r="BJ228" t="s">
        <v>71</v>
      </c>
      <c r="BK228" s="10">
        <v>437</v>
      </c>
      <c r="BR228">
        <v>225</v>
      </c>
      <c r="BS228" t="s">
        <v>71</v>
      </c>
      <c r="BT228" s="10">
        <v>21291</v>
      </c>
      <c r="BU228" s="11">
        <v>6834</v>
      </c>
      <c r="BV228" s="10">
        <v>437</v>
      </c>
      <c r="BW228" s="1" t="str">
        <f>IF(BS228=$CA$12,COUNTIF($BS$4:BS228,$CA$12),"")</f>
        <v/>
      </c>
    </row>
    <row r="229" spans="5:75" x14ac:dyDescent="0.25">
      <c r="E229">
        <v>226</v>
      </c>
      <c r="F229" t="s">
        <v>333</v>
      </c>
      <c r="G229" t="s">
        <v>71</v>
      </c>
      <c r="H229" t="s">
        <v>713</v>
      </c>
      <c r="I229" s="10">
        <v>42068</v>
      </c>
      <c r="J229" s="11">
        <v>14773</v>
      </c>
      <c r="K229" s="10">
        <v>176</v>
      </c>
      <c r="BE229">
        <v>226</v>
      </c>
      <c r="BF229" t="s">
        <v>333</v>
      </c>
      <c r="BG229" t="s">
        <v>713</v>
      </c>
      <c r="BH229" s="10">
        <v>42068</v>
      </c>
      <c r="BI229" s="11">
        <v>14773</v>
      </c>
      <c r="BJ229" t="s">
        <v>71</v>
      </c>
      <c r="BK229" s="10">
        <v>176</v>
      </c>
      <c r="BR229">
        <v>226</v>
      </c>
      <c r="BS229" t="s">
        <v>71</v>
      </c>
      <c r="BT229" s="10">
        <v>42068</v>
      </c>
      <c r="BU229" s="11">
        <v>14773</v>
      </c>
      <c r="BV229" s="10">
        <v>176</v>
      </c>
      <c r="BW229" s="1" t="str">
        <f>IF(BS229=$CA$12,COUNTIF($BS$4:BS229,$CA$12),"")</f>
        <v/>
      </c>
    </row>
    <row r="230" spans="5:75" x14ac:dyDescent="0.25">
      <c r="E230">
        <v>227</v>
      </c>
      <c r="F230" t="s">
        <v>334</v>
      </c>
      <c r="G230" t="s">
        <v>71</v>
      </c>
      <c r="H230" t="s">
        <v>714</v>
      </c>
      <c r="I230" s="10">
        <v>77907</v>
      </c>
      <c r="J230" s="11">
        <v>17722</v>
      </c>
      <c r="K230" s="10">
        <v>648</v>
      </c>
      <c r="BE230">
        <v>227</v>
      </c>
      <c r="BF230" t="s">
        <v>334</v>
      </c>
      <c r="BG230" t="s">
        <v>714</v>
      </c>
      <c r="BH230" s="10">
        <v>77907</v>
      </c>
      <c r="BI230" s="11">
        <v>17722</v>
      </c>
      <c r="BJ230" t="s">
        <v>71</v>
      </c>
      <c r="BK230" s="10">
        <v>648</v>
      </c>
      <c r="BR230">
        <v>227</v>
      </c>
      <c r="BS230" t="s">
        <v>71</v>
      </c>
      <c r="BT230" s="10">
        <v>77907</v>
      </c>
      <c r="BU230" s="11">
        <v>17722</v>
      </c>
      <c r="BV230" s="10">
        <v>648</v>
      </c>
      <c r="BW230" s="1" t="str">
        <f>IF(BS230=$CA$12,COUNTIF($BS$4:BS230,$CA$12),"")</f>
        <v/>
      </c>
    </row>
    <row r="231" spans="5:75" x14ac:dyDescent="0.25">
      <c r="E231">
        <v>228</v>
      </c>
      <c r="F231" t="s">
        <v>335</v>
      </c>
      <c r="G231" t="s">
        <v>71</v>
      </c>
      <c r="H231" t="s">
        <v>715</v>
      </c>
      <c r="I231" s="10">
        <v>129278</v>
      </c>
      <c r="J231" s="11">
        <v>48115</v>
      </c>
      <c r="K231" s="10">
        <v>1152</v>
      </c>
      <c r="BE231">
        <v>228</v>
      </c>
      <c r="BF231" t="s">
        <v>335</v>
      </c>
      <c r="BG231" t="s">
        <v>715</v>
      </c>
      <c r="BH231" s="10">
        <v>129278</v>
      </c>
      <c r="BI231" s="11">
        <v>48115</v>
      </c>
      <c r="BJ231" t="s">
        <v>71</v>
      </c>
      <c r="BK231" s="10">
        <v>1152</v>
      </c>
      <c r="BR231">
        <v>228</v>
      </c>
      <c r="BS231" t="s">
        <v>71</v>
      </c>
      <c r="BT231" s="10">
        <v>129278</v>
      </c>
      <c r="BU231" s="11">
        <v>48115</v>
      </c>
      <c r="BV231" s="10">
        <v>1152</v>
      </c>
      <c r="BW231" s="1" t="str">
        <f>IF(BS231=$CA$12,COUNTIF($BS$4:BS231,$CA$12),"")</f>
        <v/>
      </c>
    </row>
    <row r="232" spans="5:75" x14ac:dyDescent="0.25">
      <c r="E232">
        <v>229</v>
      </c>
      <c r="F232" t="s">
        <v>336</v>
      </c>
      <c r="G232" t="s">
        <v>72</v>
      </c>
      <c r="H232" t="s">
        <v>704</v>
      </c>
      <c r="I232" s="10">
        <v>73502</v>
      </c>
      <c r="J232" s="11">
        <v>19794</v>
      </c>
      <c r="K232" s="10">
        <v>186</v>
      </c>
      <c r="BE232">
        <v>229</v>
      </c>
      <c r="BF232" t="s">
        <v>336</v>
      </c>
      <c r="BG232" t="s">
        <v>704</v>
      </c>
      <c r="BH232" s="10">
        <v>73502</v>
      </c>
      <c r="BI232" s="11">
        <v>19794</v>
      </c>
      <c r="BJ232" t="s">
        <v>72</v>
      </c>
      <c r="BK232" s="10">
        <v>186</v>
      </c>
      <c r="BR232">
        <v>229</v>
      </c>
      <c r="BS232" t="s">
        <v>72</v>
      </c>
      <c r="BT232" s="10">
        <v>73502</v>
      </c>
      <c r="BU232" s="11">
        <v>19794</v>
      </c>
      <c r="BV232" s="10">
        <v>186</v>
      </c>
      <c r="BW232" s="1" t="str">
        <f>IF(BS232=$CA$12,COUNTIF($BS$4:BS232,$CA$12),"")</f>
        <v/>
      </c>
    </row>
    <row r="233" spans="5:75" x14ac:dyDescent="0.25">
      <c r="E233">
        <v>230</v>
      </c>
      <c r="F233" t="s">
        <v>337</v>
      </c>
      <c r="G233" t="s">
        <v>72</v>
      </c>
      <c r="H233" t="s">
        <v>705</v>
      </c>
      <c r="I233" s="10">
        <v>26036</v>
      </c>
      <c r="J233" s="11">
        <v>7840</v>
      </c>
      <c r="K233" s="10">
        <v>217</v>
      </c>
      <c r="BE233">
        <v>230</v>
      </c>
      <c r="BF233" t="s">
        <v>337</v>
      </c>
      <c r="BG233" t="s">
        <v>705</v>
      </c>
      <c r="BH233" s="10">
        <v>26036</v>
      </c>
      <c r="BI233" s="11">
        <v>7840</v>
      </c>
      <c r="BJ233" t="s">
        <v>72</v>
      </c>
      <c r="BK233" s="10">
        <v>217</v>
      </c>
      <c r="BR233">
        <v>230</v>
      </c>
      <c r="BS233" t="s">
        <v>72</v>
      </c>
      <c r="BT233" s="10">
        <v>26036</v>
      </c>
      <c r="BU233" s="11">
        <v>7840</v>
      </c>
      <c r="BV233" s="10">
        <v>217</v>
      </c>
      <c r="BW233" s="1" t="str">
        <f>IF(BS233=$CA$12,COUNTIF($BS$4:BS233,$CA$12),"")</f>
        <v/>
      </c>
    </row>
    <row r="234" spans="5:75" x14ac:dyDescent="0.25">
      <c r="E234">
        <v>231</v>
      </c>
      <c r="F234" t="s">
        <v>338</v>
      </c>
      <c r="G234" t="s">
        <v>72</v>
      </c>
      <c r="H234" t="s">
        <v>706</v>
      </c>
      <c r="I234" s="10">
        <v>91232</v>
      </c>
      <c r="J234" s="11">
        <v>29822</v>
      </c>
      <c r="K234" s="10">
        <v>1850</v>
      </c>
      <c r="BE234">
        <v>231</v>
      </c>
      <c r="BF234" t="s">
        <v>338</v>
      </c>
      <c r="BG234" t="s">
        <v>706</v>
      </c>
      <c r="BH234" s="10">
        <v>91232</v>
      </c>
      <c r="BI234" s="11">
        <v>29822</v>
      </c>
      <c r="BJ234" t="s">
        <v>72</v>
      </c>
      <c r="BK234" s="10">
        <v>1850</v>
      </c>
      <c r="BR234">
        <v>231</v>
      </c>
      <c r="BS234" t="s">
        <v>72</v>
      </c>
      <c r="BT234" s="10">
        <v>91232</v>
      </c>
      <c r="BU234" s="11">
        <v>29822</v>
      </c>
      <c r="BV234" s="10">
        <v>1850</v>
      </c>
      <c r="BW234" s="1" t="str">
        <f>IF(BS234=$CA$12,COUNTIF($BS$4:BS234,$CA$12),"")</f>
        <v/>
      </c>
    </row>
    <row r="235" spans="5:75" x14ac:dyDescent="0.25">
      <c r="E235">
        <v>232</v>
      </c>
      <c r="F235" t="s">
        <v>339</v>
      </c>
      <c r="G235" t="s">
        <v>72</v>
      </c>
      <c r="H235" t="s">
        <v>707</v>
      </c>
      <c r="I235" s="10">
        <v>11040</v>
      </c>
      <c r="J235" s="11">
        <v>4109</v>
      </c>
      <c r="K235" s="10">
        <v>34</v>
      </c>
      <c r="BE235">
        <v>232</v>
      </c>
      <c r="BF235" t="s">
        <v>339</v>
      </c>
      <c r="BG235" t="s">
        <v>707</v>
      </c>
      <c r="BH235" s="10">
        <v>11040</v>
      </c>
      <c r="BI235" s="11">
        <v>4109</v>
      </c>
      <c r="BJ235" t="s">
        <v>72</v>
      </c>
      <c r="BK235" s="10">
        <v>34</v>
      </c>
      <c r="BR235">
        <v>232</v>
      </c>
      <c r="BS235" t="s">
        <v>72</v>
      </c>
      <c r="BT235" s="10">
        <v>11040</v>
      </c>
      <c r="BU235" s="11">
        <v>4109</v>
      </c>
      <c r="BV235" s="10">
        <v>34</v>
      </c>
      <c r="BW235" s="1" t="str">
        <f>IF(BS235=$CA$12,COUNTIF($BS$4:BS235,$CA$12),"")</f>
        <v/>
      </c>
    </row>
    <row r="236" spans="5:75" x14ac:dyDescent="0.25">
      <c r="E236">
        <v>233</v>
      </c>
      <c r="F236" t="s">
        <v>340</v>
      </c>
      <c r="G236" t="s">
        <v>72</v>
      </c>
      <c r="H236" t="s">
        <v>708</v>
      </c>
      <c r="I236" s="10">
        <v>96704</v>
      </c>
      <c r="J236" s="11">
        <v>34680</v>
      </c>
      <c r="K236" s="10">
        <v>2112</v>
      </c>
      <c r="BE236">
        <v>233</v>
      </c>
      <c r="BF236" t="s">
        <v>340</v>
      </c>
      <c r="BG236" t="s">
        <v>708</v>
      </c>
      <c r="BH236" s="10">
        <v>96704</v>
      </c>
      <c r="BI236" s="11">
        <v>34680</v>
      </c>
      <c r="BJ236" t="s">
        <v>72</v>
      </c>
      <c r="BK236" s="10">
        <v>2112</v>
      </c>
      <c r="BR236">
        <v>233</v>
      </c>
      <c r="BS236" t="s">
        <v>72</v>
      </c>
      <c r="BT236" s="10">
        <v>96704</v>
      </c>
      <c r="BU236" s="11">
        <v>34680</v>
      </c>
      <c r="BV236" s="10">
        <v>2112</v>
      </c>
      <c r="BW236" s="1" t="str">
        <f>IF(BS236=$CA$12,COUNTIF($BS$4:BS236,$CA$12),"")</f>
        <v/>
      </c>
    </row>
    <row r="237" spans="5:75" x14ac:dyDescent="0.25">
      <c r="E237">
        <v>234</v>
      </c>
      <c r="F237" t="s">
        <v>341</v>
      </c>
      <c r="G237" t="s">
        <v>72</v>
      </c>
      <c r="H237" t="s">
        <v>709</v>
      </c>
      <c r="I237" s="10">
        <v>80106</v>
      </c>
      <c r="J237" s="11">
        <v>28693</v>
      </c>
      <c r="K237" s="10">
        <v>1125</v>
      </c>
      <c r="BE237">
        <v>234</v>
      </c>
      <c r="BF237" t="s">
        <v>341</v>
      </c>
      <c r="BG237" t="s">
        <v>709</v>
      </c>
      <c r="BH237" s="10">
        <v>80106</v>
      </c>
      <c r="BI237" s="11">
        <v>28693</v>
      </c>
      <c r="BJ237" t="s">
        <v>72</v>
      </c>
      <c r="BK237" s="10">
        <v>1125</v>
      </c>
      <c r="BR237">
        <v>234</v>
      </c>
      <c r="BS237" t="s">
        <v>72</v>
      </c>
      <c r="BT237" s="10">
        <v>80106</v>
      </c>
      <c r="BU237" s="11">
        <v>28693</v>
      </c>
      <c r="BV237" s="10">
        <v>1125</v>
      </c>
      <c r="BW237" s="1" t="str">
        <f>IF(BS237=$CA$12,COUNTIF($BS$4:BS237,$CA$12),"")</f>
        <v/>
      </c>
    </row>
    <row r="238" spans="5:75" x14ac:dyDescent="0.25">
      <c r="E238">
        <v>235</v>
      </c>
      <c r="F238" t="s">
        <v>342</v>
      </c>
      <c r="G238" t="s">
        <v>72</v>
      </c>
      <c r="H238" t="s">
        <v>710</v>
      </c>
      <c r="I238" s="10">
        <v>56459</v>
      </c>
      <c r="J238" s="11">
        <v>17545</v>
      </c>
      <c r="K238" s="10">
        <v>51</v>
      </c>
      <c r="BE238">
        <v>235</v>
      </c>
      <c r="BF238" t="s">
        <v>342</v>
      </c>
      <c r="BG238" t="s">
        <v>710</v>
      </c>
      <c r="BH238" s="10">
        <v>56459</v>
      </c>
      <c r="BI238" s="11">
        <v>17545</v>
      </c>
      <c r="BJ238" t="s">
        <v>72</v>
      </c>
      <c r="BK238" s="10">
        <v>51</v>
      </c>
      <c r="BR238">
        <v>235</v>
      </c>
      <c r="BS238" t="s">
        <v>72</v>
      </c>
      <c r="BT238" s="10">
        <v>56459</v>
      </c>
      <c r="BU238" s="11">
        <v>17545</v>
      </c>
      <c r="BV238" s="10">
        <v>51</v>
      </c>
      <c r="BW238" s="1" t="str">
        <f>IF(BS238=$CA$12,COUNTIF($BS$4:BS238,$CA$12),"")</f>
        <v/>
      </c>
    </row>
    <row r="239" spans="5:75" x14ac:dyDescent="0.25">
      <c r="E239">
        <v>236</v>
      </c>
      <c r="F239" t="s">
        <v>343</v>
      </c>
      <c r="G239" t="s">
        <v>72</v>
      </c>
      <c r="H239" t="s">
        <v>711</v>
      </c>
      <c r="I239" s="10">
        <v>35267</v>
      </c>
      <c r="J239" s="11">
        <v>13290</v>
      </c>
      <c r="K239" s="10">
        <v>827</v>
      </c>
      <c r="BE239">
        <v>236</v>
      </c>
      <c r="BF239" t="s">
        <v>343</v>
      </c>
      <c r="BG239" t="s">
        <v>711</v>
      </c>
      <c r="BH239" s="10">
        <v>35267</v>
      </c>
      <c r="BI239" s="11">
        <v>13290</v>
      </c>
      <c r="BJ239" t="s">
        <v>72</v>
      </c>
      <c r="BK239" s="10">
        <v>827</v>
      </c>
      <c r="BR239">
        <v>236</v>
      </c>
      <c r="BS239" t="s">
        <v>72</v>
      </c>
      <c r="BT239" s="10">
        <v>35267</v>
      </c>
      <c r="BU239" s="11">
        <v>13290</v>
      </c>
      <c r="BV239" s="10">
        <v>827</v>
      </c>
      <c r="BW239" s="1" t="str">
        <f>IF(BS239=$CA$12,COUNTIF($BS$4:BS239,$CA$12),"")</f>
        <v/>
      </c>
    </row>
    <row r="240" spans="5:75" x14ac:dyDescent="0.25">
      <c r="E240">
        <v>237</v>
      </c>
      <c r="F240" t="s">
        <v>344</v>
      </c>
      <c r="G240" t="s">
        <v>72</v>
      </c>
      <c r="H240" t="s">
        <v>712</v>
      </c>
      <c r="I240" s="10">
        <v>66211</v>
      </c>
      <c r="J240" s="11">
        <v>16976</v>
      </c>
      <c r="K240" s="10">
        <v>525</v>
      </c>
      <c r="BE240">
        <v>237</v>
      </c>
      <c r="BF240" t="s">
        <v>344</v>
      </c>
      <c r="BG240" t="s">
        <v>712</v>
      </c>
      <c r="BH240" s="10">
        <v>66211</v>
      </c>
      <c r="BI240" s="11">
        <v>16976</v>
      </c>
      <c r="BJ240" t="s">
        <v>72</v>
      </c>
      <c r="BK240" s="10">
        <v>525</v>
      </c>
      <c r="BR240">
        <v>237</v>
      </c>
      <c r="BS240" t="s">
        <v>72</v>
      </c>
      <c r="BT240" s="10">
        <v>66211</v>
      </c>
      <c r="BU240" s="11">
        <v>16976</v>
      </c>
      <c r="BV240" s="10">
        <v>525</v>
      </c>
      <c r="BW240" s="1" t="str">
        <f>IF(BS240=$CA$12,COUNTIF($BS$4:BS240,$CA$12),"")</f>
        <v/>
      </c>
    </row>
    <row r="241" spans="5:75" x14ac:dyDescent="0.25">
      <c r="E241">
        <v>238</v>
      </c>
      <c r="F241" t="s">
        <v>345</v>
      </c>
      <c r="G241" t="s">
        <v>72</v>
      </c>
      <c r="H241" t="s">
        <v>713</v>
      </c>
      <c r="I241" s="10">
        <v>23208</v>
      </c>
      <c r="J241" s="11">
        <v>8422</v>
      </c>
      <c r="K241" s="10">
        <v>209</v>
      </c>
      <c r="BE241">
        <v>238</v>
      </c>
      <c r="BF241" t="s">
        <v>345</v>
      </c>
      <c r="BG241" t="s">
        <v>713</v>
      </c>
      <c r="BH241" s="10">
        <v>23208</v>
      </c>
      <c r="BI241" s="11">
        <v>8422</v>
      </c>
      <c r="BJ241" t="s">
        <v>72</v>
      </c>
      <c r="BK241" s="10">
        <v>209</v>
      </c>
      <c r="BR241">
        <v>238</v>
      </c>
      <c r="BS241" t="s">
        <v>72</v>
      </c>
      <c r="BT241" s="10">
        <v>23208</v>
      </c>
      <c r="BU241" s="11">
        <v>8422</v>
      </c>
      <c r="BV241" s="10">
        <v>209</v>
      </c>
      <c r="BW241" s="1" t="str">
        <f>IF(BS241=$CA$12,COUNTIF($BS$4:BS241,$CA$12),"")</f>
        <v/>
      </c>
    </row>
    <row r="242" spans="5:75" x14ac:dyDescent="0.25">
      <c r="E242">
        <v>239</v>
      </c>
      <c r="F242" t="s">
        <v>346</v>
      </c>
      <c r="G242" t="s">
        <v>72</v>
      </c>
      <c r="H242" t="s">
        <v>714</v>
      </c>
      <c r="I242" s="10">
        <v>78784</v>
      </c>
      <c r="J242" s="11">
        <v>16749</v>
      </c>
      <c r="K242" s="10">
        <v>268</v>
      </c>
      <c r="BE242">
        <v>239</v>
      </c>
      <c r="BF242" t="s">
        <v>346</v>
      </c>
      <c r="BG242" t="s">
        <v>714</v>
      </c>
      <c r="BH242" s="10">
        <v>78784</v>
      </c>
      <c r="BI242" s="11">
        <v>16749</v>
      </c>
      <c r="BJ242" t="s">
        <v>72</v>
      </c>
      <c r="BK242" s="10">
        <v>268</v>
      </c>
      <c r="BR242">
        <v>239</v>
      </c>
      <c r="BS242" t="s">
        <v>72</v>
      </c>
      <c r="BT242" s="10">
        <v>78784</v>
      </c>
      <c r="BU242" s="11">
        <v>16749</v>
      </c>
      <c r="BV242" s="10">
        <v>268</v>
      </c>
      <c r="BW242" s="1" t="str">
        <f>IF(BS242=$CA$12,COUNTIF($BS$4:BS242,$CA$12),"")</f>
        <v/>
      </c>
    </row>
    <row r="243" spans="5:75" x14ac:dyDescent="0.25">
      <c r="E243">
        <v>240</v>
      </c>
      <c r="F243" t="s">
        <v>347</v>
      </c>
      <c r="G243" t="s">
        <v>72</v>
      </c>
      <c r="H243" t="s">
        <v>715</v>
      </c>
      <c r="I243" s="10">
        <v>100373</v>
      </c>
      <c r="J243" s="11">
        <v>21897</v>
      </c>
      <c r="K243" s="10">
        <v>488</v>
      </c>
      <c r="BE243">
        <v>240</v>
      </c>
      <c r="BF243" t="s">
        <v>347</v>
      </c>
      <c r="BG243" t="s">
        <v>715</v>
      </c>
      <c r="BH243" s="10">
        <v>100373</v>
      </c>
      <c r="BI243" s="11">
        <v>21897</v>
      </c>
      <c r="BJ243" t="s">
        <v>72</v>
      </c>
      <c r="BK243" s="10">
        <v>488</v>
      </c>
      <c r="BR243">
        <v>240</v>
      </c>
      <c r="BS243" t="s">
        <v>72</v>
      </c>
      <c r="BT243" s="10">
        <v>100373</v>
      </c>
      <c r="BU243" s="11">
        <v>21897</v>
      </c>
      <c r="BV243" s="10">
        <v>488</v>
      </c>
      <c r="BW243" s="1" t="str">
        <f>IF(BS243=$CA$12,COUNTIF($BS$4:BS243,$CA$12),"")</f>
        <v/>
      </c>
    </row>
    <row r="244" spans="5:75" x14ac:dyDescent="0.25">
      <c r="E244">
        <v>241</v>
      </c>
      <c r="F244" t="s">
        <v>348</v>
      </c>
      <c r="G244" t="s">
        <v>73</v>
      </c>
      <c r="H244" t="s">
        <v>704</v>
      </c>
      <c r="I244" s="10">
        <v>26166</v>
      </c>
      <c r="J244" s="11">
        <v>7643</v>
      </c>
      <c r="K244" s="10">
        <v>229</v>
      </c>
      <c r="BE244">
        <v>241</v>
      </c>
      <c r="BF244" t="s">
        <v>348</v>
      </c>
      <c r="BG244" t="s">
        <v>704</v>
      </c>
      <c r="BH244" s="10">
        <v>26166</v>
      </c>
      <c r="BI244" s="11">
        <v>7643</v>
      </c>
      <c r="BJ244" t="s">
        <v>73</v>
      </c>
      <c r="BK244" s="10">
        <v>229</v>
      </c>
      <c r="BR244">
        <v>241</v>
      </c>
      <c r="BS244" t="s">
        <v>73</v>
      </c>
      <c r="BT244" s="10">
        <v>26166</v>
      </c>
      <c r="BU244" s="11">
        <v>7643</v>
      </c>
      <c r="BV244" s="10">
        <v>229</v>
      </c>
      <c r="BW244" s="1" t="str">
        <f>IF(BS244=$CA$12,COUNTIF($BS$4:BS244,$CA$12),"")</f>
        <v/>
      </c>
    </row>
    <row r="245" spans="5:75" x14ac:dyDescent="0.25">
      <c r="E245">
        <v>242</v>
      </c>
      <c r="F245" t="s">
        <v>349</v>
      </c>
      <c r="G245" t="s">
        <v>73</v>
      </c>
      <c r="H245" t="s">
        <v>705</v>
      </c>
      <c r="I245" s="10">
        <v>118173</v>
      </c>
      <c r="J245" s="11">
        <v>42616</v>
      </c>
      <c r="K245" s="10">
        <v>3895</v>
      </c>
      <c r="BE245">
        <v>242</v>
      </c>
      <c r="BF245" t="s">
        <v>349</v>
      </c>
      <c r="BG245" t="s">
        <v>705</v>
      </c>
      <c r="BH245" s="10">
        <v>118173</v>
      </c>
      <c r="BI245" s="11">
        <v>42616</v>
      </c>
      <c r="BJ245" t="s">
        <v>73</v>
      </c>
      <c r="BK245" s="10">
        <v>3895</v>
      </c>
      <c r="BR245">
        <v>242</v>
      </c>
      <c r="BS245" t="s">
        <v>73</v>
      </c>
      <c r="BT245" s="10">
        <v>118173</v>
      </c>
      <c r="BU245" s="11">
        <v>42616</v>
      </c>
      <c r="BV245" s="10">
        <v>3895</v>
      </c>
      <c r="BW245" s="1" t="str">
        <f>IF(BS245=$CA$12,COUNTIF($BS$4:BS245,$CA$12),"")</f>
        <v/>
      </c>
    </row>
    <row r="246" spans="5:75" x14ac:dyDescent="0.25">
      <c r="E246">
        <v>243</v>
      </c>
      <c r="F246" t="s">
        <v>350</v>
      </c>
      <c r="G246" t="s">
        <v>73</v>
      </c>
      <c r="H246" t="s">
        <v>706</v>
      </c>
      <c r="I246" s="10">
        <v>53947</v>
      </c>
      <c r="J246" s="11">
        <v>11108</v>
      </c>
      <c r="K246" s="10">
        <v>691</v>
      </c>
      <c r="BE246">
        <v>243</v>
      </c>
      <c r="BF246" t="s">
        <v>350</v>
      </c>
      <c r="BG246" t="s">
        <v>706</v>
      </c>
      <c r="BH246" s="10">
        <v>53947</v>
      </c>
      <c r="BI246" s="11">
        <v>11108</v>
      </c>
      <c r="BJ246" t="s">
        <v>73</v>
      </c>
      <c r="BK246" s="10">
        <v>691</v>
      </c>
      <c r="BR246">
        <v>243</v>
      </c>
      <c r="BS246" t="s">
        <v>73</v>
      </c>
      <c r="BT246" s="10">
        <v>53947</v>
      </c>
      <c r="BU246" s="11">
        <v>11108</v>
      </c>
      <c r="BV246" s="10">
        <v>691</v>
      </c>
      <c r="BW246" s="1" t="str">
        <f>IF(BS246=$CA$12,COUNTIF($BS$4:BS246,$CA$12),"")</f>
        <v/>
      </c>
    </row>
    <row r="247" spans="5:75" x14ac:dyDescent="0.25">
      <c r="E247">
        <v>244</v>
      </c>
      <c r="F247" t="s">
        <v>351</v>
      </c>
      <c r="G247" t="s">
        <v>73</v>
      </c>
      <c r="H247" t="s">
        <v>707</v>
      </c>
      <c r="I247" s="10">
        <v>41235</v>
      </c>
      <c r="J247" s="11">
        <v>12994</v>
      </c>
      <c r="K247" s="10">
        <v>291</v>
      </c>
      <c r="BE247">
        <v>244</v>
      </c>
      <c r="BF247" t="s">
        <v>351</v>
      </c>
      <c r="BG247" t="s">
        <v>707</v>
      </c>
      <c r="BH247" s="10">
        <v>41235</v>
      </c>
      <c r="BI247" s="11">
        <v>12994</v>
      </c>
      <c r="BJ247" t="s">
        <v>73</v>
      </c>
      <c r="BK247" s="10">
        <v>291</v>
      </c>
      <c r="BR247">
        <v>244</v>
      </c>
      <c r="BS247" t="s">
        <v>73</v>
      </c>
      <c r="BT247" s="10">
        <v>41235</v>
      </c>
      <c r="BU247" s="11">
        <v>12994</v>
      </c>
      <c r="BV247" s="10">
        <v>291</v>
      </c>
      <c r="BW247" s="1" t="str">
        <f>IF(BS247=$CA$12,COUNTIF($BS$4:BS247,$CA$12),"")</f>
        <v/>
      </c>
    </row>
    <row r="248" spans="5:75" x14ac:dyDescent="0.25">
      <c r="E248">
        <v>245</v>
      </c>
      <c r="F248" t="s">
        <v>352</v>
      </c>
      <c r="G248" t="s">
        <v>73</v>
      </c>
      <c r="H248" t="s">
        <v>708</v>
      </c>
      <c r="I248" s="10">
        <v>136742</v>
      </c>
      <c r="J248" s="11">
        <v>37275</v>
      </c>
      <c r="K248" s="10">
        <v>2749</v>
      </c>
      <c r="BE248">
        <v>245</v>
      </c>
      <c r="BF248" t="s">
        <v>352</v>
      </c>
      <c r="BG248" t="s">
        <v>708</v>
      </c>
      <c r="BH248" s="10">
        <v>136742</v>
      </c>
      <c r="BI248" s="11">
        <v>37275</v>
      </c>
      <c r="BJ248" t="s">
        <v>73</v>
      </c>
      <c r="BK248" s="10">
        <v>2749</v>
      </c>
      <c r="BR248">
        <v>245</v>
      </c>
      <c r="BS248" t="s">
        <v>73</v>
      </c>
      <c r="BT248" s="10">
        <v>136742</v>
      </c>
      <c r="BU248" s="11">
        <v>37275</v>
      </c>
      <c r="BV248" s="10">
        <v>2749</v>
      </c>
      <c r="BW248" s="1" t="str">
        <f>IF(BS248=$CA$12,COUNTIF($BS$4:BS248,$CA$12),"")</f>
        <v/>
      </c>
    </row>
    <row r="249" spans="5:75" x14ac:dyDescent="0.25">
      <c r="E249">
        <v>246</v>
      </c>
      <c r="F249" t="s">
        <v>353</v>
      </c>
      <c r="G249" t="s">
        <v>73</v>
      </c>
      <c r="H249" t="s">
        <v>709</v>
      </c>
      <c r="I249" s="10">
        <v>122807</v>
      </c>
      <c r="J249" s="11">
        <v>31045</v>
      </c>
      <c r="K249" s="10">
        <v>1321</v>
      </c>
      <c r="BE249">
        <v>246</v>
      </c>
      <c r="BF249" t="s">
        <v>353</v>
      </c>
      <c r="BG249" t="s">
        <v>709</v>
      </c>
      <c r="BH249" s="10">
        <v>122807</v>
      </c>
      <c r="BI249" s="11">
        <v>31045</v>
      </c>
      <c r="BJ249" t="s">
        <v>73</v>
      </c>
      <c r="BK249" s="10">
        <v>1321</v>
      </c>
      <c r="BR249">
        <v>246</v>
      </c>
      <c r="BS249" t="s">
        <v>73</v>
      </c>
      <c r="BT249" s="10">
        <v>122807</v>
      </c>
      <c r="BU249" s="11">
        <v>31045</v>
      </c>
      <c r="BV249" s="10">
        <v>1321</v>
      </c>
      <c r="BW249" s="1" t="str">
        <f>IF(BS249=$CA$12,COUNTIF($BS$4:BS249,$CA$12),"")</f>
        <v/>
      </c>
    </row>
    <row r="250" spans="5:75" x14ac:dyDescent="0.25">
      <c r="E250">
        <v>247</v>
      </c>
      <c r="F250" t="s">
        <v>354</v>
      </c>
      <c r="G250" t="s">
        <v>73</v>
      </c>
      <c r="H250" t="s">
        <v>710</v>
      </c>
      <c r="I250" s="10">
        <v>12687</v>
      </c>
      <c r="J250" s="11">
        <v>4060</v>
      </c>
      <c r="K250" s="10">
        <v>246</v>
      </c>
      <c r="BE250">
        <v>247</v>
      </c>
      <c r="BF250" t="s">
        <v>354</v>
      </c>
      <c r="BG250" t="s">
        <v>710</v>
      </c>
      <c r="BH250" s="10">
        <v>12687</v>
      </c>
      <c r="BI250" s="11">
        <v>4060</v>
      </c>
      <c r="BJ250" t="s">
        <v>73</v>
      </c>
      <c r="BK250" s="10">
        <v>246</v>
      </c>
      <c r="BR250">
        <v>247</v>
      </c>
      <c r="BS250" t="s">
        <v>73</v>
      </c>
      <c r="BT250" s="10">
        <v>12687</v>
      </c>
      <c r="BU250" s="11">
        <v>4060</v>
      </c>
      <c r="BV250" s="10">
        <v>246</v>
      </c>
      <c r="BW250" s="1" t="str">
        <f>IF(BS250=$CA$12,COUNTIF($BS$4:BS250,$CA$12),"")</f>
        <v/>
      </c>
    </row>
    <row r="251" spans="5:75" x14ac:dyDescent="0.25">
      <c r="E251">
        <v>248</v>
      </c>
      <c r="F251" t="s">
        <v>355</v>
      </c>
      <c r="G251" t="s">
        <v>73</v>
      </c>
      <c r="H251" t="s">
        <v>711</v>
      </c>
      <c r="I251" s="10">
        <v>15046</v>
      </c>
      <c r="J251" s="11">
        <v>5449</v>
      </c>
      <c r="K251" s="10">
        <v>229</v>
      </c>
      <c r="BE251">
        <v>248</v>
      </c>
      <c r="BF251" t="s">
        <v>355</v>
      </c>
      <c r="BG251" t="s">
        <v>711</v>
      </c>
      <c r="BH251" s="10">
        <v>15046</v>
      </c>
      <c r="BI251" s="11">
        <v>5449</v>
      </c>
      <c r="BJ251" t="s">
        <v>73</v>
      </c>
      <c r="BK251" s="10">
        <v>229</v>
      </c>
      <c r="BR251">
        <v>248</v>
      </c>
      <c r="BS251" t="s">
        <v>73</v>
      </c>
      <c r="BT251" s="10">
        <v>15046</v>
      </c>
      <c r="BU251" s="11">
        <v>5449</v>
      </c>
      <c r="BV251" s="10">
        <v>229</v>
      </c>
      <c r="BW251" s="1" t="str">
        <f>IF(BS251=$CA$12,COUNTIF($BS$4:BS251,$CA$12),"")</f>
        <v/>
      </c>
    </row>
    <row r="252" spans="5:75" x14ac:dyDescent="0.25">
      <c r="E252">
        <v>249</v>
      </c>
      <c r="F252" t="s">
        <v>356</v>
      </c>
      <c r="G252" t="s">
        <v>73</v>
      </c>
      <c r="H252" t="s">
        <v>712</v>
      </c>
      <c r="I252" s="10">
        <v>99138</v>
      </c>
      <c r="J252" s="11">
        <v>32671</v>
      </c>
      <c r="K252" s="10">
        <v>2591</v>
      </c>
      <c r="BE252">
        <v>249</v>
      </c>
      <c r="BF252" t="s">
        <v>356</v>
      </c>
      <c r="BG252" t="s">
        <v>712</v>
      </c>
      <c r="BH252" s="10">
        <v>99138</v>
      </c>
      <c r="BI252" s="11">
        <v>32671</v>
      </c>
      <c r="BJ252" t="s">
        <v>73</v>
      </c>
      <c r="BK252" s="10">
        <v>2591</v>
      </c>
      <c r="BR252">
        <v>249</v>
      </c>
      <c r="BS252" t="s">
        <v>73</v>
      </c>
      <c r="BT252" s="10">
        <v>99138</v>
      </c>
      <c r="BU252" s="11">
        <v>32671</v>
      </c>
      <c r="BV252" s="10">
        <v>2591</v>
      </c>
      <c r="BW252" s="1" t="str">
        <f>IF(BS252=$CA$12,COUNTIF($BS$4:BS252,$CA$12),"")</f>
        <v/>
      </c>
    </row>
    <row r="253" spans="5:75" x14ac:dyDescent="0.25">
      <c r="E253">
        <v>250</v>
      </c>
      <c r="F253" t="s">
        <v>357</v>
      </c>
      <c r="G253" t="s">
        <v>73</v>
      </c>
      <c r="H253" t="s">
        <v>713</v>
      </c>
      <c r="I253" s="10">
        <v>98203</v>
      </c>
      <c r="J253" s="11">
        <v>33675</v>
      </c>
      <c r="K253" s="10">
        <v>2361</v>
      </c>
      <c r="BE253">
        <v>250</v>
      </c>
      <c r="BF253" t="s">
        <v>357</v>
      </c>
      <c r="BG253" t="s">
        <v>713</v>
      </c>
      <c r="BH253" s="10">
        <v>98203</v>
      </c>
      <c r="BI253" s="11">
        <v>33675</v>
      </c>
      <c r="BJ253" t="s">
        <v>73</v>
      </c>
      <c r="BK253" s="10">
        <v>2361</v>
      </c>
      <c r="BR253">
        <v>250</v>
      </c>
      <c r="BS253" t="s">
        <v>73</v>
      </c>
      <c r="BT253" s="10">
        <v>98203</v>
      </c>
      <c r="BU253" s="11">
        <v>33675</v>
      </c>
      <c r="BV253" s="10">
        <v>2361</v>
      </c>
      <c r="BW253" s="1" t="str">
        <f>IF(BS253=$CA$12,COUNTIF($BS$4:BS253,$CA$12),"")</f>
        <v/>
      </c>
    </row>
    <row r="254" spans="5:75" x14ac:dyDescent="0.25">
      <c r="E254">
        <v>251</v>
      </c>
      <c r="F254" t="s">
        <v>358</v>
      </c>
      <c r="G254" t="s">
        <v>73</v>
      </c>
      <c r="H254" t="s">
        <v>714</v>
      </c>
      <c r="I254" s="10">
        <v>86547</v>
      </c>
      <c r="J254" s="11">
        <v>28474</v>
      </c>
      <c r="K254" s="10">
        <v>1843</v>
      </c>
      <c r="BE254">
        <v>251</v>
      </c>
      <c r="BF254" t="s">
        <v>358</v>
      </c>
      <c r="BG254" t="s">
        <v>714</v>
      </c>
      <c r="BH254" s="10">
        <v>86547</v>
      </c>
      <c r="BI254" s="11">
        <v>28474</v>
      </c>
      <c r="BJ254" t="s">
        <v>73</v>
      </c>
      <c r="BK254" s="10">
        <v>1843</v>
      </c>
      <c r="BR254">
        <v>251</v>
      </c>
      <c r="BS254" t="s">
        <v>73</v>
      </c>
      <c r="BT254" s="10">
        <v>86547</v>
      </c>
      <c r="BU254" s="11">
        <v>28474</v>
      </c>
      <c r="BV254" s="10">
        <v>1843</v>
      </c>
      <c r="BW254" s="1" t="str">
        <f>IF(BS254=$CA$12,COUNTIF($BS$4:BS254,$CA$12),"")</f>
        <v/>
      </c>
    </row>
    <row r="255" spans="5:75" x14ac:dyDescent="0.25">
      <c r="E255">
        <v>252</v>
      </c>
      <c r="F255" t="s">
        <v>359</v>
      </c>
      <c r="G255" t="s">
        <v>73</v>
      </c>
      <c r="H255" t="s">
        <v>715</v>
      </c>
      <c r="I255" s="10">
        <v>135894</v>
      </c>
      <c r="J255" s="11">
        <v>33780</v>
      </c>
      <c r="K255" s="10">
        <v>2008</v>
      </c>
      <c r="BE255">
        <v>252</v>
      </c>
      <c r="BF255" t="s">
        <v>359</v>
      </c>
      <c r="BG255" t="s">
        <v>715</v>
      </c>
      <c r="BH255" s="10">
        <v>135894</v>
      </c>
      <c r="BI255" s="11">
        <v>33780</v>
      </c>
      <c r="BJ255" t="s">
        <v>73</v>
      </c>
      <c r="BK255" s="10">
        <v>2008</v>
      </c>
      <c r="BR255">
        <v>252</v>
      </c>
      <c r="BS255" t="s">
        <v>73</v>
      </c>
      <c r="BT255" s="10">
        <v>135894</v>
      </c>
      <c r="BU255" s="11">
        <v>33780</v>
      </c>
      <c r="BV255" s="10">
        <v>2008</v>
      </c>
      <c r="BW255" s="1" t="str">
        <f>IF(BS255=$CA$12,COUNTIF($BS$4:BS255,$CA$12),"")</f>
        <v/>
      </c>
    </row>
    <row r="256" spans="5:75" x14ac:dyDescent="0.25">
      <c r="E256">
        <v>253</v>
      </c>
      <c r="F256" t="s">
        <v>360</v>
      </c>
      <c r="G256" t="s">
        <v>74</v>
      </c>
      <c r="H256" t="s">
        <v>704</v>
      </c>
      <c r="I256" s="10">
        <v>99675</v>
      </c>
      <c r="J256" s="11">
        <v>29642</v>
      </c>
      <c r="K256" s="10">
        <v>124</v>
      </c>
      <c r="BE256">
        <v>253</v>
      </c>
      <c r="BF256" t="s">
        <v>360</v>
      </c>
      <c r="BG256" t="s">
        <v>704</v>
      </c>
      <c r="BH256" s="10">
        <v>99675</v>
      </c>
      <c r="BI256" s="11">
        <v>29642</v>
      </c>
      <c r="BJ256" t="s">
        <v>74</v>
      </c>
      <c r="BK256" s="10">
        <v>124</v>
      </c>
      <c r="BR256">
        <v>253</v>
      </c>
      <c r="BS256" t="s">
        <v>74</v>
      </c>
      <c r="BT256" s="10">
        <v>99675</v>
      </c>
      <c r="BU256" s="11">
        <v>29642</v>
      </c>
      <c r="BV256" s="10">
        <v>124</v>
      </c>
      <c r="BW256" s="1" t="str">
        <f>IF(BS256=$CA$12,COUNTIF($BS$4:BS256,$CA$12),"")</f>
        <v/>
      </c>
    </row>
    <row r="257" spans="5:75" x14ac:dyDescent="0.25">
      <c r="E257">
        <v>254</v>
      </c>
      <c r="F257" t="s">
        <v>361</v>
      </c>
      <c r="G257" t="s">
        <v>74</v>
      </c>
      <c r="H257" t="s">
        <v>705</v>
      </c>
      <c r="I257" s="10">
        <v>83694</v>
      </c>
      <c r="J257" s="11">
        <v>21543</v>
      </c>
      <c r="K257" s="10">
        <v>133</v>
      </c>
      <c r="BE257">
        <v>254</v>
      </c>
      <c r="BF257" t="s">
        <v>361</v>
      </c>
      <c r="BG257" t="s">
        <v>705</v>
      </c>
      <c r="BH257" s="10">
        <v>83694</v>
      </c>
      <c r="BI257" s="11">
        <v>21543</v>
      </c>
      <c r="BJ257" t="s">
        <v>74</v>
      </c>
      <c r="BK257" s="10">
        <v>133</v>
      </c>
      <c r="BR257">
        <v>254</v>
      </c>
      <c r="BS257" t="s">
        <v>74</v>
      </c>
      <c r="BT257" s="10">
        <v>83694</v>
      </c>
      <c r="BU257" s="11">
        <v>21543</v>
      </c>
      <c r="BV257" s="10">
        <v>133</v>
      </c>
      <c r="BW257" s="1" t="str">
        <f>IF(BS257=$CA$12,COUNTIF($BS$4:BS257,$CA$12),"")</f>
        <v/>
      </c>
    </row>
    <row r="258" spans="5:75" x14ac:dyDescent="0.25">
      <c r="E258">
        <v>255</v>
      </c>
      <c r="F258" t="s">
        <v>362</v>
      </c>
      <c r="G258" t="s">
        <v>74</v>
      </c>
      <c r="H258" t="s">
        <v>706</v>
      </c>
      <c r="I258" s="10">
        <v>65520</v>
      </c>
      <c r="J258" s="11">
        <v>23883</v>
      </c>
      <c r="K258" s="10">
        <v>1249</v>
      </c>
      <c r="BE258">
        <v>255</v>
      </c>
      <c r="BF258" t="s">
        <v>362</v>
      </c>
      <c r="BG258" t="s">
        <v>706</v>
      </c>
      <c r="BH258" s="10">
        <v>65520</v>
      </c>
      <c r="BI258" s="11">
        <v>23883</v>
      </c>
      <c r="BJ258" t="s">
        <v>74</v>
      </c>
      <c r="BK258" s="10">
        <v>1249</v>
      </c>
      <c r="BR258">
        <v>255</v>
      </c>
      <c r="BS258" t="s">
        <v>74</v>
      </c>
      <c r="BT258" s="10">
        <v>65520</v>
      </c>
      <c r="BU258" s="11">
        <v>23883</v>
      </c>
      <c r="BV258" s="10">
        <v>1249</v>
      </c>
      <c r="BW258" s="1" t="str">
        <f>IF(BS258=$CA$12,COUNTIF($BS$4:BS258,$CA$12),"")</f>
        <v/>
      </c>
    </row>
    <row r="259" spans="5:75" x14ac:dyDescent="0.25">
      <c r="E259">
        <v>256</v>
      </c>
      <c r="F259" t="s">
        <v>363</v>
      </c>
      <c r="G259" t="s">
        <v>74</v>
      </c>
      <c r="H259" t="s">
        <v>707</v>
      </c>
      <c r="I259" s="10">
        <v>132632</v>
      </c>
      <c r="J259" s="11">
        <v>38951</v>
      </c>
      <c r="K259" s="10">
        <v>821</v>
      </c>
      <c r="BE259">
        <v>256</v>
      </c>
      <c r="BF259" t="s">
        <v>363</v>
      </c>
      <c r="BG259" t="s">
        <v>707</v>
      </c>
      <c r="BH259" s="10">
        <v>132632</v>
      </c>
      <c r="BI259" s="11">
        <v>38951</v>
      </c>
      <c r="BJ259" t="s">
        <v>74</v>
      </c>
      <c r="BK259" s="10">
        <v>821</v>
      </c>
      <c r="BR259">
        <v>256</v>
      </c>
      <c r="BS259" t="s">
        <v>74</v>
      </c>
      <c r="BT259" s="10">
        <v>132632</v>
      </c>
      <c r="BU259" s="11">
        <v>38951</v>
      </c>
      <c r="BV259" s="10">
        <v>821</v>
      </c>
      <c r="BW259" s="1" t="str">
        <f>IF(BS259=$CA$12,COUNTIF($BS$4:BS259,$CA$12),"")</f>
        <v/>
      </c>
    </row>
    <row r="260" spans="5:75" x14ac:dyDescent="0.25">
      <c r="E260">
        <v>257</v>
      </c>
      <c r="F260" t="s">
        <v>364</v>
      </c>
      <c r="G260" t="s">
        <v>74</v>
      </c>
      <c r="H260" t="s">
        <v>708</v>
      </c>
      <c r="I260" s="10">
        <v>65031</v>
      </c>
      <c r="J260" s="11">
        <v>17570</v>
      </c>
      <c r="K260" s="10">
        <v>1317</v>
      </c>
      <c r="BE260">
        <v>257</v>
      </c>
      <c r="BF260" t="s">
        <v>364</v>
      </c>
      <c r="BG260" t="s">
        <v>708</v>
      </c>
      <c r="BH260" s="10">
        <v>65031</v>
      </c>
      <c r="BI260" s="11">
        <v>17570</v>
      </c>
      <c r="BJ260" t="s">
        <v>74</v>
      </c>
      <c r="BK260" s="10">
        <v>1317</v>
      </c>
      <c r="BR260">
        <v>257</v>
      </c>
      <c r="BS260" t="s">
        <v>74</v>
      </c>
      <c r="BT260" s="10">
        <v>65031</v>
      </c>
      <c r="BU260" s="11">
        <v>17570</v>
      </c>
      <c r="BV260" s="10">
        <v>1317</v>
      </c>
      <c r="BW260" s="1" t="str">
        <f>IF(BS260=$CA$12,COUNTIF($BS$4:BS260,$CA$12),"")</f>
        <v/>
      </c>
    </row>
    <row r="261" spans="5:75" x14ac:dyDescent="0.25">
      <c r="E261">
        <v>258</v>
      </c>
      <c r="F261" t="s">
        <v>365</v>
      </c>
      <c r="G261" t="s">
        <v>74</v>
      </c>
      <c r="H261" t="s">
        <v>709</v>
      </c>
      <c r="I261" s="10">
        <v>85627</v>
      </c>
      <c r="J261" s="11">
        <v>26284</v>
      </c>
      <c r="K261" s="10">
        <v>1572</v>
      </c>
      <c r="BE261">
        <v>258</v>
      </c>
      <c r="BF261" t="s">
        <v>365</v>
      </c>
      <c r="BG261" t="s">
        <v>709</v>
      </c>
      <c r="BH261" s="10">
        <v>85627</v>
      </c>
      <c r="BI261" s="11">
        <v>26284</v>
      </c>
      <c r="BJ261" t="s">
        <v>74</v>
      </c>
      <c r="BK261" s="10">
        <v>1572</v>
      </c>
      <c r="BR261">
        <v>258</v>
      </c>
      <c r="BS261" t="s">
        <v>74</v>
      </c>
      <c r="BT261" s="10">
        <v>85627</v>
      </c>
      <c r="BU261" s="11">
        <v>26284</v>
      </c>
      <c r="BV261" s="10">
        <v>1572</v>
      </c>
      <c r="BW261" s="1" t="str">
        <f>IF(BS261=$CA$12,COUNTIF($BS$4:BS261,$CA$12),"")</f>
        <v/>
      </c>
    </row>
    <row r="262" spans="5:75" x14ac:dyDescent="0.25">
      <c r="E262">
        <v>259</v>
      </c>
      <c r="F262">
        <v>131346464827</v>
      </c>
      <c r="G262" t="s">
        <v>74</v>
      </c>
      <c r="H262" t="s">
        <v>710</v>
      </c>
      <c r="I262" s="10">
        <v>40446</v>
      </c>
      <c r="J262" s="11">
        <v>8475</v>
      </c>
      <c r="K262" s="10">
        <v>589</v>
      </c>
      <c r="BE262">
        <v>259</v>
      </c>
      <c r="BF262">
        <v>131346464827</v>
      </c>
      <c r="BG262" t="s">
        <v>710</v>
      </c>
      <c r="BH262" s="10">
        <v>40446</v>
      </c>
      <c r="BI262" s="11">
        <v>8475</v>
      </c>
      <c r="BJ262" t="s">
        <v>74</v>
      </c>
      <c r="BK262" s="10">
        <v>589</v>
      </c>
      <c r="BR262">
        <v>259</v>
      </c>
      <c r="BS262" t="s">
        <v>74</v>
      </c>
      <c r="BT262" s="10">
        <v>40446</v>
      </c>
      <c r="BU262" s="11">
        <v>8475</v>
      </c>
      <c r="BV262" s="10">
        <v>589</v>
      </c>
      <c r="BW262" s="1" t="str">
        <f>IF(BS262=$CA$12,COUNTIF($BS$4:BS262,$CA$12),"")</f>
        <v/>
      </c>
    </row>
    <row r="263" spans="5:75" x14ac:dyDescent="0.25">
      <c r="E263">
        <v>260</v>
      </c>
      <c r="F263" t="s">
        <v>366</v>
      </c>
      <c r="G263" t="s">
        <v>74</v>
      </c>
      <c r="H263" t="s">
        <v>711</v>
      </c>
      <c r="I263" s="10">
        <v>128202</v>
      </c>
      <c r="J263" s="11">
        <v>47695</v>
      </c>
      <c r="K263" s="10">
        <v>1917</v>
      </c>
      <c r="BE263">
        <v>260</v>
      </c>
      <c r="BF263" t="s">
        <v>366</v>
      </c>
      <c r="BG263" t="s">
        <v>711</v>
      </c>
      <c r="BH263" s="10">
        <v>128202</v>
      </c>
      <c r="BI263" s="11">
        <v>47695</v>
      </c>
      <c r="BJ263" t="s">
        <v>74</v>
      </c>
      <c r="BK263" s="10">
        <v>1917</v>
      </c>
      <c r="BR263">
        <v>260</v>
      </c>
      <c r="BS263" t="s">
        <v>74</v>
      </c>
      <c r="BT263" s="10">
        <v>128202</v>
      </c>
      <c r="BU263" s="11">
        <v>47695</v>
      </c>
      <c r="BV263" s="10">
        <v>1917</v>
      </c>
      <c r="BW263" s="1" t="str">
        <f>IF(BS263=$CA$12,COUNTIF($BS$4:BS263,$CA$12),"")</f>
        <v/>
      </c>
    </row>
    <row r="264" spans="5:75" x14ac:dyDescent="0.25">
      <c r="E264">
        <v>261</v>
      </c>
      <c r="F264" t="s">
        <v>367</v>
      </c>
      <c r="G264" t="s">
        <v>74</v>
      </c>
      <c r="H264" t="s">
        <v>712</v>
      </c>
      <c r="I264" s="10">
        <v>103803</v>
      </c>
      <c r="J264" s="11">
        <v>32999</v>
      </c>
      <c r="K264" s="10">
        <v>1742</v>
      </c>
      <c r="BE264">
        <v>261</v>
      </c>
      <c r="BF264" t="s">
        <v>367</v>
      </c>
      <c r="BG264" t="s">
        <v>712</v>
      </c>
      <c r="BH264" s="10">
        <v>103803</v>
      </c>
      <c r="BI264" s="11">
        <v>32999</v>
      </c>
      <c r="BJ264" t="s">
        <v>74</v>
      </c>
      <c r="BK264" s="10">
        <v>1742</v>
      </c>
      <c r="BR264">
        <v>261</v>
      </c>
      <c r="BS264" t="s">
        <v>74</v>
      </c>
      <c r="BT264" s="10">
        <v>103803</v>
      </c>
      <c r="BU264" s="11">
        <v>32999</v>
      </c>
      <c r="BV264" s="10">
        <v>1742</v>
      </c>
      <c r="BW264" s="1" t="str">
        <f>IF(BS264=$CA$12,COUNTIF($BS$4:BS264,$CA$12),"")</f>
        <v/>
      </c>
    </row>
    <row r="265" spans="5:75" x14ac:dyDescent="0.25">
      <c r="E265">
        <v>262</v>
      </c>
      <c r="F265" t="s">
        <v>368</v>
      </c>
      <c r="G265" t="s">
        <v>74</v>
      </c>
      <c r="H265" t="s">
        <v>713</v>
      </c>
      <c r="I265" s="10">
        <v>137073</v>
      </c>
      <c r="J265" s="11">
        <v>49982</v>
      </c>
      <c r="K265" s="10">
        <v>647</v>
      </c>
      <c r="BE265">
        <v>262</v>
      </c>
      <c r="BF265" t="s">
        <v>368</v>
      </c>
      <c r="BG265" t="s">
        <v>713</v>
      </c>
      <c r="BH265" s="10">
        <v>137073</v>
      </c>
      <c r="BI265" s="11">
        <v>49982</v>
      </c>
      <c r="BJ265" t="s">
        <v>74</v>
      </c>
      <c r="BK265" s="10">
        <v>647</v>
      </c>
      <c r="BR265">
        <v>262</v>
      </c>
      <c r="BS265" t="s">
        <v>74</v>
      </c>
      <c r="BT265" s="10">
        <v>137073</v>
      </c>
      <c r="BU265" s="11">
        <v>49982</v>
      </c>
      <c r="BV265" s="10">
        <v>647</v>
      </c>
      <c r="BW265" s="1" t="str">
        <f>IF(BS265=$CA$12,COUNTIF($BS$4:BS265,$CA$12),"")</f>
        <v/>
      </c>
    </row>
    <row r="266" spans="5:75" x14ac:dyDescent="0.25">
      <c r="E266">
        <v>263</v>
      </c>
      <c r="F266" t="s">
        <v>369</v>
      </c>
      <c r="G266" t="s">
        <v>74</v>
      </c>
      <c r="H266" t="s">
        <v>714</v>
      </c>
      <c r="I266" s="10">
        <v>85712</v>
      </c>
      <c r="J266" s="11">
        <v>21229</v>
      </c>
      <c r="K266" s="10">
        <v>1382</v>
      </c>
      <c r="BE266">
        <v>263</v>
      </c>
      <c r="BF266" t="s">
        <v>369</v>
      </c>
      <c r="BG266" t="s">
        <v>714</v>
      </c>
      <c r="BH266" s="10">
        <v>85712</v>
      </c>
      <c r="BI266" s="11">
        <v>21229</v>
      </c>
      <c r="BJ266" t="s">
        <v>74</v>
      </c>
      <c r="BK266" s="10">
        <v>1382</v>
      </c>
      <c r="BR266">
        <v>263</v>
      </c>
      <c r="BS266" t="s">
        <v>74</v>
      </c>
      <c r="BT266" s="10">
        <v>85712</v>
      </c>
      <c r="BU266" s="11">
        <v>21229</v>
      </c>
      <c r="BV266" s="10">
        <v>1382</v>
      </c>
      <c r="BW266" s="1" t="str">
        <f>IF(BS266=$CA$12,COUNTIF($BS$4:BS266,$CA$12),"")</f>
        <v/>
      </c>
    </row>
    <row r="267" spans="5:75" x14ac:dyDescent="0.25">
      <c r="E267">
        <v>264</v>
      </c>
      <c r="F267" t="s">
        <v>370</v>
      </c>
      <c r="G267" t="s">
        <v>74</v>
      </c>
      <c r="H267" t="s">
        <v>715</v>
      </c>
      <c r="I267" s="10">
        <v>55117</v>
      </c>
      <c r="J267" s="11">
        <v>20733</v>
      </c>
      <c r="K267" s="10">
        <v>1216</v>
      </c>
      <c r="BE267">
        <v>264</v>
      </c>
      <c r="BF267" t="s">
        <v>370</v>
      </c>
      <c r="BG267" t="s">
        <v>715</v>
      </c>
      <c r="BH267" s="10">
        <v>55117</v>
      </c>
      <c r="BI267" s="11">
        <v>20733</v>
      </c>
      <c r="BJ267" t="s">
        <v>74</v>
      </c>
      <c r="BK267" s="10">
        <v>1216</v>
      </c>
      <c r="BR267">
        <v>264</v>
      </c>
      <c r="BS267" t="s">
        <v>74</v>
      </c>
      <c r="BT267" s="10">
        <v>55117</v>
      </c>
      <c r="BU267" s="11">
        <v>20733</v>
      </c>
      <c r="BV267" s="10">
        <v>1216</v>
      </c>
      <c r="BW267" s="1" t="str">
        <f>IF(BS267=$CA$12,COUNTIF($BS$4:BS267,$CA$12),"")</f>
        <v/>
      </c>
    </row>
    <row r="268" spans="5:75" x14ac:dyDescent="0.25">
      <c r="E268">
        <v>265</v>
      </c>
      <c r="F268" t="s">
        <v>371</v>
      </c>
      <c r="G268" t="s">
        <v>75</v>
      </c>
      <c r="H268" t="s">
        <v>704</v>
      </c>
      <c r="I268" s="10">
        <v>84981</v>
      </c>
      <c r="J268" s="11">
        <v>30858</v>
      </c>
      <c r="K268" s="10">
        <v>76</v>
      </c>
      <c r="BE268">
        <v>265</v>
      </c>
      <c r="BF268" t="s">
        <v>371</v>
      </c>
      <c r="BG268" t="s">
        <v>704</v>
      </c>
      <c r="BH268" s="10">
        <v>84981</v>
      </c>
      <c r="BI268" s="11">
        <v>30858</v>
      </c>
      <c r="BJ268" t="s">
        <v>75</v>
      </c>
      <c r="BK268" s="10">
        <v>76</v>
      </c>
      <c r="BR268">
        <v>265</v>
      </c>
      <c r="BS268" t="s">
        <v>75</v>
      </c>
      <c r="BT268" s="10">
        <v>84981</v>
      </c>
      <c r="BU268" s="11">
        <v>30858</v>
      </c>
      <c r="BV268" s="10">
        <v>76</v>
      </c>
      <c r="BW268" s="1" t="str">
        <f>IF(BS268=$CA$12,COUNTIF($BS$4:BS268,$CA$12),"")</f>
        <v/>
      </c>
    </row>
    <row r="269" spans="5:75" x14ac:dyDescent="0.25">
      <c r="E269">
        <v>266</v>
      </c>
      <c r="F269" t="s">
        <v>372</v>
      </c>
      <c r="G269" t="s">
        <v>75</v>
      </c>
      <c r="H269" t="s">
        <v>705</v>
      </c>
      <c r="I269" s="10">
        <v>42256</v>
      </c>
      <c r="J269" s="11">
        <v>14032</v>
      </c>
      <c r="K269" s="10">
        <v>1049</v>
      </c>
      <c r="BE269">
        <v>266</v>
      </c>
      <c r="BF269" t="s">
        <v>372</v>
      </c>
      <c r="BG269" t="s">
        <v>705</v>
      </c>
      <c r="BH269" s="10">
        <v>42256</v>
      </c>
      <c r="BI269" s="11">
        <v>14032</v>
      </c>
      <c r="BJ269" t="s">
        <v>75</v>
      </c>
      <c r="BK269" s="10">
        <v>1049</v>
      </c>
      <c r="BR269">
        <v>266</v>
      </c>
      <c r="BS269" t="s">
        <v>75</v>
      </c>
      <c r="BT269" s="10">
        <v>42256</v>
      </c>
      <c r="BU269" s="11">
        <v>14032</v>
      </c>
      <c r="BV269" s="10">
        <v>1049</v>
      </c>
      <c r="BW269" s="1" t="str">
        <f>IF(BS269=$CA$12,COUNTIF($BS$4:BS269,$CA$12),"")</f>
        <v/>
      </c>
    </row>
    <row r="270" spans="5:75" x14ac:dyDescent="0.25">
      <c r="E270">
        <v>267</v>
      </c>
      <c r="F270" t="s">
        <v>373</v>
      </c>
      <c r="G270" t="s">
        <v>75</v>
      </c>
      <c r="H270" t="s">
        <v>706</v>
      </c>
      <c r="I270" s="10">
        <v>114328</v>
      </c>
      <c r="J270" s="11">
        <v>30204</v>
      </c>
      <c r="K270" s="10">
        <v>2154</v>
      </c>
      <c r="BE270">
        <v>267</v>
      </c>
      <c r="BF270" t="s">
        <v>373</v>
      </c>
      <c r="BG270" t="s">
        <v>706</v>
      </c>
      <c r="BH270" s="10">
        <v>114328</v>
      </c>
      <c r="BI270" s="11">
        <v>30204</v>
      </c>
      <c r="BJ270" t="s">
        <v>75</v>
      </c>
      <c r="BK270" s="10">
        <v>2154</v>
      </c>
      <c r="BR270">
        <v>267</v>
      </c>
      <c r="BS270" t="s">
        <v>75</v>
      </c>
      <c r="BT270" s="10">
        <v>114328</v>
      </c>
      <c r="BU270" s="11">
        <v>30204</v>
      </c>
      <c r="BV270" s="10">
        <v>2154</v>
      </c>
      <c r="BW270" s="1" t="str">
        <f>IF(BS270=$CA$12,COUNTIF($BS$4:BS270,$CA$12),"")</f>
        <v/>
      </c>
    </row>
    <row r="271" spans="5:75" x14ac:dyDescent="0.25">
      <c r="E271">
        <v>268</v>
      </c>
      <c r="F271" t="s">
        <v>374</v>
      </c>
      <c r="G271" t="s">
        <v>75</v>
      </c>
      <c r="H271" t="s">
        <v>707</v>
      </c>
      <c r="I271" s="10">
        <v>93546</v>
      </c>
      <c r="J271" s="11">
        <v>28451</v>
      </c>
      <c r="K271" s="10">
        <v>462</v>
      </c>
      <c r="BE271">
        <v>268</v>
      </c>
      <c r="BF271" t="s">
        <v>374</v>
      </c>
      <c r="BG271" t="s">
        <v>707</v>
      </c>
      <c r="BH271" s="10">
        <v>93546</v>
      </c>
      <c r="BI271" s="11">
        <v>28451</v>
      </c>
      <c r="BJ271" t="s">
        <v>75</v>
      </c>
      <c r="BK271" s="10">
        <v>462</v>
      </c>
      <c r="BR271">
        <v>268</v>
      </c>
      <c r="BS271" t="s">
        <v>75</v>
      </c>
      <c r="BT271" s="10">
        <v>93546</v>
      </c>
      <c r="BU271" s="11">
        <v>28451</v>
      </c>
      <c r="BV271" s="10">
        <v>462</v>
      </c>
      <c r="BW271" s="1" t="str">
        <f>IF(BS271=$CA$12,COUNTIF($BS$4:BS271,$CA$12),"")</f>
        <v/>
      </c>
    </row>
    <row r="272" spans="5:75" x14ac:dyDescent="0.25">
      <c r="E272">
        <v>269</v>
      </c>
      <c r="F272" t="s">
        <v>375</v>
      </c>
      <c r="G272" t="s">
        <v>75</v>
      </c>
      <c r="H272" t="s">
        <v>708</v>
      </c>
      <c r="I272" s="10">
        <v>123554</v>
      </c>
      <c r="J272" s="11">
        <v>26047</v>
      </c>
      <c r="K272" s="10">
        <v>1004</v>
      </c>
      <c r="BE272">
        <v>269</v>
      </c>
      <c r="BF272" t="s">
        <v>375</v>
      </c>
      <c r="BG272" t="s">
        <v>708</v>
      </c>
      <c r="BH272" s="10">
        <v>123554</v>
      </c>
      <c r="BI272" s="11">
        <v>26047</v>
      </c>
      <c r="BJ272" t="s">
        <v>75</v>
      </c>
      <c r="BK272" s="10">
        <v>1004</v>
      </c>
      <c r="BR272">
        <v>269</v>
      </c>
      <c r="BS272" t="s">
        <v>75</v>
      </c>
      <c r="BT272" s="10">
        <v>123554</v>
      </c>
      <c r="BU272" s="11">
        <v>26047</v>
      </c>
      <c r="BV272" s="10">
        <v>1004</v>
      </c>
      <c r="BW272" s="1" t="str">
        <f>IF(BS272=$CA$12,COUNTIF($BS$4:BS272,$CA$12),"")</f>
        <v/>
      </c>
    </row>
    <row r="273" spans="5:75" x14ac:dyDescent="0.25">
      <c r="E273">
        <v>270</v>
      </c>
      <c r="F273" t="s">
        <v>376</v>
      </c>
      <c r="G273" t="s">
        <v>75</v>
      </c>
      <c r="H273" t="s">
        <v>709</v>
      </c>
      <c r="I273" s="10">
        <v>36450</v>
      </c>
      <c r="J273" s="11">
        <v>12339</v>
      </c>
      <c r="K273" s="10">
        <v>806</v>
      </c>
      <c r="BE273">
        <v>270</v>
      </c>
      <c r="BF273" t="s">
        <v>376</v>
      </c>
      <c r="BG273" t="s">
        <v>709</v>
      </c>
      <c r="BH273" s="10">
        <v>36450</v>
      </c>
      <c r="BI273" s="11">
        <v>12339</v>
      </c>
      <c r="BJ273" t="s">
        <v>75</v>
      </c>
      <c r="BK273" s="10">
        <v>806</v>
      </c>
      <c r="BR273">
        <v>270</v>
      </c>
      <c r="BS273" t="s">
        <v>75</v>
      </c>
      <c r="BT273" s="10">
        <v>36450</v>
      </c>
      <c r="BU273" s="11">
        <v>12339</v>
      </c>
      <c r="BV273" s="10">
        <v>806</v>
      </c>
      <c r="BW273" s="1" t="str">
        <f>IF(BS273=$CA$12,COUNTIF($BS$4:BS273,$CA$12),"")</f>
        <v/>
      </c>
    </row>
    <row r="274" spans="5:75" x14ac:dyDescent="0.25">
      <c r="E274">
        <v>271</v>
      </c>
      <c r="F274" t="s">
        <v>377</v>
      </c>
      <c r="G274" t="s">
        <v>75</v>
      </c>
      <c r="H274" t="s">
        <v>710</v>
      </c>
      <c r="I274" s="10">
        <v>131757</v>
      </c>
      <c r="J274" s="11">
        <v>31760</v>
      </c>
      <c r="K274" s="10">
        <v>1955</v>
      </c>
      <c r="BE274">
        <v>271</v>
      </c>
      <c r="BF274" t="s">
        <v>377</v>
      </c>
      <c r="BG274" t="s">
        <v>710</v>
      </c>
      <c r="BH274" s="10">
        <v>131757</v>
      </c>
      <c r="BI274" s="11">
        <v>31760</v>
      </c>
      <c r="BJ274" t="s">
        <v>75</v>
      </c>
      <c r="BK274" s="10">
        <v>1955</v>
      </c>
      <c r="BR274">
        <v>271</v>
      </c>
      <c r="BS274" t="s">
        <v>75</v>
      </c>
      <c r="BT274" s="10">
        <v>131757</v>
      </c>
      <c r="BU274" s="11">
        <v>31760</v>
      </c>
      <c r="BV274" s="10">
        <v>1955</v>
      </c>
      <c r="BW274" s="1" t="str">
        <f>IF(BS274=$CA$12,COUNTIF($BS$4:BS274,$CA$12),"")</f>
        <v/>
      </c>
    </row>
    <row r="275" spans="5:75" x14ac:dyDescent="0.25">
      <c r="E275">
        <v>272</v>
      </c>
      <c r="F275" t="s">
        <v>378</v>
      </c>
      <c r="G275" t="s">
        <v>75</v>
      </c>
      <c r="H275" t="s">
        <v>711</v>
      </c>
      <c r="I275" s="10">
        <v>120588</v>
      </c>
      <c r="J275" s="11">
        <v>45491</v>
      </c>
      <c r="K275" s="10">
        <v>3315</v>
      </c>
      <c r="BE275">
        <v>272</v>
      </c>
      <c r="BF275" t="s">
        <v>378</v>
      </c>
      <c r="BG275" t="s">
        <v>711</v>
      </c>
      <c r="BH275" s="10">
        <v>120588</v>
      </c>
      <c r="BI275" s="11">
        <v>45491</v>
      </c>
      <c r="BJ275" t="s">
        <v>75</v>
      </c>
      <c r="BK275" s="10">
        <v>3315</v>
      </c>
      <c r="BR275">
        <v>272</v>
      </c>
      <c r="BS275" t="s">
        <v>75</v>
      </c>
      <c r="BT275" s="10">
        <v>120588</v>
      </c>
      <c r="BU275" s="11">
        <v>45491</v>
      </c>
      <c r="BV275" s="10">
        <v>3315</v>
      </c>
      <c r="BW275" s="1" t="str">
        <f>IF(BS275=$CA$12,COUNTIF($BS$4:BS275,$CA$12),"")</f>
        <v/>
      </c>
    </row>
    <row r="276" spans="5:75" x14ac:dyDescent="0.25">
      <c r="E276">
        <v>273</v>
      </c>
      <c r="F276" t="s">
        <v>379</v>
      </c>
      <c r="G276" t="s">
        <v>75</v>
      </c>
      <c r="H276" t="s">
        <v>712</v>
      </c>
      <c r="I276" s="10">
        <v>75594</v>
      </c>
      <c r="J276" s="11">
        <v>26419</v>
      </c>
      <c r="K276" s="10">
        <v>1244</v>
      </c>
      <c r="BE276">
        <v>273</v>
      </c>
      <c r="BF276" t="s">
        <v>379</v>
      </c>
      <c r="BG276" t="s">
        <v>712</v>
      </c>
      <c r="BH276" s="10">
        <v>75594</v>
      </c>
      <c r="BI276" s="11">
        <v>26419</v>
      </c>
      <c r="BJ276" t="s">
        <v>75</v>
      </c>
      <c r="BK276" s="10">
        <v>1244</v>
      </c>
      <c r="BR276">
        <v>273</v>
      </c>
      <c r="BS276" t="s">
        <v>75</v>
      </c>
      <c r="BT276" s="10">
        <v>75594</v>
      </c>
      <c r="BU276" s="11">
        <v>26419</v>
      </c>
      <c r="BV276" s="10">
        <v>1244</v>
      </c>
      <c r="BW276" s="1" t="str">
        <f>IF(BS276=$CA$12,COUNTIF($BS$4:BS276,$CA$12),"")</f>
        <v/>
      </c>
    </row>
    <row r="277" spans="5:75" x14ac:dyDescent="0.25">
      <c r="E277">
        <v>274</v>
      </c>
      <c r="F277" t="s">
        <v>380</v>
      </c>
      <c r="G277" t="s">
        <v>75</v>
      </c>
      <c r="H277" t="s">
        <v>713</v>
      </c>
      <c r="I277" s="10">
        <v>53691</v>
      </c>
      <c r="J277" s="11">
        <v>17445</v>
      </c>
      <c r="K277" s="10">
        <v>455</v>
      </c>
      <c r="BE277">
        <v>274</v>
      </c>
      <c r="BF277" t="s">
        <v>380</v>
      </c>
      <c r="BG277" t="s">
        <v>713</v>
      </c>
      <c r="BH277" s="10">
        <v>53691</v>
      </c>
      <c r="BI277" s="11">
        <v>17445</v>
      </c>
      <c r="BJ277" t="s">
        <v>75</v>
      </c>
      <c r="BK277" s="10">
        <v>455</v>
      </c>
      <c r="BR277">
        <v>274</v>
      </c>
      <c r="BS277" t="s">
        <v>75</v>
      </c>
      <c r="BT277" s="10">
        <v>53691</v>
      </c>
      <c r="BU277" s="11">
        <v>17445</v>
      </c>
      <c r="BV277" s="10">
        <v>455</v>
      </c>
      <c r="BW277" s="1" t="str">
        <f>IF(BS277=$CA$12,COUNTIF($BS$4:BS277,$CA$12),"")</f>
        <v/>
      </c>
    </row>
    <row r="278" spans="5:75" x14ac:dyDescent="0.25">
      <c r="E278">
        <v>275</v>
      </c>
      <c r="F278" t="s">
        <v>381</v>
      </c>
      <c r="G278" t="s">
        <v>75</v>
      </c>
      <c r="H278" t="s">
        <v>714</v>
      </c>
      <c r="I278" s="10">
        <v>15697</v>
      </c>
      <c r="J278" s="11">
        <v>5771</v>
      </c>
      <c r="K278" s="10">
        <v>334</v>
      </c>
      <c r="BE278">
        <v>275</v>
      </c>
      <c r="BF278" t="s">
        <v>381</v>
      </c>
      <c r="BG278" t="s">
        <v>714</v>
      </c>
      <c r="BH278" s="10">
        <v>15697</v>
      </c>
      <c r="BI278" s="11">
        <v>5771</v>
      </c>
      <c r="BJ278" t="s">
        <v>75</v>
      </c>
      <c r="BK278" s="10">
        <v>334</v>
      </c>
      <c r="BR278">
        <v>275</v>
      </c>
      <c r="BS278" t="s">
        <v>75</v>
      </c>
      <c r="BT278" s="10">
        <v>15697</v>
      </c>
      <c r="BU278" s="11">
        <v>5771</v>
      </c>
      <c r="BV278" s="10">
        <v>334</v>
      </c>
      <c r="BW278" s="1" t="str">
        <f>IF(BS278=$CA$12,COUNTIF($BS$4:BS278,$CA$12),"")</f>
        <v/>
      </c>
    </row>
    <row r="279" spans="5:75" x14ac:dyDescent="0.25">
      <c r="E279">
        <v>276</v>
      </c>
      <c r="F279" t="s">
        <v>382</v>
      </c>
      <c r="G279" t="s">
        <v>75</v>
      </c>
      <c r="H279" t="s">
        <v>715</v>
      </c>
      <c r="I279" s="10">
        <v>100486</v>
      </c>
      <c r="J279" s="11">
        <v>20216</v>
      </c>
      <c r="K279" s="10">
        <v>817</v>
      </c>
      <c r="BE279">
        <v>276</v>
      </c>
      <c r="BF279" t="s">
        <v>382</v>
      </c>
      <c r="BG279" t="s">
        <v>715</v>
      </c>
      <c r="BH279" s="10">
        <v>100486</v>
      </c>
      <c r="BI279" s="11">
        <v>20216</v>
      </c>
      <c r="BJ279" t="s">
        <v>75</v>
      </c>
      <c r="BK279" s="10">
        <v>817</v>
      </c>
      <c r="BR279">
        <v>276</v>
      </c>
      <c r="BS279" t="s">
        <v>75</v>
      </c>
      <c r="BT279" s="10">
        <v>100486</v>
      </c>
      <c r="BU279" s="11">
        <v>20216</v>
      </c>
      <c r="BV279" s="10">
        <v>817</v>
      </c>
      <c r="BW279" s="1" t="str">
        <f>IF(BS279=$CA$12,COUNTIF($BS$4:BS279,$CA$12),"")</f>
        <v/>
      </c>
    </row>
    <row r="280" spans="5:75" x14ac:dyDescent="0.25">
      <c r="E280">
        <v>277</v>
      </c>
      <c r="F280" t="s">
        <v>383</v>
      </c>
      <c r="G280" t="s">
        <v>76</v>
      </c>
      <c r="H280" t="s">
        <v>704</v>
      </c>
      <c r="I280" s="10">
        <v>67992</v>
      </c>
      <c r="J280" s="11">
        <v>26375</v>
      </c>
      <c r="K280" s="10">
        <v>1722</v>
      </c>
      <c r="BE280">
        <v>277</v>
      </c>
      <c r="BF280" t="s">
        <v>383</v>
      </c>
      <c r="BG280" t="s">
        <v>704</v>
      </c>
      <c r="BH280" s="10">
        <v>67992</v>
      </c>
      <c r="BI280" s="11">
        <v>26375</v>
      </c>
      <c r="BJ280" t="s">
        <v>76</v>
      </c>
      <c r="BK280" s="10">
        <v>1722</v>
      </c>
      <c r="BR280">
        <v>277</v>
      </c>
      <c r="BS280" t="s">
        <v>76</v>
      </c>
      <c r="BT280" s="10">
        <v>67992</v>
      </c>
      <c r="BU280" s="11">
        <v>26375</v>
      </c>
      <c r="BV280" s="10">
        <v>1722</v>
      </c>
      <c r="BW280" s="1" t="str">
        <f>IF(BS280=$CA$12,COUNTIF($BS$4:BS280,$CA$12),"")</f>
        <v/>
      </c>
    </row>
    <row r="281" spans="5:75" x14ac:dyDescent="0.25">
      <c r="E281">
        <v>278</v>
      </c>
      <c r="F281" t="s">
        <v>384</v>
      </c>
      <c r="G281" t="s">
        <v>76</v>
      </c>
      <c r="H281" t="s">
        <v>705</v>
      </c>
      <c r="I281" s="10">
        <v>121420</v>
      </c>
      <c r="J281" s="11">
        <v>32403</v>
      </c>
      <c r="K281" s="10">
        <v>88</v>
      </c>
      <c r="BE281">
        <v>278</v>
      </c>
      <c r="BF281" t="s">
        <v>384</v>
      </c>
      <c r="BG281" t="s">
        <v>705</v>
      </c>
      <c r="BH281" s="10">
        <v>121420</v>
      </c>
      <c r="BI281" s="11">
        <v>32403</v>
      </c>
      <c r="BJ281" t="s">
        <v>76</v>
      </c>
      <c r="BK281" s="10">
        <v>88</v>
      </c>
      <c r="BR281">
        <v>278</v>
      </c>
      <c r="BS281" t="s">
        <v>76</v>
      </c>
      <c r="BT281" s="10">
        <v>121420</v>
      </c>
      <c r="BU281" s="11">
        <v>32403</v>
      </c>
      <c r="BV281" s="10">
        <v>88</v>
      </c>
      <c r="BW281" s="1" t="str">
        <f>IF(BS281=$CA$12,COUNTIF($BS$4:BS281,$CA$12),"")</f>
        <v/>
      </c>
    </row>
    <row r="282" spans="5:75" x14ac:dyDescent="0.25">
      <c r="E282">
        <v>279</v>
      </c>
      <c r="F282" t="s">
        <v>385</v>
      </c>
      <c r="G282" t="s">
        <v>76</v>
      </c>
      <c r="H282" t="s">
        <v>706</v>
      </c>
      <c r="I282" s="10">
        <v>54813</v>
      </c>
      <c r="J282" s="11">
        <v>11909</v>
      </c>
      <c r="K282" s="10">
        <v>1040</v>
      </c>
      <c r="BE282">
        <v>279</v>
      </c>
      <c r="BF282" t="s">
        <v>385</v>
      </c>
      <c r="BG282" t="s">
        <v>706</v>
      </c>
      <c r="BH282" s="10">
        <v>54813</v>
      </c>
      <c r="BI282" s="11">
        <v>11909</v>
      </c>
      <c r="BJ282" t="s">
        <v>76</v>
      </c>
      <c r="BK282" s="10">
        <v>1040</v>
      </c>
      <c r="BR282">
        <v>279</v>
      </c>
      <c r="BS282" t="s">
        <v>76</v>
      </c>
      <c r="BT282" s="10">
        <v>54813</v>
      </c>
      <c r="BU282" s="11">
        <v>11909</v>
      </c>
      <c r="BV282" s="10">
        <v>1040</v>
      </c>
      <c r="BW282" s="1" t="str">
        <f>IF(BS282=$CA$12,COUNTIF($BS$4:BS282,$CA$12),"")</f>
        <v/>
      </c>
    </row>
    <row r="283" spans="5:75" x14ac:dyDescent="0.25">
      <c r="E283">
        <v>280</v>
      </c>
      <c r="F283" t="s">
        <v>386</v>
      </c>
      <c r="G283" t="s">
        <v>76</v>
      </c>
      <c r="H283" t="s">
        <v>707</v>
      </c>
      <c r="I283" s="10">
        <v>88867</v>
      </c>
      <c r="J283" s="11">
        <v>27760</v>
      </c>
      <c r="K283" s="10">
        <v>113</v>
      </c>
      <c r="BE283">
        <v>280</v>
      </c>
      <c r="BF283" t="s">
        <v>386</v>
      </c>
      <c r="BG283" t="s">
        <v>707</v>
      </c>
      <c r="BH283" s="10">
        <v>88867</v>
      </c>
      <c r="BI283" s="11">
        <v>27760</v>
      </c>
      <c r="BJ283" t="s">
        <v>76</v>
      </c>
      <c r="BK283" s="10">
        <v>113</v>
      </c>
      <c r="BR283">
        <v>280</v>
      </c>
      <c r="BS283" t="s">
        <v>76</v>
      </c>
      <c r="BT283" s="10">
        <v>88867</v>
      </c>
      <c r="BU283" s="11">
        <v>27760</v>
      </c>
      <c r="BV283" s="10">
        <v>113</v>
      </c>
      <c r="BW283" s="1" t="str">
        <f>IF(BS283=$CA$12,COUNTIF($BS$4:BS283,$CA$12),"")</f>
        <v/>
      </c>
    </row>
    <row r="284" spans="5:75" x14ac:dyDescent="0.25">
      <c r="E284">
        <v>281</v>
      </c>
      <c r="F284" t="s">
        <v>387</v>
      </c>
      <c r="G284" t="s">
        <v>76</v>
      </c>
      <c r="H284" t="s">
        <v>708</v>
      </c>
      <c r="I284" s="10">
        <v>79294</v>
      </c>
      <c r="J284" s="11">
        <v>22260</v>
      </c>
      <c r="K284" s="10">
        <v>1695</v>
      </c>
      <c r="BE284">
        <v>281</v>
      </c>
      <c r="BF284" t="s">
        <v>387</v>
      </c>
      <c r="BG284" t="s">
        <v>708</v>
      </c>
      <c r="BH284" s="10">
        <v>79294</v>
      </c>
      <c r="BI284" s="11">
        <v>22260</v>
      </c>
      <c r="BJ284" t="s">
        <v>76</v>
      </c>
      <c r="BK284" s="10">
        <v>1695</v>
      </c>
      <c r="BR284">
        <v>281</v>
      </c>
      <c r="BS284" t="s">
        <v>76</v>
      </c>
      <c r="BT284" s="10">
        <v>79294</v>
      </c>
      <c r="BU284" s="11">
        <v>22260</v>
      </c>
      <c r="BV284" s="10">
        <v>1695</v>
      </c>
      <c r="BW284" s="1" t="str">
        <f>IF(BS284=$CA$12,COUNTIF($BS$4:BS284,$CA$12),"")</f>
        <v/>
      </c>
    </row>
    <row r="285" spans="5:75" x14ac:dyDescent="0.25">
      <c r="E285">
        <v>282</v>
      </c>
      <c r="F285" t="s">
        <v>388</v>
      </c>
      <c r="G285" t="s">
        <v>76</v>
      </c>
      <c r="H285" t="s">
        <v>709</v>
      </c>
      <c r="I285" s="10">
        <v>23145</v>
      </c>
      <c r="J285" s="11">
        <v>9066</v>
      </c>
      <c r="K285" s="10">
        <v>155</v>
      </c>
      <c r="BE285">
        <v>282</v>
      </c>
      <c r="BF285" t="s">
        <v>388</v>
      </c>
      <c r="BG285" t="s">
        <v>709</v>
      </c>
      <c r="BH285" s="10">
        <v>23145</v>
      </c>
      <c r="BI285" s="11">
        <v>9066</v>
      </c>
      <c r="BJ285" t="s">
        <v>76</v>
      </c>
      <c r="BK285" s="10">
        <v>155</v>
      </c>
      <c r="BR285">
        <v>282</v>
      </c>
      <c r="BS285" t="s">
        <v>76</v>
      </c>
      <c r="BT285" s="10">
        <v>23145</v>
      </c>
      <c r="BU285" s="11">
        <v>9066</v>
      </c>
      <c r="BV285" s="10">
        <v>155</v>
      </c>
      <c r="BW285" s="1" t="str">
        <f>IF(BS285=$CA$12,COUNTIF($BS$4:BS285,$CA$12),"")</f>
        <v/>
      </c>
    </row>
    <row r="286" spans="5:75" x14ac:dyDescent="0.25">
      <c r="E286">
        <v>283</v>
      </c>
      <c r="F286" t="s">
        <v>389</v>
      </c>
      <c r="G286" t="s">
        <v>76</v>
      </c>
      <c r="H286" t="s">
        <v>710</v>
      </c>
      <c r="I286" s="10">
        <v>116712</v>
      </c>
      <c r="J286" s="11">
        <v>29602</v>
      </c>
      <c r="K286" s="10">
        <v>841</v>
      </c>
      <c r="BE286">
        <v>283</v>
      </c>
      <c r="BF286" t="s">
        <v>389</v>
      </c>
      <c r="BG286" t="s">
        <v>710</v>
      </c>
      <c r="BH286" s="10">
        <v>116712</v>
      </c>
      <c r="BI286" s="11">
        <v>29602</v>
      </c>
      <c r="BJ286" t="s">
        <v>76</v>
      </c>
      <c r="BK286" s="10">
        <v>841</v>
      </c>
      <c r="BR286">
        <v>283</v>
      </c>
      <c r="BS286" t="s">
        <v>76</v>
      </c>
      <c r="BT286" s="10">
        <v>116712</v>
      </c>
      <c r="BU286" s="11">
        <v>29602</v>
      </c>
      <c r="BV286" s="10">
        <v>841</v>
      </c>
      <c r="BW286" s="1" t="str">
        <f>IF(BS286=$CA$12,COUNTIF($BS$4:BS286,$CA$12),"")</f>
        <v/>
      </c>
    </row>
    <row r="287" spans="5:75" x14ac:dyDescent="0.25">
      <c r="E287">
        <v>284</v>
      </c>
      <c r="F287" t="s">
        <v>390</v>
      </c>
      <c r="G287" t="s">
        <v>76</v>
      </c>
      <c r="H287" t="s">
        <v>711</v>
      </c>
      <c r="I287" s="10">
        <v>146478</v>
      </c>
      <c r="J287" s="11">
        <v>46700</v>
      </c>
      <c r="K287" s="10">
        <v>3276</v>
      </c>
      <c r="BE287">
        <v>284</v>
      </c>
      <c r="BF287" t="s">
        <v>390</v>
      </c>
      <c r="BG287" t="s">
        <v>711</v>
      </c>
      <c r="BH287" s="10">
        <v>146478</v>
      </c>
      <c r="BI287" s="11">
        <v>46700</v>
      </c>
      <c r="BJ287" t="s">
        <v>76</v>
      </c>
      <c r="BK287" s="10">
        <v>3276</v>
      </c>
      <c r="BR287">
        <v>284</v>
      </c>
      <c r="BS287" t="s">
        <v>76</v>
      </c>
      <c r="BT287" s="10">
        <v>146478</v>
      </c>
      <c r="BU287" s="11">
        <v>46700</v>
      </c>
      <c r="BV287" s="10">
        <v>3276</v>
      </c>
      <c r="BW287" s="1" t="str">
        <f>IF(BS287=$CA$12,COUNTIF($BS$4:BS287,$CA$12),"")</f>
        <v/>
      </c>
    </row>
    <row r="288" spans="5:75" x14ac:dyDescent="0.25">
      <c r="E288">
        <v>285</v>
      </c>
      <c r="F288" t="s">
        <v>391</v>
      </c>
      <c r="G288" t="s">
        <v>76</v>
      </c>
      <c r="H288" t="s">
        <v>712</v>
      </c>
      <c r="I288" s="10">
        <v>117997</v>
      </c>
      <c r="J288" s="11">
        <v>41697</v>
      </c>
      <c r="K288" s="10">
        <v>2541</v>
      </c>
      <c r="BE288">
        <v>285</v>
      </c>
      <c r="BF288" t="s">
        <v>391</v>
      </c>
      <c r="BG288" t="s">
        <v>712</v>
      </c>
      <c r="BH288" s="10">
        <v>117997</v>
      </c>
      <c r="BI288" s="11">
        <v>41697</v>
      </c>
      <c r="BJ288" t="s">
        <v>76</v>
      </c>
      <c r="BK288" s="10">
        <v>2541</v>
      </c>
      <c r="BR288">
        <v>285</v>
      </c>
      <c r="BS288" t="s">
        <v>76</v>
      </c>
      <c r="BT288" s="10">
        <v>117997</v>
      </c>
      <c r="BU288" s="11">
        <v>41697</v>
      </c>
      <c r="BV288" s="10">
        <v>2541</v>
      </c>
      <c r="BW288" s="1" t="str">
        <f>IF(BS288=$CA$12,COUNTIF($BS$4:BS288,$CA$12),"")</f>
        <v/>
      </c>
    </row>
    <row r="289" spans="5:75" x14ac:dyDescent="0.25">
      <c r="E289">
        <v>286</v>
      </c>
      <c r="F289" t="s">
        <v>392</v>
      </c>
      <c r="G289" t="s">
        <v>76</v>
      </c>
      <c r="H289" t="s">
        <v>713</v>
      </c>
      <c r="I289" s="10">
        <v>97789</v>
      </c>
      <c r="J289" s="11">
        <v>37484</v>
      </c>
      <c r="K289" s="10">
        <v>2772</v>
      </c>
      <c r="BE289">
        <v>286</v>
      </c>
      <c r="BF289" t="s">
        <v>392</v>
      </c>
      <c r="BG289" t="s">
        <v>713</v>
      </c>
      <c r="BH289" s="10">
        <v>97789</v>
      </c>
      <c r="BI289" s="11">
        <v>37484</v>
      </c>
      <c r="BJ289" t="s">
        <v>76</v>
      </c>
      <c r="BK289" s="10">
        <v>2772</v>
      </c>
      <c r="BR289">
        <v>286</v>
      </c>
      <c r="BS289" t="s">
        <v>76</v>
      </c>
      <c r="BT289" s="10">
        <v>97789</v>
      </c>
      <c r="BU289" s="11">
        <v>37484</v>
      </c>
      <c r="BV289" s="10">
        <v>2772</v>
      </c>
      <c r="BW289" s="1" t="str">
        <f>IF(BS289=$CA$12,COUNTIF($BS$4:BS289,$CA$12),"")</f>
        <v/>
      </c>
    </row>
    <row r="290" spans="5:75" x14ac:dyDescent="0.25">
      <c r="E290">
        <v>287</v>
      </c>
      <c r="F290" t="s">
        <v>393</v>
      </c>
      <c r="G290" t="s">
        <v>76</v>
      </c>
      <c r="H290" t="s">
        <v>714</v>
      </c>
      <c r="I290" s="10">
        <v>75665</v>
      </c>
      <c r="J290" s="11">
        <v>18560</v>
      </c>
      <c r="K290" s="10">
        <v>898</v>
      </c>
      <c r="BE290">
        <v>287</v>
      </c>
      <c r="BF290" t="s">
        <v>393</v>
      </c>
      <c r="BG290" t="s">
        <v>714</v>
      </c>
      <c r="BH290" s="10">
        <v>75665</v>
      </c>
      <c r="BI290" s="11">
        <v>18560</v>
      </c>
      <c r="BJ290" t="s">
        <v>76</v>
      </c>
      <c r="BK290" s="10">
        <v>898</v>
      </c>
      <c r="BR290">
        <v>287</v>
      </c>
      <c r="BS290" t="s">
        <v>76</v>
      </c>
      <c r="BT290" s="10">
        <v>75665</v>
      </c>
      <c r="BU290" s="11">
        <v>18560</v>
      </c>
      <c r="BV290" s="10">
        <v>898</v>
      </c>
      <c r="BW290" s="1" t="str">
        <f>IF(BS290=$CA$12,COUNTIF($BS$4:BS290,$CA$12),"")</f>
        <v/>
      </c>
    </row>
    <row r="291" spans="5:75" x14ac:dyDescent="0.25">
      <c r="E291">
        <v>288</v>
      </c>
      <c r="F291" t="s">
        <v>394</v>
      </c>
      <c r="G291" t="s">
        <v>76</v>
      </c>
      <c r="H291" t="s">
        <v>715</v>
      </c>
      <c r="I291" s="10">
        <v>87184</v>
      </c>
      <c r="J291" s="11">
        <v>23927</v>
      </c>
      <c r="K291" s="10">
        <v>354</v>
      </c>
      <c r="BE291">
        <v>288</v>
      </c>
      <c r="BF291" t="s">
        <v>394</v>
      </c>
      <c r="BG291" t="s">
        <v>715</v>
      </c>
      <c r="BH291" s="10">
        <v>87184</v>
      </c>
      <c r="BI291" s="11">
        <v>23927</v>
      </c>
      <c r="BJ291" t="s">
        <v>76</v>
      </c>
      <c r="BK291" s="10">
        <v>354</v>
      </c>
      <c r="BR291">
        <v>288</v>
      </c>
      <c r="BS291" t="s">
        <v>76</v>
      </c>
      <c r="BT291" s="10">
        <v>87184</v>
      </c>
      <c r="BU291" s="11">
        <v>23927</v>
      </c>
      <c r="BV291" s="10">
        <v>354</v>
      </c>
      <c r="BW291" s="1" t="str">
        <f>IF(BS291=$CA$12,COUNTIF($BS$4:BS291,$CA$12),"")</f>
        <v/>
      </c>
    </row>
    <row r="292" spans="5:75" x14ac:dyDescent="0.25">
      <c r="E292">
        <v>289</v>
      </c>
      <c r="F292" t="s">
        <v>395</v>
      </c>
      <c r="G292" t="s">
        <v>77</v>
      </c>
      <c r="H292" t="s">
        <v>704</v>
      </c>
      <c r="I292" s="10">
        <v>66604</v>
      </c>
      <c r="J292" s="11">
        <v>15730</v>
      </c>
      <c r="K292" s="10">
        <v>675</v>
      </c>
      <c r="BE292">
        <v>289</v>
      </c>
      <c r="BF292" t="s">
        <v>395</v>
      </c>
      <c r="BG292" t="s">
        <v>704</v>
      </c>
      <c r="BH292" s="10">
        <v>66604</v>
      </c>
      <c r="BI292" s="11">
        <v>15730</v>
      </c>
      <c r="BJ292" t="s">
        <v>77</v>
      </c>
      <c r="BK292" s="10">
        <v>675</v>
      </c>
      <c r="BR292">
        <v>289</v>
      </c>
      <c r="BS292" t="s">
        <v>77</v>
      </c>
      <c r="BT292" s="10">
        <v>66604</v>
      </c>
      <c r="BU292" s="11">
        <v>15730</v>
      </c>
      <c r="BV292" s="10">
        <v>675</v>
      </c>
      <c r="BW292" s="1" t="str">
        <f>IF(BS292=$CA$12,COUNTIF($BS$4:BS292,$CA$12),"")</f>
        <v/>
      </c>
    </row>
    <row r="293" spans="5:75" x14ac:dyDescent="0.25">
      <c r="E293">
        <v>290</v>
      </c>
      <c r="F293" t="s">
        <v>396</v>
      </c>
      <c r="G293" t="s">
        <v>77</v>
      </c>
      <c r="H293" t="s">
        <v>705</v>
      </c>
      <c r="I293" s="10">
        <v>123687</v>
      </c>
      <c r="J293" s="11">
        <v>46974</v>
      </c>
      <c r="K293" s="10">
        <v>4103</v>
      </c>
      <c r="BE293">
        <v>290</v>
      </c>
      <c r="BF293" t="s">
        <v>396</v>
      </c>
      <c r="BG293" t="s">
        <v>705</v>
      </c>
      <c r="BH293" s="10">
        <v>123687</v>
      </c>
      <c r="BI293" s="11">
        <v>46974</v>
      </c>
      <c r="BJ293" t="s">
        <v>77</v>
      </c>
      <c r="BK293" s="10">
        <v>4103</v>
      </c>
      <c r="BR293">
        <v>290</v>
      </c>
      <c r="BS293" t="s">
        <v>77</v>
      </c>
      <c r="BT293" s="10">
        <v>123687</v>
      </c>
      <c r="BU293" s="11">
        <v>46974</v>
      </c>
      <c r="BV293" s="10">
        <v>4103</v>
      </c>
      <c r="BW293" s="1" t="str">
        <f>IF(BS293=$CA$12,COUNTIF($BS$4:BS293,$CA$12),"")</f>
        <v/>
      </c>
    </row>
    <row r="294" spans="5:75" x14ac:dyDescent="0.25">
      <c r="E294">
        <v>291</v>
      </c>
      <c r="F294" t="s">
        <v>397</v>
      </c>
      <c r="G294" t="s">
        <v>77</v>
      </c>
      <c r="H294" t="s">
        <v>706</v>
      </c>
      <c r="I294" s="10">
        <v>73503</v>
      </c>
      <c r="J294" s="11">
        <v>26795</v>
      </c>
      <c r="K294" s="10">
        <v>216</v>
      </c>
      <c r="BE294">
        <v>291</v>
      </c>
      <c r="BF294" t="s">
        <v>397</v>
      </c>
      <c r="BG294" t="s">
        <v>706</v>
      </c>
      <c r="BH294" s="10">
        <v>73503</v>
      </c>
      <c r="BI294" s="11">
        <v>26795</v>
      </c>
      <c r="BJ294" t="s">
        <v>77</v>
      </c>
      <c r="BK294" s="10">
        <v>216</v>
      </c>
      <c r="BR294">
        <v>291</v>
      </c>
      <c r="BS294" t="s">
        <v>77</v>
      </c>
      <c r="BT294" s="10">
        <v>73503</v>
      </c>
      <c r="BU294" s="11">
        <v>26795</v>
      </c>
      <c r="BV294" s="10">
        <v>216</v>
      </c>
      <c r="BW294" s="1" t="str">
        <f>IF(BS294=$CA$12,COUNTIF($BS$4:BS294,$CA$12),"")</f>
        <v/>
      </c>
    </row>
    <row r="295" spans="5:75" x14ac:dyDescent="0.25">
      <c r="E295">
        <v>292</v>
      </c>
      <c r="F295" t="s">
        <v>398</v>
      </c>
      <c r="G295" t="s">
        <v>77</v>
      </c>
      <c r="H295" t="s">
        <v>707</v>
      </c>
      <c r="I295" s="10">
        <v>26933</v>
      </c>
      <c r="J295" s="11">
        <v>9721</v>
      </c>
      <c r="K295" s="10">
        <v>477</v>
      </c>
      <c r="BE295">
        <v>292</v>
      </c>
      <c r="BF295" t="s">
        <v>398</v>
      </c>
      <c r="BG295" t="s">
        <v>707</v>
      </c>
      <c r="BH295" s="10">
        <v>26933</v>
      </c>
      <c r="BI295" s="11">
        <v>9721</v>
      </c>
      <c r="BJ295" t="s">
        <v>77</v>
      </c>
      <c r="BK295" s="10">
        <v>477</v>
      </c>
      <c r="BR295">
        <v>292</v>
      </c>
      <c r="BS295" t="s">
        <v>77</v>
      </c>
      <c r="BT295" s="10">
        <v>26933</v>
      </c>
      <c r="BU295" s="11">
        <v>9721</v>
      </c>
      <c r="BV295" s="10">
        <v>477</v>
      </c>
      <c r="BW295" s="1" t="str">
        <f>IF(BS295=$CA$12,COUNTIF($BS$4:BS295,$CA$12),"")</f>
        <v/>
      </c>
    </row>
    <row r="296" spans="5:75" x14ac:dyDescent="0.25">
      <c r="E296">
        <v>293</v>
      </c>
      <c r="F296" t="s">
        <v>399</v>
      </c>
      <c r="G296" t="s">
        <v>77</v>
      </c>
      <c r="H296" t="s">
        <v>708</v>
      </c>
      <c r="I296" s="10">
        <v>124965</v>
      </c>
      <c r="J296" s="11">
        <v>29501</v>
      </c>
      <c r="K296" s="10">
        <v>878</v>
      </c>
      <c r="BE296">
        <v>293</v>
      </c>
      <c r="BF296" t="s">
        <v>399</v>
      </c>
      <c r="BG296" t="s">
        <v>708</v>
      </c>
      <c r="BH296" s="10">
        <v>124965</v>
      </c>
      <c r="BI296" s="11">
        <v>29501</v>
      </c>
      <c r="BJ296" t="s">
        <v>77</v>
      </c>
      <c r="BK296" s="10">
        <v>878</v>
      </c>
      <c r="BR296">
        <v>293</v>
      </c>
      <c r="BS296" t="s">
        <v>77</v>
      </c>
      <c r="BT296" s="10">
        <v>124965</v>
      </c>
      <c r="BU296" s="11">
        <v>29501</v>
      </c>
      <c r="BV296" s="10">
        <v>878</v>
      </c>
      <c r="BW296" s="1" t="str">
        <f>IF(BS296=$CA$12,COUNTIF($BS$4:BS296,$CA$12),"")</f>
        <v/>
      </c>
    </row>
    <row r="297" spans="5:75" x14ac:dyDescent="0.25">
      <c r="E297">
        <v>294</v>
      </c>
      <c r="F297" t="s">
        <v>400</v>
      </c>
      <c r="G297" t="s">
        <v>77</v>
      </c>
      <c r="H297" t="s">
        <v>709</v>
      </c>
      <c r="I297" s="10">
        <v>99979</v>
      </c>
      <c r="J297" s="11">
        <v>22066</v>
      </c>
      <c r="K297" s="10">
        <v>1953</v>
      </c>
      <c r="BE297">
        <v>294</v>
      </c>
      <c r="BF297" t="s">
        <v>400</v>
      </c>
      <c r="BG297" t="s">
        <v>709</v>
      </c>
      <c r="BH297" s="10">
        <v>99979</v>
      </c>
      <c r="BI297" s="11">
        <v>22066</v>
      </c>
      <c r="BJ297" t="s">
        <v>77</v>
      </c>
      <c r="BK297" s="10">
        <v>1953</v>
      </c>
      <c r="BR297">
        <v>294</v>
      </c>
      <c r="BS297" t="s">
        <v>77</v>
      </c>
      <c r="BT297" s="10">
        <v>99979</v>
      </c>
      <c r="BU297" s="11">
        <v>22066</v>
      </c>
      <c r="BV297" s="10">
        <v>1953</v>
      </c>
      <c r="BW297" s="1" t="str">
        <f>IF(BS297=$CA$12,COUNTIF($BS$4:BS297,$CA$12),"")</f>
        <v/>
      </c>
    </row>
    <row r="298" spans="5:75" x14ac:dyDescent="0.25">
      <c r="E298">
        <v>295</v>
      </c>
      <c r="F298" t="s">
        <v>401</v>
      </c>
      <c r="G298" t="s">
        <v>77</v>
      </c>
      <c r="H298" t="s">
        <v>710</v>
      </c>
      <c r="I298" s="10">
        <v>52319</v>
      </c>
      <c r="J298" s="11">
        <v>20619</v>
      </c>
      <c r="K298" s="10">
        <v>1747</v>
      </c>
      <c r="BE298">
        <v>295</v>
      </c>
      <c r="BF298" t="s">
        <v>401</v>
      </c>
      <c r="BG298" t="s">
        <v>710</v>
      </c>
      <c r="BH298" s="10">
        <v>52319</v>
      </c>
      <c r="BI298" s="11">
        <v>20619</v>
      </c>
      <c r="BJ298" t="s">
        <v>77</v>
      </c>
      <c r="BK298" s="10">
        <v>1747</v>
      </c>
      <c r="BR298">
        <v>295</v>
      </c>
      <c r="BS298" t="s">
        <v>77</v>
      </c>
      <c r="BT298" s="10">
        <v>52319</v>
      </c>
      <c r="BU298" s="11">
        <v>20619</v>
      </c>
      <c r="BV298" s="10">
        <v>1747</v>
      </c>
      <c r="BW298" s="1" t="str">
        <f>IF(BS298=$CA$12,COUNTIF($BS$4:BS298,$CA$12),"")</f>
        <v/>
      </c>
    </row>
    <row r="299" spans="5:75" x14ac:dyDescent="0.25">
      <c r="E299">
        <v>296</v>
      </c>
      <c r="F299" t="s">
        <v>402</v>
      </c>
      <c r="G299" t="s">
        <v>77</v>
      </c>
      <c r="H299" t="s">
        <v>711</v>
      </c>
      <c r="I299" s="10">
        <v>116093</v>
      </c>
      <c r="J299" s="11">
        <v>32871</v>
      </c>
      <c r="K299" s="10">
        <v>2148</v>
      </c>
      <c r="BE299">
        <v>296</v>
      </c>
      <c r="BF299" t="s">
        <v>402</v>
      </c>
      <c r="BG299" t="s">
        <v>711</v>
      </c>
      <c r="BH299" s="10">
        <v>116093</v>
      </c>
      <c r="BI299" s="11">
        <v>32871</v>
      </c>
      <c r="BJ299" t="s">
        <v>77</v>
      </c>
      <c r="BK299" s="10">
        <v>2148</v>
      </c>
      <c r="BR299">
        <v>296</v>
      </c>
      <c r="BS299" t="s">
        <v>77</v>
      </c>
      <c r="BT299" s="10">
        <v>116093</v>
      </c>
      <c r="BU299" s="11">
        <v>32871</v>
      </c>
      <c r="BV299" s="10">
        <v>2148</v>
      </c>
      <c r="BW299" s="1" t="str">
        <f>IF(BS299=$CA$12,COUNTIF($BS$4:BS299,$CA$12),"")</f>
        <v/>
      </c>
    </row>
    <row r="300" spans="5:75" x14ac:dyDescent="0.25">
      <c r="E300">
        <v>297</v>
      </c>
      <c r="F300" t="s">
        <v>403</v>
      </c>
      <c r="G300" t="s">
        <v>77</v>
      </c>
      <c r="H300" t="s">
        <v>712</v>
      </c>
      <c r="I300" s="10">
        <v>39926</v>
      </c>
      <c r="J300" s="11">
        <v>15200</v>
      </c>
      <c r="K300" s="10">
        <v>1158</v>
      </c>
      <c r="BE300">
        <v>297</v>
      </c>
      <c r="BF300" t="s">
        <v>403</v>
      </c>
      <c r="BG300" t="s">
        <v>712</v>
      </c>
      <c r="BH300" s="10">
        <v>39926</v>
      </c>
      <c r="BI300" s="11">
        <v>15200</v>
      </c>
      <c r="BJ300" t="s">
        <v>77</v>
      </c>
      <c r="BK300" s="10">
        <v>1158</v>
      </c>
      <c r="BR300">
        <v>297</v>
      </c>
      <c r="BS300" t="s">
        <v>77</v>
      </c>
      <c r="BT300" s="10">
        <v>39926</v>
      </c>
      <c r="BU300" s="11">
        <v>15200</v>
      </c>
      <c r="BV300" s="10">
        <v>1158</v>
      </c>
      <c r="BW300" s="1" t="str">
        <f>IF(BS300=$CA$12,COUNTIF($BS$4:BS300,$CA$12),"")</f>
        <v/>
      </c>
    </row>
    <row r="301" spans="5:75" x14ac:dyDescent="0.25">
      <c r="E301">
        <v>298</v>
      </c>
      <c r="F301" t="s">
        <v>404</v>
      </c>
      <c r="G301" t="s">
        <v>77</v>
      </c>
      <c r="H301" t="s">
        <v>713</v>
      </c>
      <c r="I301" s="10">
        <v>107488</v>
      </c>
      <c r="J301" s="11">
        <v>25411</v>
      </c>
      <c r="K301" s="10">
        <v>2333</v>
      </c>
      <c r="BE301">
        <v>298</v>
      </c>
      <c r="BF301" t="s">
        <v>404</v>
      </c>
      <c r="BG301" t="s">
        <v>713</v>
      </c>
      <c r="BH301" s="10">
        <v>107488</v>
      </c>
      <c r="BI301" s="11">
        <v>25411</v>
      </c>
      <c r="BJ301" t="s">
        <v>77</v>
      </c>
      <c r="BK301" s="10">
        <v>2333</v>
      </c>
      <c r="BR301">
        <v>298</v>
      </c>
      <c r="BS301" t="s">
        <v>77</v>
      </c>
      <c r="BT301" s="10">
        <v>107488</v>
      </c>
      <c r="BU301" s="11">
        <v>25411</v>
      </c>
      <c r="BV301" s="10">
        <v>2333</v>
      </c>
      <c r="BW301" s="1" t="str">
        <f>IF(BS301=$CA$12,COUNTIF($BS$4:BS301,$CA$12),"")</f>
        <v/>
      </c>
    </row>
    <row r="302" spans="5:75" x14ac:dyDescent="0.25">
      <c r="E302">
        <v>299</v>
      </c>
      <c r="F302" t="s">
        <v>405</v>
      </c>
      <c r="G302" t="s">
        <v>77</v>
      </c>
      <c r="H302" t="s">
        <v>714</v>
      </c>
      <c r="I302" s="10">
        <v>131616</v>
      </c>
      <c r="J302" s="11">
        <v>49197</v>
      </c>
      <c r="K302" s="10">
        <v>2457</v>
      </c>
      <c r="BE302">
        <v>299</v>
      </c>
      <c r="BF302" t="s">
        <v>405</v>
      </c>
      <c r="BG302" t="s">
        <v>714</v>
      </c>
      <c r="BH302" s="10">
        <v>131616</v>
      </c>
      <c r="BI302" s="11">
        <v>49197</v>
      </c>
      <c r="BJ302" t="s">
        <v>77</v>
      </c>
      <c r="BK302" s="10">
        <v>2457</v>
      </c>
      <c r="BR302">
        <v>299</v>
      </c>
      <c r="BS302" t="s">
        <v>77</v>
      </c>
      <c r="BT302" s="10">
        <v>131616</v>
      </c>
      <c r="BU302" s="11">
        <v>49197</v>
      </c>
      <c r="BV302" s="10">
        <v>2457</v>
      </c>
      <c r="BW302" s="1" t="str">
        <f>IF(BS302=$CA$12,COUNTIF($BS$4:BS302,$CA$12),"")</f>
        <v/>
      </c>
    </row>
    <row r="303" spans="5:75" x14ac:dyDescent="0.25">
      <c r="E303">
        <v>300</v>
      </c>
      <c r="F303" t="s">
        <v>406</v>
      </c>
      <c r="G303" t="s">
        <v>77</v>
      </c>
      <c r="H303" t="s">
        <v>715</v>
      </c>
      <c r="I303" s="10">
        <v>38288</v>
      </c>
      <c r="J303" s="11">
        <v>12227</v>
      </c>
      <c r="K303" s="10">
        <v>1039</v>
      </c>
      <c r="BE303">
        <v>300</v>
      </c>
      <c r="BF303" t="s">
        <v>406</v>
      </c>
      <c r="BG303" t="s">
        <v>715</v>
      </c>
      <c r="BH303" s="10">
        <v>38288</v>
      </c>
      <c r="BI303" s="11">
        <v>12227</v>
      </c>
      <c r="BJ303" t="s">
        <v>77</v>
      </c>
      <c r="BK303" s="10">
        <v>1039</v>
      </c>
      <c r="BR303">
        <v>300</v>
      </c>
      <c r="BS303" t="s">
        <v>77</v>
      </c>
      <c r="BT303" s="10">
        <v>38288</v>
      </c>
      <c r="BU303" s="11">
        <v>12227</v>
      </c>
      <c r="BV303" s="10">
        <v>1039</v>
      </c>
      <c r="BW303" s="1" t="str">
        <f>IF(BS303=$CA$12,COUNTIF($BS$4:BS303,$CA$12),"")</f>
        <v/>
      </c>
    </row>
    <row r="304" spans="5:75" x14ac:dyDescent="0.25">
      <c r="E304">
        <v>301</v>
      </c>
      <c r="F304" t="s">
        <v>407</v>
      </c>
      <c r="G304" t="s">
        <v>78</v>
      </c>
      <c r="H304" t="s">
        <v>704</v>
      </c>
      <c r="I304" s="10">
        <v>116205</v>
      </c>
      <c r="J304" s="11">
        <v>30961</v>
      </c>
      <c r="K304" s="10">
        <v>1626</v>
      </c>
      <c r="BE304">
        <v>301</v>
      </c>
      <c r="BF304" t="s">
        <v>407</v>
      </c>
      <c r="BG304" t="s">
        <v>704</v>
      </c>
      <c r="BH304" s="10">
        <v>116205</v>
      </c>
      <c r="BI304" s="11">
        <v>30961</v>
      </c>
      <c r="BJ304" t="s">
        <v>78</v>
      </c>
      <c r="BK304" s="10">
        <v>1626</v>
      </c>
      <c r="BR304">
        <v>301</v>
      </c>
      <c r="BS304" t="s">
        <v>78</v>
      </c>
      <c r="BT304" s="10">
        <v>116205</v>
      </c>
      <c r="BU304" s="11">
        <v>30961</v>
      </c>
      <c r="BV304" s="10">
        <v>1626</v>
      </c>
      <c r="BW304" s="1" t="str">
        <f>IF(BS304=$CA$12,COUNTIF($BS$4:BS304,$CA$12),"")</f>
        <v/>
      </c>
    </row>
    <row r="305" spans="5:75" x14ac:dyDescent="0.25">
      <c r="E305">
        <v>302</v>
      </c>
      <c r="F305" t="s">
        <v>408</v>
      </c>
      <c r="G305" t="s">
        <v>78</v>
      </c>
      <c r="H305" t="s">
        <v>705</v>
      </c>
      <c r="I305" s="10">
        <v>110845</v>
      </c>
      <c r="J305" s="11">
        <v>35901</v>
      </c>
      <c r="K305" s="10">
        <v>1446</v>
      </c>
      <c r="BE305">
        <v>302</v>
      </c>
      <c r="BF305" t="s">
        <v>408</v>
      </c>
      <c r="BG305" t="s">
        <v>705</v>
      </c>
      <c r="BH305" s="10">
        <v>110845</v>
      </c>
      <c r="BI305" s="11">
        <v>35901</v>
      </c>
      <c r="BJ305" t="s">
        <v>78</v>
      </c>
      <c r="BK305" s="10">
        <v>1446</v>
      </c>
      <c r="BR305">
        <v>302</v>
      </c>
      <c r="BS305" t="s">
        <v>78</v>
      </c>
      <c r="BT305" s="10">
        <v>110845</v>
      </c>
      <c r="BU305" s="11">
        <v>35901</v>
      </c>
      <c r="BV305" s="10">
        <v>1446</v>
      </c>
      <c r="BW305" s="1" t="str">
        <f>IF(BS305=$CA$12,COUNTIF($BS$4:BS305,$CA$12),"")</f>
        <v/>
      </c>
    </row>
    <row r="306" spans="5:75" x14ac:dyDescent="0.25">
      <c r="E306">
        <v>303</v>
      </c>
      <c r="F306" t="s">
        <v>409</v>
      </c>
      <c r="G306" t="s">
        <v>78</v>
      </c>
      <c r="H306" t="s">
        <v>706</v>
      </c>
      <c r="I306" s="10">
        <v>99527</v>
      </c>
      <c r="J306" s="11">
        <v>20990</v>
      </c>
      <c r="K306" s="10">
        <v>488</v>
      </c>
      <c r="BE306">
        <v>303</v>
      </c>
      <c r="BF306" t="s">
        <v>409</v>
      </c>
      <c r="BG306" t="s">
        <v>706</v>
      </c>
      <c r="BH306" s="10">
        <v>99527</v>
      </c>
      <c r="BI306" s="11">
        <v>20990</v>
      </c>
      <c r="BJ306" t="s">
        <v>78</v>
      </c>
      <c r="BK306" s="10">
        <v>488</v>
      </c>
      <c r="BR306">
        <v>303</v>
      </c>
      <c r="BS306" t="s">
        <v>78</v>
      </c>
      <c r="BT306" s="10">
        <v>99527</v>
      </c>
      <c r="BU306" s="11">
        <v>20990</v>
      </c>
      <c r="BV306" s="10">
        <v>488</v>
      </c>
      <c r="BW306" s="1" t="str">
        <f>IF(BS306=$CA$12,COUNTIF($BS$4:BS306,$CA$12),"")</f>
        <v/>
      </c>
    </row>
    <row r="307" spans="5:75" x14ac:dyDescent="0.25">
      <c r="E307">
        <v>304</v>
      </c>
      <c r="F307" t="s">
        <v>410</v>
      </c>
      <c r="G307" t="s">
        <v>78</v>
      </c>
      <c r="H307" t="s">
        <v>707</v>
      </c>
      <c r="I307" s="10">
        <v>118902</v>
      </c>
      <c r="J307" s="11">
        <v>41950</v>
      </c>
      <c r="K307" s="10">
        <v>3145</v>
      </c>
      <c r="BE307">
        <v>304</v>
      </c>
      <c r="BF307" t="s">
        <v>410</v>
      </c>
      <c r="BG307" t="s">
        <v>707</v>
      </c>
      <c r="BH307" s="10">
        <v>118902</v>
      </c>
      <c r="BI307" s="11">
        <v>41950</v>
      </c>
      <c r="BJ307" t="s">
        <v>78</v>
      </c>
      <c r="BK307" s="10">
        <v>3145</v>
      </c>
      <c r="BR307">
        <v>304</v>
      </c>
      <c r="BS307" t="s">
        <v>78</v>
      </c>
      <c r="BT307" s="10">
        <v>118902</v>
      </c>
      <c r="BU307" s="11">
        <v>41950</v>
      </c>
      <c r="BV307" s="10">
        <v>3145</v>
      </c>
      <c r="BW307" s="1" t="str">
        <f>IF(BS307=$CA$12,COUNTIF($BS$4:BS307,$CA$12),"")</f>
        <v/>
      </c>
    </row>
    <row r="308" spans="5:75" x14ac:dyDescent="0.25">
      <c r="E308">
        <v>305</v>
      </c>
      <c r="F308" t="s">
        <v>411</v>
      </c>
      <c r="G308" t="s">
        <v>78</v>
      </c>
      <c r="H308" t="s">
        <v>708</v>
      </c>
      <c r="I308" s="10">
        <v>29566</v>
      </c>
      <c r="J308" s="11">
        <v>11323</v>
      </c>
      <c r="K308" s="10">
        <v>461</v>
      </c>
      <c r="BE308">
        <v>305</v>
      </c>
      <c r="BF308" t="s">
        <v>411</v>
      </c>
      <c r="BG308" t="s">
        <v>708</v>
      </c>
      <c r="BH308" s="10">
        <v>29566</v>
      </c>
      <c r="BI308" s="11">
        <v>11323</v>
      </c>
      <c r="BJ308" t="s">
        <v>78</v>
      </c>
      <c r="BK308" s="10">
        <v>461</v>
      </c>
      <c r="BR308">
        <v>305</v>
      </c>
      <c r="BS308" t="s">
        <v>78</v>
      </c>
      <c r="BT308" s="10">
        <v>29566</v>
      </c>
      <c r="BU308" s="11">
        <v>11323</v>
      </c>
      <c r="BV308" s="10">
        <v>461</v>
      </c>
      <c r="BW308" s="1" t="str">
        <f>IF(BS308=$CA$12,COUNTIF($BS$4:BS308,$CA$12),"")</f>
        <v/>
      </c>
    </row>
    <row r="309" spans="5:75" x14ac:dyDescent="0.25">
      <c r="E309">
        <v>306</v>
      </c>
      <c r="F309" t="s">
        <v>412</v>
      </c>
      <c r="G309" t="s">
        <v>78</v>
      </c>
      <c r="H309" t="s">
        <v>709</v>
      </c>
      <c r="I309" s="10">
        <v>83664</v>
      </c>
      <c r="J309" s="11">
        <v>30480</v>
      </c>
      <c r="K309" s="10">
        <v>1526</v>
      </c>
      <c r="BE309">
        <v>306</v>
      </c>
      <c r="BF309" t="s">
        <v>412</v>
      </c>
      <c r="BG309" t="s">
        <v>709</v>
      </c>
      <c r="BH309" s="10">
        <v>83664</v>
      </c>
      <c r="BI309" s="11">
        <v>30480</v>
      </c>
      <c r="BJ309" t="s">
        <v>78</v>
      </c>
      <c r="BK309" s="10">
        <v>1526</v>
      </c>
      <c r="BR309">
        <v>306</v>
      </c>
      <c r="BS309" t="s">
        <v>78</v>
      </c>
      <c r="BT309" s="10">
        <v>83664</v>
      </c>
      <c r="BU309" s="11">
        <v>30480</v>
      </c>
      <c r="BV309" s="10">
        <v>1526</v>
      </c>
      <c r="BW309" s="1" t="str">
        <f>IF(BS309=$CA$12,COUNTIF($BS$4:BS309,$CA$12),"")</f>
        <v/>
      </c>
    </row>
    <row r="310" spans="5:75" x14ac:dyDescent="0.25">
      <c r="E310">
        <v>307</v>
      </c>
      <c r="F310" t="s">
        <v>413</v>
      </c>
      <c r="G310" t="s">
        <v>78</v>
      </c>
      <c r="H310" t="s">
        <v>710</v>
      </c>
      <c r="I310" s="10">
        <v>66711</v>
      </c>
      <c r="J310" s="11">
        <v>18097</v>
      </c>
      <c r="K310" s="10">
        <v>342</v>
      </c>
      <c r="BE310">
        <v>307</v>
      </c>
      <c r="BF310" t="s">
        <v>413</v>
      </c>
      <c r="BG310" t="s">
        <v>710</v>
      </c>
      <c r="BH310" s="10">
        <v>66711</v>
      </c>
      <c r="BI310" s="11">
        <v>18097</v>
      </c>
      <c r="BJ310" t="s">
        <v>78</v>
      </c>
      <c r="BK310" s="10">
        <v>342</v>
      </c>
      <c r="BR310">
        <v>307</v>
      </c>
      <c r="BS310" t="s">
        <v>78</v>
      </c>
      <c r="BT310" s="10">
        <v>66711</v>
      </c>
      <c r="BU310" s="11">
        <v>18097</v>
      </c>
      <c r="BV310" s="10">
        <v>342</v>
      </c>
      <c r="BW310" s="1" t="str">
        <f>IF(BS310=$CA$12,COUNTIF($BS$4:BS310,$CA$12),"")</f>
        <v/>
      </c>
    </row>
    <row r="311" spans="5:75" x14ac:dyDescent="0.25">
      <c r="E311">
        <v>308</v>
      </c>
      <c r="F311" t="s">
        <v>414</v>
      </c>
      <c r="G311" t="s">
        <v>78</v>
      </c>
      <c r="H311" t="s">
        <v>711</v>
      </c>
      <c r="I311" s="10">
        <v>80549</v>
      </c>
      <c r="J311" s="11">
        <v>29156</v>
      </c>
      <c r="K311" s="10">
        <v>2799</v>
      </c>
      <c r="BE311">
        <v>308</v>
      </c>
      <c r="BF311" t="s">
        <v>414</v>
      </c>
      <c r="BG311" t="s">
        <v>711</v>
      </c>
      <c r="BH311" s="10">
        <v>80549</v>
      </c>
      <c r="BI311" s="11">
        <v>29156</v>
      </c>
      <c r="BJ311" t="s">
        <v>78</v>
      </c>
      <c r="BK311" s="10">
        <v>2799</v>
      </c>
      <c r="BR311">
        <v>308</v>
      </c>
      <c r="BS311" t="s">
        <v>78</v>
      </c>
      <c r="BT311" s="10">
        <v>80549</v>
      </c>
      <c r="BU311" s="11">
        <v>29156</v>
      </c>
      <c r="BV311" s="10">
        <v>2799</v>
      </c>
      <c r="BW311" s="1" t="str">
        <f>IF(BS311=$CA$12,COUNTIF($BS$4:BS311,$CA$12),"")</f>
        <v/>
      </c>
    </row>
    <row r="312" spans="5:75" x14ac:dyDescent="0.25">
      <c r="E312">
        <v>309</v>
      </c>
      <c r="F312" t="s">
        <v>415</v>
      </c>
      <c r="G312" t="s">
        <v>78</v>
      </c>
      <c r="H312" t="s">
        <v>712</v>
      </c>
      <c r="I312" s="10">
        <v>136503</v>
      </c>
      <c r="J312" s="11">
        <v>32902</v>
      </c>
      <c r="K312" s="10">
        <v>864</v>
      </c>
      <c r="BE312">
        <v>309</v>
      </c>
      <c r="BF312" t="s">
        <v>415</v>
      </c>
      <c r="BG312" t="s">
        <v>712</v>
      </c>
      <c r="BH312" s="10">
        <v>136503</v>
      </c>
      <c r="BI312" s="11">
        <v>32902</v>
      </c>
      <c r="BJ312" t="s">
        <v>78</v>
      </c>
      <c r="BK312" s="10">
        <v>864</v>
      </c>
      <c r="BR312">
        <v>309</v>
      </c>
      <c r="BS312" t="s">
        <v>78</v>
      </c>
      <c r="BT312" s="10">
        <v>136503</v>
      </c>
      <c r="BU312" s="11">
        <v>32902</v>
      </c>
      <c r="BV312" s="10">
        <v>864</v>
      </c>
      <c r="BW312" s="1" t="str">
        <f>IF(BS312=$CA$12,COUNTIF($BS$4:BS312,$CA$12),"")</f>
        <v/>
      </c>
    </row>
    <row r="313" spans="5:75" x14ac:dyDescent="0.25">
      <c r="E313">
        <v>310</v>
      </c>
      <c r="F313" t="s">
        <v>416</v>
      </c>
      <c r="G313" t="s">
        <v>78</v>
      </c>
      <c r="H313" t="s">
        <v>713</v>
      </c>
      <c r="I313" s="10">
        <v>36867</v>
      </c>
      <c r="J313" s="11">
        <v>12730</v>
      </c>
      <c r="K313" s="10">
        <v>954</v>
      </c>
      <c r="BE313">
        <v>310</v>
      </c>
      <c r="BF313" t="s">
        <v>416</v>
      </c>
      <c r="BG313" t="s">
        <v>713</v>
      </c>
      <c r="BH313" s="10">
        <v>36867</v>
      </c>
      <c r="BI313" s="11">
        <v>12730</v>
      </c>
      <c r="BJ313" t="s">
        <v>78</v>
      </c>
      <c r="BK313" s="10">
        <v>954</v>
      </c>
      <c r="BR313">
        <v>310</v>
      </c>
      <c r="BS313" t="s">
        <v>78</v>
      </c>
      <c r="BT313" s="10">
        <v>36867</v>
      </c>
      <c r="BU313" s="11">
        <v>12730</v>
      </c>
      <c r="BV313" s="10">
        <v>954</v>
      </c>
      <c r="BW313" s="1" t="str">
        <f>IF(BS313=$CA$12,COUNTIF($BS$4:BS313,$CA$12),"")</f>
        <v/>
      </c>
    </row>
    <row r="314" spans="5:75" x14ac:dyDescent="0.25">
      <c r="E314">
        <v>311</v>
      </c>
      <c r="F314" t="s">
        <v>417</v>
      </c>
      <c r="G314" t="s">
        <v>78</v>
      </c>
      <c r="H314" t="s">
        <v>714</v>
      </c>
      <c r="I314" s="10">
        <v>56334</v>
      </c>
      <c r="J314" s="11">
        <v>21181</v>
      </c>
      <c r="K314" s="10">
        <v>1952</v>
      </c>
      <c r="BE314">
        <v>311</v>
      </c>
      <c r="BF314" t="s">
        <v>417</v>
      </c>
      <c r="BG314" t="s">
        <v>714</v>
      </c>
      <c r="BH314" s="10">
        <v>56334</v>
      </c>
      <c r="BI314" s="11">
        <v>21181</v>
      </c>
      <c r="BJ314" t="s">
        <v>78</v>
      </c>
      <c r="BK314" s="10">
        <v>1952</v>
      </c>
      <c r="BR314">
        <v>311</v>
      </c>
      <c r="BS314" t="s">
        <v>78</v>
      </c>
      <c r="BT314" s="10">
        <v>56334</v>
      </c>
      <c r="BU314" s="11">
        <v>21181</v>
      </c>
      <c r="BV314" s="10">
        <v>1952</v>
      </c>
      <c r="BW314" s="1" t="str">
        <f>IF(BS314=$CA$12,COUNTIF($BS$4:BS314,$CA$12),"")</f>
        <v/>
      </c>
    </row>
    <row r="315" spans="5:75" x14ac:dyDescent="0.25">
      <c r="E315">
        <v>312</v>
      </c>
      <c r="F315" t="s">
        <v>418</v>
      </c>
      <c r="G315" t="s">
        <v>78</v>
      </c>
      <c r="H315" t="s">
        <v>715</v>
      </c>
      <c r="I315" s="10">
        <v>74300</v>
      </c>
      <c r="J315" s="11">
        <v>25681</v>
      </c>
      <c r="K315" s="10">
        <v>137</v>
      </c>
      <c r="BE315">
        <v>312</v>
      </c>
      <c r="BF315" t="s">
        <v>418</v>
      </c>
      <c r="BG315" t="s">
        <v>715</v>
      </c>
      <c r="BH315" s="10">
        <v>74300</v>
      </c>
      <c r="BI315" s="11">
        <v>25681</v>
      </c>
      <c r="BJ315" t="s">
        <v>78</v>
      </c>
      <c r="BK315" s="10">
        <v>137</v>
      </c>
      <c r="BR315">
        <v>312</v>
      </c>
      <c r="BS315" t="s">
        <v>78</v>
      </c>
      <c r="BT315" s="10">
        <v>74300</v>
      </c>
      <c r="BU315" s="11">
        <v>25681</v>
      </c>
      <c r="BV315" s="10">
        <v>137</v>
      </c>
      <c r="BW315" s="1" t="str">
        <f>IF(BS315=$CA$12,COUNTIF($BS$4:BS315,$CA$12),"")</f>
        <v/>
      </c>
    </row>
    <row r="316" spans="5:75" x14ac:dyDescent="0.25">
      <c r="E316">
        <v>313</v>
      </c>
      <c r="F316" t="s">
        <v>419</v>
      </c>
      <c r="G316" t="s">
        <v>79</v>
      </c>
      <c r="H316" t="s">
        <v>704</v>
      </c>
      <c r="I316" s="10">
        <v>59506</v>
      </c>
      <c r="J316" s="11">
        <v>23654</v>
      </c>
      <c r="K316" s="10">
        <v>718</v>
      </c>
      <c r="BE316">
        <v>313</v>
      </c>
      <c r="BF316" t="s">
        <v>419</v>
      </c>
      <c r="BG316" t="s">
        <v>704</v>
      </c>
      <c r="BH316" s="10">
        <v>59506</v>
      </c>
      <c r="BI316" s="11">
        <v>23654</v>
      </c>
      <c r="BJ316" t="s">
        <v>79</v>
      </c>
      <c r="BK316" s="10">
        <v>718</v>
      </c>
      <c r="BR316">
        <v>313</v>
      </c>
      <c r="BS316" t="s">
        <v>79</v>
      </c>
      <c r="BT316" s="10">
        <v>59506</v>
      </c>
      <c r="BU316" s="11">
        <v>23654</v>
      </c>
      <c r="BV316" s="10">
        <v>718</v>
      </c>
      <c r="BW316" s="1" t="str">
        <f>IF(BS316=$CA$12,COUNTIF($BS$4:BS316,$CA$12),"")</f>
        <v/>
      </c>
    </row>
    <row r="317" spans="5:75" x14ac:dyDescent="0.25">
      <c r="E317">
        <v>314</v>
      </c>
      <c r="F317" t="s">
        <v>420</v>
      </c>
      <c r="G317" t="s">
        <v>79</v>
      </c>
      <c r="H317" t="s">
        <v>705</v>
      </c>
      <c r="I317" s="10">
        <v>131798</v>
      </c>
      <c r="J317" s="11">
        <v>31335</v>
      </c>
      <c r="K317" s="10">
        <v>918</v>
      </c>
      <c r="BE317">
        <v>314</v>
      </c>
      <c r="BF317" t="s">
        <v>420</v>
      </c>
      <c r="BG317" t="s">
        <v>705</v>
      </c>
      <c r="BH317" s="10">
        <v>131798</v>
      </c>
      <c r="BI317" s="11">
        <v>31335</v>
      </c>
      <c r="BJ317" t="s">
        <v>79</v>
      </c>
      <c r="BK317" s="10">
        <v>918</v>
      </c>
      <c r="BR317">
        <v>314</v>
      </c>
      <c r="BS317" t="s">
        <v>79</v>
      </c>
      <c r="BT317" s="10">
        <v>131798</v>
      </c>
      <c r="BU317" s="11">
        <v>31335</v>
      </c>
      <c r="BV317" s="10">
        <v>918</v>
      </c>
      <c r="BW317" s="1" t="str">
        <f>IF(BS317=$CA$12,COUNTIF($BS$4:BS317,$CA$12),"")</f>
        <v/>
      </c>
    </row>
    <row r="318" spans="5:75" x14ac:dyDescent="0.25">
      <c r="E318">
        <v>315</v>
      </c>
      <c r="F318" t="s">
        <v>421</v>
      </c>
      <c r="G318" t="s">
        <v>79</v>
      </c>
      <c r="H318" t="s">
        <v>706</v>
      </c>
      <c r="I318" s="10">
        <v>117239</v>
      </c>
      <c r="J318" s="11">
        <v>42475</v>
      </c>
      <c r="K318" s="10">
        <v>2892</v>
      </c>
      <c r="BE318">
        <v>315</v>
      </c>
      <c r="BF318" t="s">
        <v>421</v>
      </c>
      <c r="BG318" t="s">
        <v>706</v>
      </c>
      <c r="BH318" s="10">
        <v>117239</v>
      </c>
      <c r="BI318" s="11">
        <v>42475</v>
      </c>
      <c r="BJ318" t="s">
        <v>79</v>
      </c>
      <c r="BK318" s="10">
        <v>2892</v>
      </c>
      <c r="BR318">
        <v>315</v>
      </c>
      <c r="BS318" t="s">
        <v>79</v>
      </c>
      <c r="BT318" s="10">
        <v>117239</v>
      </c>
      <c r="BU318" s="11">
        <v>42475</v>
      </c>
      <c r="BV318" s="10">
        <v>2892</v>
      </c>
      <c r="BW318" s="1" t="str">
        <f>IF(BS318=$CA$12,COUNTIF($BS$4:BS318,$CA$12),"")</f>
        <v/>
      </c>
    </row>
    <row r="319" spans="5:75" x14ac:dyDescent="0.25">
      <c r="E319">
        <v>316</v>
      </c>
      <c r="F319" t="s">
        <v>422</v>
      </c>
      <c r="G319" t="s">
        <v>79</v>
      </c>
      <c r="H319" t="s">
        <v>707</v>
      </c>
      <c r="I319" s="10">
        <v>145381</v>
      </c>
      <c r="J319" s="11">
        <v>30458</v>
      </c>
      <c r="K319" s="10">
        <v>1711</v>
      </c>
      <c r="BE319">
        <v>316</v>
      </c>
      <c r="BF319" t="s">
        <v>422</v>
      </c>
      <c r="BG319" t="s">
        <v>707</v>
      </c>
      <c r="BH319" s="10">
        <v>145381</v>
      </c>
      <c r="BI319" s="11">
        <v>30458</v>
      </c>
      <c r="BJ319" t="s">
        <v>79</v>
      </c>
      <c r="BK319" s="10">
        <v>1711</v>
      </c>
      <c r="BR319">
        <v>316</v>
      </c>
      <c r="BS319" t="s">
        <v>79</v>
      </c>
      <c r="BT319" s="10">
        <v>145381</v>
      </c>
      <c r="BU319" s="11">
        <v>30458</v>
      </c>
      <c r="BV319" s="10">
        <v>1711</v>
      </c>
      <c r="BW319" s="1" t="str">
        <f>IF(BS319=$CA$12,COUNTIF($BS$4:BS319,$CA$12),"")</f>
        <v/>
      </c>
    </row>
    <row r="320" spans="5:75" x14ac:dyDescent="0.25">
      <c r="E320">
        <v>317</v>
      </c>
      <c r="F320" t="s">
        <v>423</v>
      </c>
      <c r="G320" t="s">
        <v>79</v>
      </c>
      <c r="H320" t="s">
        <v>708</v>
      </c>
      <c r="I320" s="10">
        <v>49576</v>
      </c>
      <c r="J320" s="11">
        <v>13286</v>
      </c>
      <c r="K320" s="10">
        <v>664</v>
      </c>
      <c r="BE320">
        <v>317</v>
      </c>
      <c r="BF320" t="s">
        <v>423</v>
      </c>
      <c r="BG320" t="s">
        <v>708</v>
      </c>
      <c r="BH320" s="10">
        <v>49576</v>
      </c>
      <c r="BI320" s="11">
        <v>13286</v>
      </c>
      <c r="BJ320" t="s">
        <v>79</v>
      </c>
      <c r="BK320" s="10">
        <v>664</v>
      </c>
      <c r="BR320">
        <v>317</v>
      </c>
      <c r="BS320" t="s">
        <v>79</v>
      </c>
      <c r="BT320" s="10">
        <v>49576</v>
      </c>
      <c r="BU320" s="11">
        <v>13286</v>
      </c>
      <c r="BV320" s="10">
        <v>664</v>
      </c>
      <c r="BW320" s="1" t="str">
        <f>IF(BS320=$CA$12,COUNTIF($BS$4:BS320,$CA$12),"")</f>
        <v/>
      </c>
    </row>
    <row r="321" spans="5:75" x14ac:dyDescent="0.25">
      <c r="E321">
        <v>318</v>
      </c>
      <c r="F321" t="s">
        <v>424</v>
      </c>
      <c r="G321" t="s">
        <v>79</v>
      </c>
      <c r="H321" t="s">
        <v>709</v>
      </c>
      <c r="I321" s="10">
        <v>108085</v>
      </c>
      <c r="J321" s="11">
        <v>38057</v>
      </c>
      <c r="K321" s="10">
        <v>858</v>
      </c>
      <c r="BE321">
        <v>318</v>
      </c>
      <c r="BF321" t="s">
        <v>424</v>
      </c>
      <c r="BG321" t="s">
        <v>709</v>
      </c>
      <c r="BH321" s="10">
        <v>108085</v>
      </c>
      <c r="BI321" s="11">
        <v>38057</v>
      </c>
      <c r="BJ321" t="s">
        <v>79</v>
      </c>
      <c r="BK321" s="10">
        <v>858</v>
      </c>
      <c r="BR321">
        <v>318</v>
      </c>
      <c r="BS321" t="s">
        <v>79</v>
      </c>
      <c r="BT321" s="10">
        <v>108085</v>
      </c>
      <c r="BU321" s="11">
        <v>38057</v>
      </c>
      <c r="BV321" s="10">
        <v>858</v>
      </c>
      <c r="BW321" s="1" t="str">
        <f>IF(BS321=$CA$12,COUNTIF($BS$4:BS321,$CA$12),"")</f>
        <v/>
      </c>
    </row>
    <row r="322" spans="5:75" x14ac:dyDescent="0.25">
      <c r="E322">
        <v>319</v>
      </c>
      <c r="F322" t="s">
        <v>425</v>
      </c>
      <c r="G322" t="s">
        <v>79</v>
      </c>
      <c r="H322" t="s">
        <v>710</v>
      </c>
      <c r="I322" s="10">
        <v>69645</v>
      </c>
      <c r="J322" s="11">
        <v>20778</v>
      </c>
      <c r="K322" s="10">
        <v>234</v>
      </c>
      <c r="BE322">
        <v>319</v>
      </c>
      <c r="BF322" t="s">
        <v>425</v>
      </c>
      <c r="BG322" t="s">
        <v>710</v>
      </c>
      <c r="BH322" s="10">
        <v>69645</v>
      </c>
      <c r="BI322" s="11">
        <v>20778</v>
      </c>
      <c r="BJ322" t="s">
        <v>79</v>
      </c>
      <c r="BK322" s="10">
        <v>234</v>
      </c>
      <c r="BR322">
        <v>319</v>
      </c>
      <c r="BS322" t="s">
        <v>79</v>
      </c>
      <c r="BT322" s="10">
        <v>69645</v>
      </c>
      <c r="BU322" s="11">
        <v>20778</v>
      </c>
      <c r="BV322" s="10">
        <v>234</v>
      </c>
      <c r="BW322" s="1" t="str">
        <f>IF(BS322=$CA$12,COUNTIF($BS$4:BS322,$CA$12),"")</f>
        <v/>
      </c>
    </row>
    <row r="323" spans="5:75" x14ac:dyDescent="0.25">
      <c r="E323">
        <v>320</v>
      </c>
      <c r="F323" t="s">
        <v>426</v>
      </c>
      <c r="G323" t="s">
        <v>79</v>
      </c>
      <c r="H323" t="s">
        <v>711</v>
      </c>
      <c r="I323" s="10">
        <v>73181</v>
      </c>
      <c r="J323" s="11">
        <v>19944</v>
      </c>
      <c r="K323" s="10">
        <v>299</v>
      </c>
      <c r="BE323">
        <v>320</v>
      </c>
      <c r="BF323" t="s">
        <v>426</v>
      </c>
      <c r="BG323" t="s">
        <v>711</v>
      </c>
      <c r="BH323" s="10">
        <v>73181</v>
      </c>
      <c r="BI323" s="11">
        <v>19944</v>
      </c>
      <c r="BJ323" t="s">
        <v>79</v>
      </c>
      <c r="BK323" s="10">
        <v>299</v>
      </c>
      <c r="BR323">
        <v>320</v>
      </c>
      <c r="BS323" t="s">
        <v>79</v>
      </c>
      <c r="BT323" s="10">
        <v>73181</v>
      </c>
      <c r="BU323" s="11">
        <v>19944</v>
      </c>
      <c r="BV323" s="10">
        <v>299</v>
      </c>
      <c r="BW323" s="1" t="str">
        <f>IF(BS323=$CA$12,COUNTIF($BS$4:BS323,$CA$12),"")</f>
        <v/>
      </c>
    </row>
    <row r="324" spans="5:75" x14ac:dyDescent="0.25">
      <c r="E324">
        <v>321</v>
      </c>
      <c r="F324" t="s">
        <v>427</v>
      </c>
      <c r="G324" t="s">
        <v>79</v>
      </c>
      <c r="H324" t="s">
        <v>712</v>
      </c>
      <c r="I324" s="10">
        <v>33155</v>
      </c>
      <c r="J324" s="11">
        <v>12729</v>
      </c>
      <c r="K324" s="10">
        <v>1148</v>
      </c>
      <c r="BE324">
        <v>321</v>
      </c>
      <c r="BF324" t="s">
        <v>427</v>
      </c>
      <c r="BG324" t="s">
        <v>712</v>
      </c>
      <c r="BH324" s="10">
        <v>33155</v>
      </c>
      <c r="BI324" s="11">
        <v>12729</v>
      </c>
      <c r="BJ324" t="s">
        <v>79</v>
      </c>
      <c r="BK324" s="10">
        <v>1148</v>
      </c>
      <c r="BR324">
        <v>321</v>
      </c>
      <c r="BS324" t="s">
        <v>79</v>
      </c>
      <c r="BT324" s="10">
        <v>33155</v>
      </c>
      <c r="BU324" s="11">
        <v>12729</v>
      </c>
      <c r="BV324" s="10">
        <v>1148</v>
      </c>
      <c r="BW324" s="1" t="str">
        <f>IF(BS324=$CA$12,COUNTIF($BS$4:BS324,$CA$12),"")</f>
        <v/>
      </c>
    </row>
    <row r="325" spans="5:75" x14ac:dyDescent="0.25">
      <c r="E325">
        <v>322</v>
      </c>
      <c r="F325" t="s">
        <v>428</v>
      </c>
      <c r="G325" t="s">
        <v>79</v>
      </c>
      <c r="H325" t="s">
        <v>713</v>
      </c>
      <c r="I325" s="10">
        <v>30246</v>
      </c>
      <c r="J325" s="11">
        <v>8200</v>
      </c>
      <c r="K325" s="10">
        <v>559</v>
      </c>
      <c r="BE325">
        <v>322</v>
      </c>
      <c r="BF325" t="s">
        <v>428</v>
      </c>
      <c r="BG325" t="s">
        <v>713</v>
      </c>
      <c r="BH325" s="10">
        <v>30246</v>
      </c>
      <c r="BI325" s="11">
        <v>8200</v>
      </c>
      <c r="BJ325" t="s">
        <v>79</v>
      </c>
      <c r="BK325" s="10">
        <v>559</v>
      </c>
      <c r="BR325">
        <v>322</v>
      </c>
      <c r="BS325" t="s">
        <v>79</v>
      </c>
      <c r="BT325" s="10">
        <v>30246</v>
      </c>
      <c r="BU325" s="11">
        <v>8200</v>
      </c>
      <c r="BV325" s="10">
        <v>559</v>
      </c>
      <c r="BW325" s="1" t="str">
        <f>IF(BS325=$CA$12,COUNTIF($BS$4:BS325,$CA$12),"")</f>
        <v/>
      </c>
    </row>
    <row r="326" spans="5:75" x14ac:dyDescent="0.25">
      <c r="E326">
        <v>323</v>
      </c>
      <c r="F326" t="s">
        <v>429</v>
      </c>
      <c r="G326" t="s">
        <v>79</v>
      </c>
      <c r="H326" t="s">
        <v>714</v>
      </c>
      <c r="I326" s="10">
        <v>74986</v>
      </c>
      <c r="J326" s="11">
        <v>20508</v>
      </c>
      <c r="K326" s="10">
        <v>1352</v>
      </c>
      <c r="BE326">
        <v>323</v>
      </c>
      <c r="BF326" t="s">
        <v>429</v>
      </c>
      <c r="BG326" t="s">
        <v>714</v>
      </c>
      <c r="BH326" s="10">
        <v>74986</v>
      </c>
      <c r="BI326" s="11">
        <v>20508</v>
      </c>
      <c r="BJ326" t="s">
        <v>79</v>
      </c>
      <c r="BK326" s="10">
        <v>1352</v>
      </c>
      <c r="BR326">
        <v>323</v>
      </c>
      <c r="BS326" t="s">
        <v>79</v>
      </c>
      <c r="BT326" s="10">
        <v>74986</v>
      </c>
      <c r="BU326" s="11">
        <v>20508</v>
      </c>
      <c r="BV326" s="10">
        <v>1352</v>
      </c>
      <c r="BW326" s="1" t="str">
        <f>IF(BS326=$CA$12,COUNTIF($BS$4:BS326,$CA$12),"")</f>
        <v/>
      </c>
    </row>
    <row r="327" spans="5:75" x14ac:dyDescent="0.25">
      <c r="E327">
        <v>324</v>
      </c>
      <c r="F327" t="s">
        <v>430</v>
      </c>
      <c r="G327" t="s">
        <v>79</v>
      </c>
      <c r="H327" t="s">
        <v>715</v>
      </c>
      <c r="I327" s="10">
        <v>62988</v>
      </c>
      <c r="J327" s="11">
        <v>22160</v>
      </c>
      <c r="K327" s="10">
        <v>715</v>
      </c>
      <c r="BE327">
        <v>324</v>
      </c>
      <c r="BF327" t="s">
        <v>430</v>
      </c>
      <c r="BG327" t="s">
        <v>715</v>
      </c>
      <c r="BH327" s="10">
        <v>62988</v>
      </c>
      <c r="BI327" s="11">
        <v>22160</v>
      </c>
      <c r="BJ327" t="s">
        <v>79</v>
      </c>
      <c r="BK327" s="10">
        <v>715</v>
      </c>
      <c r="BR327">
        <v>324</v>
      </c>
      <c r="BS327" t="s">
        <v>79</v>
      </c>
      <c r="BT327" s="10">
        <v>62988</v>
      </c>
      <c r="BU327" s="11">
        <v>22160</v>
      </c>
      <c r="BV327" s="10">
        <v>715</v>
      </c>
      <c r="BW327" s="1" t="str">
        <f>IF(BS327=$CA$12,COUNTIF($BS$4:BS327,$CA$12),"")</f>
        <v/>
      </c>
    </row>
    <row r="328" spans="5:75" x14ac:dyDescent="0.25">
      <c r="E328">
        <v>325</v>
      </c>
      <c r="F328" t="s">
        <v>431</v>
      </c>
      <c r="G328" t="s">
        <v>80</v>
      </c>
      <c r="H328" t="s">
        <v>704</v>
      </c>
      <c r="I328" s="10">
        <v>142213</v>
      </c>
      <c r="J328" s="11">
        <v>33345</v>
      </c>
      <c r="K328" s="10">
        <v>955</v>
      </c>
      <c r="BE328">
        <v>325</v>
      </c>
      <c r="BF328" t="s">
        <v>431</v>
      </c>
      <c r="BG328" t="s">
        <v>704</v>
      </c>
      <c r="BH328" s="10">
        <v>142213</v>
      </c>
      <c r="BI328" s="11">
        <v>33345</v>
      </c>
      <c r="BJ328" t="s">
        <v>80</v>
      </c>
      <c r="BK328" s="10">
        <v>955</v>
      </c>
      <c r="BR328">
        <v>325</v>
      </c>
      <c r="BS328" t="s">
        <v>80</v>
      </c>
      <c r="BT328" s="10">
        <v>142213</v>
      </c>
      <c r="BU328" s="11">
        <v>33345</v>
      </c>
      <c r="BV328" s="10">
        <v>955</v>
      </c>
      <c r="BW328" s="1" t="str">
        <f>IF(BS328=$CA$12,COUNTIF($BS$4:BS328,$CA$12),"")</f>
        <v/>
      </c>
    </row>
    <row r="329" spans="5:75" x14ac:dyDescent="0.25">
      <c r="E329">
        <v>326</v>
      </c>
      <c r="F329" t="s">
        <v>432</v>
      </c>
      <c r="G329" t="s">
        <v>80</v>
      </c>
      <c r="H329" t="s">
        <v>705</v>
      </c>
      <c r="I329" s="10">
        <v>77063</v>
      </c>
      <c r="J329" s="11">
        <v>21841</v>
      </c>
      <c r="K329" s="10">
        <v>1663</v>
      </c>
      <c r="BE329">
        <v>326</v>
      </c>
      <c r="BF329" t="s">
        <v>432</v>
      </c>
      <c r="BG329" t="s">
        <v>705</v>
      </c>
      <c r="BH329" s="10">
        <v>77063</v>
      </c>
      <c r="BI329" s="11">
        <v>21841</v>
      </c>
      <c r="BJ329" t="s">
        <v>80</v>
      </c>
      <c r="BK329" s="10">
        <v>1663</v>
      </c>
      <c r="BR329">
        <v>326</v>
      </c>
      <c r="BS329" t="s">
        <v>80</v>
      </c>
      <c r="BT329" s="10">
        <v>77063</v>
      </c>
      <c r="BU329" s="11">
        <v>21841</v>
      </c>
      <c r="BV329" s="10">
        <v>1663</v>
      </c>
      <c r="BW329" s="1" t="str">
        <f>IF(BS329=$CA$12,COUNTIF($BS$4:BS329,$CA$12),"")</f>
        <v/>
      </c>
    </row>
    <row r="330" spans="5:75" x14ac:dyDescent="0.25">
      <c r="E330">
        <v>327</v>
      </c>
      <c r="F330" t="s">
        <v>433</v>
      </c>
      <c r="G330" t="s">
        <v>80</v>
      </c>
      <c r="H330" t="s">
        <v>706</v>
      </c>
      <c r="I330" s="10">
        <v>54340</v>
      </c>
      <c r="J330" s="11">
        <v>19937</v>
      </c>
      <c r="K330" s="10">
        <v>398</v>
      </c>
      <c r="BE330">
        <v>327</v>
      </c>
      <c r="BF330" t="s">
        <v>433</v>
      </c>
      <c r="BG330" t="s">
        <v>706</v>
      </c>
      <c r="BH330" s="10">
        <v>54340</v>
      </c>
      <c r="BI330" s="11">
        <v>19937</v>
      </c>
      <c r="BJ330" t="s">
        <v>80</v>
      </c>
      <c r="BK330" s="10">
        <v>398</v>
      </c>
      <c r="BR330">
        <v>327</v>
      </c>
      <c r="BS330" t="s">
        <v>80</v>
      </c>
      <c r="BT330" s="10">
        <v>54340</v>
      </c>
      <c r="BU330" s="11">
        <v>19937</v>
      </c>
      <c r="BV330" s="10">
        <v>398</v>
      </c>
      <c r="BW330" s="1" t="str">
        <f>IF(BS330=$CA$12,COUNTIF($BS$4:BS330,$CA$12),"")</f>
        <v/>
      </c>
    </row>
    <row r="331" spans="5:75" x14ac:dyDescent="0.25">
      <c r="E331">
        <v>328</v>
      </c>
      <c r="F331" t="s">
        <v>434</v>
      </c>
      <c r="G331" t="s">
        <v>80</v>
      </c>
      <c r="H331" t="s">
        <v>707</v>
      </c>
      <c r="I331" s="10">
        <v>67755</v>
      </c>
      <c r="J331" s="11">
        <v>20663</v>
      </c>
      <c r="K331" s="10">
        <v>296</v>
      </c>
      <c r="BE331">
        <v>328</v>
      </c>
      <c r="BF331" t="s">
        <v>434</v>
      </c>
      <c r="BG331" t="s">
        <v>707</v>
      </c>
      <c r="BH331" s="10">
        <v>67755</v>
      </c>
      <c r="BI331" s="11">
        <v>20663</v>
      </c>
      <c r="BJ331" t="s">
        <v>80</v>
      </c>
      <c r="BK331" s="10">
        <v>296</v>
      </c>
      <c r="BR331">
        <v>328</v>
      </c>
      <c r="BS331" t="s">
        <v>80</v>
      </c>
      <c r="BT331" s="10">
        <v>67755</v>
      </c>
      <c r="BU331" s="11">
        <v>20663</v>
      </c>
      <c r="BV331" s="10">
        <v>296</v>
      </c>
      <c r="BW331" s="1" t="str">
        <f>IF(BS331=$CA$12,COUNTIF($BS$4:BS331,$CA$12),"")</f>
        <v/>
      </c>
    </row>
    <row r="332" spans="5:75" x14ac:dyDescent="0.25">
      <c r="E332">
        <v>329</v>
      </c>
      <c r="F332" t="s">
        <v>435</v>
      </c>
      <c r="G332" t="s">
        <v>80</v>
      </c>
      <c r="H332" t="s">
        <v>708</v>
      </c>
      <c r="I332" s="10">
        <v>130932</v>
      </c>
      <c r="J332" s="11">
        <v>35036</v>
      </c>
      <c r="K332" s="10">
        <v>2543</v>
      </c>
      <c r="BE332">
        <v>329</v>
      </c>
      <c r="BF332" t="s">
        <v>435</v>
      </c>
      <c r="BG332" t="s">
        <v>708</v>
      </c>
      <c r="BH332" s="10">
        <v>130932</v>
      </c>
      <c r="BI332" s="11">
        <v>35036</v>
      </c>
      <c r="BJ332" t="s">
        <v>80</v>
      </c>
      <c r="BK332" s="10">
        <v>2543</v>
      </c>
      <c r="BR332">
        <v>329</v>
      </c>
      <c r="BS332" t="s">
        <v>80</v>
      </c>
      <c r="BT332" s="10">
        <v>130932</v>
      </c>
      <c r="BU332" s="11">
        <v>35036</v>
      </c>
      <c r="BV332" s="10">
        <v>2543</v>
      </c>
      <c r="BW332" s="1" t="str">
        <f>IF(BS332=$CA$12,COUNTIF($BS$4:BS332,$CA$12),"")</f>
        <v/>
      </c>
    </row>
    <row r="333" spans="5:75" x14ac:dyDescent="0.25">
      <c r="E333">
        <v>330</v>
      </c>
      <c r="F333" t="s">
        <v>436</v>
      </c>
      <c r="G333" t="s">
        <v>80</v>
      </c>
      <c r="H333" t="s">
        <v>709</v>
      </c>
      <c r="I333" s="10">
        <v>127437</v>
      </c>
      <c r="J333" s="11">
        <v>42902</v>
      </c>
      <c r="K333" s="10">
        <v>3803</v>
      </c>
      <c r="BE333">
        <v>330</v>
      </c>
      <c r="BF333" t="s">
        <v>436</v>
      </c>
      <c r="BG333" t="s">
        <v>709</v>
      </c>
      <c r="BH333" s="10">
        <v>127437</v>
      </c>
      <c r="BI333" s="11">
        <v>42902</v>
      </c>
      <c r="BJ333" t="s">
        <v>80</v>
      </c>
      <c r="BK333" s="10">
        <v>3803</v>
      </c>
      <c r="BR333">
        <v>330</v>
      </c>
      <c r="BS333" t="s">
        <v>80</v>
      </c>
      <c r="BT333" s="10">
        <v>127437</v>
      </c>
      <c r="BU333" s="11">
        <v>42902</v>
      </c>
      <c r="BV333" s="10">
        <v>3803</v>
      </c>
      <c r="BW333" s="1" t="str">
        <f>IF(BS333=$CA$12,COUNTIF($BS$4:BS333,$CA$12),"")</f>
        <v/>
      </c>
    </row>
    <row r="334" spans="5:75" x14ac:dyDescent="0.25">
      <c r="E334">
        <v>331</v>
      </c>
      <c r="F334" t="s">
        <v>437</v>
      </c>
      <c r="G334" t="s">
        <v>80</v>
      </c>
      <c r="H334" t="s">
        <v>710</v>
      </c>
      <c r="I334" s="10">
        <v>118625</v>
      </c>
      <c r="J334" s="11">
        <v>36558</v>
      </c>
      <c r="K334" s="10">
        <v>3491</v>
      </c>
      <c r="BE334">
        <v>331</v>
      </c>
      <c r="BF334" t="s">
        <v>437</v>
      </c>
      <c r="BG334" t="s">
        <v>710</v>
      </c>
      <c r="BH334" s="10">
        <v>118625</v>
      </c>
      <c r="BI334" s="11">
        <v>36558</v>
      </c>
      <c r="BJ334" t="s">
        <v>80</v>
      </c>
      <c r="BK334" s="10">
        <v>3491</v>
      </c>
      <c r="BR334">
        <v>331</v>
      </c>
      <c r="BS334" t="s">
        <v>80</v>
      </c>
      <c r="BT334" s="10">
        <v>118625</v>
      </c>
      <c r="BU334" s="11">
        <v>36558</v>
      </c>
      <c r="BV334" s="10">
        <v>3491</v>
      </c>
      <c r="BW334" s="1" t="str">
        <f>IF(BS334=$CA$12,COUNTIF($BS$4:BS334,$CA$12),"")</f>
        <v/>
      </c>
    </row>
    <row r="335" spans="5:75" x14ac:dyDescent="0.25">
      <c r="E335">
        <v>332</v>
      </c>
      <c r="F335" t="s">
        <v>438</v>
      </c>
      <c r="G335" t="s">
        <v>80</v>
      </c>
      <c r="H335" t="s">
        <v>711</v>
      </c>
      <c r="I335" s="10">
        <v>44798</v>
      </c>
      <c r="J335" s="11">
        <v>14378</v>
      </c>
      <c r="K335" s="10">
        <v>1333</v>
      </c>
      <c r="BE335">
        <v>332</v>
      </c>
      <c r="BF335" t="s">
        <v>438</v>
      </c>
      <c r="BG335" t="s">
        <v>711</v>
      </c>
      <c r="BH335" s="10">
        <v>44798</v>
      </c>
      <c r="BI335" s="11">
        <v>14378</v>
      </c>
      <c r="BJ335" t="s">
        <v>80</v>
      </c>
      <c r="BK335" s="10">
        <v>1333</v>
      </c>
      <c r="BR335">
        <v>332</v>
      </c>
      <c r="BS335" t="s">
        <v>80</v>
      </c>
      <c r="BT335" s="10">
        <v>44798</v>
      </c>
      <c r="BU335" s="11">
        <v>14378</v>
      </c>
      <c r="BV335" s="10">
        <v>1333</v>
      </c>
      <c r="BW335" s="1" t="str">
        <f>IF(BS335=$CA$12,COUNTIF($BS$4:BS335,$CA$12),"")</f>
        <v/>
      </c>
    </row>
    <row r="336" spans="5:75" x14ac:dyDescent="0.25">
      <c r="E336">
        <v>333</v>
      </c>
      <c r="F336" t="s">
        <v>439</v>
      </c>
      <c r="G336" t="s">
        <v>80</v>
      </c>
      <c r="H336" t="s">
        <v>712</v>
      </c>
      <c r="I336" s="10">
        <v>134241</v>
      </c>
      <c r="J336" s="11">
        <v>40229</v>
      </c>
      <c r="K336" s="10">
        <v>834</v>
      </c>
      <c r="BE336">
        <v>333</v>
      </c>
      <c r="BF336" t="s">
        <v>439</v>
      </c>
      <c r="BG336" t="s">
        <v>712</v>
      </c>
      <c r="BH336" s="10">
        <v>134241</v>
      </c>
      <c r="BI336" s="11">
        <v>40229</v>
      </c>
      <c r="BJ336" t="s">
        <v>80</v>
      </c>
      <c r="BK336" s="10">
        <v>834</v>
      </c>
      <c r="BR336">
        <v>333</v>
      </c>
      <c r="BS336" t="s">
        <v>80</v>
      </c>
      <c r="BT336" s="10">
        <v>134241</v>
      </c>
      <c r="BU336" s="11">
        <v>40229</v>
      </c>
      <c r="BV336" s="10">
        <v>834</v>
      </c>
      <c r="BW336" s="1" t="str">
        <f>IF(BS336=$CA$12,COUNTIF($BS$4:BS336,$CA$12),"")</f>
        <v/>
      </c>
    </row>
    <row r="337" spans="5:75" x14ac:dyDescent="0.25">
      <c r="E337">
        <v>334</v>
      </c>
      <c r="F337" t="s">
        <v>440</v>
      </c>
      <c r="G337" t="s">
        <v>80</v>
      </c>
      <c r="H337" t="s">
        <v>713</v>
      </c>
      <c r="I337" s="10">
        <v>77138</v>
      </c>
      <c r="J337" s="11">
        <v>28909</v>
      </c>
      <c r="K337" s="10">
        <v>1916</v>
      </c>
      <c r="BE337">
        <v>334</v>
      </c>
      <c r="BF337" t="s">
        <v>440</v>
      </c>
      <c r="BG337" t="s">
        <v>713</v>
      </c>
      <c r="BH337" s="10">
        <v>77138</v>
      </c>
      <c r="BI337" s="11">
        <v>28909</v>
      </c>
      <c r="BJ337" t="s">
        <v>80</v>
      </c>
      <c r="BK337" s="10">
        <v>1916</v>
      </c>
      <c r="BR337">
        <v>334</v>
      </c>
      <c r="BS337" t="s">
        <v>80</v>
      </c>
      <c r="BT337" s="10">
        <v>77138</v>
      </c>
      <c r="BU337" s="11">
        <v>28909</v>
      </c>
      <c r="BV337" s="10">
        <v>1916</v>
      </c>
      <c r="BW337" s="1" t="str">
        <f>IF(BS337=$CA$12,COUNTIF($BS$4:BS337,$CA$12),"")</f>
        <v/>
      </c>
    </row>
    <row r="338" spans="5:75" x14ac:dyDescent="0.25">
      <c r="E338">
        <v>335</v>
      </c>
      <c r="F338">
        <v>6.0293700699999998E+105</v>
      </c>
      <c r="G338" t="s">
        <v>80</v>
      </c>
      <c r="H338" t="s">
        <v>714</v>
      </c>
      <c r="I338" s="10">
        <v>12697</v>
      </c>
      <c r="J338" s="11">
        <v>3329</v>
      </c>
      <c r="K338" s="10">
        <v>154</v>
      </c>
      <c r="BE338">
        <v>335</v>
      </c>
      <c r="BF338">
        <v>6.0293700699999998E+105</v>
      </c>
      <c r="BG338" t="s">
        <v>714</v>
      </c>
      <c r="BH338" s="10">
        <v>12697</v>
      </c>
      <c r="BI338" s="11">
        <v>3329</v>
      </c>
      <c r="BJ338" t="s">
        <v>80</v>
      </c>
      <c r="BK338" s="10">
        <v>154</v>
      </c>
      <c r="BR338">
        <v>335</v>
      </c>
      <c r="BS338" t="s">
        <v>80</v>
      </c>
      <c r="BT338" s="10">
        <v>12697</v>
      </c>
      <c r="BU338" s="11">
        <v>3329</v>
      </c>
      <c r="BV338" s="10">
        <v>154</v>
      </c>
      <c r="BW338" s="1" t="str">
        <f>IF(BS338=$CA$12,COUNTIF($BS$4:BS338,$CA$12),"")</f>
        <v/>
      </c>
    </row>
    <row r="339" spans="5:75" x14ac:dyDescent="0.25">
      <c r="E339">
        <v>336</v>
      </c>
      <c r="F339" t="s">
        <v>441</v>
      </c>
      <c r="G339" t="s">
        <v>80</v>
      </c>
      <c r="H339" t="s">
        <v>715</v>
      </c>
      <c r="I339" s="10">
        <v>16054</v>
      </c>
      <c r="J339" s="11">
        <v>6128</v>
      </c>
      <c r="K339" s="10">
        <v>476</v>
      </c>
      <c r="BE339">
        <v>336</v>
      </c>
      <c r="BF339" t="s">
        <v>441</v>
      </c>
      <c r="BG339" t="s">
        <v>715</v>
      </c>
      <c r="BH339" s="10">
        <v>16054</v>
      </c>
      <c r="BI339" s="11">
        <v>6128</v>
      </c>
      <c r="BJ339" t="s">
        <v>80</v>
      </c>
      <c r="BK339" s="10">
        <v>476</v>
      </c>
      <c r="BR339">
        <v>336</v>
      </c>
      <c r="BS339" t="s">
        <v>80</v>
      </c>
      <c r="BT339" s="10">
        <v>16054</v>
      </c>
      <c r="BU339" s="11">
        <v>6128</v>
      </c>
      <c r="BV339" s="10">
        <v>476</v>
      </c>
      <c r="BW339" s="1" t="str">
        <f>IF(BS339=$CA$12,COUNTIF($BS$4:BS339,$CA$12),"")</f>
        <v/>
      </c>
    </row>
    <row r="340" spans="5:75" x14ac:dyDescent="0.25">
      <c r="E340">
        <v>337</v>
      </c>
      <c r="F340" t="s">
        <v>442</v>
      </c>
      <c r="G340" t="s">
        <v>81</v>
      </c>
      <c r="H340" t="s">
        <v>704</v>
      </c>
      <c r="I340" s="10">
        <v>30835</v>
      </c>
      <c r="J340" s="11">
        <v>11708</v>
      </c>
      <c r="K340" s="10">
        <v>996</v>
      </c>
      <c r="BE340">
        <v>337</v>
      </c>
      <c r="BF340" t="s">
        <v>442</v>
      </c>
      <c r="BG340" t="s">
        <v>704</v>
      </c>
      <c r="BH340" s="10">
        <v>30835</v>
      </c>
      <c r="BI340" s="11">
        <v>11708</v>
      </c>
      <c r="BJ340" t="s">
        <v>81</v>
      </c>
      <c r="BK340" s="10">
        <v>996</v>
      </c>
      <c r="BR340">
        <v>337</v>
      </c>
      <c r="BS340" t="s">
        <v>81</v>
      </c>
      <c r="BT340" s="10">
        <v>30835</v>
      </c>
      <c r="BU340" s="11">
        <v>11708</v>
      </c>
      <c r="BV340" s="10">
        <v>996</v>
      </c>
      <c r="BW340" s="1" t="str">
        <f>IF(BS340=$CA$12,COUNTIF($BS$4:BS340,$CA$12),"")</f>
        <v/>
      </c>
    </row>
    <row r="341" spans="5:75" x14ac:dyDescent="0.25">
      <c r="E341">
        <v>338</v>
      </c>
      <c r="F341" t="s">
        <v>443</v>
      </c>
      <c r="G341" t="s">
        <v>81</v>
      </c>
      <c r="H341" t="s">
        <v>705</v>
      </c>
      <c r="I341" s="10">
        <v>41219</v>
      </c>
      <c r="J341" s="11">
        <v>11873</v>
      </c>
      <c r="K341" s="10">
        <v>720</v>
      </c>
      <c r="BE341">
        <v>338</v>
      </c>
      <c r="BF341" t="s">
        <v>443</v>
      </c>
      <c r="BG341" t="s">
        <v>705</v>
      </c>
      <c r="BH341" s="10">
        <v>41219</v>
      </c>
      <c r="BI341" s="11">
        <v>11873</v>
      </c>
      <c r="BJ341" t="s">
        <v>81</v>
      </c>
      <c r="BK341" s="10">
        <v>720</v>
      </c>
      <c r="BR341">
        <v>338</v>
      </c>
      <c r="BS341" t="s">
        <v>81</v>
      </c>
      <c r="BT341" s="10">
        <v>41219</v>
      </c>
      <c r="BU341" s="11">
        <v>11873</v>
      </c>
      <c r="BV341" s="10">
        <v>720</v>
      </c>
      <c r="BW341" s="1" t="str">
        <f>IF(BS341=$CA$12,COUNTIF($BS$4:BS341,$CA$12),"")</f>
        <v/>
      </c>
    </row>
    <row r="342" spans="5:75" x14ac:dyDescent="0.25">
      <c r="E342">
        <v>339</v>
      </c>
      <c r="F342" t="s">
        <v>444</v>
      </c>
      <c r="G342" t="s">
        <v>81</v>
      </c>
      <c r="H342" t="s">
        <v>706</v>
      </c>
      <c r="I342" s="10">
        <v>122290</v>
      </c>
      <c r="J342" s="11">
        <v>29023</v>
      </c>
      <c r="K342" s="10">
        <v>1600</v>
      </c>
      <c r="BE342">
        <v>339</v>
      </c>
      <c r="BF342" t="s">
        <v>444</v>
      </c>
      <c r="BG342" t="s">
        <v>706</v>
      </c>
      <c r="BH342" s="10">
        <v>122290</v>
      </c>
      <c r="BI342" s="11">
        <v>29023</v>
      </c>
      <c r="BJ342" t="s">
        <v>81</v>
      </c>
      <c r="BK342" s="10">
        <v>1600</v>
      </c>
      <c r="BR342">
        <v>339</v>
      </c>
      <c r="BS342" t="s">
        <v>81</v>
      </c>
      <c r="BT342" s="10">
        <v>122290</v>
      </c>
      <c r="BU342" s="11">
        <v>29023</v>
      </c>
      <c r="BV342" s="10">
        <v>1600</v>
      </c>
      <c r="BW342" s="1" t="str">
        <f>IF(BS342=$CA$12,COUNTIF($BS$4:BS342,$CA$12),"")</f>
        <v/>
      </c>
    </row>
    <row r="343" spans="5:75" x14ac:dyDescent="0.25">
      <c r="E343">
        <v>340</v>
      </c>
      <c r="F343" t="s">
        <v>445</v>
      </c>
      <c r="G343" t="s">
        <v>81</v>
      </c>
      <c r="H343" t="s">
        <v>707</v>
      </c>
      <c r="I343" s="10">
        <v>13072</v>
      </c>
      <c r="J343" s="11">
        <v>4500</v>
      </c>
      <c r="K343" s="10">
        <v>230</v>
      </c>
      <c r="BE343">
        <v>340</v>
      </c>
      <c r="BF343" t="s">
        <v>445</v>
      </c>
      <c r="BG343" t="s">
        <v>707</v>
      </c>
      <c r="BH343" s="10">
        <v>13072</v>
      </c>
      <c r="BI343" s="11">
        <v>4500</v>
      </c>
      <c r="BJ343" t="s">
        <v>81</v>
      </c>
      <c r="BK343" s="10">
        <v>230</v>
      </c>
      <c r="BR343">
        <v>340</v>
      </c>
      <c r="BS343" t="s">
        <v>81</v>
      </c>
      <c r="BT343" s="10">
        <v>13072</v>
      </c>
      <c r="BU343" s="11">
        <v>4500</v>
      </c>
      <c r="BV343" s="10">
        <v>230</v>
      </c>
      <c r="BW343" s="1" t="str">
        <f>IF(BS343=$CA$12,COUNTIF($BS$4:BS343,$CA$12),"")</f>
        <v/>
      </c>
    </row>
    <row r="344" spans="5:75" x14ac:dyDescent="0.25">
      <c r="E344">
        <v>341</v>
      </c>
      <c r="F344" t="s">
        <v>446</v>
      </c>
      <c r="G344" t="s">
        <v>81</v>
      </c>
      <c r="H344" t="s">
        <v>708</v>
      </c>
      <c r="I344" s="10">
        <v>17719</v>
      </c>
      <c r="J344" s="11">
        <v>4805</v>
      </c>
      <c r="K344" s="10">
        <v>77</v>
      </c>
      <c r="BE344">
        <v>341</v>
      </c>
      <c r="BF344" t="s">
        <v>446</v>
      </c>
      <c r="BG344" t="s">
        <v>708</v>
      </c>
      <c r="BH344" s="10">
        <v>17719</v>
      </c>
      <c r="BI344" s="11">
        <v>4805</v>
      </c>
      <c r="BJ344" t="s">
        <v>81</v>
      </c>
      <c r="BK344" s="10">
        <v>77</v>
      </c>
      <c r="BR344">
        <v>341</v>
      </c>
      <c r="BS344" t="s">
        <v>81</v>
      </c>
      <c r="BT344" s="10">
        <v>17719</v>
      </c>
      <c r="BU344" s="11">
        <v>4805</v>
      </c>
      <c r="BV344" s="10">
        <v>77</v>
      </c>
      <c r="BW344" s="1" t="str">
        <f>IF(BS344=$CA$12,COUNTIF($BS$4:BS344,$CA$12),"")</f>
        <v/>
      </c>
    </row>
    <row r="345" spans="5:75" x14ac:dyDescent="0.25">
      <c r="E345">
        <v>342</v>
      </c>
      <c r="F345" t="s">
        <v>447</v>
      </c>
      <c r="G345" t="s">
        <v>81</v>
      </c>
      <c r="H345" t="s">
        <v>709</v>
      </c>
      <c r="I345" s="10">
        <v>91240</v>
      </c>
      <c r="J345" s="11">
        <v>21646</v>
      </c>
      <c r="K345" s="10">
        <v>28</v>
      </c>
      <c r="BE345">
        <v>342</v>
      </c>
      <c r="BF345" t="s">
        <v>447</v>
      </c>
      <c r="BG345" t="s">
        <v>709</v>
      </c>
      <c r="BH345" s="10">
        <v>91240</v>
      </c>
      <c r="BI345" s="11">
        <v>21646</v>
      </c>
      <c r="BJ345" t="s">
        <v>81</v>
      </c>
      <c r="BK345" s="10">
        <v>28</v>
      </c>
      <c r="BR345">
        <v>342</v>
      </c>
      <c r="BS345" t="s">
        <v>81</v>
      </c>
      <c r="BT345" s="10">
        <v>91240</v>
      </c>
      <c r="BU345" s="11">
        <v>21646</v>
      </c>
      <c r="BV345" s="10">
        <v>28</v>
      </c>
      <c r="BW345" s="1" t="str">
        <f>IF(BS345=$CA$12,COUNTIF($BS$4:BS345,$CA$12),"")</f>
        <v/>
      </c>
    </row>
    <row r="346" spans="5:75" x14ac:dyDescent="0.25">
      <c r="E346">
        <v>343</v>
      </c>
      <c r="F346" t="s">
        <v>448</v>
      </c>
      <c r="G346" t="s">
        <v>81</v>
      </c>
      <c r="H346" t="s">
        <v>710</v>
      </c>
      <c r="I346" s="10">
        <v>26142</v>
      </c>
      <c r="J346" s="11">
        <v>9661</v>
      </c>
      <c r="K346" s="10">
        <v>158</v>
      </c>
      <c r="BE346">
        <v>343</v>
      </c>
      <c r="BF346" t="s">
        <v>448</v>
      </c>
      <c r="BG346" t="s">
        <v>710</v>
      </c>
      <c r="BH346" s="10">
        <v>26142</v>
      </c>
      <c r="BI346" s="11">
        <v>9661</v>
      </c>
      <c r="BJ346" t="s">
        <v>81</v>
      </c>
      <c r="BK346" s="10">
        <v>158</v>
      </c>
      <c r="BR346">
        <v>343</v>
      </c>
      <c r="BS346" t="s">
        <v>81</v>
      </c>
      <c r="BT346" s="10">
        <v>26142</v>
      </c>
      <c r="BU346" s="11">
        <v>9661</v>
      </c>
      <c r="BV346" s="10">
        <v>158</v>
      </c>
      <c r="BW346" s="1" t="str">
        <f>IF(BS346=$CA$12,COUNTIF($BS$4:BS346,$CA$12),"")</f>
        <v/>
      </c>
    </row>
    <row r="347" spans="5:75" x14ac:dyDescent="0.25">
      <c r="E347">
        <v>344</v>
      </c>
      <c r="F347" t="s">
        <v>449</v>
      </c>
      <c r="G347" t="s">
        <v>81</v>
      </c>
      <c r="H347" t="s">
        <v>711</v>
      </c>
      <c r="I347" s="10">
        <v>59248</v>
      </c>
      <c r="J347" s="11">
        <v>17293</v>
      </c>
      <c r="K347" s="10">
        <v>1080</v>
      </c>
      <c r="BE347">
        <v>344</v>
      </c>
      <c r="BF347" t="s">
        <v>449</v>
      </c>
      <c r="BG347" t="s">
        <v>711</v>
      </c>
      <c r="BH347" s="10">
        <v>59248</v>
      </c>
      <c r="BI347" s="11">
        <v>17293</v>
      </c>
      <c r="BJ347" t="s">
        <v>81</v>
      </c>
      <c r="BK347" s="10">
        <v>1080</v>
      </c>
      <c r="BR347">
        <v>344</v>
      </c>
      <c r="BS347" t="s">
        <v>81</v>
      </c>
      <c r="BT347" s="10">
        <v>59248</v>
      </c>
      <c r="BU347" s="11">
        <v>17293</v>
      </c>
      <c r="BV347" s="10">
        <v>1080</v>
      </c>
      <c r="BW347" s="1" t="str">
        <f>IF(BS347=$CA$12,COUNTIF($BS$4:BS347,$CA$12),"")</f>
        <v/>
      </c>
    </row>
    <row r="348" spans="5:75" x14ac:dyDescent="0.25">
      <c r="E348">
        <v>345</v>
      </c>
      <c r="F348" t="s">
        <v>450</v>
      </c>
      <c r="G348" t="s">
        <v>81</v>
      </c>
      <c r="H348" t="s">
        <v>712</v>
      </c>
      <c r="I348" s="10">
        <v>141244</v>
      </c>
      <c r="J348" s="11">
        <v>37896</v>
      </c>
      <c r="K348" s="10">
        <v>1806</v>
      </c>
      <c r="BE348">
        <v>345</v>
      </c>
      <c r="BF348" t="s">
        <v>450</v>
      </c>
      <c r="BG348" t="s">
        <v>712</v>
      </c>
      <c r="BH348" s="10">
        <v>141244</v>
      </c>
      <c r="BI348" s="11">
        <v>37896</v>
      </c>
      <c r="BJ348" t="s">
        <v>81</v>
      </c>
      <c r="BK348" s="10">
        <v>1806</v>
      </c>
      <c r="BR348">
        <v>345</v>
      </c>
      <c r="BS348" t="s">
        <v>81</v>
      </c>
      <c r="BT348" s="10">
        <v>141244</v>
      </c>
      <c r="BU348" s="11">
        <v>37896</v>
      </c>
      <c r="BV348" s="10">
        <v>1806</v>
      </c>
      <c r="BW348" s="1" t="str">
        <f>IF(BS348=$CA$12,COUNTIF($BS$4:BS348,$CA$12),"")</f>
        <v/>
      </c>
    </row>
    <row r="349" spans="5:75" x14ac:dyDescent="0.25">
      <c r="E349">
        <v>346</v>
      </c>
      <c r="F349" t="s">
        <v>451</v>
      </c>
      <c r="G349" t="s">
        <v>81</v>
      </c>
      <c r="H349" t="s">
        <v>713</v>
      </c>
      <c r="I349" s="10">
        <v>118211</v>
      </c>
      <c r="J349" s="11">
        <v>27001</v>
      </c>
      <c r="K349" s="10">
        <v>2535</v>
      </c>
      <c r="BE349">
        <v>346</v>
      </c>
      <c r="BF349" t="s">
        <v>451</v>
      </c>
      <c r="BG349" t="s">
        <v>713</v>
      </c>
      <c r="BH349" s="10">
        <v>118211</v>
      </c>
      <c r="BI349" s="11">
        <v>27001</v>
      </c>
      <c r="BJ349" t="s">
        <v>81</v>
      </c>
      <c r="BK349" s="10">
        <v>2535</v>
      </c>
      <c r="BR349">
        <v>346</v>
      </c>
      <c r="BS349" t="s">
        <v>81</v>
      </c>
      <c r="BT349" s="10">
        <v>118211</v>
      </c>
      <c r="BU349" s="11">
        <v>27001</v>
      </c>
      <c r="BV349" s="10">
        <v>2535</v>
      </c>
      <c r="BW349" s="1" t="str">
        <f>IF(BS349=$CA$12,COUNTIF($BS$4:BS349,$CA$12),"")</f>
        <v/>
      </c>
    </row>
    <row r="350" spans="5:75" x14ac:dyDescent="0.25">
      <c r="E350">
        <v>347</v>
      </c>
      <c r="F350" t="s">
        <v>452</v>
      </c>
      <c r="G350" t="s">
        <v>81</v>
      </c>
      <c r="H350" t="s">
        <v>714</v>
      </c>
      <c r="I350" s="10">
        <v>104859</v>
      </c>
      <c r="J350" s="11">
        <v>26437</v>
      </c>
      <c r="K350" s="10">
        <v>179</v>
      </c>
      <c r="BE350">
        <v>347</v>
      </c>
      <c r="BF350" t="s">
        <v>452</v>
      </c>
      <c r="BG350" t="s">
        <v>714</v>
      </c>
      <c r="BH350" s="10">
        <v>104859</v>
      </c>
      <c r="BI350" s="11">
        <v>26437</v>
      </c>
      <c r="BJ350" t="s">
        <v>81</v>
      </c>
      <c r="BK350" s="10">
        <v>179</v>
      </c>
      <c r="BR350">
        <v>347</v>
      </c>
      <c r="BS350" t="s">
        <v>81</v>
      </c>
      <c r="BT350" s="10">
        <v>104859</v>
      </c>
      <c r="BU350" s="11">
        <v>26437</v>
      </c>
      <c r="BV350" s="10">
        <v>179</v>
      </c>
      <c r="BW350" s="1" t="str">
        <f>IF(BS350=$CA$12,COUNTIF($BS$4:BS350,$CA$12),"")</f>
        <v/>
      </c>
    </row>
    <row r="351" spans="5:75" x14ac:dyDescent="0.25">
      <c r="E351">
        <v>348</v>
      </c>
      <c r="F351" t="s">
        <v>453</v>
      </c>
      <c r="G351" t="s">
        <v>81</v>
      </c>
      <c r="H351" t="s">
        <v>715</v>
      </c>
      <c r="I351" s="10">
        <v>81175</v>
      </c>
      <c r="J351" s="11">
        <v>16884</v>
      </c>
      <c r="K351" s="10">
        <v>1583</v>
      </c>
      <c r="BE351">
        <v>348</v>
      </c>
      <c r="BF351" t="s">
        <v>453</v>
      </c>
      <c r="BG351" t="s">
        <v>715</v>
      </c>
      <c r="BH351" s="10">
        <v>81175</v>
      </c>
      <c r="BI351" s="11">
        <v>16884</v>
      </c>
      <c r="BJ351" t="s">
        <v>81</v>
      </c>
      <c r="BK351" s="10">
        <v>1583</v>
      </c>
      <c r="BR351">
        <v>348</v>
      </c>
      <c r="BS351" t="s">
        <v>81</v>
      </c>
      <c r="BT351" s="10">
        <v>81175</v>
      </c>
      <c r="BU351" s="11">
        <v>16884</v>
      </c>
      <c r="BV351" s="10">
        <v>1583</v>
      </c>
      <c r="BW351" s="1" t="str">
        <f>IF(BS351=$CA$12,COUNTIF($BS$4:BS351,$CA$12),"")</f>
        <v/>
      </c>
    </row>
    <row r="352" spans="5:75" x14ac:dyDescent="0.25">
      <c r="E352">
        <v>349</v>
      </c>
      <c r="F352" t="s">
        <v>454</v>
      </c>
      <c r="G352" t="s">
        <v>82</v>
      </c>
      <c r="H352" t="s">
        <v>704</v>
      </c>
      <c r="I352" s="10">
        <v>30403</v>
      </c>
      <c r="J352" s="11">
        <v>9043</v>
      </c>
      <c r="K352" s="10">
        <v>108</v>
      </c>
      <c r="BE352">
        <v>349</v>
      </c>
      <c r="BF352" t="s">
        <v>454</v>
      </c>
      <c r="BG352" t="s">
        <v>704</v>
      </c>
      <c r="BH352" s="10">
        <v>30403</v>
      </c>
      <c r="BI352" s="11">
        <v>9043</v>
      </c>
      <c r="BJ352" t="s">
        <v>82</v>
      </c>
      <c r="BK352" s="10">
        <v>108</v>
      </c>
      <c r="BR352">
        <v>349</v>
      </c>
      <c r="BS352" t="s">
        <v>82</v>
      </c>
      <c r="BT352" s="10">
        <v>30403</v>
      </c>
      <c r="BU352" s="11">
        <v>9043</v>
      </c>
      <c r="BV352" s="10">
        <v>108</v>
      </c>
      <c r="BW352" s="1" t="str">
        <f>IF(BS352=$CA$12,COUNTIF($BS$4:BS352,$CA$12),"")</f>
        <v/>
      </c>
    </row>
    <row r="353" spans="5:75" x14ac:dyDescent="0.25">
      <c r="E353">
        <v>350</v>
      </c>
      <c r="F353" t="s">
        <v>455</v>
      </c>
      <c r="G353" t="s">
        <v>82</v>
      </c>
      <c r="H353" t="s">
        <v>705</v>
      </c>
      <c r="I353" s="10">
        <v>73927</v>
      </c>
      <c r="J353" s="11">
        <v>28593</v>
      </c>
      <c r="K353" s="10">
        <v>1555</v>
      </c>
      <c r="BE353">
        <v>350</v>
      </c>
      <c r="BF353" t="s">
        <v>455</v>
      </c>
      <c r="BG353" t="s">
        <v>705</v>
      </c>
      <c r="BH353" s="10">
        <v>73927</v>
      </c>
      <c r="BI353" s="11">
        <v>28593</v>
      </c>
      <c r="BJ353" t="s">
        <v>82</v>
      </c>
      <c r="BK353" s="10">
        <v>1555</v>
      </c>
      <c r="BR353">
        <v>350</v>
      </c>
      <c r="BS353" t="s">
        <v>82</v>
      </c>
      <c r="BT353" s="10">
        <v>73927</v>
      </c>
      <c r="BU353" s="11">
        <v>28593</v>
      </c>
      <c r="BV353" s="10">
        <v>1555</v>
      </c>
      <c r="BW353" s="1" t="str">
        <f>IF(BS353=$CA$12,COUNTIF($BS$4:BS353,$CA$12),"")</f>
        <v/>
      </c>
    </row>
    <row r="354" spans="5:75" x14ac:dyDescent="0.25">
      <c r="E354">
        <v>351</v>
      </c>
      <c r="F354" t="s">
        <v>456</v>
      </c>
      <c r="G354" t="s">
        <v>82</v>
      </c>
      <c r="H354" t="s">
        <v>706</v>
      </c>
      <c r="I354" s="10">
        <v>25379</v>
      </c>
      <c r="J354" s="11">
        <v>5847</v>
      </c>
      <c r="K354" s="10">
        <v>451</v>
      </c>
      <c r="BE354">
        <v>351</v>
      </c>
      <c r="BF354" t="s">
        <v>456</v>
      </c>
      <c r="BG354" t="s">
        <v>706</v>
      </c>
      <c r="BH354" s="10">
        <v>25379</v>
      </c>
      <c r="BI354" s="11">
        <v>5847</v>
      </c>
      <c r="BJ354" t="s">
        <v>82</v>
      </c>
      <c r="BK354" s="10">
        <v>451</v>
      </c>
      <c r="BR354">
        <v>351</v>
      </c>
      <c r="BS354" t="s">
        <v>82</v>
      </c>
      <c r="BT354" s="10">
        <v>25379</v>
      </c>
      <c r="BU354" s="11">
        <v>5847</v>
      </c>
      <c r="BV354" s="10">
        <v>451</v>
      </c>
      <c r="BW354" s="1" t="str">
        <f>IF(BS354=$CA$12,COUNTIF($BS$4:BS354,$CA$12),"")</f>
        <v/>
      </c>
    </row>
    <row r="355" spans="5:75" x14ac:dyDescent="0.25">
      <c r="E355">
        <v>352</v>
      </c>
      <c r="F355" t="s">
        <v>457</v>
      </c>
      <c r="G355" t="s">
        <v>82</v>
      </c>
      <c r="H355" t="s">
        <v>707</v>
      </c>
      <c r="I355" s="10">
        <v>115458</v>
      </c>
      <c r="J355" s="11">
        <v>30956</v>
      </c>
      <c r="K355" s="10">
        <v>1281</v>
      </c>
      <c r="BE355">
        <v>352</v>
      </c>
      <c r="BF355" t="s">
        <v>457</v>
      </c>
      <c r="BG355" t="s">
        <v>707</v>
      </c>
      <c r="BH355" s="10">
        <v>115458</v>
      </c>
      <c r="BI355" s="11">
        <v>30956</v>
      </c>
      <c r="BJ355" t="s">
        <v>82</v>
      </c>
      <c r="BK355" s="10">
        <v>1281</v>
      </c>
      <c r="BR355">
        <v>352</v>
      </c>
      <c r="BS355" t="s">
        <v>82</v>
      </c>
      <c r="BT355" s="10">
        <v>115458</v>
      </c>
      <c r="BU355" s="11">
        <v>30956</v>
      </c>
      <c r="BV355" s="10">
        <v>1281</v>
      </c>
      <c r="BW355" s="1" t="str">
        <f>IF(BS355=$CA$12,COUNTIF($BS$4:BS355,$CA$12),"")</f>
        <v/>
      </c>
    </row>
    <row r="356" spans="5:75" x14ac:dyDescent="0.25">
      <c r="E356">
        <v>353</v>
      </c>
      <c r="F356">
        <v>463285891454</v>
      </c>
      <c r="G356" t="s">
        <v>82</v>
      </c>
      <c r="H356" t="s">
        <v>708</v>
      </c>
      <c r="I356" s="10">
        <v>87254</v>
      </c>
      <c r="J356" s="11">
        <v>30841</v>
      </c>
      <c r="K356" s="10">
        <v>378</v>
      </c>
      <c r="BE356">
        <v>353</v>
      </c>
      <c r="BF356">
        <v>463285891454</v>
      </c>
      <c r="BG356" t="s">
        <v>708</v>
      </c>
      <c r="BH356" s="10">
        <v>87254</v>
      </c>
      <c r="BI356" s="11">
        <v>30841</v>
      </c>
      <c r="BJ356" t="s">
        <v>82</v>
      </c>
      <c r="BK356" s="10">
        <v>378</v>
      </c>
      <c r="BR356">
        <v>353</v>
      </c>
      <c r="BS356" t="s">
        <v>82</v>
      </c>
      <c r="BT356" s="10">
        <v>87254</v>
      </c>
      <c r="BU356" s="11">
        <v>30841</v>
      </c>
      <c r="BV356" s="10">
        <v>378</v>
      </c>
      <c r="BW356" s="1" t="str">
        <f>IF(BS356=$CA$12,COUNTIF($BS$4:BS356,$CA$12),"")</f>
        <v/>
      </c>
    </row>
    <row r="357" spans="5:75" x14ac:dyDescent="0.25">
      <c r="E357">
        <v>354</v>
      </c>
      <c r="F357" t="s">
        <v>458</v>
      </c>
      <c r="G357" t="s">
        <v>82</v>
      </c>
      <c r="H357" t="s">
        <v>709</v>
      </c>
      <c r="I357" s="10">
        <v>133104</v>
      </c>
      <c r="J357" s="11">
        <v>28288</v>
      </c>
      <c r="K357" s="10">
        <v>2750</v>
      </c>
      <c r="BE357">
        <v>354</v>
      </c>
      <c r="BF357" t="s">
        <v>458</v>
      </c>
      <c r="BG357" t="s">
        <v>709</v>
      </c>
      <c r="BH357" s="10">
        <v>133104</v>
      </c>
      <c r="BI357" s="11">
        <v>28288</v>
      </c>
      <c r="BJ357" t="s">
        <v>82</v>
      </c>
      <c r="BK357" s="10">
        <v>2750</v>
      </c>
      <c r="BR357">
        <v>354</v>
      </c>
      <c r="BS357" t="s">
        <v>82</v>
      </c>
      <c r="BT357" s="10">
        <v>133104</v>
      </c>
      <c r="BU357" s="11">
        <v>28288</v>
      </c>
      <c r="BV357" s="10">
        <v>2750</v>
      </c>
      <c r="BW357" s="1" t="str">
        <f>IF(BS357=$CA$12,COUNTIF($BS$4:BS357,$CA$12),"")</f>
        <v/>
      </c>
    </row>
    <row r="358" spans="5:75" x14ac:dyDescent="0.25">
      <c r="E358">
        <v>355</v>
      </c>
      <c r="F358" t="s">
        <v>459</v>
      </c>
      <c r="G358" t="s">
        <v>82</v>
      </c>
      <c r="H358" t="s">
        <v>710</v>
      </c>
      <c r="I358" s="10">
        <v>118760</v>
      </c>
      <c r="J358" s="11">
        <v>28691</v>
      </c>
      <c r="K358" s="10">
        <v>55</v>
      </c>
      <c r="BE358">
        <v>355</v>
      </c>
      <c r="BF358" t="s">
        <v>459</v>
      </c>
      <c r="BG358" t="s">
        <v>710</v>
      </c>
      <c r="BH358" s="10">
        <v>118760</v>
      </c>
      <c r="BI358" s="11">
        <v>28691</v>
      </c>
      <c r="BJ358" t="s">
        <v>82</v>
      </c>
      <c r="BK358" s="10">
        <v>55</v>
      </c>
      <c r="BR358">
        <v>355</v>
      </c>
      <c r="BS358" t="s">
        <v>82</v>
      </c>
      <c r="BT358" s="10">
        <v>118760</v>
      </c>
      <c r="BU358" s="11">
        <v>28691</v>
      </c>
      <c r="BV358" s="10">
        <v>55</v>
      </c>
      <c r="BW358" s="1" t="str">
        <f>IF(BS358=$CA$12,COUNTIF($BS$4:BS358,$CA$12),"")</f>
        <v/>
      </c>
    </row>
    <row r="359" spans="5:75" x14ac:dyDescent="0.25">
      <c r="E359">
        <v>356</v>
      </c>
      <c r="F359" t="s">
        <v>460</v>
      </c>
      <c r="G359" t="s">
        <v>82</v>
      </c>
      <c r="H359" t="s">
        <v>711</v>
      </c>
      <c r="I359" s="10">
        <v>10141</v>
      </c>
      <c r="J359" s="11">
        <v>2628</v>
      </c>
      <c r="K359" s="10">
        <v>132</v>
      </c>
      <c r="BE359">
        <v>356</v>
      </c>
      <c r="BF359" t="s">
        <v>460</v>
      </c>
      <c r="BG359" t="s">
        <v>711</v>
      </c>
      <c r="BH359" s="10">
        <v>10141</v>
      </c>
      <c r="BI359" s="11">
        <v>2628</v>
      </c>
      <c r="BJ359" t="s">
        <v>82</v>
      </c>
      <c r="BK359" s="10">
        <v>132</v>
      </c>
      <c r="BR359">
        <v>356</v>
      </c>
      <c r="BS359" t="s">
        <v>82</v>
      </c>
      <c r="BT359" s="10">
        <v>10141</v>
      </c>
      <c r="BU359" s="11">
        <v>2628</v>
      </c>
      <c r="BV359" s="10">
        <v>132</v>
      </c>
      <c r="BW359" s="1" t="str">
        <f>IF(BS359=$CA$12,COUNTIF($BS$4:BS359,$CA$12),"")</f>
        <v/>
      </c>
    </row>
    <row r="360" spans="5:75" x14ac:dyDescent="0.25">
      <c r="E360">
        <v>357</v>
      </c>
      <c r="F360" t="s">
        <v>461</v>
      </c>
      <c r="G360" t="s">
        <v>82</v>
      </c>
      <c r="H360" t="s">
        <v>712</v>
      </c>
      <c r="I360" s="10">
        <v>37757</v>
      </c>
      <c r="J360" s="11">
        <v>11520</v>
      </c>
      <c r="K360" s="10">
        <v>263</v>
      </c>
      <c r="BE360">
        <v>357</v>
      </c>
      <c r="BF360" t="s">
        <v>461</v>
      </c>
      <c r="BG360" t="s">
        <v>712</v>
      </c>
      <c r="BH360" s="10">
        <v>37757</v>
      </c>
      <c r="BI360" s="11">
        <v>11520</v>
      </c>
      <c r="BJ360" t="s">
        <v>82</v>
      </c>
      <c r="BK360" s="10">
        <v>263</v>
      </c>
      <c r="BR360">
        <v>357</v>
      </c>
      <c r="BS360" t="s">
        <v>82</v>
      </c>
      <c r="BT360" s="10">
        <v>37757</v>
      </c>
      <c r="BU360" s="11">
        <v>11520</v>
      </c>
      <c r="BV360" s="10">
        <v>263</v>
      </c>
      <c r="BW360" s="1" t="str">
        <f>IF(BS360=$CA$12,COUNTIF($BS$4:BS360,$CA$12),"")</f>
        <v/>
      </c>
    </row>
    <row r="361" spans="5:75" x14ac:dyDescent="0.25">
      <c r="E361">
        <v>358</v>
      </c>
      <c r="F361" t="s">
        <v>462</v>
      </c>
      <c r="G361" t="s">
        <v>82</v>
      </c>
      <c r="H361" t="s">
        <v>713</v>
      </c>
      <c r="I361" s="10">
        <v>75371</v>
      </c>
      <c r="J361" s="11">
        <v>16090</v>
      </c>
      <c r="K361" s="10">
        <v>800</v>
      </c>
      <c r="BE361">
        <v>358</v>
      </c>
      <c r="BF361" t="s">
        <v>462</v>
      </c>
      <c r="BG361" t="s">
        <v>713</v>
      </c>
      <c r="BH361" s="10">
        <v>75371</v>
      </c>
      <c r="BI361" s="11">
        <v>16090</v>
      </c>
      <c r="BJ361" t="s">
        <v>82</v>
      </c>
      <c r="BK361" s="10">
        <v>800</v>
      </c>
      <c r="BR361">
        <v>358</v>
      </c>
      <c r="BS361" t="s">
        <v>82</v>
      </c>
      <c r="BT361" s="10">
        <v>75371</v>
      </c>
      <c r="BU361" s="11">
        <v>16090</v>
      </c>
      <c r="BV361" s="10">
        <v>800</v>
      </c>
      <c r="BW361" s="1" t="str">
        <f>IF(BS361=$CA$12,COUNTIF($BS$4:BS361,$CA$12),"")</f>
        <v/>
      </c>
    </row>
    <row r="362" spans="5:75" x14ac:dyDescent="0.25">
      <c r="E362">
        <v>359</v>
      </c>
      <c r="F362" t="s">
        <v>463</v>
      </c>
      <c r="G362" t="s">
        <v>82</v>
      </c>
      <c r="H362" t="s">
        <v>714</v>
      </c>
      <c r="I362" s="10">
        <v>149969</v>
      </c>
      <c r="J362" s="11">
        <v>56865</v>
      </c>
      <c r="K362" s="10">
        <v>1745</v>
      </c>
      <c r="BE362">
        <v>359</v>
      </c>
      <c r="BF362" t="s">
        <v>463</v>
      </c>
      <c r="BG362" t="s">
        <v>714</v>
      </c>
      <c r="BH362" s="10">
        <v>149969</v>
      </c>
      <c r="BI362" s="11">
        <v>56865</v>
      </c>
      <c r="BJ362" t="s">
        <v>82</v>
      </c>
      <c r="BK362" s="10">
        <v>1745</v>
      </c>
      <c r="BR362">
        <v>359</v>
      </c>
      <c r="BS362" t="s">
        <v>82</v>
      </c>
      <c r="BT362" s="10">
        <v>149969</v>
      </c>
      <c r="BU362" s="11">
        <v>56865</v>
      </c>
      <c r="BV362" s="10">
        <v>1745</v>
      </c>
      <c r="BW362" s="1" t="str">
        <f>IF(BS362=$CA$12,COUNTIF($BS$4:BS362,$CA$12),"")</f>
        <v/>
      </c>
    </row>
    <row r="363" spans="5:75" x14ac:dyDescent="0.25">
      <c r="E363">
        <v>360</v>
      </c>
      <c r="F363" t="s">
        <v>464</v>
      </c>
      <c r="G363" t="s">
        <v>82</v>
      </c>
      <c r="H363" t="s">
        <v>715</v>
      </c>
      <c r="I363" s="10">
        <v>105703</v>
      </c>
      <c r="J363" s="11">
        <v>25231</v>
      </c>
      <c r="K363" s="10">
        <v>1750</v>
      </c>
      <c r="BE363">
        <v>360</v>
      </c>
      <c r="BF363" t="s">
        <v>464</v>
      </c>
      <c r="BG363" t="s">
        <v>715</v>
      </c>
      <c r="BH363" s="10">
        <v>105703</v>
      </c>
      <c r="BI363" s="11">
        <v>25231</v>
      </c>
      <c r="BJ363" t="s">
        <v>82</v>
      </c>
      <c r="BK363" s="10">
        <v>1750</v>
      </c>
      <c r="BR363">
        <v>360</v>
      </c>
      <c r="BS363" t="s">
        <v>82</v>
      </c>
      <c r="BT363" s="10">
        <v>105703</v>
      </c>
      <c r="BU363" s="11">
        <v>25231</v>
      </c>
      <c r="BV363" s="10">
        <v>1750</v>
      </c>
      <c r="BW363" s="1" t="str">
        <f>IF(BS363=$CA$12,COUNTIF($BS$4:BS363,$CA$12),"")</f>
        <v/>
      </c>
    </row>
    <row r="364" spans="5:75" x14ac:dyDescent="0.25">
      <c r="E364">
        <v>361</v>
      </c>
      <c r="F364" t="s">
        <v>465</v>
      </c>
      <c r="G364" t="s">
        <v>83</v>
      </c>
      <c r="H364" t="s">
        <v>704</v>
      </c>
      <c r="I364" s="10">
        <v>16892</v>
      </c>
      <c r="J364" s="11">
        <v>5922</v>
      </c>
      <c r="K364" s="10">
        <v>244</v>
      </c>
      <c r="BE364">
        <v>361</v>
      </c>
      <c r="BF364" t="s">
        <v>465</v>
      </c>
      <c r="BG364" t="s">
        <v>704</v>
      </c>
      <c r="BH364" s="10">
        <v>16892</v>
      </c>
      <c r="BI364" s="11">
        <v>5922</v>
      </c>
      <c r="BJ364" t="s">
        <v>83</v>
      </c>
      <c r="BK364" s="10">
        <v>244</v>
      </c>
      <c r="BR364">
        <v>361</v>
      </c>
      <c r="BS364" t="s">
        <v>83</v>
      </c>
      <c r="BT364" s="10">
        <v>16892</v>
      </c>
      <c r="BU364" s="11">
        <v>5922</v>
      </c>
      <c r="BV364" s="10">
        <v>244</v>
      </c>
      <c r="BW364" s="1" t="str">
        <f>IF(BS364=$CA$12,COUNTIF($BS$4:BS364,$CA$12),"")</f>
        <v/>
      </c>
    </row>
    <row r="365" spans="5:75" x14ac:dyDescent="0.25">
      <c r="E365">
        <v>362</v>
      </c>
      <c r="F365" t="s">
        <v>466</v>
      </c>
      <c r="G365" t="s">
        <v>83</v>
      </c>
      <c r="H365" t="s">
        <v>705</v>
      </c>
      <c r="I365" s="10">
        <v>91036</v>
      </c>
      <c r="J365" s="11">
        <v>20019</v>
      </c>
      <c r="K365" s="10">
        <v>67</v>
      </c>
      <c r="BE365">
        <v>362</v>
      </c>
      <c r="BF365" t="s">
        <v>466</v>
      </c>
      <c r="BG365" t="s">
        <v>705</v>
      </c>
      <c r="BH365" s="10">
        <v>91036</v>
      </c>
      <c r="BI365" s="11">
        <v>20019</v>
      </c>
      <c r="BJ365" t="s">
        <v>83</v>
      </c>
      <c r="BK365" s="10">
        <v>67</v>
      </c>
      <c r="BR365">
        <v>362</v>
      </c>
      <c r="BS365" t="s">
        <v>83</v>
      </c>
      <c r="BT365" s="10">
        <v>91036</v>
      </c>
      <c r="BU365" s="11">
        <v>20019</v>
      </c>
      <c r="BV365" s="10">
        <v>67</v>
      </c>
      <c r="BW365" s="1" t="str">
        <f>IF(BS365=$CA$12,COUNTIF($BS$4:BS365,$CA$12),"")</f>
        <v/>
      </c>
    </row>
    <row r="366" spans="5:75" x14ac:dyDescent="0.25">
      <c r="E366">
        <v>363</v>
      </c>
      <c r="F366" t="s">
        <v>467</v>
      </c>
      <c r="G366" t="s">
        <v>83</v>
      </c>
      <c r="H366" t="s">
        <v>706</v>
      </c>
      <c r="I366" s="10">
        <v>148727</v>
      </c>
      <c r="J366" s="11">
        <v>50801</v>
      </c>
      <c r="K366" s="10">
        <v>415</v>
      </c>
      <c r="BE366">
        <v>363</v>
      </c>
      <c r="BF366" t="s">
        <v>467</v>
      </c>
      <c r="BG366" t="s">
        <v>706</v>
      </c>
      <c r="BH366" s="10">
        <v>148727</v>
      </c>
      <c r="BI366" s="11">
        <v>50801</v>
      </c>
      <c r="BJ366" t="s">
        <v>83</v>
      </c>
      <c r="BK366" s="10">
        <v>415</v>
      </c>
      <c r="BR366">
        <v>363</v>
      </c>
      <c r="BS366" t="s">
        <v>83</v>
      </c>
      <c r="BT366" s="10">
        <v>148727</v>
      </c>
      <c r="BU366" s="11">
        <v>50801</v>
      </c>
      <c r="BV366" s="10">
        <v>415</v>
      </c>
      <c r="BW366" s="1" t="str">
        <f>IF(BS366=$CA$12,COUNTIF($BS$4:BS366,$CA$12),"")</f>
        <v/>
      </c>
    </row>
    <row r="367" spans="5:75" x14ac:dyDescent="0.25">
      <c r="E367">
        <v>364</v>
      </c>
      <c r="F367" t="s">
        <v>468</v>
      </c>
      <c r="G367" t="s">
        <v>83</v>
      </c>
      <c r="H367" t="s">
        <v>707</v>
      </c>
      <c r="I367" s="10">
        <v>59900</v>
      </c>
      <c r="J367" s="11">
        <v>13173</v>
      </c>
      <c r="K367" s="10">
        <v>670</v>
      </c>
      <c r="BE367">
        <v>364</v>
      </c>
      <c r="BF367" t="s">
        <v>468</v>
      </c>
      <c r="BG367" t="s">
        <v>707</v>
      </c>
      <c r="BH367" s="10">
        <v>59900</v>
      </c>
      <c r="BI367" s="11">
        <v>13173</v>
      </c>
      <c r="BJ367" t="s">
        <v>83</v>
      </c>
      <c r="BK367" s="10">
        <v>670</v>
      </c>
      <c r="BR367">
        <v>364</v>
      </c>
      <c r="BS367" t="s">
        <v>83</v>
      </c>
      <c r="BT367" s="10">
        <v>59900</v>
      </c>
      <c r="BU367" s="11">
        <v>13173</v>
      </c>
      <c r="BV367" s="10">
        <v>670</v>
      </c>
      <c r="BW367" s="1" t="str">
        <f>IF(BS367=$CA$12,COUNTIF($BS$4:BS367,$CA$12),"")</f>
        <v/>
      </c>
    </row>
    <row r="368" spans="5:75" x14ac:dyDescent="0.25">
      <c r="E368">
        <v>365</v>
      </c>
      <c r="F368" t="s">
        <v>469</v>
      </c>
      <c r="G368" t="s">
        <v>83</v>
      </c>
      <c r="H368" t="s">
        <v>708</v>
      </c>
      <c r="I368" s="10">
        <v>26272</v>
      </c>
      <c r="J368" s="11">
        <v>8249</v>
      </c>
      <c r="K368" s="10">
        <v>317</v>
      </c>
      <c r="BE368">
        <v>365</v>
      </c>
      <c r="BF368" t="s">
        <v>469</v>
      </c>
      <c r="BG368" t="s">
        <v>708</v>
      </c>
      <c r="BH368" s="10">
        <v>26272</v>
      </c>
      <c r="BI368" s="11">
        <v>8249</v>
      </c>
      <c r="BJ368" t="s">
        <v>83</v>
      </c>
      <c r="BK368" s="10">
        <v>317</v>
      </c>
      <c r="BR368">
        <v>365</v>
      </c>
      <c r="BS368" t="s">
        <v>83</v>
      </c>
      <c r="BT368" s="10">
        <v>26272</v>
      </c>
      <c r="BU368" s="11">
        <v>8249</v>
      </c>
      <c r="BV368" s="10">
        <v>317</v>
      </c>
      <c r="BW368" s="1" t="str">
        <f>IF(BS368=$CA$12,COUNTIF($BS$4:BS368,$CA$12),"")</f>
        <v/>
      </c>
    </row>
    <row r="369" spans="5:75" x14ac:dyDescent="0.25">
      <c r="E369">
        <v>366</v>
      </c>
      <c r="F369" t="s">
        <v>470</v>
      </c>
      <c r="G369" t="s">
        <v>83</v>
      </c>
      <c r="H369" t="s">
        <v>709</v>
      </c>
      <c r="I369" s="10">
        <v>46883</v>
      </c>
      <c r="J369" s="11">
        <v>10029</v>
      </c>
      <c r="K369" s="10">
        <v>464</v>
      </c>
      <c r="BE369">
        <v>366</v>
      </c>
      <c r="BF369" t="s">
        <v>470</v>
      </c>
      <c r="BG369" t="s">
        <v>709</v>
      </c>
      <c r="BH369" s="10">
        <v>46883</v>
      </c>
      <c r="BI369" s="11">
        <v>10029</v>
      </c>
      <c r="BJ369" t="s">
        <v>83</v>
      </c>
      <c r="BK369" s="10">
        <v>464</v>
      </c>
      <c r="BR369">
        <v>366</v>
      </c>
      <c r="BS369" t="s">
        <v>83</v>
      </c>
      <c r="BT369" s="10">
        <v>46883</v>
      </c>
      <c r="BU369" s="11">
        <v>10029</v>
      </c>
      <c r="BV369" s="10">
        <v>464</v>
      </c>
      <c r="BW369" s="1" t="str">
        <f>IF(BS369=$CA$12,COUNTIF($BS$4:BS369,$CA$12),"")</f>
        <v/>
      </c>
    </row>
    <row r="370" spans="5:75" x14ac:dyDescent="0.25">
      <c r="E370">
        <v>367</v>
      </c>
      <c r="F370" t="s">
        <v>471</v>
      </c>
      <c r="G370" t="s">
        <v>83</v>
      </c>
      <c r="H370" t="s">
        <v>710</v>
      </c>
      <c r="I370" s="10">
        <v>116872</v>
      </c>
      <c r="J370" s="11">
        <v>39492</v>
      </c>
      <c r="K370" s="10">
        <v>1337</v>
      </c>
      <c r="BE370">
        <v>367</v>
      </c>
      <c r="BF370" t="s">
        <v>471</v>
      </c>
      <c r="BG370" t="s">
        <v>710</v>
      </c>
      <c r="BH370" s="10">
        <v>116872</v>
      </c>
      <c r="BI370" s="11">
        <v>39492</v>
      </c>
      <c r="BJ370" t="s">
        <v>83</v>
      </c>
      <c r="BK370" s="10">
        <v>1337</v>
      </c>
      <c r="BR370">
        <v>367</v>
      </c>
      <c r="BS370" t="s">
        <v>83</v>
      </c>
      <c r="BT370" s="10">
        <v>116872</v>
      </c>
      <c r="BU370" s="11">
        <v>39492</v>
      </c>
      <c r="BV370" s="10">
        <v>1337</v>
      </c>
      <c r="BW370" s="1" t="str">
        <f>IF(BS370=$CA$12,COUNTIF($BS$4:BS370,$CA$12),"")</f>
        <v/>
      </c>
    </row>
    <row r="371" spans="5:75" x14ac:dyDescent="0.25">
      <c r="E371">
        <v>368</v>
      </c>
      <c r="F371" t="s">
        <v>472</v>
      </c>
      <c r="G371" t="s">
        <v>83</v>
      </c>
      <c r="H371" t="s">
        <v>711</v>
      </c>
      <c r="I371" s="10">
        <v>24344</v>
      </c>
      <c r="J371" s="11">
        <v>5569</v>
      </c>
      <c r="K371" s="10">
        <v>83</v>
      </c>
      <c r="BE371">
        <v>368</v>
      </c>
      <c r="BF371" t="s">
        <v>472</v>
      </c>
      <c r="BG371" t="s">
        <v>711</v>
      </c>
      <c r="BH371" s="10">
        <v>24344</v>
      </c>
      <c r="BI371" s="11">
        <v>5569</v>
      </c>
      <c r="BJ371" t="s">
        <v>83</v>
      </c>
      <c r="BK371" s="10">
        <v>83</v>
      </c>
      <c r="BR371">
        <v>368</v>
      </c>
      <c r="BS371" t="s">
        <v>83</v>
      </c>
      <c r="BT371" s="10">
        <v>24344</v>
      </c>
      <c r="BU371" s="11">
        <v>5569</v>
      </c>
      <c r="BV371" s="10">
        <v>83</v>
      </c>
      <c r="BW371" s="1" t="str">
        <f>IF(BS371=$CA$12,COUNTIF($BS$4:BS371,$CA$12),"")</f>
        <v/>
      </c>
    </row>
    <row r="372" spans="5:75" x14ac:dyDescent="0.25">
      <c r="E372">
        <v>369</v>
      </c>
      <c r="F372" t="s">
        <v>473</v>
      </c>
      <c r="G372" t="s">
        <v>83</v>
      </c>
      <c r="H372" t="s">
        <v>712</v>
      </c>
      <c r="I372" s="10">
        <v>43798</v>
      </c>
      <c r="J372" s="11">
        <v>15058</v>
      </c>
      <c r="K372" s="10">
        <v>834</v>
      </c>
      <c r="BE372">
        <v>369</v>
      </c>
      <c r="BF372" t="s">
        <v>473</v>
      </c>
      <c r="BG372" t="s">
        <v>712</v>
      </c>
      <c r="BH372" s="10">
        <v>43798</v>
      </c>
      <c r="BI372" s="11">
        <v>15058</v>
      </c>
      <c r="BJ372" t="s">
        <v>83</v>
      </c>
      <c r="BK372" s="10">
        <v>834</v>
      </c>
      <c r="BR372">
        <v>369</v>
      </c>
      <c r="BS372" t="s">
        <v>83</v>
      </c>
      <c r="BT372" s="10">
        <v>43798</v>
      </c>
      <c r="BU372" s="11">
        <v>15058</v>
      </c>
      <c r="BV372" s="10">
        <v>834</v>
      </c>
      <c r="BW372" s="1" t="str">
        <f>IF(BS372=$CA$12,COUNTIF($BS$4:BS372,$CA$12),"")</f>
        <v/>
      </c>
    </row>
    <row r="373" spans="5:75" x14ac:dyDescent="0.25">
      <c r="E373">
        <v>370</v>
      </c>
      <c r="F373" t="s">
        <v>474</v>
      </c>
      <c r="G373" t="s">
        <v>83</v>
      </c>
      <c r="H373" t="s">
        <v>713</v>
      </c>
      <c r="I373" s="10">
        <v>129068</v>
      </c>
      <c r="J373" s="11">
        <v>49347</v>
      </c>
      <c r="K373" s="10">
        <v>1365</v>
      </c>
      <c r="BE373">
        <v>370</v>
      </c>
      <c r="BF373" t="s">
        <v>474</v>
      </c>
      <c r="BG373" t="s">
        <v>713</v>
      </c>
      <c r="BH373" s="10">
        <v>129068</v>
      </c>
      <c r="BI373" s="11">
        <v>49347</v>
      </c>
      <c r="BJ373" t="s">
        <v>83</v>
      </c>
      <c r="BK373" s="10">
        <v>1365</v>
      </c>
      <c r="BR373">
        <v>370</v>
      </c>
      <c r="BS373" t="s">
        <v>83</v>
      </c>
      <c r="BT373" s="10">
        <v>129068</v>
      </c>
      <c r="BU373" s="11">
        <v>49347</v>
      </c>
      <c r="BV373" s="10">
        <v>1365</v>
      </c>
      <c r="BW373" s="1" t="str">
        <f>IF(BS373=$CA$12,COUNTIF($BS$4:BS373,$CA$12),"")</f>
        <v/>
      </c>
    </row>
    <row r="374" spans="5:75" x14ac:dyDescent="0.25">
      <c r="E374">
        <v>371</v>
      </c>
      <c r="F374" t="s">
        <v>475</v>
      </c>
      <c r="G374" t="s">
        <v>83</v>
      </c>
      <c r="H374" t="s">
        <v>714</v>
      </c>
      <c r="I374" s="10">
        <v>89640</v>
      </c>
      <c r="J374" s="11">
        <v>34676</v>
      </c>
      <c r="K374" s="10">
        <v>2302</v>
      </c>
      <c r="BE374">
        <v>371</v>
      </c>
      <c r="BF374" t="s">
        <v>475</v>
      </c>
      <c r="BG374" t="s">
        <v>714</v>
      </c>
      <c r="BH374" s="10">
        <v>89640</v>
      </c>
      <c r="BI374" s="11">
        <v>34676</v>
      </c>
      <c r="BJ374" t="s">
        <v>83</v>
      </c>
      <c r="BK374" s="10">
        <v>2302</v>
      </c>
      <c r="BR374">
        <v>371</v>
      </c>
      <c r="BS374" t="s">
        <v>83</v>
      </c>
      <c r="BT374" s="10">
        <v>89640</v>
      </c>
      <c r="BU374" s="11">
        <v>34676</v>
      </c>
      <c r="BV374" s="10">
        <v>2302</v>
      </c>
      <c r="BW374" s="1" t="str">
        <f>IF(BS374=$CA$12,COUNTIF($BS$4:BS374,$CA$12),"")</f>
        <v/>
      </c>
    </row>
    <row r="375" spans="5:75" x14ac:dyDescent="0.25">
      <c r="E375">
        <v>372</v>
      </c>
      <c r="F375" t="s">
        <v>476</v>
      </c>
      <c r="G375" t="s">
        <v>83</v>
      </c>
      <c r="H375" t="s">
        <v>715</v>
      </c>
      <c r="I375" s="10">
        <v>118732</v>
      </c>
      <c r="J375" s="11">
        <v>27049</v>
      </c>
      <c r="K375" s="10">
        <v>2321</v>
      </c>
      <c r="BE375">
        <v>372</v>
      </c>
      <c r="BF375" t="s">
        <v>476</v>
      </c>
      <c r="BG375" t="s">
        <v>715</v>
      </c>
      <c r="BH375" s="10">
        <v>118732</v>
      </c>
      <c r="BI375" s="11">
        <v>27049</v>
      </c>
      <c r="BJ375" t="s">
        <v>83</v>
      </c>
      <c r="BK375" s="10">
        <v>2321</v>
      </c>
      <c r="BR375">
        <v>372</v>
      </c>
      <c r="BS375" t="s">
        <v>83</v>
      </c>
      <c r="BT375" s="10">
        <v>118732</v>
      </c>
      <c r="BU375" s="11">
        <v>27049</v>
      </c>
      <c r="BV375" s="10">
        <v>2321</v>
      </c>
      <c r="BW375" s="1" t="str">
        <f>IF(BS375=$CA$12,COUNTIF($BS$4:BS375,$CA$12),"")</f>
        <v/>
      </c>
    </row>
    <row r="376" spans="5:75" x14ac:dyDescent="0.25">
      <c r="E376">
        <v>373</v>
      </c>
      <c r="F376" t="s">
        <v>477</v>
      </c>
      <c r="G376" t="s">
        <v>84</v>
      </c>
      <c r="H376" t="s">
        <v>704</v>
      </c>
      <c r="I376" s="10">
        <v>32506</v>
      </c>
      <c r="J376" s="11">
        <v>12941</v>
      </c>
      <c r="K376" s="10">
        <v>220</v>
      </c>
      <c r="BE376">
        <v>373</v>
      </c>
      <c r="BF376" t="s">
        <v>477</v>
      </c>
      <c r="BG376" t="s">
        <v>704</v>
      </c>
      <c r="BH376" s="10">
        <v>32506</v>
      </c>
      <c r="BI376" s="11">
        <v>12941</v>
      </c>
      <c r="BJ376" t="s">
        <v>84</v>
      </c>
      <c r="BK376" s="10">
        <v>220</v>
      </c>
      <c r="BR376">
        <v>373</v>
      </c>
      <c r="BS376" t="s">
        <v>84</v>
      </c>
      <c r="BT376" s="10">
        <v>32506</v>
      </c>
      <c r="BU376" s="11">
        <v>12941</v>
      </c>
      <c r="BV376" s="10">
        <v>220</v>
      </c>
      <c r="BW376" s="1" t="str">
        <f>IF(BS376=$CA$12,COUNTIF($BS$4:BS376,$CA$12),"")</f>
        <v/>
      </c>
    </row>
    <row r="377" spans="5:75" x14ac:dyDescent="0.25">
      <c r="E377">
        <v>374</v>
      </c>
      <c r="F377" t="s">
        <v>478</v>
      </c>
      <c r="G377" t="s">
        <v>84</v>
      </c>
      <c r="H377" t="s">
        <v>705</v>
      </c>
      <c r="I377" s="10">
        <v>84030</v>
      </c>
      <c r="J377" s="11">
        <v>24019</v>
      </c>
      <c r="K377" s="10">
        <v>1738</v>
      </c>
      <c r="BE377">
        <v>374</v>
      </c>
      <c r="BF377" t="s">
        <v>478</v>
      </c>
      <c r="BG377" t="s">
        <v>705</v>
      </c>
      <c r="BH377" s="10">
        <v>84030</v>
      </c>
      <c r="BI377" s="11">
        <v>24019</v>
      </c>
      <c r="BJ377" t="s">
        <v>84</v>
      </c>
      <c r="BK377" s="10">
        <v>1738</v>
      </c>
      <c r="BR377">
        <v>374</v>
      </c>
      <c r="BS377" t="s">
        <v>84</v>
      </c>
      <c r="BT377" s="10">
        <v>84030</v>
      </c>
      <c r="BU377" s="11">
        <v>24019</v>
      </c>
      <c r="BV377" s="10">
        <v>1738</v>
      </c>
      <c r="BW377" s="1" t="str">
        <f>IF(BS377=$CA$12,COUNTIF($BS$4:BS377,$CA$12),"")</f>
        <v/>
      </c>
    </row>
    <row r="378" spans="5:75" x14ac:dyDescent="0.25">
      <c r="E378">
        <v>375</v>
      </c>
      <c r="F378" t="s">
        <v>479</v>
      </c>
      <c r="G378" t="s">
        <v>84</v>
      </c>
      <c r="H378" t="s">
        <v>706</v>
      </c>
      <c r="I378" s="10">
        <v>120819</v>
      </c>
      <c r="J378" s="11">
        <v>37488</v>
      </c>
      <c r="K378" s="10">
        <v>183</v>
      </c>
      <c r="BE378">
        <v>375</v>
      </c>
      <c r="BF378" t="s">
        <v>479</v>
      </c>
      <c r="BG378" t="s">
        <v>706</v>
      </c>
      <c r="BH378" s="10">
        <v>120819</v>
      </c>
      <c r="BI378" s="11">
        <v>37488</v>
      </c>
      <c r="BJ378" t="s">
        <v>84</v>
      </c>
      <c r="BK378" s="10">
        <v>183</v>
      </c>
      <c r="BR378">
        <v>375</v>
      </c>
      <c r="BS378" t="s">
        <v>84</v>
      </c>
      <c r="BT378" s="10">
        <v>120819</v>
      </c>
      <c r="BU378" s="11">
        <v>37488</v>
      </c>
      <c r="BV378" s="10">
        <v>183</v>
      </c>
      <c r="BW378" s="1" t="str">
        <f>IF(BS378=$CA$12,COUNTIF($BS$4:BS378,$CA$12),"")</f>
        <v/>
      </c>
    </row>
    <row r="379" spans="5:75" x14ac:dyDescent="0.25">
      <c r="E379">
        <v>376</v>
      </c>
      <c r="F379" t="s">
        <v>480</v>
      </c>
      <c r="G379" t="s">
        <v>84</v>
      </c>
      <c r="H379" t="s">
        <v>707</v>
      </c>
      <c r="I379" s="10">
        <v>119197</v>
      </c>
      <c r="J379" s="11">
        <v>24490</v>
      </c>
      <c r="K379" s="10">
        <v>2144</v>
      </c>
      <c r="BE379">
        <v>376</v>
      </c>
      <c r="BF379" t="s">
        <v>480</v>
      </c>
      <c r="BG379" t="s">
        <v>707</v>
      </c>
      <c r="BH379" s="10">
        <v>119197</v>
      </c>
      <c r="BI379" s="11">
        <v>24490</v>
      </c>
      <c r="BJ379" t="s">
        <v>84</v>
      </c>
      <c r="BK379" s="10">
        <v>2144</v>
      </c>
      <c r="BR379">
        <v>376</v>
      </c>
      <c r="BS379" t="s">
        <v>84</v>
      </c>
      <c r="BT379" s="10">
        <v>119197</v>
      </c>
      <c r="BU379" s="11">
        <v>24490</v>
      </c>
      <c r="BV379" s="10">
        <v>2144</v>
      </c>
      <c r="BW379" s="1" t="str">
        <f>IF(BS379=$CA$12,COUNTIF($BS$4:BS379,$CA$12),"")</f>
        <v/>
      </c>
    </row>
    <row r="380" spans="5:75" x14ac:dyDescent="0.25">
      <c r="E380">
        <v>377</v>
      </c>
      <c r="F380" t="s">
        <v>481</v>
      </c>
      <c r="G380" t="s">
        <v>84</v>
      </c>
      <c r="H380" t="s">
        <v>708</v>
      </c>
      <c r="I380" s="10">
        <v>12121</v>
      </c>
      <c r="J380" s="11">
        <v>3918</v>
      </c>
      <c r="K380" s="10">
        <v>355</v>
      </c>
      <c r="BE380">
        <v>377</v>
      </c>
      <c r="BF380" t="s">
        <v>481</v>
      </c>
      <c r="BG380" t="s">
        <v>708</v>
      </c>
      <c r="BH380" s="10">
        <v>12121</v>
      </c>
      <c r="BI380" s="11">
        <v>3918</v>
      </c>
      <c r="BJ380" t="s">
        <v>84</v>
      </c>
      <c r="BK380" s="10">
        <v>355</v>
      </c>
      <c r="BR380">
        <v>377</v>
      </c>
      <c r="BS380" t="s">
        <v>84</v>
      </c>
      <c r="BT380" s="10">
        <v>12121</v>
      </c>
      <c r="BU380" s="11">
        <v>3918</v>
      </c>
      <c r="BV380" s="10">
        <v>355</v>
      </c>
      <c r="BW380" s="1" t="str">
        <f>IF(BS380=$CA$12,COUNTIF($BS$4:BS380,$CA$12),"")</f>
        <v/>
      </c>
    </row>
    <row r="381" spans="5:75" x14ac:dyDescent="0.25">
      <c r="E381">
        <v>378</v>
      </c>
      <c r="F381" t="s">
        <v>482</v>
      </c>
      <c r="G381" t="s">
        <v>84</v>
      </c>
      <c r="H381" t="s">
        <v>709</v>
      </c>
      <c r="I381" s="10">
        <v>10032</v>
      </c>
      <c r="J381" s="11">
        <v>2969</v>
      </c>
      <c r="K381" s="10">
        <v>241</v>
      </c>
      <c r="BE381">
        <v>378</v>
      </c>
      <c r="BF381" t="s">
        <v>482</v>
      </c>
      <c r="BG381" t="s">
        <v>709</v>
      </c>
      <c r="BH381" s="10">
        <v>10032</v>
      </c>
      <c r="BI381" s="11">
        <v>2969</v>
      </c>
      <c r="BJ381" t="s">
        <v>84</v>
      </c>
      <c r="BK381" s="10">
        <v>241</v>
      </c>
      <c r="BR381">
        <v>378</v>
      </c>
      <c r="BS381" t="s">
        <v>84</v>
      </c>
      <c r="BT381" s="10">
        <v>10032</v>
      </c>
      <c r="BU381" s="11">
        <v>2969</v>
      </c>
      <c r="BV381" s="10">
        <v>241</v>
      </c>
      <c r="BW381" s="1" t="str">
        <f>IF(BS381=$CA$12,COUNTIF($BS$4:BS381,$CA$12),"")</f>
        <v/>
      </c>
    </row>
    <row r="382" spans="5:75" x14ac:dyDescent="0.25">
      <c r="E382">
        <v>379</v>
      </c>
      <c r="F382" t="s">
        <v>483</v>
      </c>
      <c r="G382" t="s">
        <v>84</v>
      </c>
      <c r="H382" t="s">
        <v>710</v>
      </c>
      <c r="I382" s="10">
        <v>99818</v>
      </c>
      <c r="J382" s="11">
        <v>33925</v>
      </c>
      <c r="K382" s="10">
        <v>2251</v>
      </c>
      <c r="BE382">
        <v>379</v>
      </c>
      <c r="BF382" t="s">
        <v>483</v>
      </c>
      <c r="BG382" t="s">
        <v>710</v>
      </c>
      <c r="BH382" s="10">
        <v>99818</v>
      </c>
      <c r="BI382" s="11">
        <v>33925</v>
      </c>
      <c r="BJ382" t="s">
        <v>84</v>
      </c>
      <c r="BK382" s="10">
        <v>2251</v>
      </c>
      <c r="BR382">
        <v>379</v>
      </c>
      <c r="BS382" t="s">
        <v>84</v>
      </c>
      <c r="BT382" s="10">
        <v>99818</v>
      </c>
      <c r="BU382" s="11">
        <v>33925</v>
      </c>
      <c r="BV382" s="10">
        <v>2251</v>
      </c>
      <c r="BW382" s="1" t="str">
        <f>IF(BS382=$CA$12,COUNTIF($BS$4:BS382,$CA$12),"")</f>
        <v/>
      </c>
    </row>
    <row r="383" spans="5:75" x14ac:dyDescent="0.25">
      <c r="E383">
        <v>380</v>
      </c>
      <c r="F383" t="s">
        <v>484</v>
      </c>
      <c r="G383" t="s">
        <v>84</v>
      </c>
      <c r="H383" t="s">
        <v>711</v>
      </c>
      <c r="I383" s="10">
        <v>77098</v>
      </c>
      <c r="J383" s="11">
        <v>15848</v>
      </c>
      <c r="K383" s="10">
        <v>671</v>
      </c>
      <c r="BE383">
        <v>380</v>
      </c>
      <c r="BF383" t="s">
        <v>484</v>
      </c>
      <c r="BG383" t="s">
        <v>711</v>
      </c>
      <c r="BH383" s="10">
        <v>77098</v>
      </c>
      <c r="BI383" s="11">
        <v>15848</v>
      </c>
      <c r="BJ383" t="s">
        <v>84</v>
      </c>
      <c r="BK383" s="10">
        <v>671</v>
      </c>
      <c r="BR383">
        <v>380</v>
      </c>
      <c r="BS383" t="s">
        <v>84</v>
      </c>
      <c r="BT383" s="10">
        <v>77098</v>
      </c>
      <c r="BU383" s="11">
        <v>15848</v>
      </c>
      <c r="BV383" s="10">
        <v>671</v>
      </c>
      <c r="BW383" s="1" t="str">
        <f>IF(BS383=$CA$12,COUNTIF($BS$4:BS383,$CA$12),"")</f>
        <v/>
      </c>
    </row>
    <row r="384" spans="5:75" x14ac:dyDescent="0.25">
      <c r="E384">
        <v>381</v>
      </c>
      <c r="F384" t="s">
        <v>485</v>
      </c>
      <c r="G384" t="s">
        <v>84</v>
      </c>
      <c r="H384" t="s">
        <v>712</v>
      </c>
      <c r="I384" s="10">
        <v>115080</v>
      </c>
      <c r="J384" s="11">
        <v>34897</v>
      </c>
      <c r="K384" s="10">
        <v>63</v>
      </c>
      <c r="BE384">
        <v>381</v>
      </c>
      <c r="BF384" t="s">
        <v>485</v>
      </c>
      <c r="BG384" t="s">
        <v>712</v>
      </c>
      <c r="BH384" s="10">
        <v>115080</v>
      </c>
      <c r="BI384" s="11">
        <v>34897</v>
      </c>
      <c r="BJ384" t="s">
        <v>84</v>
      </c>
      <c r="BK384" s="10">
        <v>63</v>
      </c>
      <c r="BR384">
        <v>381</v>
      </c>
      <c r="BS384" t="s">
        <v>84</v>
      </c>
      <c r="BT384" s="10">
        <v>115080</v>
      </c>
      <c r="BU384" s="11">
        <v>34897</v>
      </c>
      <c r="BV384" s="10">
        <v>63</v>
      </c>
      <c r="BW384" s="1" t="str">
        <f>IF(BS384=$CA$12,COUNTIF($BS$4:BS384,$CA$12),"")</f>
        <v/>
      </c>
    </row>
    <row r="385" spans="5:75" x14ac:dyDescent="0.25">
      <c r="E385">
        <v>382</v>
      </c>
      <c r="F385" t="s">
        <v>486</v>
      </c>
      <c r="G385" t="s">
        <v>84</v>
      </c>
      <c r="H385" t="s">
        <v>713</v>
      </c>
      <c r="I385" s="10">
        <v>112750</v>
      </c>
      <c r="J385" s="11">
        <v>43630</v>
      </c>
      <c r="K385" s="10">
        <v>1440</v>
      </c>
      <c r="BE385">
        <v>382</v>
      </c>
      <c r="BF385" t="s">
        <v>486</v>
      </c>
      <c r="BG385" t="s">
        <v>713</v>
      </c>
      <c r="BH385" s="10">
        <v>112750</v>
      </c>
      <c r="BI385" s="11">
        <v>43630</v>
      </c>
      <c r="BJ385" t="s">
        <v>84</v>
      </c>
      <c r="BK385" s="10">
        <v>1440</v>
      </c>
      <c r="BR385">
        <v>382</v>
      </c>
      <c r="BS385" t="s">
        <v>84</v>
      </c>
      <c r="BT385" s="10">
        <v>112750</v>
      </c>
      <c r="BU385" s="11">
        <v>43630</v>
      </c>
      <c r="BV385" s="10">
        <v>1440</v>
      </c>
      <c r="BW385" s="1" t="str">
        <f>IF(BS385=$CA$12,COUNTIF($BS$4:BS385,$CA$12),"")</f>
        <v/>
      </c>
    </row>
    <row r="386" spans="5:75" x14ac:dyDescent="0.25">
      <c r="E386">
        <v>383</v>
      </c>
      <c r="F386" t="s">
        <v>487</v>
      </c>
      <c r="G386" t="s">
        <v>84</v>
      </c>
      <c r="H386" t="s">
        <v>714</v>
      </c>
      <c r="I386" s="10">
        <v>44380</v>
      </c>
      <c r="J386" s="11">
        <v>14811</v>
      </c>
      <c r="K386" s="10">
        <v>1009</v>
      </c>
      <c r="BE386">
        <v>383</v>
      </c>
      <c r="BF386" t="s">
        <v>487</v>
      </c>
      <c r="BG386" t="s">
        <v>714</v>
      </c>
      <c r="BH386" s="10">
        <v>44380</v>
      </c>
      <c r="BI386" s="11">
        <v>14811</v>
      </c>
      <c r="BJ386" t="s">
        <v>84</v>
      </c>
      <c r="BK386" s="10">
        <v>1009</v>
      </c>
      <c r="BR386">
        <v>383</v>
      </c>
      <c r="BS386" t="s">
        <v>84</v>
      </c>
      <c r="BT386" s="10">
        <v>44380</v>
      </c>
      <c r="BU386" s="11">
        <v>14811</v>
      </c>
      <c r="BV386" s="10">
        <v>1009</v>
      </c>
      <c r="BW386" s="1" t="str">
        <f>IF(BS386=$CA$12,COUNTIF($BS$4:BS386,$CA$12),"")</f>
        <v/>
      </c>
    </row>
    <row r="387" spans="5:75" x14ac:dyDescent="0.25">
      <c r="E387">
        <v>384</v>
      </c>
      <c r="F387" t="s">
        <v>488</v>
      </c>
      <c r="G387" t="s">
        <v>84</v>
      </c>
      <c r="H387" t="s">
        <v>715</v>
      </c>
      <c r="I387" s="10">
        <v>100483</v>
      </c>
      <c r="J387" s="11">
        <v>28289</v>
      </c>
      <c r="K387" s="10">
        <v>844</v>
      </c>
      <c r="BE387">
        <v>384</v>
      </c>
      <c r="BF387" t="s">
        <v>488</v>
      </c>
      <c r="BG387" t="s">
        <v>715</v>
      </c>
      <c r="BH387" s="10">
        <v>100483</v>
      </c>
      <c r="BI387" s="11">
        <v>28289</v>
      </c>
      <c r="BJ387" t="s">
        <v>84</v>
      </c>
      <c r="BK387" s="10">
        <v>844</v>
      </c>
      <c r="BR387">
        <v>384</v>
      </c>
      <c r="BS387" t="s">
        <v>84</v>
      </c>
      <c r="BT387" s="10">
        <v>100483</v>
      </c>
      <c r="BU387" s="11">
        <v>28289</v>
      </c>
      <c r="BV387" s="10">
        <v>844</v>
      </c>
      <c r="BW387" s="1" t="str">
        <f>IF(BS387=$CA$12,COUNTIF($BS$4:BS387,$CA$12),"")</f>
        <v/>
      </c>
    </row>
    <row r="388" spans="5:75" x14ac:dyDescent="0.25">
      <c r="E388">
        <v>385</v>
      </c>
      <c r="F388" t="s">
        <v>489</v>
      </c>
      <c r="G388" t="s">
        <v>85</v>
      </c>
      <c r="H388" t="s">
        <v>704</v>
      </c>
      <c r="I388" s="10">
        <v>32318</v>
      </c>
      <c r="J388" s="11">
        <v>12486</v>
      </c>
      <c r="K388" s="10">
        <v>587</v>
      </c>
      <c r="BE388">
        <v>385</v>
      </c>
      <c r="BF388" t="s">
        <v>489</v>
      </c>
      <c r="BG388" t="s">
        <v>704</v>
      </c>
      <c r="BH388" s="10">
        <v>32318</v>
      </c>
      <c r="BI388" s="11">
        <v>12486</v>
      </c>
      <c r="BJ388" t="s">
        <v>85</v>
      </c>
      <c r="BK388" s="10">
        <v>587</v>
      </c>
      <c r="BR388">
        <v>385</v>
      </c>
      <c r="BS388" t="s">
        <v>85</v>
      </c>
      <c r="BT388" s="10">
        <v>32318</v>
      </c>
      <c r="BU388" s="11">
        <v>12486</v>
      </c>
      <c r="BV388" s="10">
        <v>587</v>
      </c>
      <c r="BW388" s="1" t="str">
        <f>IF(BS388=$CA$12,COUNTIF($BS$4:BS388,$CA$12),"")</f>
        <v/>
      </c>
    </row>
    <row r="389" spans="5:75" x14ac:dyDescent="0.25">
      <c r="E389">
        <v>386</v>
      </c>
      <c r="F389" t="s">
        <v>490</v>
      </c>
      <c r="G389" t="s">
        <v>85</v>
      </c>
      <c r="H389" t="s">
        <v>705</v>
      </c>
      <c r="I389" s="10">
        <v>140949</v>
      </c>
      <c r="J389" s="11">
        <v>45905</v>
      </c>
      <c r="K389" s="10">
        <v>1136</v>
      </c>
      <c r="BE389">
        <v>386</v>
      </c>
      <c r="BF389" t="s">
        <v>490</v>
      </c>
      <c r="BG389" t="s">
        <v>705</v>
      </c>
      <c r="BH389" s="10">
        <v>140949</v>
      </c>
      <c r="BI389" s="11">
        <v>45905</v>
      </c>
      <c r="BJ389" t="s">
        <v>85</v>
      </c>
      <c r="BK389" s="10">
        <v>1136</v>
      </c>
      <c r="BR389">
        <v>386</v>
      </c>
      <c r="BS389" t="s">
        <v>85</v>
      </c>
      <c r="BT389" s="10">
        <v>140949</v>
      </c>
      <c r="BU389" s="11">
        <v>45905</v>
      </c>
      <c r="BV389" s="10">
        <v>1136</v>
      </c>
      <c r="BW389" s="1" t="str">
        <f>IF(BS389=$CA$12,COUNTIF($BS$4:BS389,$CA$12),"")</f>
        <v/>
      </c>
    </row>
    <row r="390" spans="5:75" x14ac:dyDescent="0.25">
      <c r="E390">
        <v>387</v>
      </c>
      <c r="F390" t="s">
        <v>491</v>
      </c>
      <c r="G390" t="s">
        <v>85</v>
      </c>
      <c r="H390" t="s">
        <v>706</v>
      </c>
      <c r="I390" s="10">
        <v>85176</v>
      </c>
      <c r="J390" s="11">
        <v>29142</v>
      </c>
      <c r="K390" s="10">
        <v>605</v>
      </c>
      <c r="BE390">
        <v>387</v>
      </c>
      <c r="BF390" t="s">
        <v>491</v>
      </c>
      <c r="BG390" t="s">
        <v>706</v>
      </c>
      <c r="BH390" s="10">
        <v>85176</v>
      </c>
      <c r="BI390" s="11">
        <v>29142</v>
      </c>
      <c r="BJ390" t="s">
        <v>85</v>
      </c>
      <c r="BK390" s="10">
        <v>605</v>
      </c>
      <c r="BR390">
        <v>387</v>
      </c>
      <c r="BS390" t="s">
        <v>85</v>
      </c>
      <c r="BT390" s="10">
        <v>85176</v>
      </c>
      <c r="BU390" s="11">
        <v>29142</v>
      </c>
      <c r="BV390" s="10">
        <v>605</v>
      </c>
      <c r="BW390" s="1" t="str">
        <f>IF(BS390=$CA$12,COUNTIF($BS$4:BS390,$CA$12),"")</f>
        <v/>
      </c>
    </row>
    <row r="391" spans="5:75" x14ac:dyDescent="0.25">
      <c r="E391">
        <v>388</v>
      </c>
      <c r="F391" t="s">
        <v>492</v>
      </c>
      <c r="G391" t="s">
        <v>85</v>
      </c>
      <c r="H391" t="s">
        <v>707</v>
      </c>
      <c r="I391" s="10">
        <v>29954</v>
      </c>
      <c r="J391" s="11">
        <v>9853</v>
      </c>
      <c r="K391" s="10">
        <v>295</v>
      </c>
      <c r="BE391">
        <v>388</v>
      </c>
      <c r="BF391" t="s">
        <v>492</v>
      </c>
      <c r="BG391" t="s">
        <v>707</v>
      </c>
      <c r="BH391" s="10">
        <v>29954</v>
      </c>
      <c r="BI391" s="11">
        <v>9853</v>
      </c>
      <c r="BJ391" t="s">
        <v>85</v>
      </c>
      <c r="BK391" s="10">
        <v>295</v>
      </c>
      <c r="BR391">
        <v>388</v>
      </c>
      <c r="BS391" t="s">
        <v>85</v>
      </c>
      <c r="BT391" s="10">
        <v>29954</v>
      </c>
      <c r="BU391" s="11">
        <v>9853</v>
      </c>
      <c r="BV391" s="10">
        <v>295</v>
      </c>
      <c r="BW391" s="1" t="str">
        <f>IF(BS391=$CA$12,COUNTIF($BS$4:BS391,$CA$12),"")</f>
        <v/>
      </c>
    </row>
    <row r="392" spans="5:75" x14ac:dyDescent="0.25">
      <c r="E392">
        <v>389</v>
      </c>
      <c r="F392" t="s">
        <v>493</v>
      </c>
      <c r="G392" t="s">
        <v>85</v>
      </c>
      <c r="H392" t="s">
        <v>708</v>
      </c>
      <c r="I392" s="10">
        <v>24249</v>
      </c>
      <c r="J392" s="11">
        <v>9103</v>
      </c>
      <c r="K392" s="10">
        <v>858</v>
      </c>
      <c r="BE392">
        <v>389</v>
      </c>
      <c r="BF392" t="s">
        <v>493</v>
      </c>
      <c r="BG392" t="s">
        <v>708</v>
      </c>
      <c r="BH392" s="10">
        <v>24249</v>
      </c>
      <c r="BI392" s="11">
        <v>9103</v>
      </c>
      <c r="BJ392" t="s">
        <v>85</v>
      </c>
      <c r="BK392" s="10">
        <v>858</v>
      </c>
      <c r="BR392">
        <v>389</v>
      </c>
      <c r="BS392" t="s">
        <v>85</v>
      </c>
      <c r="BT392" s="10">
        <v>24249</v>
      </c>
      <c r="BU392" s="11">
        <v>9103</v>
      </c>
      <c r="BV392" s="10">
        <v>858</v>
      </c>
      <c r="BW392" s="1" t="str">
        <f>IF(BS392=$CA$12,COUNTIF($BS$4:BS392,$CA$12),"")</f>
        <v/>
      </c>
    </row>
    <row r="393" spans="5:75" x14ac:dyDescent="0.25">
      <c r="E393">
        <v>390</v>
      </c>
      <c r="F393" t="s">
        <v>494</v>
      </c>
      <c r="G393" t="s">
        <v>85</v>
      </c>
      <c r="H393" t="s">
        <v>709</v>
      </c>
      <c r="I393" s="10">
        <v>140034</v>
      </c>
      <c r="J393" s="11">
        <v>40286</v>
      </c>
      <c r="K393" s="10">
        <v>1749</v>
      </c>
      <c r="BE393">
        <v>390</v>
      </c>
      <c r="BF393" t="s">
        <v>494</v>
      </c>
      <c r="BG393" t="s">
        <v>709</v>
      </c>
      <c r="BH393" s="10">
        <v>140034</v>
      </c>
      <c r="BI393" s="11">
        <v>40286</v>
      </c>
      <c r="BJ393" t="s">
        <v>85</v>
      </c>
      <c r="BK393" s="10">
        <v>1749</v>
      </c>
      <c r="BR393">
        <v>390</v>
      </c>
      <c r="BS393" t="s">
        <v>85</v>
      </c>
      <c r="BT393" s="10">
        <v>140034</v>
      </c>
      <c r="BU393" s="11">
        <v>40286</v>
      </c>
      <c r="BV393" s="10">
        <v>1749</v>
      </c>
      <c r="BW393" s="1" t="str">
        <f>IF(BS393=$CA$12,COUNTIF($BS$4:BS393,$CA$12),"")</f>
        <v/>
      </c>
    </row>
    <row r="394" spans="5:75" x14ac:dyDescent="0.25">
      <c r="E394">
        <v>391</v>
      </c>
      <c r="F394" t="s">
        <v>495</v>
      </c>
      <c r="G394" t="s">
        <v>85</v>
      </c>
      <c r="H394" t="s">
        <v>710</v>
      </c>
      <c r="I394" s="10">
        <v>134496</v>
      </c>
      <c r="J394" s="11">
        <v>29715</v>
      </c>
      <c r="K394" s="10">
        <v>663</v>
      </c>
      <c r="BE394">
        <v>391</v>
      </c>
      <c r="BF394" t="s">
        <v>495</v>
      </c>
      <c r="BG394" t="s">
        <v>710</v>
      </c>
      <c r="BH394" s="10">
        <v>134496</v>
      </c>
      <c r="BI394" s="11">
        <v>29715</v>
      </c>
      <c r="BJ394" t="s">
        <v>85</v>
      </c>
      <c r="BK394" s="10">
        <v>663</v>
      </c>
      <c r="BR394">
        <v>391</v>
      </c>
      <c r="BS394" t="s">
        <v>85</v>
      </c>
      <c r="BT394" s="10">
        <v>134496</v>
      </c>
      <c r="BU394" s="11">
        <v>29715</v>
      </c>
      <c r="BV394" s="10">
        <v>663</v>
      </c>
      <c r="BW394" s="1" t="str">
        <f>IF(BS394=$CA$12,COUNTIF($BS$4:BS394,$CA$12),"")</f>
        <v/>
      </c>
    </row>
    <row r="395" spans="5:75" x14ac:dyDescent="0.25">
      <c r="E395">
        <v>392</v>
      </c>
      <c r="F395" t="s">
        <v>496</v>
      </c>
      <c r="G395" t="s">
        <v>85</v>
      </c>
      <c r="H395" t="s">
        <v>711</v>
      </c>
      <c r="I395" s="10">
        <v>145082</v>
      </c>
      <c r="J395" s="11">
        <v>49864</v>
      </c>
      <c r="K395" s="10">
        <v>686</v>
      </c>
      <c r="BE395">
        <v>392</v>
      </c>
      <c r="BF395" t="s">
        <v>496</v>
      </c>
      <c r="BG395" t="s">
        <v>711</v>
      </c>
      <c r="BH395" s="10">
        <v>145082</v>
      </c>
      <c r="BI395" s="11">
        <v>49864</v>
      </c>
      <c r="BJ395" t="s">
        <v>85</v>
      </c>
      <c r="BK395" s="10">
        <v>686</v>
      </c>
      <c r="BR395">
        <v>392</v>
      </c>
      <c r="BS395" t="s">
        <v>85</v>
      </c>
      <c r="BT395" s="10">
        <v>145082</v>
      </c>
      <c r="BU395" s="11">
        <v>49864</v>
      </c>
      <c r="BV395" s="10">
        <v>686</v>
      </c>
      <c r="BW395" s="1" t="str">
        <f>IF(BS395=$CA$12,COUNTIF($BS$4:BS395,$CA$12),"")</f>
        <v/>
      </c>
    </row>
    <row r="396" spans="5:75" x14ac:dyDescent="0.25">
      <c r="E396">
        <v>393</v>
      </c>
      <c r="F396" t="s">
        <v>497</v>
      </c>
      <c r="G396" t="s">
        <v>85</v>
      </c>
      <c r="H396" t="s">
        <v>712</v>
      </c>
      <c r="I396" s="10">
        <v>109377</v>
      </c>
      <c r="J396" s="11">
        <v>25613</v>
      </c>
      <c r="K396" s="10">
        <v>1700</v>
      </c>
      <c r="BE396">
        <v>393</v>
      </c>
      <c r="BF396" t="s">
        <v>497</v>
      </c>
      <c r="BG396" t="s">
        <v>712</v>
      </c>
      <c r="BH396" s="10">
        <v>109377</v>
      </c>
      <c r="BI396" s="11">
        <v>25613</v>
      </c>
      <c r="BJ396" t="s">
        <v>85</v>
      </c>
      <c r="BK396" s="10">
        <v>1700</v>
      </c>
      <c r="BR396">
        <v>393</v>
      </c>
      <c r="BS396" t="s">
        <v>85</v>
      </c>
      <c r="BT396" s="10">
        <v>109377</v>
      </c>
      <c r="BU396" s="11">
        <v>25613</v>
      </c>
      <c r="BV396" s="10">
        <v>1700</v>
      </c>
      <c r="BW396" s="1" t="str">
        <f>IF(BS396=$CA$12,COUNTIF($BS$4:BS396,$CA$12),"")</f>
        <v/>
      </c>
    </row>
    <row r="397" spans="5:75" x14ac:dyDescent="0.25">
      <c r="E397">
        <v>394</v>
      </c>
      <c r="F397" t="s">
        <v>498</v>
      </c>
      <c r="G397" t="s">
        <v>85</v>
      </c>
      <c r="H397" t="s">
        <v>713</v>
      </c>
      <c r="I397" s="10">
        <v>94141</v>
      </c>
      <c r="J397" s="11">
        <v>26925</v>
      </c>
      <c r="K397" s="10">
        <v>1170</v>
      </c>
      <c r="BE397">
        <v>394</v>
      </c>
      <c r="BF397" t="s">
        <v>498</v>
      </c>
      <c r="BG397" t="s">
        <v>713</v>
      </c>
      <c r="BH397" s="10">
        <v>94141</v>
      </c>
      <c r="BI397" s="11">
        <v>26925</v>
      </c>
      <c r="BJ397" t="s">
        <v>85</v>
      </c>
      <c r="BK397" s="10">
        <v>1170</v>
      </c>
      <c r="BR397">
        <v>394</v>
      </c>
      <c r="BS397" t="s">
        <v>85</v>
      </c>
      <c r="BT397" s="10">
        <v>94141</v>
      </c>
      <c r="BU397" s="11">
        <v>26925</v>
      </c>
      <c r="BV397" s="10">
        <v>1170</v>
      </c>
      <c r="BW397" s="1" t="str">
        <f>IF(BS397=$CA$12,COUNTIF($BS$4:BS397,$CA$12),"")</f>
        <v/>
      </c>
    </row>
    <row r="398" spans="5:75" x14ac:dyDescent="0.25">
      <c r="E398">
        <v>395</v>
      </c>
      <c r="F398" t="s">
        <v>499</v>
      </c>
      <c r="G398" t="s">
        <v>85</v>
      </c>
      <c r="H398" t="s">
        <v>714</v>
      </c>
      <c r="I398" s="10">
        <v>96686</v>
      </c>
      <c r="J398" s="11">
        <v>31154</v>
      </c>
      <c r="K398" s="10">
        <v>1937</v>
      </c>
      <c r="BE398">
        <v>395</v>
      </c>
      <c r="BF398" t="s">
        <v>499</v>
      </c>
      <c r="BG398" t="s">
        <v>714</v>
      </c>
      <c r="BH398" s="10">
        <v>96686</v>
      </c>
      <c r="BI398" s="11">
        <v>31154</v>
      </c>
      <c r="BJ398" t="s">
        <v>85</v>
      </c>
      <c r="BK398" s="10">
        <v>1937</v>
      </c>
      <c r="BR398">
        <v>395</v>
      </c>
      <c r="BS398" t="s">
        <v>85</v>
      </c>
      <c r="BT398" s="10">
        <v>96686</v>
      </c>
      <c r="BU398" s="11">
        <v>31154</v>
      </c>
      <c r="BV398" s="10">
        <v>1937</v>
      </c>
      <c r="BW398" s="1" t="str">
        <f>IF(BS398=$CA$12,COUNTIF($BS$4:BS398,$CA$12),"")</f>
        <v/>
      </c>
    </row>
    <row r="399" spans="5:75" x14ac:dyDescent="0.25">
      <c r="E399">
        <v>396</v>
      </c>
      <c r="F399" t="s">
        <v>500</v>
      </c>
      <c r="G399" t="s">
        <v>85</v>
      </c>
      <c r="H399" t="s">
        <v>715</v>
      </c>
      <c r="I399" s="10">
        <v>139404</v>
      </c>
      <c r="J399" s="11">
        <v>34051</v>
      </c>
      <c r="K399" s="10">
        <v>413</v>
      </c>
      <c r="BE399">
        <v>396</v>
      </c>
      <c r="BF399" t="s">
        <v>500</v>
      </c>
      <c r="BG399" t="s">
        <v>715</v>
      </c>
      <c r="BH399" s="10">
        <v>139404</v>
      </c>
      <c r="BI399" s="11">
        <v>34051</v>
      </c>
      <c r="BJ399" t="s">
        <v>85</v>
      </c>
      <c r="BK399" s="10">
        <v>413</v>
      </c>
      <c r="BR399">
        <v>396</v>
      </c>
      <c r="BS399" t="s">
        <v>85</v>
      </c>
      <c r="BT399" s="10">
        <v>139404</v>
      </c>
      <c r="BU399" s="11">
        <v>34051</v>
      </c>
      <c r="BV399" s="10">
        <v>413</v>
      </c>
      <c r="BW399" s="1" t="str">
        <f>IF(BS399=$CA$12,COUNTIF($BS$4:BS399,$CA$12),"")</f>
        <v/>
      </c>
    </row>
    <row r="400" spans="5:75" x14ac:dyDescent="0.25">
      <c r="E400">
        <v>397</v>
      </c>
      <c r="F400" t="s">
        <v>501</v>
      </c>
      <c r="G400" t="s">
        <v>86</v>
      </c>
      <c r="H400" t="s">
        <v>704</v>
      </c>
      <c r="I400" s="10">
        <v>140461</v>
      </c>
      <c r="J400" s="11">
        <v>50984</v>
      </c>
      <c r="K400" s="10">
        <v>1509</v>
      </c>
      <c r="BE400">
        <v>397</v>
      </c>
      <c r="BF400" t="s">
        <v>501</v>
      </c>
      <c r="BG400" t="s">
        <v>704</v>
      </c>
      <c r="BH400" s="10">
        <v>140461</v>
      </c>
      <c r="BI400" s="11">
        <v>50984</v>
      </c>
      <c r="BJ400" t="s">
        <v>86</v>
      </c>
      <c r="BK400" s="10">
        <v>1509</v>
      </c>
      <c r="BR400">
        <v>397</v>
      </c>
      <c r="BS400" t="s">
        <v>86</v>
      </c>
      <c r="BT400" s="10">
        <v>140461</v>
      </c>
      <c r="BU400" s="11">
        <v>50984</v>
      </c>
      <c r="BV400" s="10">
        <v>1509</v>
      </c>
      <c r="BW400" s="1" t="str">
        <f>IF(BS400=$CA$12,COUNTIF($BS$4:BS400,$CA$12),"")</f>
        <v/>
      </c>
    </row>
    <row r="401" spans="5:75" x14ac:dyDescent="0.25">
      <c r="E401">
        <v>398</v>
      </c>
      <c r="F401" t="s">
        <v>502</v>
      </c>
      <c r="G401" t="s">
        <v>86</v>
      </c>
      <c r="H401" t="s">
        <v>705</v>
      </c>
      <c r="I401" s="10">
        <v>24451</v>
      </c>
      <c r="J401" s="11">
        <v>7274</v>
      </c>
      <c r="K401" s="10">
        <v>299</v>
      </c>
      <c r="BE401">
        <v>398</v>
      </c>
      <c r="BF401" t="s">
        <v>502</v>
      </c>
      <c r="BG401" t="s">
        <v>705</v>
      </c>
      <c r="BH401" s="10">
        <v>24451</v>
      </c>
      <c r="BI401" s="11">
        <v>7274</v>
      </c>
      <c r="BJ401" t="s">
        <v>86</v>
      </c>
      <c r="BK401" s="10">
        <v>299</v>
      </c>
      <c r="BR401">
        <v>398</v>
      </c>
      <c r="BS401" t="s">
        <v>86</v>
      </c>
      <c r="BT401" s="10">
        <v>24451</v>
      </c>
      <c r="BU401" s="11">
        <v>7274</v>
      </c>
      <c r="BV401" s="10">
        <v>299</v>
      </c>
      <c r="BW401" s="1" t="str">
        <f>IF(BS401=$CA$12,COUNTIF($BS$4:BS401,$CA$12),"")</f>
        <v/>
      </c>
    </row>
    <row r="402" spans="5:75" x14ac:dyDescent="0.25">
      <c r="E402">
        <v>399</v>
      </c>
      <c r="F402" t="s">
        <v>503</v>
      </c>
      <c r="G402" t="s">
        <v>86</v>
      </c>
      <c r="H402" t="s">
        <v>706</v>
      </c>
      <c r="I402" s="10">
        <v>105516</v>
      </c>
      <c r="J402" s="11">
        <v>30904</v>
      </c>
      <c r="K402" s="10">
        <v>2957</v>
      </c>
      <c r="BE402">
        <v>399</v>
      </c>
      <c r="BF402" t="s">
        <v>503</v>
      </c>
      <c r="BG402" t="s">
        <v>706</v>
      </c>
      <c r="BH402" s="10">
        <v>105516</v>
      </c>
      <c r="BI402" s="11">
        <v>30904</v>
      </c>
      <c r="BJ402" t="s">
        <v>86</v>
      </c>
      <c r="BK402" s="10">
        <v>2957</v>
      </c>
      <c r="BR402">
        <v>399</v>
      </c>
      <c r="BS402" t="s">
        <v>86</v>
      </c>
      <c r="BT402" s="10">
        <v>105516</v>
      </c>
      <c r="BU402" s="11">
        <v>30904</v>
      </c>
      <c r="BV402" s="10">
        <v>2957</v>
      </c>
      <c r="BW402" s="1" t="str">
        <f>IF(BS402=$CA$12,COUNTIF($BS$4:BS402,$CA$12),"")</f>
        <v/>
      </c>
    </row>
    <row r="403" spans="5:75" x14ac:dyDescent="0.25">
      <c r="E403">
        <v>400</v>
      </c>
      <c r="F403" t="s">
        <v>504</v>
      </c>
      <c r="G403" t="s">
        <v>86</v>
      </c>
      <c r="H403" t="s">
        <v>707</v>
      </c>
      <c r="I403" s="10">
        <v>106097</v>
      </c>
      <c r="J403" s="11">
        <v>42389</v>
      </c>
      <c r="K403" s="10">
        <v>3762</v>
      </c>
      <c r="BE403">
        <v>400</v>
      </c>
      <c r="BF403" t="s">
        <v>504</v>
      </c>
      <c r="BG403" t="s">
        <v>707</v>
      </c>
      <c r="BH403" s="10">
        <v>106097</v>
      </c>
      <c r="BI403" s="11">
        <v>42389</v>
      </c>
      <c r="BJ403" t="s">
        <v>86</v>
      </c>
      <c r="BK403" s="10">
        <v>3762</v>
      </c>
      <c r="BR403">
        <v>400</v>
      </c>
      <c r="BS403" t="s">
        <v>86</v>
      </c>
      <c r="BT403" s="10">
        <v>106097</v>
      </c>
      <c r="BU403" s="11">
        <v>42389</v>
      </c>
      <c r="BV403" s="10">
        <v>3762</v>
      </c>
      <c r="BW403" s="1" t="str">
        <f>IF(BS403=$CA$12,COUNTIF($BS$4:BS403,$CA$12),"")</f>
        <v/>
      </c>
    </row>
    <row r="404" spans="5:75" x14ac:dyDescent="0.25">
      <c r="E404">
        <v>401</v>
      </c>
      <c r="F404" t="s">
        <v>505</v>
      </c>
      <c r="G404" t="s">
        <v>86</v>
      </c>
      <c r="H404" t="s">
        <v>708</v>
      </c>
      <c r="I404" s="10">
        <v>16549</v>
      </c>
      <c r="J404" s="11">
        <v>5277</v>
      </c>
      <c r="K404" s="10">
        <v>19</v>
      </c>
      <c r="BE404">
        <v>401</v>
      </c>
      <c r="BF404" t="s">
        <v>505</v>
      </c>
      <c r="BG404" t="s">
        <v>708</v>
      </c>
      <c r="BH404" s="10">
        <v>16549</v>
      </c>
      <c r="BI404" s="11">
        <v>5277</v>
      </c>
      <c r="BJ404" t="s">
        <v>86</v>
      </c>
      <c r="BK404" s="10">
        <v>19</v>
      </c>
      <c r="BR404">
        <v>401</v>
      </c>
      <c r="BS404" t="s">
        <v>86</v>
      </c>
      <c r="BT404" s="10">
        <v>16549</v>
      </c>
      <c r="BU404" s="11">
        <v>5277</v>
      </c>
      <c r="BV404" s="10">
        <v>19</v>
      </c>
      <c r="BW404" s="1" t="str">
        <f>IF(BS404=$CA$12,COUNTIF($BS$4:BS404,$CA$12),"")</f>
        <v/>
      </c>
    </row>
    <row r="405" spans="5:75" x14ac:dyDescent="0.25">
      <c r="E405">
        <v>402</v>
      </c>
      <c r="F405" t="s">
        <v>506</v>
      </c>
      <c r="G405" t="s">
        <v>86</v>
      </c>
      <c r="H405" t="s">
        <v>709</v>
      </c>
      <c r="I405" s="10">
        <v>61928</v>
      </c>
      <c r="J405" s="11">
        <v>24633</v>
      </c>
      <c r="K405" s="10">
        <v>1342</v>
      </c>
      <c r="BE405">
        <v>402</v>
      </c>
      <c r="BF405" t="s">
        <v>506</v>
      </c>
      <c r="BG405" t="s">
        <v>709</v>
      </c>
      <c r="BH405" s="10">
        <v>61928</v>
      </c>
      <c r="BI405" s="11">
        <v>24633</v>
      </c>
      <c r="BJ405" t="s">
        <v>86</v>
      </c>
      <c r="BK405" s="10">
        <v>1342</v>
      </c>
      <c r="BR405">
        <v>402</v>
      </c>
      <c r="BS405" t="s">
        <v>86</v>
      </c>
      <c r="BT405" s="10">
        <v>61928</v>
      </c>
      <c r="BU405" s="11">
        <v>24633</v>
      </c>
      <c r="BV405" s="10">
        <v>1342</v>
      </c>
      <c r="BW405" s="1" t="str">
        <f>IF(BS405=$CA$12,COUNTIF($BS$4:BS405,$CA$12),"")</f>
        <v/>
      </c>
    </row>
    <row r="406" spans="5:75" x14ac:dyDescent="0.25">
      <c r="E406">
        <v>403</v>
      </c>
      <c r="F406" t="s">
        <v>507</v>
      </c>
      <c r="G406" t="s">
        <v>86</v>
      </c>
      <c r="H406" t="s">
        <v>710</v>
      </c>
      <c r="I406" s="10">
        <v>74414</v>
      </c>
      <c r="J406" s="11">
        <v>26495</v>
      </c>
      <c r="K406" s="10">
        <v>1190</v>
      </c>
      <c r="BE406">
        <v>403</v>
      </c>
      <c r="BF406" t="s">
        <v>507</v>
      </c>
      <c r="BG406" t="s">
        <v>710</v>
      </c>
      <c r="BH406" s="10">
        <v>74414</v>
      </c>
      <c r="BI406" s="11">
        <v>26495</v>
      </c>
      <c r="BJ406" t="s">
        <v>86</v>
      </c>
      <c r="BK406" s="10">
        <v>1190</v>
      </c>
      <c r="BR406">
        <v>403</v>
      </c>
      <c r="BS406" t="s">
        <v>86</v>
      </c>
      <c r="BT406" s="10">
        <v>74414</v>
      </c>
      <c r="BU406" s="11">
        <v>26495</v>
      </c>
      <c r="BV406" s="10">
        <v>1190</v>
      </c>
      <c r="BW406" s="1" t="str">
        <f>IF(BS406=$CA$12,COUNTIF($BS$4:BS406,$CA$12),"")</f>
        <v/>
      </c>
    </row>
    <row r="407" spans="5:75" x14ac:dyDescent="0.25">
      <c r="E407">
        <v>404</v>
      </c>
      <c r="F407" t="s">
        <v>508</v>
      </c>
      <c r="G407" t="s">
        <v>86</v>
      </c>
      <c r="H407" t="s">
        <v>711</v>
      </c>
      <c r="I407" s="10">
        <v>129282</v>
      </c>
      <c r="J407" s="11">
        <v>39516</v>
      </c>
      <c r="K407" s="10">
        <v>2051</v>
      </c>
      <c r="BE407">
        <v>404</v>
      </c>
      <c r="BF407" t="s">
        <v>508</v>
      </c>
      <c r="BG407" t="s">
        <v>711</v>
      </c>
      <c r="BH407" s="10">
        <v>129282</v>
      </c>
      <c r="BI407" s="11">
        <v>39516</v>
      </c>
      <c r="BJ407" t="s">
        <v>86</v>
      </c>
      <c r="BK407" s="10">
        <v>2051</v>
      </c>
      <c r="BR407">
        <v>404</v>
      </c>
      <c r="BS407" t="s">
        <v>86</v>
      </c>
      <c r="BT407" s="10">
        <v>129282</v>
      </c>
      <c r="BU407" s="11">
        <v>39516</v>
      </c>
      <c r="BV407" s="10">
        <v>2051</v>
      </c>
      <c r="BW407" s="1" t="str">
        <f>IF(BS407=$CA$12,COUNTIF($BS$4:BS407,$CA$12),"")</f>
        <v/>
      </c>
    </row>
    <row r="408" spans="5:75" x14ac:dyDescent="0.25">
      <c r="E408">
        <v>405</v>
      </c>
      <c r="F408" t="s">
        <v>509</v>
      </c>
      <c r="G408" t="s">
        <v>86</v>
      </c>
      <c r="H408" t="s">
        <v>712</v>
      </c>
      <c r="I408" s="10">
        <v>60565</v>
      </c>
      <c r="J408" s="11">
        <v>22778</v>
      </c>
      <c r="K408" s="10">
        <v>762</v>
      </c>
      <c r="BE408">
        <v>405</v>
      </c>
      <c r="BF408" t="s">
        <v>509</v>
      </c>
      <c r="BG408" t="s">
        <v>712</v>
      </c>
      <c r="BH408" s="10">
        <v>60565</v>
      </c>
      <c r="BI408" s="11">
        <v>22778</v>
      </c>
      <c r="BJ408" t="s">
        <v>86</v>
      </c>
      <c r="BK408" s="10">
        <v>762</v>
      </c>
      <c r="BR408">
        <v>405</v>
      </c>
      <c r="BS408" t="s">
        <v>86</v>
      </c>
      <c r="BT408" s="10">
        <v>60565</v>
      </c>
      <c r="BU408" s="11">
        <v>22778</v>
      </c>
      <c r="BV408" s="10">
        <v>762</v>
      </c>
      <c r="BW408" s="1" t="str">
        <f>IF(BS408=$CA$12,COUNTIF($BS$4:BS408,$CA$12),"")</f>
        <v/>
      </c>
    </row>
    <row r="409" spans="5:75" x14ac:dyDescent="0.25">
      <c r="E409">
        <v>406</v>
      </c>
      <c r="F409" t="s">
        <v>510</v>
      </c>
      <c r="G409" t="s">
        <v>86</v>
      </c>
      <c r="H409" t="s">
        <v>713</v>
      </c>
      <c r="I409" s="10">
        <v>114470</v>
      </c>
      <c r="J409" s="11">
        <v>33420</v>
      </c>
      <c r="K409" s="10">
        <v>777</v>
      </c>
      <c r="BE409">
        <v>406</v>
      </c>
      <c r="BF409" t="s">
        <v>510</v>
      </c>
      <c r="BG409" t="s">
        <v>713</v>
      </c>
      <c r="BH409" s="10">
        <v>114470</v>
      </c>
      <c r="BI409" s="11">
        <v>33420</v>
      </c>
      <c r="BJ409" t="s">
        <v>86</v>
      </c>
      <c r="BK409" s="10">
        <v>777</v>
      </c>
      <c r="BR409">
        <v>406</v>
      </c>
      <c r="BS409" t="s">
        <v>86</v>
      </c>
      <c r="BT409" s="10">
        <v>114470</v>
      </c>
      <c r="BU409" s="11">
        <v>33420</v>
      </c>
      <c r="BV409" s="10">
        <v>777</v>
      </c>
      <c r="BW409" s="1" t="str">
        <f>IF(BS409=$CA$12,COUNTIF($BS$4:BS409,$CA$12),"")</f>
        <v/>
      </c>
    </row>
    <row r="410" spans="5:75" x14ac:dyDescent="0.25">
      <c r="E410">
        <v>407</v>
      </c>
      <c r="F410" t="s">
        <v>511</v>
      </c>
      <c r="G410" t="s">
        <v>86</v>
      </c>
      <c r="H410" t="s">
        <v>714</v>
      </c>
      <c r="I410" s="10">
        <v>115357</v>
      </c>
      <c r="J410" s="11">
        <v>26300</v>
      </c>
      <c r="K410" s="10">
        <v>2426</v>
      </c>
      <c r="BE410">
        <v>407</v>
      </c>
      <c r="BF410" t="s">
        <v>511</v>
      </c>
      <c r="BG410" t="s">
        <v>714</v>
      </c>
      <c r="BH410" s="10">
        <v>115357</v>
      </c>
      <c r="BI410" s="11">
        <v>26300</v>
      </c>
      <c r="BJ410" t="s">
        <v>86</v>
      </c>
      <c r="BK410" s="10">
        <v>2426</v>
      </c>
      <c r="BR410">
        <v>407</v>
      </c>
      <c r="BS410" t="s">
        <v>86</v>
      </c>
      <c r="BT410" s="10">
        <v>115357</v>
      </c>
      <c r="BU410" s="11">
        <v>26300</v>
      </c>
      <c r="BV410" s="10">
        <v>2426</v>
      </c>
      <c r="BW410" s="1" t="str">
        <f>IF(BS410=$CA$12,COUNTIF($BS$4:BS410,$CA$12),"")</f>
        <v/>
      </c>
    </row>
    <row r="411" spans="5:75" x14ac:dyDescent="0.25">
      <c r="E411">
        <v>408</v>
      </c>
      <c r="F411" t="s">
        <v>512</v>
      </c>
      <c r="G411" t="s">
        <v>86</v>
      </c>
      <c r="H411" t="s">
        <v>715</v>
      </c>
      <c r="I411" s="10">
        <v>21332</v>
      </c>
      <c r="J411" s="11">
        <v>6729</v>
      </c>
      <c r="K411" s="10">
        <v>409</v>
      </c>
      <c r="BE411">
        <v>408</v>
      </c>
      <c r="BF411" t="s">
        <v>512</v>
      </c>
      <c r="BG411" t="s">
        <v>715</v>
      </c>
      <c r="BH411" s="10">
        <v>21332</v>
      </c>
      <c r="BI411" s="11">
        <v>6729</v>
      </c>
      <c r="BJ411" t="s">
        <v>86</v>
      </c>
      <c r="BK411" s="10">
        <v>409</v>
      </c>
      <c r="BR411">
        <v>408</v>
      </c>
      <c r="BS411" t="s">
        <v>86</v>
      </c>
      <c r="BT411" s="10">
        <v>21332</v>
      </c>
      <c r="BU411" s="11">
        <v>6729</v>
      </c>
      <c r="BV411" s="10">
        <v>409</v>
      </c>
      <c r="BW411" s="1" t="str">
        <f>IF(BS411=$CA$12,COUNTIF($BS$4:BS411,$CA$12),"")</f>
        <v/>
      </c>
    </row>
    <row r="412" spans="5:75" x14ac:dyDescent="0.25">
      <c r="E412">
        <v>409</v>
      </c>
      <c r="F412" t="s">
        <v>513</v>
      </c>
      <c r="G412" t="s">
        <v>87</v>
      </c>
      <c r="H412" t="s">
        <v>704</v>
      </c>
      <c r="I412" s="10">
        <v>15566</v>
      </c>
      <c r="J412" s="11">
        <v>3982</v>
      </c>
      <c r="K412" s="10">
        <v>50</v>
      </c>
      <c r="BE412">
        <v>409</v>
      </c>
      <c r="BF412" t="s">
        <v>513</v>
      </c>
      <c r="BG412" t="s">
        <v>704</v>
      </c>
      <c r="BH412" s="10">
        <v>15566</v>
      </c>
      <c r="BI412" s="11">
        <v>3982</v>
      </c>
      <c r="BJ412" t="s">
        <v>87</v>
      </c>
      <c r="BK412" s="10">
        <v>50</v>
      </c>
      <c r="BR412">
        <v>409</v>
      </c>
      <c r="BS412" t="s">
        <v>87</v>
      </c>
      <c r="BT412" s="10">
        <v>15566</v>
      </c>
      <c r="BU412" s="11">
        <v>3982</v>
      </c>
      <c r="BV412" s="10">
        <v>50</v>
      </c>
      <c r="BW412" s="1" t="str">
        <f>IF(BS412=$CA$12,COUNTIF($BS$4:BS412,$CA$12),"")</f>
        <v/>
      </c>
    </row>
    <row r="413" spans="5:75" x14ac:dyDescent="0.25">
      <c r="E413">
        <v>410</v>
      </c>
      <c r="F413" t="s">
        <v>514</v>
      </c>
      <c r="G413" t="s">
        <v>87</v>
      </c>
      <c r="H413" t="s">
        <v>705</v>
      </c>
      <c r="I413" s="10">
        <v>56891</v>
      </c>
      <c r="J413" s="11">
        <v>20131</v>
      </c>
      <c r="K413" s="10">
        <v>596</v>
      </c>
      <c r="BE413">
        <v>410</v>
      </c>
      <c r="BF413" t="s">
        <v>514</v>
      </c>
      <c r="BG413" t="s">
        <v>705</v>
      </c>
      <c r="BH413" s="10">
        <v>56891</v>
      </c>
      <c r="BI413" s="11">
        <v>20131</v>
      </c>
      <c r="BJ413" t="s">
        <v>87</v>
      </c>
      <c r="BK413" s="10">
        <v>596</v>
      </c>
      <c r="BR413">
        <v>410</v>
      </c>
      <c r="BS413" t="s">
        <v>87</v>
      </c>
      <c r="BT413" s="10">
        <v>56891</v>
      </c>
      <c r="BU413" s="11">
        <v>20131</v>
      </c>
      <c r="BV413" s="10">
        <v>596</v>
      </c>
      <c r="BW413" s="1" t="str">
        <f>IF(BS413=$CA$12,COUNTIF($BS$4:BS413,$CA$12),"")</f>
        <v/>
      </c>
    </row>
    <row r="414" spans="5:75" x14ac:dyDescent="0.25">
      <c r="E414">
        <v>411</v>
      </c>
      <c r="F414" t="s">
        <v>515</v>
      </c>
      <c r="G414" t="s">
        <v>87</v>
      </c>
      <c r="H414" t="s">
        <v>706</v>
      </c>
      <c r="I414" s="10">
        <v>146866</v>
      </c>
      <c r="J414" s="11">
        <v>58310</v>
      </c>
      <c r="K414" s="10">
        <v>1622</v>
      </c>
      <c r="BE414">
        <v>411</v>
      </c>
      <c r="BF414" t="s">
        <v>515</v>
      </c>
      <c r="BG414" t="s">
        <v>706</v>
      </c>
      <c r="BH414" s="10">
        <v>146866</v>
      </c>
      <c r="BI414" s="11">
        <v>58310</v>
      </c>
      <c r="BJ414" t="s">
        <v>87</v>
      </c>
      <c r="BK414" s="10">
        <v>1622</v>
      </c>
      <c r="BR414">
        <v>411</v>
      </c>
      <c r="BS414" t="s">
        <v>87</v>
      </c>
      <c r="BT414" s="10">
        <v>146866</v>
      </c>
      <c r="BU414" s="11">
        <v>58310</v>
      </c>
      <c r="BV414" s="10">
        <v>1622</v>
      </c>
      <c r="BW414" s="1" t="str">
        <f>IF(BS414=$CA$12,COUNTIF($BS$4:BS414,$CA$12),"")</f>
        <v/>
      </c>
    </row>
    <row r="415" spans="5:75" x14ac:dyDescent="0.25">
      <c r="E415">
        <v>412</v>
      </c>
      <c r="F415" t="s">
        <v>516</v>
      </c>
      <c r="G415" t="s">
        <v>87</v>
      </c>
      <c r="H415" t="s">
        <v>707</v>
      </c>
      <c r="I415" s="10">
        <v>96251</v>
      </c>
      <c r="J415" s="11">
        <v>20321</v>
      </c>
      <c r="K415" s="10">
        <v>527</v>
      </c>
      <c r="BE415">
        <v>412</v>
      </c>
      <c r="BF415" t="s">
        <v>516</v>
      </c>
      <c r="BG415" t="s">
        <v>707</v>
      </c>
      <c r="BH415" s="10">
        <v>96251</v>
      </c>
      <c r="BI415" s="11">
        <v>20321</v>
      </c>
      <c r="BJ415" t="s">
        <v>87</v>
      </c>
      <c r="BK415" s="10">
        <v>527</v>
      </c>
      <c r="BR415">
        <v>412</v>
      </c>
      <c r="BS415" t="s">
        <v>87</v>
      </c>
      <c r="BT415" s="10">
        <v>96251</v>
      </c>
      <c r="BU415" s="11">
        <v>20321</v>
      </c>
      <c r="BV415" s="10">
        <v>527</v>
      </c>
      <c r="BW415" s="1" t="str">
        <f>IF(BS415=$CA$12,COUNTIF($BS$4:BS415,$CA$12),"")</f>
        <v/>
      </c>
    </row>
    <row r="416" spans="5:75" x14ac:dyDescent="0.25">
      <c r="E416">
        <v>413</v>
      </c>
      <c r="F416" t="s">
        <v>517</v>
      </c>
      <c r="G416" t="s">
        <v>87</v>
      </c>
      <c r="H416" t="s">
        <v>708</v>
      </c>
      <c r="I416" s="10">
        <v>80348</v>
      </c>
      <c r="J416" s="11">
        <v>23825</v>
      </c>
      <c r="K416" s="10">
        <v>1662</v>
      </c>
      <c r="BE416">
        <v>413</v>
      </c>
      <c r="BF416" t="s">
        <v>517</v>
      </c>
      <c r="BG416" t="s">
        <v>708</v>
      </c>
      <c r="BH416" s="10">
        <v>80348</v>
      </c>
      <c r="BI416" s="11">
        <v>23825</v>
      </c>
      <c r="BJ416" t="s">
        <v>87</v>
      </c>
      <c r="BK416" s="10">
        <v>1662</v>
      </c>
      <c r="BR416">
        <v>413</v>
      </c>
      <c r="BS416" t="s">
        <v>87</v>
      </c>
      <c r="BT416" s="10">
        <v>80348</v>
      </c>
      <c r="BU416" s="11">
        <v>23825</v>
      </c>
      <c r="BV416" s="10">
        <v>1662</v>
      </c>
      <c r="BW416" s="1" t="str">
        <f>IF(BS416=$CA$12,COUNTIF($BS$4:BS416,$CA$12),"")</f>
        <v/>
      </c>
    </row>
    <row r="417" spans="5:75" x14ac:dyDescent="0.25">
      <c r="E417">
        <v>414</v>
      </c>
      <c r="F417" t="s">
        <v>518</v>
      </c>
      <c r="G417" t="s">
        <v>87</v>
      </c>
      <c r="H417" t="s">
        <v>709</v>
      </c>
      <c r="I417" s="10">
        <v>49347</v>
      </c>
      <c r="J417" s="11">
        <v>19363</v>
      </c>
      <c r="K417" s="10">
        <v>504</v>
      </c>
      <c r="BE417">
        <v>414</v>
      </c>
      <c r="BF417" t="s">
        <v>518</v>
      </c>
      <c r="BG417" t="s">
        <v>709</v>
      </c>
      <c r="BH417" s="10">
        <v>49347</v>
      </c>
      <c r="BI417" s="11">
        <v>19363</v>
      </c>
      <c r="BJ417" t="s">
        <v>87</v>
      </c>
      <c r="BK417" s="10">
        <v>504</v>
      </c>
      <c r="BR417">
        <v>414</v>
      </c>
      <c r="BS417" t="s">
        <v>87</v>
      </c>
      <c r="BT417" s="10">
        <v>49347</v>
      </c>
      <c r="BU417" s="11">
        <v>19363</v>
      </c>
      <c r="BV417" s="10">
        <v>504</v>
      </c>
      <c r="BW417" s="1" t="str">
        <f>IF(BS417=$CA$12,COUNTIF($BS$4:BS417,$CA$12),"")</f>
        <v/>
      </c>
    </row>
    <row r="418" spans="5:75" x14ac:dyDescent="0.25">
      <c r="E418">
        <v>415</v>
      </c>
      <c r="F418" t="s">
        <v>519</v>
      </c>
      <c r="G418" t="s">
        <v>87</v>
      </c>
      <c r="H418" t="s">
        <v>710</v>
      </c>
      <c r="I418" s="10">
        <v>147349</v>
      </c>
      <c r="J418" s="11">
        <v>52218</v>
      </c>
      <c r="K418" s="10">
        <v>4394</v>
      </c>
      <c r="BE418">
        <v>415</v>
      </c>
      <c r="BF418" t="s">
        <v>519</v>
      </c>
      <c r="BG418" t="s">
        <v>710</v>
      </c>
      <c r="BH418" s="10">
        <v>147349</v>
      </c>
      <c r="BI418" s="11">
        <v>52218</v>
      </c>
      <c r="BJ418" t="s">
        <v>87</v>
      </c>
      <c r="BK418" s="10">
        <v>4394</v>
      </c>
      <c r="BR418">
        <v>415</v>
      </c>
      <c r="BS418" t="s">
        <v>87</v>
      </c>
      <c r="BT418" s="10">
        <v>147349</v>
      </c>
      <c r="BU418" s="11">
        <v>52218</v>
      </c>
      <c r="BV418" s="10">
        <v>4394</v>
      </c>
      <c r="BW418" s="1" t="str">
        <f>IF(BS418=$CA$12,COUNTIF($BS$4:BS418,$CA$12),"")</f>
        <v/>
      </c>
    </row>
    <row r="419" spans="5:75" x14ac:dyDescent="0.25">
      <c r="E419">
        <v>416</v>
      </c>
      <c r="F419" t="s">
        <v>520</v>
      </c>
      <c r="G419" t="s">
        <v>87</v>
      </c>
      <c r="H419" t="s">
        <v>711</v>
      </c>
      <c r="I419" s="10">
        <v>142227</v>
      </c>
      <c r="J419" s="11">
        <v>50680</v>
      </c>
      <c r="K419" s="10">
        <v>123</v>
      </c>
      <c r="BE419">
        <v>416</v>
      </c>
      <c r="BF419" t="s">
        <v>520</v>
      </c>
      <c r="BG419" t="s">
        <v>711</v>
      </c>
      <c r="BH419" s="10">
        <v>142227</v>
      </c>
      <c r="BI419" s="11">
        <v>50680</v>
      </c>
      <c r="BJ419" t="s">
        <v>87</v>
      </c>
      <c r="BK419" s="10">
        <v>123</v>
      </c>
      <c r="BR419">
        <v>416</v>
      </c>
      <c r="BS419" t="s">
        <v>87</v>
      </c>
      <c r="BT419" s="10">
        <v>142227</v>
      </c>
      <c r="BU419" s="11">
        <v>50680</v>
      </c>
      <c r="BV419" s="10">
        <v>123</v>
      </c>
      <c r="BW419" s="1" t="str">
        <f>IF(BS419=$CA$12,COUNTIF($BS$4:BS419,$CA$12),"")</f>
        <v/>
      </c>
    </row>
    <row r="420" spans="5:75" x14ac:dyDescent="0.25">
      <c r="E420">
        <v>417</v>
      </c>
      <c r="F420" t="s">
        <v>521</v>
      </c>
      <c r="G420" t="s">
        <v>87</v>
      </c>
      <c r="H420" t="s">
        <v>712</v>
      </c>
      <c r="I420" s="10">
        <v>77924</v>
      </c>
      <c r="J420" s="11">
        <v>19268</v>
      </c>
      <c r="K420" s="10">
        <v>1847</v>
      </c>
      <c r="BE420">
        <v>417</v>
      </c>
      <c r="BF420" t="s">
        <v>521</v>
      </c>
      <c r="BG420" t="s">
        <v>712</v>
      </c>
      <c r="BH420" s="10">
        <v>77924</v>
      </c>
      <c r="BI420" s="11">
        <v>19268</v>
      </c>
      <c r="BJ420" t="s">
        <v>87</v>
      </c>
      <c r="BK420" s="10">
        <v>1847</v>
      </c>
      <c r="BR420">
        <v>417</v>
      </c>
      <c r="BS420" t="s">
        <v>87</v>
      </c>
      <c r="BT420" s="10">
        <v>77924</v>
      </c>
      <c r="BU420" s="11">
        <v>19268</v>
      </c>
      <c r="BV420" s="10">
        <v>1847</v>
      </c>
      <c r="BW420" s="1" t="str">
        <f>IF(BS420=$CA$12,COUNTIF($BS$4:BS420,$CA$12),"")</f>
        <v/>
      </c>
    </row>
    <row r="421" spans="5:75" x14ac:dyDescent="0.25">
      <c r="E421">
        <v>418</v>
      </c>
      <c r="F421" t="s">
        <v>522</v>
      </c>
      <c r="G421" t="s">
        <v>87</v>
      </c>
      <c r="H421" t="s">
        <v>713</v>
      </c>
      <c r="I421" s="10">
        <v>22766</v>
      </c>
      <c r="J421" s="11">
        <v>8535</v>
      </c>
      <c r="K421" s="10">
        <v>688</v>
      </c>
      <c r="BE421">
        <v>418</v>
      </c>
      <c r="BF421" t="s">
        <v>522</v>
      </c>
      <c r="BG421" t="s">
        <v>713</v>
      </c>
      <c r="BH421" s="10">
        <v>22766</v>
      </c>
      <c r="BI421" s="11">
        <v>8535</v>
      </c>
      <c r="BJ421" t="s">
        <v>87</v>
      </c>
      <c r="BK421" s="10">
        <v>688</v>
      </c>
      <c r="BR421">
        <v>418</v>
      </c>
      <c r="BS421" t="s">
        <v>87</v>
      </c>
      <c r="BT421" s="10">
        <v>22766</v>
      </c>
      <c r="BU421" s="11">
        <v>8535</v>
      </c>
      <c r="BV421" s="10">
        <v>688</v>
      </c>
      <c r="BW421" s="1" t="str">
        <f>IF(BS421=$CA$12,COUNTIF($BS$4:BS421,$CA$12),"")</f>
        <v/>
      </c>
    </row>
    <row r="422" spans="5:75" x14ac:dyDescent="0.25">
      <c r="E422">
        <v>419</v>
      </c>
      <c r="F422" t="s">
        <v>523</v>
      </c>
      <c r="G422" t="s">
        <v>87</v>
      </c>
      <c r="H422" t="s">
        <v>714</v>
      </c>
      <c r="I422" s="10">
        <v>95237</v>
      </c>
      <c r="J422" s="11">
        <v>25189</v>
      </c>
      <c r="K422" s="10">
        <v>1739</v>
      </c>
      <c r="BE422">
        <v>419</v>
      </c>
      <c r="BF422" t="s">
        <v>523</v>
      </c>
      <c r="BG422" t="s">
        <v>714</v>
      </c>
      <c r="BH422" s="10">
        <v>95237</v>
      </c>
      <c r="BI422" s="11">
        <v>25189</v>
      </c>
      <c r="BJ422" t="s">
        <v>87</v>
      </c>
      <c r="BK422" s="10">
        <v>1739</v>
      </c>
      <c r="BR422">
        <v>419</v>
      </c>
      <c r="BS422" t="s">
        <v>87</v>
      </c>
      <c r="BT422" s="10">
        <v>95237</v>
      </c>
      <c r="BU422" s="11">
        <v>25189</v>
      </c>
      <c r="BV422" s="10">
        <v>1739</v>
      </c>
      <c r="BW422" s="1" t="str">
        <f>IF(BS422=$CA$12,COUNTIF($BS$4:BS422,$CA$12),"")</f>
        <v/>
      </c>
    </row>
    <row r="423" spans="5:75" x14ac:dyDescent="0.25">
      <c r="E423">
        <v>420</v>
      </c>
      <c r="F423" t="s">
        <v>524</v>
      </c>
      <c r="G423" t="s">
        <v>87</v>
      </c>
      <c r="H423" t="s">
        <v>715</v>
      </c>
      <c r="I423" s="10">
        <v>61030</v>
      </c>
      <c r="J423" s="11">
        <v>24077</v>
      </c>
      <c r="K423" s="10">
        <v>1986</v>
      </c>
      <c r="BE423">
        <v>420</v>
      </c>
      <c r="BF423" t="s">
        <v>524</v>
      </c>
      <c r="BG423" t="s">
        <v>715</v>
      </c>
      <c r="BH423" s="10">
        <v>61030</v>
      </c>
      <c r="BI423" s="11">
        <v>24077</v>
      </c>
      <c r="BJ423" t="s">
        <v>87</v>
      </c>
      <c r="BK423" s="10">
        <v>1986</v>
      </c>
      <c r="BR423">
        <v>420</v>
      </c>
      <c r="BS423" t="s">
        <v>87</v>
      </c>
      <c r="BT423" s="10">
        <v>61030</v>
      </c>
      <c r="BU423" s="11">
        <v>24077</v>
      </c>
      <c r="BV423" s="10">
        <v>1986</v>
      </c>
      <c r="BW423" s="1" t="str">
        <f>IF(BS423=$CA$12,COUNTIF($BS$4:BS423,$CA$12),"")</f>
        <v/>
      </c>
    </row>
    <row r="424" spans="5:75" x14ac:dyDescent="0.25">
      <c r="E424">
        <v>421</v>
      </c>
      <c r="F424" t="s">
        <v>525</v>
      </c>
      <c r="G424" t="s">
        <v>88</v>
      </c>
      <c r="H424" t="s">
        <v>704</v>
      </c>
      <c r="I424" s="10">
        <v>113116</v>
      </c>
      <c r="J424" s="11">
        <v>27080</v>
      </c>
      <c r="K424" s="10">
        <v>824</v>
      </c>
      <c r="BE424">
        <v>421</v>
      </c>
      <c r="BF424" t="s">
        <v>525</v>
      </c>
      <c r="BG424" t="s">
        <v>704</v>
      </c>
      <c r="BH424" s="10">
        <v>113116</v>
      </c>
      <c r="BI424" s="11">
        <v>27080</v>
      </c>
      <c r="BJ424" t="s">
        <v>88</v>
      </c>
      <c r="BK424" s="10">
        <v>824</v>
      </c>
      <c r="BR424">
        <v>421</v>
      </c>
      <c r="BS424" t="s">
        <v>88</v>
      </c>
      <c r="BT424" s="10">
        <v>113116</v>
      </c>
      <c r="BU424" s="11">
        <v>27080</v>
      </c>
      <c r="BV424" s="10">
        <v>824</v>
      </c>
      <c r="BW424" s="1" t="str">
        <f>IF(BS424=$CA$12,COUNTIF($BS$4:BS424,$CA$12),"")</f>
        <v/>
      </c>
    </row>
    <row r="425" spans="5:75" x14ac:dyDescent="0.25">
      <c r="E425">
        <v>422</v>
      </c>
      <c r="F425" t="s">
        <v>526</v>
      </c>
      <c r="G425" t="s">
        <v>88</v>
      </c>
      <c r="H425" t="s">
        <v>705</v>
      </c>
      <c r="I425" s="10">
        <v>81769</v>
      </c>
      <c r="J425" s="11">
        <v>29414</v>
      </c>
      <c r="K425" s="10">
        <v>2161</v>
      </c>
      <c r="BE425">
        <v>422</v>
      </c>
      <c r="BF425" t="s">
        <v>526</v>
      </c>
      <c r="BG425" t="s">
        <v>705</v>
      </c>
      <c r="BH425" s="10">
        <v>81769</v>
      </c>
      <c r="BI425" s="11">
        <v>29414</v>
      </c>
      <c r="BJ425" t="s">
        <v>88</v>
      </c>
      <c r="BK425" s="10">
        <v>2161</v>
      </c>
      <c r="BR425">
        <v>422</v>
      </c>
      <c r="BS425" t="s">
        <v>88</v>
      </c>
      <c r="BT425" s="10">
        <v>81769</v>
      </c>
      <c r="BU425" s="11">
        <v>29414</v>
      </c>
      <c r="BV425" s="10">
        <v>2161</v>
      </c>
      <c r="BW425" s="1" t="str">
        <f>IF(BS425=$CA$12,COUNTIF($BS$4:BS425,$CA$12),"")</f>
        <v/>
      </c>
    </row>
    <row r="426" spans="5:75" x14ac:dyDescent="0.25">
      <c r="E426">
        <v>423</v>
      </c>
      <c r="F426" t="s">
        <v>527</v>
      </c>
      <c r="G426" t="s">
        <v>88</v>
      </c>
      <c r="H426" t="s">
        <v>706</v>
      </c>
      <c r="I426" s="10">
        <v>123624</v>
      </c>
      <c r="J426" s="11">
        <v>38381</v>
      </c>
      <c r="K426" s="10">
        <v>2823</v>
      </c>
      <c r="BE426">
        <v>423</v>
      </c>
      <c r="BF426" t="s">
        <v>527</v>
      </c>
      <c r="BG426" t="s">
        <v>706</v>
      </c>
      <c r="BH426" s="10">
        <v>123624</v>
      </c>
      <c r="BI426" s="11">
        <v>38381</v>
      </c>
      <c r="BJ426" t="s">
        <v>88</v>
      </c>
      <c r="BK426" s="10">
        <v>2823</v>
      </c>
      <c r="BR426">
        <v>423</v>
      </c>
      <c r="BS426" t="s">
        <v>88</v>
      </c>
      <c r="BT426" s="10">
        <v>123624</v>
      </c>
      <c r="BU426" s="11">
        <v>38381</v>
      </c>
      <c r="BV426" s="10">
        <v>2823</v>
      </c>
      <c r="BW426" s="1" t="str">
        <f>IF(BS426=$CA$12,COUNTIF($BS$4:BS426,$CA$12),"")</f>
        <v/>
      </c>
    </row>
    <row r="427" spans="5:75" x14ac:dyDescent="0.25">
      <c r="E427">
        <v>424</v>
      </c>
      <c r="F427" t="s">
        <v>528</v>
      </c>
      <c r="G427" t="s">
        <v>88</v>
      </c>
      <c r="H427" t="s">
        <v>707</v>
      </c>
      <c r="I427" s="10">
        <v>70755</v>
      </c>
      <c r="J427" s="11">
        <v>20499</v>
      </c>
      <c r="K427" s="10">
        <v>714</v>
      </c>
      <c r="BE427">
        <v>424</v>
      </c>
      <c r="BF427" t="s">
        <v>528</v>
      </c>
      <c r="BG427" t="s">
        <v>707</v>
      </c>
      <c r="BH427" s="10">
        <v>70755</v>
      </c>
      <c r="BI427" s="11">
        <v>20499</v>
      </c>
      <c r="BJ427" t="s">
        <v>88</v>
      </c>
      <c r="BK427" s="10">
        <v>714</v>
      </c>
      <c r="BR427">
        <v>424</v>
      </c>
      <c r="BS427" t="s">
        <v>88</v>
      </c>
      <c r="BT427" s="10">
        <v>70755</v>
      </c>
      <c r="BU427" s="11">
        <v>20499</v>
      </c>
      <c r="BV427" s="10">
        <v>714</v>
      </c>
      <c r="BW427" s="1" t="str">
        <f>IF(BS427=$CA$12,COUNTIF($BS$4:BS427,$CA$12),"")</f>
        <v/>
      </c>
    </row>
    <row r="428" spans="5:75" x14ac:dyDescent="0.25">
      <c r="E428">
        <v>425</v>
      </c>
      <c r="F428" t="s">
        <v>529</v>
      </c>
      <c r="G428" t="s">
        <v>88</v>
      </c>
      <c r="H428" t="s">
        <v>708</v>
      </c>
      <c r="I428" s="10">
        <v>104748</v>
      </c>
      <c r="J428" s="11">
        <v>36925</v>
      </c>
      <c r="K428" s="10">
        <v>508</v>
      </c>
      <c r="BE428">
        <v>425</v>
      </c>
      <c r="BF428" t="s">
        <v>529</v>
      </c>
      <c r="BG428" t="s">
        <v>708</v>
      </c>
      <c r="BH428" s="10">
        <v>104748</v>
      </c>
      <c r="BI428" s="11">
        <v>36925</v>
      </c>
      <c r="BJ428" t="s">
        <v>88</v>
      </c>
      <c r="BK428" s="10">
        <v>508</v>
      </c>
      <c r="BR428">
        <v>425</v>
      </c>
      <c r="BS428" t="s">
        <v>88</v>
      </c>
      <c r="BT428" s="10">
        <v>104748</v>
      </c>
      <c r="BU428" s="11">
        <v>36925</v>
      </c>
      <c r="BV428" s="10">
        <v>508</v>
      </c>
      <c r="BW428" s="1" t="str">
        <f>IF(BS428=$CA$12,COUNTIF($BS$4:BS428,$CA$12),"")</f>
        <v/>
      </c>
    </row>
    <row r="429" spans="5:75" x14ac:dyDescent="0.25">
      <c r="E429">
        <v>426</v>
      </c>
      <c r="F429" t="s">
        <v>530</v>
      </c>
      <c r="G429" t="s">
        <v>88</v>
      </c>
      <c r="H429" t="s">
        <v>709</v>
      </c>
      <c r="I429" s="10">
        <v>34836</v>
      </c>
      <c r="J429" s="11">
        <v>12174</v>
      </c>
      <c r="K429" s="10">
        <v>1051</v>
      </c>
      <c r="BE429">
        <v>426</v>
      </c>
      <c r="BF429" t="s">
        <v>530</v>
      </c>
      <c r="BG429" t="s">
        <v>709</v>
      </c>
      <c r="BH429" s="10">
        <v>34836</v>
      </c>
      <c r="BI429" s="11">
        <v>12174</v>
      </c>
      <c r="BJ429" t="s">
        <v>88</v>
      </c>
      <c r="BK429" s="10">
        <v>1051</v>
      </c>
      <c r="BR429">
        <v>426</v>
      </c>
      <c r="BS429" t="s">
        <v>88</v>
      </c>
      <c r="BT429" s="10">
        <v>34836</v>
      </c>
      <c r="BU429" s="11">
        <v>12174</v>
      </c>
      <c r="BV429" s="10">
        <v>1051</v>
      </c>
      <c r="BW429" s="1" t="str">
        <f>IF(BS429=$CA$12,COUNTIF($BS$4:BS429,$CA$12),"")</f>
        <v/>
      </c>
    </row>
    <row r="430" spans="5:75" x14ac:dyDescent="0.25">
      <c r="E430">
        <v>427</v>
      </c>
      <c r="F430" t="s">
        <v>531</v>
      </c>
      <c r="G430" t="s">
        <v>88</v>
      </c>
      <c r="H430" t="s">
        <v>710</v>
      </c>
      <c r="I430" s="10">
        <v>135736</v>
      </c>
      <c r="J430" s="11">
        <v>41501</v>
      </c>
      <c r="K430" s="10">
        <v>2458</v>
      </c>
      <c r="BE430">
        <v>427</v>
      </c>
      <c r="BF430" t="s">
        <v>531</v>
      </c>
      <c r="BG430" t="s">
        <v>710</v>
      </c>
      <c r="BH430" s="10">
        <v>135736</v>
      </c>
      <c r="BI430" s="11">
        <v>41501</v>
      </c>
      <c r="BJ430" t="s">
        <v>88</v>
      </c>
      <c r="BK430" s="10">
        <v>2458</v>
      </c>
      <c r="BR430">
        <v>427</v>
      </c>
      <c r="BS430" t="s">
        <v>88</v>
      </c>
      <c r="BT430" s="10">
        <v>135736</v>
      </c>
      <c r="BU430" s="11">
        <v>41501</v>
      </c>
      <c r="BV430" s="10">
        <v>2458</v>
      </c>
      <c r="BW430" s="1" t="str">
        <f>IF(BS430=$CA$12,COUNTIF($BS$4:BS430,$CA$12),"")</f>
        <v/>
      </c>
    </row>
    <row r="431" spans="5:75" x14ac:dyDescent="0.25">
      <c r="E431">
        <v>428</v>
      </c>
      <c r="F431" t="s">
        <v>532</v>
      </c>
      <c r="G431" t="s">
        <v>88</v>
      </c>
      <c r="H431" t="s">
        <v>711</v>
      </c>
      <c r="I431" s="10">
        <v>90342</v>
      </c>
      <c r="J431" s="11">
        <v>31966</v>
      </c>
      <c r="K431" s="10">
        <v>1877</v>
      </c>
      <c r="BE431">
        <v>428</v>
      </c>
      <c r="BF431" t="s">
        <v>532</v>
      </c>
      <c r="BG431" t="s">
        <v>711</v>
      </c>
      <c r="BH431" s="10">
        <v>90342</v>
      </c>
      <c r="BI431" s="11">
        <v>31966</v>
      </c>
      <c r="BJ431" t="s">
        <v>88</v>
      </c>
      <c r="BK431" s="10">
        <v>1877</v>
      </c>
      <c r="BR431">
        <v>428</v>
      </c>
      <c r="BS431" t="s">
        <v>88</v>
      </c>
      <c r="BT431" s="10">
        <v>90342</v>
      </c>
      <c r="BU431" s="11">
        <v>31966</v>
      </c>
      <c r="BV431" s="10">
        <v>1877</v>
      </c>
      <c r="BW431" s="1" t="str">
        <f>IF(BS431=$CA$12,COUNTIF($BS$4:BS431,$CA$12),"")</f>
        <v/>
      </c>
    </row>
    <row r="432" spans="5:75" x14ac:dyDescent="0.25">
      <c r="E432">
        <v>429</v>
      </c>
      <c r="F432" t="s">
        <v>533</v>
      </c>
      <c r="G432" t="s">
        <v>88</v>
      </c>
      <c r="H432" t="s">
        <v>712</v>
      </c>
      <c r="I432" s="10">
        <v>31427</v>
      </c>
      <c r="J432" s="11">
        <v>11637</v>
      </c>
      <c r="K432" s="10">
        <v>866</v>
      </c>
      <c r="BE432">
        <v>429</v>
      </c>
      <c r="BF432" t="s">
        <v>533</v>
      </c>
      <c r="BG432" t="s">
        <v>712</v>
      </c>
      <c r="BH432" s="10">
        <v>31427</v>
      </c>
      <c r="BI432" s="11">
        <v>11637</v>
      </c>
      <c r="BJ432" t="s">
        <v>88</v>
      </c>
      <c r="BK432" s="10">
        <v>866</v>
      </c>
      <c r="BR432">
        <v>429</v>
      </c>
      <c r="BS432" t="s">
        <v>88</v>
      </c>
      <c r="BT432" s="10">
        <v>31427</v>
      </c>
      <c r="BU432" s="11">
        <v>11637</v>
      </c>
      <c r="BV432" s="10">
        <v>866</v>
      </c>
      <c r="BW432" s="1" t="str">
        <f>IF(BS432=$CA$12,COUNTIF($BS$4:BS432,$CA$12),"")</f>
        <v/>
      </c>
    </row>
    <row r="433" spans="5:75" x14ac:dyDescent="0.25">
      <c r="E433">
        <v>430</v>
      </c>
      <c r="F433" t="s">
        <v>534</v>
      </c>
      <c r="G433" t="s">
        <v>88</v>
      </c>
      <c r="H433" t="s">
        <v>713</v>
      </c>
      <c r="I433" s="10">
        <v>40306</v>
      </c>
      <c r="J433" s="11">
        <v>16023</v>
      </c>
      <c r="K433" s="10">
        <v>972</v>
      </c>
      <c r="BE433">
        <v>430</v>
      </c>
      <c r="BF433" t="s">
        <v>534</v>
      </c>
      <c r="BG433" t="s">
        <v>713</v>
      </c>
      <c r="BH433" s="10">
        <v>40306</v>
      </c>
      <c r="BI433" s="11">
        <v>16023</v>
      </c>
      <c r="BJ433" t="s">
        <v>88</v>
      </c>
      <c r="BK433" s="10">
        <v>972</v>
      </c>
      <c r="BR433">
        <v>430</v>
      </c>
      <c r="BS433" t="s">
        <v>88</v>
      </c>
      <c r="BT433" s="10">
        <v>40306</v>
      </c>
      <c r="BU433" s="11">
        <v>16023</v>
      </c>
      <c r="BV433" s="10">
        <v>972</v>
      </c>
      <c r="BW433" s="1" t="str">
        <f>IF(BS433=$CA$12,COUNTIF($BS$4:BS433,$CA$12),"")</f>
        <v/>
      </c>
    </row>
    <row r="434" spans="5:75" x14ac:dyDescent="0.25">
      <c r="E434">
        <v>431</v>
      </c>
      <c r="F434" t="s">
        <v>535</v>
      </c>
      <c r="G434" t="s">
        <v>88</v>
      </c>
      <c r="H434" t="s">
        <v>714</v>
      </c>
      <c r="I434" s="10">
        <v>44348</v>
      </c>
      <c r="J434" s="11">
        <v>14091</v>
      </c>
      <c r="K434" s="10">
        <v>777</v>
      </c>
      <c r="BE434">
        <v>431</v>
      </c>
      <c r="BF434" t="s">
        <v>535</v>
      </c>
      <c r="BG434" t="s">
        <v>714</v>
      </c>
      <c r="BH434" s="10">
        <v>44348</v>
      </c>
      <c r="BI434" s="11">
        <v>14091</v>
      </c>
      <c r="BJ434" t="s">
        <v>88</v>
      </c>
      <c r="BK434" s="10">
        <v>777</v>
      </c>
      <c r="BR434">
        <v>431</v>
      </c>
      <c r="BS434" t="s">
        <v>88</v>
      </c>
      <c r="BT434" s="10">
        <v>44348</v>
      </c>
      <c r="BU434" s="11">
        <v>14091</v>
      </c>
      <c r="BV434" s="10">
        <v>777</v>
      </c>
      <c r="BW434" s="1" t="str">
        <f>IF(BS434=$CA$12,COUNTIF($BS$4:BS434,$CA$12),"")</f>
        <v/>
      </c>
    </row>
    <row r="435" spans="5:75" x14ac:dyDescent="0.25">
      <c r="E435">
        <v>432</v>
      </c>
      <c r="F435" t="s">
        <v>536</v>
      </c>
      <c r="G435" t="s">
        <v>88</v>
      </c>
      <c r="H435" t="s">
        <v>715</v>
      </c>
      <c r="I435" s="10">
        <v>147532</v>
      </c>
      <c r="J435" s="11">
        <v>47659</v>
      </c>
      <c r="K435" s="10">
        <v>364</v>
      </c>
      <c r="BE435">
        <v>432</v>
      </c>
      <c r="BF435" t="s">
        <v>536</v>
      </c>
      <c r="BG435" t="s">
        <v>715</v>
      </c>
      <c r="BH435" s="10">
        <v>147532</v>
      </c>
      <c r="BI435" s="11">
        <v>47659</v>
      </c>
      <c r="BJ435" t="s">
        <v>88</v>
      </c>
      <c r="BK435" s="10">
        <v>364</v>
      </c>
      <c r="BR435">
        <v>432</v>
      </c>
      <c r="BS435" t="s">
        <v>88</v>
      </c>
      <c r="BT435" s="10">
        <v>147532</v>
      </c>
      <c r="BU435" s="11">
        <v>47659</v>
      </c>
      <c r="BV435" s="10">
        <v>364</v>
      </c>
      <c r="BW435" s="1" t="str">
        <f>IF(BS435=$CA$12,COUNTIF($BS$4:BS435,$CA$12),"")</f>
        <v/>
      </c>
    </row>
    <row r="436" spans="5:75" x14ac:dyDescent="0.25">
      <c r="E436">
        <v>433</v>
      </c>
      <c r="F436" t="s">
        <v>537</v>
      </c>
      <c r="G436" t="s">
        <v>89</v>
      </c>
      <c r="H436" t="s">
        <v>704</v>
      </c>
      <c r="I436" s="10">
        <v>45765</v>
      </c>
      <c r="J436" s="11">
        <v>17942</v>
      </c>
      <c r="K436" s="10">
        <v>126</v>
      </c>
      <c r="BE436">
        <v>433</v>
      </c>
      <c r="BF436" t="s">
        <v>537</v>
      </c>
      <c r="BG436" t="s">
        <v>704</v>
      </c>
      <c r="BH436" s="10">
        <v>45765</v>
      </c>
      <c r="BI436" s="11">
        <v>17942</v>
      </c>
      <c r="BJ436" t="s">
        <v>89</v>
      </c>
      <c r="BK436" s="10">
        <v>126</v>
      </c>
      <c r="BR436">
        <v>433</v>
      </c>
      <c r="BS436" t="s">
        <v>89</v>
      </c>
      <c r="BT436" s="10">
        <v>45765</v>
      </c>
      <c r="BU436" s="11">
        <v>17942</v>
      </c>
      <c r="BV436" s="10">
        <v>126</v>
      </c>
      <c r="BW436" s="1" t="str">
        <f>IF(BS436=$CA$12,COUNTIF($BS$4:BS436,$CA$12),"")</f>
        <v/>
      </c>
    </row>
    <row r="437" spans="5:75" x14ac:dyDescent="0.25">
      <c r="E437">
        <v>434</v>
      </c>
      <c r="F437" t="s">
        <v>538</v>
      </c>
      <c r="G437" t="s">
        <v>89</v>
      </c>
      <c r="H437" t="s">
        <v>705</v>
      </c>
      <c r="I437" s="10">
        <v>95589</v>
      </c>
      <c r="J437" s="11">
        <v>29452</v>
      </c>
      <c r="K437" s="10">
        <v>569</v>
      </c>
      <c r="BE437">
        <v>434</v>
      </c>
      <c r="BF437" t="s">
        <v>538</v>
      </c>
      <c r="BG437" t="s">
        <v>705</v>
      </c>
      <c r="BH437" s="10">
        <v>95589</v>
      </c>
      <c r="BI437" s="11">
        <v>29452</v>
      </c>
      <c r="BJ437" t="s">
        <v>89</v>
      </c>
      <c r="BK437" s="10">
        <v>569</v>
      </c>
      <c r="BR437">
        <v>434</v>
      </c>
      <c r="BS437" t="s">
        <v>89</v>
      </c>
      <c r="BT437" s="10">
        <v>95589</v>
      </c>
      <c r="BU437" s="11">
        <v>29452</v>
      </c>
      <c r="BV437" s="10">
        <v>569</v>
      </c>
      <c r="BW437" s="1" t="str">
        <f>IF(BS437=$CA$12,COUNTIF($BS$4:BS437,$CA$12),"")</f>
        <v/>
      </c>
    </row>
    <row r="438" spans="5:75" x14ac:dyDescent="0.25">
      <c r="E438">
        <v>435</v>
      </c>
      <c r="F438" t="s">
        <v>539</v>
      </c>
      <c r="G438" t="s">
        <v>89</v>
      </c>
      <c r="H438" t="s">
        <v>706</v>
      </c>
      <c r="I438" s="10">
        <v>111290</v>
      </c>
      <c r="J438" s="11">
        <v>24301</v>
      </c>
      <c r="K438" s="10">
        <v>1434</v>
      </c>
      <c r="BE438">
        <v>435</v>
      </c>
      <c r="BF438" t="s">
        <v>539</v>
      </c>
      <c r="BG438" t="s">
        <v>706</v>
      </c>
      <c r="BH438" s="10">
        <v>111290</v>
      </c>
      <c r="BI438" s="11">
        <v>24301</v>
      </c>
      <c r="BJ438" t="s">
        <v>89</v>
      </c>
      <c r="BK438" s="10">
        <v>1434</v>
      </c>
      <c r="BR438">
        <v>435</v>
      </c>
      <c r="BS438" t="s">
        <v>89</v>
      </c>
      <c r="BT438" s="10">
        <v>111290</v>
      </c>
      <c r="BU438" s="11">
        <v>24301</v>
      </c>
      <c r="BV438" s="10">
        <v>1434</v>
      </c>
      <c r="BW438" s="1" t="str">
        <f>IF(BS438=$CA$12,COUNTIF($BS$4:BS438,$CA$12),"")</f>
        <v/>
      </c>
    </row>
    <row r="439" spans="5:75" x14ac:dyDescent="0.25">
      <c r="E439">
        <v>436</v>
      </c>
      <c r="F439" t="s">
        <v>540</v>
      </c>
      <c r="G439" t="s">
        <v>89</v>
      </c>
      <c r="H439" t="s">
        <v>707</v>
      </c>
      <c r="I439" s="10">
        <v>62716</v>
      </c>
      <c r="J439" s="11">
        <v>15456</v>
      </c>
      <c r="K439" s="10">
        <v>1506</v>
      </c>
      <c r="BE439">
        <v>436</v>
      </c>
      <c r="BF439" t="s">
        <v>540</v>
      </c>
      <c r="BG439" t="s">
        <v>707</v>
      </c>
      <c r="BH439" s="10">
        <v>62716</v>
      </c>
      <c r="BI439" s="11">
        <v>15456</v>
      </c>
      <c r="BJ439" t="s">
        <v>89</v>
      </c>
      <c r="BK439" s="10">
        <v>1506</v>
      </c>
      <c r="BR439">
        <v>436</v>
      </c>
      <c r="BS439" t="s">
        <v>89</v>
      </c>
      <c r="BT439" s="10">
        <v>62716</v>
      </c>
      <c r="BU439" s="11">
        <v>15456</v>
      </c>
      <c r="BV439" s="10">
        <v>1506</v>
      </c>
      <c r="BW439" s="1" t="str">
        <f>IF(BS439=$CA$12,COUNTIF($BS$4:BS439,$CA$12),"")</f>
        <v/>
      </c>
    </row>
    <row r="440" spans="5:75" x14ac:dyDescent="0.25">
      <c r="E440">
        <v>437</v>
      </c>
      <c r="F440" t="s">
        <v>541</v>
      </c>
      <c r="G440" t="s">
        <v>89</v>
      </c>
      <c r="H440" t="s">
        <v>708</v>
      </c>
      <c r="I440" s="10">
        <v>149308</v>
      </c>
      <c r="J440" s="11">
        <v>41526</v>
      </c>
      <c r="K440" s="10">
        <v>1612</v>
      </c>
      <c r="BE440">
        <v>437</v>
      </c>
      <c r="BF440" t="s">
        <v>541</v>
      </c>
      <c r="BG440" t="s">
        <v>708</v>
      </c>
      <c r="BH440" s="10">
        <v>149308</v>
      </c>
      <c r="BI440" s="11">
        <v>41526</v>
      </c>
      <c r="BJ440" t="s">
        <v>89</v>
      </c>
      <c r="BK440" s="10">
        <v>1612</v>
      </c>
      <c r="BR440">
        <v>437</v>
      </c>
      <c r="BS440" t="s">
        <v>89</v>
      </c>
      <c r="BT440" s="10">
        <v>149308</v>
      </c>
      <c r="BU440" s="11">
        <v>41526</v>
      </c>
      <c r="BV440" s="10">
        <v>1612</v>
      </c>
      <c r="BW440" s="1" t="str">
        <f>IF(BS440=$CA$12,COUNTIF($BS$4:BS440,$CA$12),"")</f>
        <v/>
      </c>
    </row>
    <row r="441" spans="5:75" x14ac:dyDescent="0.25">
      <c r="E441">
        <v>438</v>
      </c>
      <c r="F441" t="s">
        <v>542</v>
      </c>
      <c r="G441" t="s">
        <v>89</v>
      </c>
      <c r="H441" t="s">
        <v>709</v>
      </c>
      <c r="I441" s="10">
        <v>36032</v>
      </c>
      <c r="J441" s="11">
        <v>13594</v>
      </c>
      <c r="K441" s="10">
        <v>113</v>
      </c>
      <c r="BE441">
        <v>438</v>
      </c>
      <c r="BF441" t="s">
        <v>542</v>
      </c>
      <c r="BG441" t="s">
        <v>709</v>
      </c>
      <c r="BH441" s="10">
        <v>36032</v>
      </c>
      <c r="BI441" s="11">
        <v>13594</v>
      </c>
      <c r="BJ441" t="s">
        <v>89</v>
      </c>
      <c r="BK441" s="10">
        <v>113</v>
      </c>
      <c r="BR441">
        <v>438</v>
      </c>
      <c r="BS441" t="s">
        <v>89</v>
      </c>
      <c r="BT441" s="10">
        <v>36032</v>
      </c>
      <c r="BU441" s="11">
        <v>13594</v>
      </c>
      <c r="BV441" s="10">
        <v>113</v>
      </c>
      <c r="BW441" s="1" t="str">
        <f>IF(BS441=$CA$12,COUNTIF($BS$4:BS441,$CA$12),"")</f>
        <v/>
      </c>
    </row>
    <row r="442" spans="5:75" x14ac:dyDescent="0.25">
      <c r="E442">
        <v>439</v>
      </c>
      <c r="F442" t="s">
        <v>543</v>
      </c>
      <c r="G442" t="s">
        <v>89</v>
      </c>
      <c r="H442" t="s">
        <v>710</v>
      </c>
      <c r="I442" s="10">
        <v>107052</v>
      </c>
      <c r="J442" s="11">
        <v>30331</v>
      </c>
      <c r="K442" s="10">
        <v>1080</v>
      </c>
      <c r="BE442">
        <v>439</v>
      </c>
      <c r="BF442" t="s">
        <v>543</v>
      </c>
      <c r="BG442" t="s">
        <v>710</v>
      </c>
      <c r="BH442" s="10">
        <v>107052</v>
      </c>
      <c r="BI442" s="11">
        <v>30331</v>
      </c>
      <c r="BJ442" t="s">
        <v>89</v>
      </c>
      <c r="BK442" s="10">
        <v>1080</v>
      </c>
      <c r="BR442">
        <v>439</v>
      </c>
      <c r="BS442" t="s">
        <v>89</v>
      </c>
      <c r="BT442" s="10">
        <v>107052</v>
      </c>
      <c r="BU442" s="11">
        <v>30331</v>
      </c>
      <c r="BV442" s="10">
        <v>1080</v>
      </c>
      <c r="BW442" s="1" t="str">
        <f>IF(BS442=$CA$12,COUNTIF($BS$4:BS442,$CA$12),"")</f>
        <v/>
      </c>
    </row>
    <row r="443" spans="5:75" x14ac:dyDescent="0.25">
      <c r="E443">
        <v>440</v>
      </c>
      <c r="F443" t="s">
        <v>544</v>
      </c>
      <c r="G443" t="s">
        <v>89</v>
      </c>
      <c r="H443" t="s">
        <v>711</v>
      </c>
      <c r="I443" s="10">
        <v>121187</v>
      </c>
      <c r="J443" s="11">
        <v>44110</v>
      </c>
      <c r="K443" s="10">
        <v>2430</v>
      </c>
      <c r="BE443">
        <v>440</v>
      </c>
      <c r="BF443" t="s">
        <v>544</v>
      </c>
      <c r="BG443" t="s">
        <v>711</v>
      </c>
      <c r="BH443" s="10">
        <v>121187</v>
      </c>
      <c r="BI443" s="11">
        <v>44110</v>
      </c>
      <c r="BJ443" t="s">
        <v>89</v>
      </c>
      <c r="BK443" s="10">
        <v>2430</v>
      </c>
      <c r="BR443">
        <v>440</v>
      </c>
      <c r="BS443" t="s">
        <v>89</v>
      </c>
      <c r="BT443" s="10">
        <v>121187</v>
      </c>
      <c r="BU443" s="11">
        <v>44110</v>
      </c>
      <c r="BV443" s="10">
        <v>2430</v>
      </c>
      <c r="BW443" s="1" t="str">
        <f>IF(BS443=$CA$12,COUNTIF($BS$4:BS443,$CA$12),"")</f>
        <v/>
      </c>
    </row>
    <row r="444" spans="5:75" x14ac:dyDescent="0.25">
      <c r="E444">
        <v>441</v>
      </c>
      <c r="F444" t="s">
        <v>545</v>
      </c>
      <c r="G444" t="s">
        <v>89</v>
      </c>
      <c r="H444" t="s">
        <v>712</v>
      </c>
      <c r="I444" s="10">
        <v>143619</v>
      </c>
      <c r="J444" s="11">
        <v>48755</v>
      </c>
      <c r="K444" s="10">
        <v>2174</v>
      </c>
      <c r="BE444">
        <v>441</v>
      </c>
      <c r="BF444" t="s">
        <v>545</v>
      </c>
      <c r="BG444" t="s">
        <v>712</v>
      </c>
      <c r="BH444" s="10">
        <v>143619</v>
      </c>
      <c r="BI444" s="11">
        <v>48755</v>
      </c>
      <c r="BJ444" t="s">
        <v>89</v>
      </c>
      <c r="BK444" s="10">
        <v>2174</v>
      </c>
      <c r="BR444">
        <v>441</v>
      </c>
      <c r="BS444" t="s">
        <v>89</v>
      </c>
      <c r="BT444" s="10">
        <v>143619</v>
      </c>
      <c r="BU444" s="11">
        <v>48755</v>
      </c>
      <c r="BV444" s="10">
        <v>2174</v>
      </c>
      <c r="BW444" s="1" t="str">
        <f>IF(BS444=$CA$12,COUNTIF($BS$4:BS444,$CA$12),"")</f>
        <v/>
      </c>
    </row>
    <row r="445" spans="5:75" x14ac:dyDescent="0.25">
      <c r="E445">
        <v>442</v>
      </c>
      <c r="F445" t="s">
        <v>546</v>
      </c>
      <c r="G445" t="s">
        <v>89</v>
      </c>
      <c r="H445" t="s">
        <v>713</v>
      </c>
      <c r="I445" s="10">
        <v>67779</v>
      </c>
      <c r="J445" s="11">
        <v>13642</v>
      </c>
      <c r="K445" s="10">
        <v>977</v>
      </c>
      <c r="BE445">
        <v>442</v>
      </c>
      <c r="BF445" t="s">
        <v>546</v>
      </c>
      <c r="BG445" t="s">
        <v>713</v>
      </c>
      <c r="BH445" s="10">
        <v>67779</v>
      </c>
      <c r="BI445" s="11">
        <v>13642</v>
      </c>
      <c r="BJ445" t="s">
        <v>89</v>
      </c>
      <c r="BK445" s="10">
        <v>977</v>
      </c>
      <c r="BR445">
        <v>442</v>
      </c>
      <c r="BS445" t="s">
        <v>89</v>
      </c>
      <c r="BT445" s="10">
        <v>67779</v>
      </c>
      <c r="BU445" s="11">
        <v>13642</v>
      </c>
      <c r="BV445" s="10">
        <v>977</v>
      </c>
      <c r="BW445" s="1" t="str">
        <f>IF(BS445=$CA$12,COUNTIF($BS$4:BS445,$CA$12),"")</f>
        <v/>
      </c>
    </row>
    <row r="446" spans="5:75" x14ac:dyDescent="0.25">
      <c r="E446">
        <v>443</v>
      </c>
      <c r="F446" t="s">
        <v>547</v>
      </c>
      <c r="G446" t="s">
        <v>89</v>
      </c>
      <c r="H446" t="s">
        <v>714</v>
      </c>
      <c r="I446" s="10">
        <v>97629</v>
      </c>
      <c r="J446" s="11">
        <v>35410</v>
      </c>
      <c r="K446" s="10">
        <v>1160</v>
      </c>
      <c r="BE446">
        <v>443</v>
      </c>
      <c r="BF446" t="s">
        <v>547</v>
      </c>
      <c r="BG446" t="s">
        <v>714</v>
      </c>
      <c r="BH446" s="10">
        <v>97629</v>
      </c>
      <c r="BI446" s="11">
        <v>35410</v>
      </c>
      <c r="BJ446" t="s">
        <v>89</v>
      </c>
      <c r="BK446" s="10">
        <v>1160</v>
      </c>
      <c r="BR446">
        <v>443</v>
      </c>
      <c r="BS446" t="s">
        <v>89</v>
      </c>
      <c r="BT446" s="10">
        <v>97629</v>
      </c>
      <c r="BU446" s="11">
        <v>35410</v>
      </c>
      <c r="BV446" s="10">
        <v>1160</v>
      </c>
      <c r="BW446" s="1" t="str">
        <f>IF(BS446=$CA$12,COUNTIF($BS$4:BS446,$CA$12),"")</f>
        <v/>
      </c>
    </row>
    <row r="447" spans="5:75" x14ac:dyDescent="0.25">
      <c r="E447">
        <v>444</v>
      </c>
      <c r="F447" t="s">
        <v>548</v>
      </c>
      <c r="G447" t="s">
        <v>89</v>
      </c>
      <c r="H447" t="s">
        <v>715</v>
      </c>
      <c r="I447" s="10">
        <v>22300</v>
      </c>
      <c r="J447" s="11">
        <v>6431</v>
      </c>
      <c r="K447" s="10">
        <v>340</v>
      </c>
      <c r="BE447">
        <v>444</v>
      </c>
      <c r="BF447" t="s">
        <v>548</v>
      </c>
      <c r="BG447" t="s">
        <v>715</v>
      </c>
      <c r="BH447" s="10">
        <v>22300</v>
      </c>
      <c r="BI447" s="11">
        <v>6431</v>
      </c>
      <c r="BJ447" t="s">
        <v>89</v>
      </c>
      <c r="BK447" s="10">
        <v>340</v>
      </c>
      <c r="BR447">
        <v>444</v>
      </c>
      <c r="BS447" t="s">
        <v>89</v>
      </c>
      <c r="BT447" s="10">
        <v>22300</v>
      </c>
      <c r="BU447" s="11">
        <v>6431</v>
      </c>
      <c r="BV447" s="10">
        <v>340</v>
      </c>
      <c r="BW447" s="1" t="str">
        <f>IF(BS447=$CA$12,COUNTIF($BS$4:BS447,$CA$12),"")</f>
        <v/>
      </c>
    </row>
    <row r="448" spans="5:75" x14ac:dyDescent="0.25">
      <c r="E448">
        <v>445</v>
      </c>
      <c r="F448" t="s">
        <v>549</v>
      </c>
      <c r="G448" t="s">
        <v>90</v>
      </c>
      <c r="H448" t="s">
        <v>704</v>
      </c>
      <c r="I448" s="10">
        <v>125747</v>
      </c>
      <c r="J448" s="11">
        <v>30444</v>
      </c>
      <c r="K448" s="10">
        <v>1707</v>
      </c>
      <c r="BE448">
        <v>445</v>
      </c>
      <c r="BF448" t="s">
        <v>549</v>
      </c>
      <c r="BG448" t="s">
        <v>704</v>
      </c>
      <c r="BH448" s="10">
        <v>125747</v>
      </c>
      <c r="BI448" s="11">
        <v>30444</v>
      </c>
      <c r="BJ448" t="s">
        <v>90</v>
      </c>
      <c r="BK448" s="10">
        <v>1707</v>
      </c>
      <c r="BR448">
        <v>445</v>
      </c>
      <c r="BS448" t="s">
        <v>90</v>
      </c>
      <c r="BT448" s="10">
        <v>125747</v>
      </c>
      <c r="BU448" s="11">
        <v>30444</v>
      </c>
      <c r="BV448" s="10">
        <v>1707</v>
      </c>
      <c r="BW448" s="1" t="str">
        <f>IF(BS448=$CA$12,COUNTIF($BS$4:BS448,$CA$12),"")</f>
        <v/>
      </c>
    </row>
    <row r="449" spans="5:75" x14ac:dyDescent="0.25">
      <c r="E449">
        <v>446</v>
      </c>
      <c r="F449" t="s">
        <v>550</v>
      </c>
      <c r="G449" t="s">
        <v>90</v>
      </c>
      <c r="H449" t="s">
        <v>705</v>
      </c>
      <c r="I449" s="10">
        <v>112467</v>
      </c>
      <c r="J449" s="11">
        <v>29175</v>
      </c>
      <c r="K449" s="10">
        <v>598</v>
      </c>
      <c r="BE449">
        <v>446</v>
      </c>
      <c r="BF449" t="s">
        <v>550</v>
      </c>
      <c r="BG449" t="s">
        <v>705</v>
      </c>
      <c r="BH449" s="10">
        <v>112467</v>
      </c>
      <c r="BI449" s="11">
        <v>29175</v>
      </c>
      <c r="BJ449" t="s">
        <v>90</v>
      </c>
      <c r="BK449" s="10">
        <v>598</v>
      </c>
      <c r="BR449">
        <v>446</v>
      </c>
      <c r="BS449" t="s">
        <v>90</v>
      </c>
      <c r="BT449" s="10">
        <v>112467</v>
      </c>
      <c r="BU449" s="11">
        <v>29175</v>
      </c>
      <c r="BV449" s="10">
        <v>598</v>
      </c>
      <c r="BW449" s="1" t="str">
        <f>IF(BS449=$CA$12,COUNTIF($BS$4:BS449,$CA$12),"")</f>
        <v/>
      </c>
    </row>
    <row r="450" spans="5:75" x14ac:dyDescent="0.25">
      <c r="E450">
        <v>447</v>
      </c>
      <c r="F450" t="s">
        <v>551</v>
      </c>
      <c r="G450" t="s">
        <v>90</v>
      </c>
      <c r="H450" t="s">
        <v>706</v>
      </c>
      <c r="I450" s="10">
        <v>64199</v>
      </c>
      <c r="J450" s="11">
        <v>15167</v>
      </c>
      <c r="K450" s="10">
        <v>1143</v>
      </c>
      <c r="BE450">
        <v>447</v>
      </c>
      <c r="BF450" t="s">
        <v>551</v>
      </c>
      <c r="BG450" t="s">
        <v>706</v>
      </c>
      <c r="BH450" s="10">
        <v>64199</v>
      </c>
      <c r="BI450" s="11">
        <v>15167</v>
      </c>
      <c r="BJ450" t="s">
        <v>90</v>
      </c>
      <c r="BK450" s="10">
        <v>1143</v>
      </c>
      <c r="BR450">
        <v>447</v>
      </c>
      <c r="BS450" t="s">
        <v>90</v>
      </c>
      <c r="BT450" s="10">
        <v>64199</v>
      </c>
      <c r="BU450" s="11">
        <v>15167</v>
      </c>
      <c r="BV450" s="10">
        <v>1143</v>
      </c>
      <c r="BW450" s="1" t="str">
        <f>IF(BS450=$CA$12,COUNTIF($BS$4:BS450,$CA$12),"")</f>
        <v/>
      </c>
    </row>
    <row r="451" spans="5:75" x14ac:dyDescent="0.25">
      <c r="E451">
        <v>448</v>
      </c>
      <c r="F451" t="s">
        <v>552</v>
      </c>
      <c r="G451" t="s">
        <v>90</v>
      </c>
      <c r="H451" t="s">
        <v>707</v>
      </c>
      <c r="I451" s="10">
        <v>54016</v>
      </c>
      <c r="J451" s="11">
        <v>16466</v>
      </c>
      <c r="K451" s="10">
        <v>535</v>
      </c>
      <c r="BE451">
        <v>448</v>
      </c>
      <c r="BF451" t="s">
        <v>552</v>
      </c>
      <c r="BG451" t="s">
        <v>707</v>
      </c>
      <c r="BH451" s="10">
        <v>54016</v>
      </c>
      <c r="BI451" s="11">
        <v>16466</v>
      </c>
      <c r="BJ451" t="s">
        <v>90</v>
      </c>
      <c r="BK451" s="10">
        <v>535</v>
      </c>
      <c r="BR451">
        <v>448</v>
      </c>
      <c r="BS451" t="s">
        <v>90</v>
      </c>
      <c r="BT451" s="10">
        <v>54016</v>
      </c>
      <c r="BU451" s="11">
        <v>16466</v>
      </c>
      <c r="BV451" s="10">
        <v>535</v>
      </c>
      <c r="BW451" s="1" t="str">
        <f>IF(BS451=$CA$12,COUNTIF($BS$4:BS451,$CA$12),"")</f>
        <v/>
      </c>
    </row>
    <row r="452" spans="5:75" x14ac:dyDescent="0.25">
      <c r="E452">
        <v>449</v>
      </c>
      <c r="F452" t="s">
        <v>553</v>
      </c>
      <c r="G452" t="s">
        <v>90</v>
      </c>
      <c r="H452" t="s">
        <v>708</v>
      </c>
      <c r="I452" s="10">
        <v>46223</v>
      </c>
      <c r="J452" s="11">
        <v>10019</v>
      </c>
      <c r="K452" s="10">
        <v>218</v>
      </c>
      <c r="BE452">
        <v>449</v>
      </c>
      <c r="BF452" t="s">
        <v>553</v>
      </c>
      <c r="BG452" t="s">
        <v>708</v>
      </c>
      <c r="BH452" s="10">
        <v>46223</v>
      </c>
      <c r="BI452" s="11">
        <v>10019</v>
      </c>
      <c r="BJ452" t="s">
        <v>90</v>
      </c>
      <c r="BK452" s="10">
        <v>218</v>
      </c>
      <c r="BR452">
        <v>449</v>
      </c>
      <c r="BS452" t="s">
        <v>90</v>
      </c>
      <c r="BT452" s="10">
        <v>46223</v>
      </c>
      <c r="BU452" s="11">
        <v>10019</v>
      </c>
      <c r="BV452" s="10">
        <v>218</v>
      </c>
      <c r="BW452" s="1" t="str">
        <f>IF(BS452=$CA$12,COUNTIF($BS$4:BS452,$CA$12),"")</f>
        <v/>
      </c>
    </row>
    <row r="453" spans="5:75" x14ac:dyDescent="0.25">
      <c r="E453">
        <v>450</v>
      </c>
      <c r="F453" t="s">
        <v>554</v>
      </c>
      <c r="G453" t="s">
        <v>90</v>
      </c>
      <c r="H453" t="s">
        <v>709</v>
      </c>
      <c r="I453" s="10">
        <v>132449</v>
      </c>
      <c r="J453" s="11">
        <v>35380</v>
      </c>
      <c r="K453" s="10">
        <v>226</v>
      </c>
      <c r="BE453">
        <v>450</v>
      </c>
      <c r="BF453" t="s">
        <v>554</v>
      </c>
      <c r="BG453" t="s">
        <v>709</v>
      </c>
      <c r="BH453" s="10">
        <v>132449</v>
      </c>
      <c r="BI453" s="11">
        <v>35380</v>
      </c>
      <c r="BJ453" t="s">
        <v>90</v>
      </c>
      <c r="BK453" s="10">
        <v>226</v>
      </c>
      <c r="BR453">
        <v>450</v>
      </c>
      <c r="BS453" t="s">
        <v>90</v>
      </c>
      <c r="BT453" s="10">
        <v>132449</v>
      </c>
      <c r="BU453" s="11">
        <v>35380</v>
      </c>
      <c r="BV453" s="10">
        <v>226</v>
      </c>
      <c r="BW453" s="1" t="str">
        <f>IF(BS453=$CA$12,COUNTIF($BS$4:BS453,$CA$12),"")</f>
        <v/>
      </c>
    </row>
    <row r="454" spans="5:75" x14ac:dyDescent="0.25">
      <c r="E454">
        <v>451</v>
      </c>
      <c r="F454" t="s">
        <v>555</v>
      </c>
      <c r="G454" t="s">
        <v>90</v>
      </c>
      <c r="H454" t="s">
        <v>710</v>
      </c>
      <c r="I454" s="10">
        <v>137361</v>
      </c>
      <c r="J454" s="11">
        <v>48764</v>
      </c>
      <c r="K454" s="10">
        <v>987</v>
      </c>
      <c r="BE454">
        <v>451</v>
      </c>
      <c r="BF454" t="s">
        <v>555</v>
      </c>
      <c r="BG454" t="s">
        <v>710</v>
      </c>
      <c r="BH454" s="10">
        <v>137361</v>
      </c>
      <c r="BI454" s="11">
        <v>48764</v>
      </c>
      <c r="BJ454" t="s">
        <v>90</v>
      </c>
      <c r="BK454" s="10">
        <v>987</v>
      </c>
      <c r="BR454">
        <v>451</v>
      </c>
      <c r="BS454" t="s">
        <v>90</v>
      </c>
      <c r="BT454" s="10">
        <v>137361</v>
      </c>
      <c r="BU454" s="11">
        <v>48764</v>
      </c>
      <c r="BV454" s="10">
        <v>987</v>
      </c>
      <c r="BW454" s="1" t="str">
        <f>IF(BS454=$CA$12,COUNTIF($BS$4:BS454,$CA$12),"")</f>
        <v/>
      </c>
    </row>
    <row r="455" spans="5:75" x14ac:dyDescent="0.25">
      <c r="E455">
        <v>452</v>
      </c>
      <c r="F455" t="s">
        <v>556</v>
      </c>
      <c r="G455" t="s">
        <v>90</v>
      </c>
      <c r="H455" t="s">
        <v>711</v>
      </c>
      <c r="I455" s="10">
        <v>21831</v>
      </c>
      <c r="J455" s="11">
        <v>6742</v>
      </c>
      <c r="K455" s="10">
        <v>99</v>
      </c>
      <c r="BE455">
        <v>452</v>
      </c>
      <c r="BF455" t="s">
        <v>556</v>
      </c>
      <c r="BG455" t="s">
        <v>711</v>
      </c>
      <c r="BH455" s="10">
        <v>21831</v>
      </c>
      <c r="BI455" s="11">
        <v>6742</v>
      </c>
      <c r="BJ455" t="s">
        <v>90</v>
      </c>
      <c r="BK455" s="10">
        <v>99</v>
      </c>
      <c r="BR455">
        <v>452</v>
      </c>
      <c r="BS455" t="s">
        <v>90</v>
      </c>
      <c r="BT455" s="10">
        <v>21831</v>
      </c>
      <c r="BU455" s="11">
        <v>6742</v>
      </c>
      <c r="BV455" s="10">
        <v>99</v>
      </c>
      <c r="BW455" s="1" t="str">
        <f>IF(BS455=$CA$12,COUNTIF($BS$4:BS455,$CA$12),"")</f>
        <v/>
      </c>
    </row>
    <row r="456" spans="5:75" x14ac:dyDescent="0.25">
      <c r="E456">
        <v>453</v>
      </c>
      <c r="F456" t="s">
        <v>557</v>
      </c>
      <c r="G456" t="s">
        <v>90</v>
      </c>
      <c r="H456" t="s">
        <v>712</v>
      </c>
      <c r="I456" s="10">
        <v>58546</v>
      </c>
      <c r="J456" s="11">
        <v>16164</v>
      </c>
      <c r="K456" s="10">
        <v>723</v>
      </c>
      <c r="BE456">
        <v>453</v>
      </c>
      <c r="BF456" t="s">
        <v>557</v>
      </c>
      <c r="BG456" t="s">
        <v>712</v>
      </c>
      <c r="BH456" s="10">
        <v>58546</v>
      </c>
      <c r="BI456" s="11">
        <v>16164</v>
      </c>
      <c r="BJ456" t="s">
        <v>90</v>
      </c>
      <c r="BK456" s="10">
        <v>723</v>
      </c>
      <c r="BR456">
        <v>453</v>
      </c>
      <c r="BS456" t="s">
        <v>90</v>
      </c>
      <c r="BT456" s="10">
        <v>58546</v>
      </c>
      <c r="BU456" s="11">
        <v>16164</v>
      </c>
      <c r="BV456" s="10">
        <v>723</v>
      </c>
      <c r="BW456" s="1" t="str">
        <f>IF(BS456=$CA$12,COUNTIF($BS$4:BS456,$CA$12),"")</f>
        <v/>
      </c>
    </row>
    <row r="457" spans="5:75" x14ac:dyDescent="0.25">
      <c r="E457">
        <v>454</v>
      </c>
      <c r="F457" t="s">
        <v>558</v>
      </c>
      <c r="G457" t="s">
        <v>90</v>
      </c>
      <c r="H457" t="s">
        <v>713</v>
      </c>
      <c r="I457" s="10">
        <v>51960</v>
      </c>
      <c r="J457" s="11">
        <v>12780</v>
      </c>
      <c r="K457" s="10">
        <v>433</v>
      </c>
      <c r="BE457">
        <v>454</v>
      </c>
      <c r="BF457" t="s">
        <v>558</v>
      </c>
      <c r="BG457" t="s">
        <v>713</v>
      </c>
      <c r="BH457" s="10">
        <v>51960</v>
      </c>
      <c r="BI457" s="11">
        <v>12780</v>
      </c>
      <c r="BJ457" t="s">
        <v>90</v>
      </c>
      <c r="BK457" s="10">
        <v>433</v>
      </c>
      <c r="BR457">
        <v>454</v>
      </c>
      <c r="BS457" t="s">
        <v>90</v>
      </c>
      <c r="BT457" s="10">
        <v>51960</v>
      </c>
      <c r="BU457" s="11">
        <v>12780</v>
      </c>
      <c r="BV457" s="10">
        <v>433</v>
      </c>
      <c r="BW457" s="1" t="str">
        <f>IF(BS457=$CA$12,COUNTIF($BS$4:BS457,$CA$12),"")</f>
        <v/>
      </c>
    </row>
    <row r="458" spans="5:75" x14ac:dyDescent="0.25">
      <c r="E458">
        <v>455</v>
      </c>
      <c r="F458" t="s">
        <v>559</v>
      </c>
      <c r="G458" t="s">
        <v>90</v>
      </c>
      <c r="H458" t="s">
        <v>714</v>
      </c>
      <c r="I458" s="10">
        <v>88159</v>
      </c>
      <c r="J458" s="11">
        <v>21218</v>
      </c>
      <c r="K458" s="10">
        <v>1774</v>
      </c>
      <c r="BE458">
        <v>455</v>
      </c>
      <c r="BF458" t="s">
        <v>559</v>
      </c>
      <c r="BG458" t="s">
        <v>714</v>
      </c>
      <c r="BH458" s="10">
        <v>88159</v>
      </c>
      <c r="BI458" s="11">
        <v>21218</v>
      </c>
      <c r="BJ458" t="s">
        <v>90</v>
      </c>
      <c r="BK458" s="10">
        <v>1774</v>
      </c>
      <c r="BR458">
        <v>455</v>
      </c>
      <c r="BS458" t="s">
        <v>90</v>
      </c>
      <c r="BT458" s="10">
        <v>88159</v>
      </c>
      <c r="BU458" s="11">
        <v>21218</v>
      </c>
      <c r="BV458" s="10">
        <v>1774</v>
      </c>
      <c r="BW458" s="1" t="str">
        <f>IF(BS458=$CA$12,COUNTIF($BS$4:BS458,$CA$12),"")</f>
        <v/>
      </c>
    </row>
    <row r="459" spans="5:75" x14ac:dyDescent="0.25">
      <c r="E459">
        <v>456</v>
      </c>
      <c r="F459" t="s">
        <v>560</v>
      </c>
      <c r="G459" t="s">
        <v>90</v>
      </c>
      <c r="H459" t="s">
        <v>715</v>
      </c>
      <c r="I459" s="10">
        <v>111675</v>
      </c>
      <c r="J459" s="11">
        <v>29874</v>
      </c>
      <c r="K459" s="10">
        <v>873</v>
      </c>
      <c r="BE459">
        <v>456</v>
      </c>
      <c r="BF459" t="s">
        <v>560</v>
      </c>
      <c r="BG459" t="s">
        <v>715</v>
      </c>
      <c r="BH459" s="10">
        <v>111675</v>
      </c>
      <c r="BI459" s="11">
        <v>29874</v>
      </c>
      <c r="BJ459" t="s">
        <v>90</v>
      </c>
      <c r="BK459" s="10">
        <v>873</v>
      </c>
      <c r="BR459">
        <v>456</v>
      </c>
      <c r="BS459" t="s">
        <v>90</v>
      </c>
      <c r="BT459" s="10">
        <v>111675</v>
      </c>
      <c r="BU459" s="11">
        <v>29874</v>
      </c>
      <c r="BV459" s="10">
        <v>873</v>
      </c>
      <c r="BW459" s="1" t="str">
        <f>IF(BS459=$CA$12,COUNTIF($BS$4:BS459,$CA$12),"")</f>
        <v/>
      </c>
    </row>
    <row r="460" spans="5:75" x14ac:dyDescent="0.25">
      <c r="E460">
        <v>457</v>
      </c>
      <c r="F460" t="s">
        <v>561</v>
      </c>
      <c r="G460" t="s">
        <v>91</v>
      </c>
      <c r="H460" t="s">
        <v>704</v>
      </c>
      <c r="I460" s="10">
        <v>72977</v>
      </c>
      <c r="J460" s="11">
        <v>26807</v>
      </c>
      <c r="K460" s="10">
        <v>523</v>
      </c>
      <c r="BE460">
        <v>457</v>
      </c>
      <c r="BF460" t="s">
        <v>561</v>
      </c>
      <c r="BG460" t="s">
        <v>704</v>
      </c>
      <c r="BH460" s="10">
        <v>72977</v>
      </c>
      <c r="BI460" s="11">
        <v>26807</v>
      </c>
      <c r="BJ460" t="s">
        <v>91</v>
      </c>
      <c r="BK460" s="10">
        <v>523</v>
      </c>
      <c r="BR460">
        <v>457</v>
      </c>
      <c r="BS460" t="s">
        <v>91</v>
      </c>
      <c r="BT460" s="10">
        <v>72977</v>
      </c>
      <c r="BU460" s="11">
        <v>26807</v>
      </c>
      <c r="BV460" s="10">
        <v>523</v>
      </c>
      <c r="BW460" s="1" t="str">
        <f>IF(BS460=$CA$12,COUNTIF($BS$4:BS460,$CA$12),"")</f>
        <v/>
      </c>
    </row>
    <row r="461" spans="5:75" x14ac:dyDescent="0.25">
      <c r="E461">
        <v>458</v>
      </c>
      <c r="F461" t="s">
        <v>562</v>
      </c>
      <c r="G461" t="s">
        <v>91</v>
      </c>
      <c r="H461" t="s">
        <v>705</v>
      </c>
      <c r="I461" s="10">
        <v>146235</v>
      </c>
      <c r="J461" s="11">
        <v>48999</v>
      </c>
      <c r="K461" s="10">
        <v>1097</v>
      </c>
      <c r="BE461">
        <v>458</v>
      </c>
      <c r="BF461" t="s">
        <v>562</v>
      </c>
      <c r="BG461" t="s">
        <v>705</v>
      </c>
      <c r="BH461" s="10">
        <v>146235</v>
      </c>
      <c r="BI461" s="11">
        <v>48999</v>
      </c>
      <c r="BJ461" t="s">
        <v>91</v>
      </c>
      <c r="BK461" s="10">
        <v>1097</v>
      </c>
      <c r="BR461">
        <v>458</v>
      </c>
      <c r="BS461" t="s">
        <v>91</v>
      </c>
      <c r="BT461" s="10">
        <v>146235</v>
      </c>
      <c r="BU461" s="11">
        <v>48999</v>
      </c>
      <c r="BV461" s="10">
        <v>1097</v>
      </c>
      <c r="BW461" s="1" t="str">
        <f>IF(BS461=$CA$12,COUNTIF($BS$4:BS461,$CA$12),"")</f>
        <v/>
      </c>
    </row>
    <row r="462" spans="5:75" x14ac:dyDescent="0.25">
      <c r="E462">
        <v>459</v>
      </c>
      <c r="F462" t="s">
        <v>563</v>
      </c>
      <c r="G462" t="s">
        <v>91</v>
      </c>
      <c r="H462" t="s">
        <v>706</v>
      </c>
      <c r="I462" s="10">
        <v>107007</v>
      </c>
      <c r="J462" s="11">
        <v>37573</v>
      </c>
      <c r="K462" s="10">
        <v>2775</v>
      </c>
      <c r="BE462">
        <v>459</v>
      </c>
      <c r="BF462" t="s">
        <v>563</v>
      </c>
      <c r="BG462" t="s">
        <v>706</v>
      </c>
      <c r="BH462" s="10">
        <v>107007</v>
      </c>
      <c r="BI462" s="11">
        <v>37573</v>
      </c>
      <c r="BJ462" t="s">
        <v>91</v>
      </c>
      <c r="BK462" s="10">
        <v>2775</v>
      </c>
      <c r="BR462">
        <v>459</v>
      </c>
      <c r="BS462" t="s">
        <v>91</v>
      </c>
      <c r="BT462" s="10">
        <v>107007</v>
      </c>
      <c r="BU462" s="11">
        <v>37573</v>
      </c>
      <c r="BV462" s="10">
        <v>2775</v>
      </c>
      <c r="BW462" s="1" t="str">
        <f>IF(BS462=$CA$12,COUNTIF($BS$4:BS462,$CA$12),"")</f>
        <v/>
      </c>
    </row>
    <row r="463" spans="5:75" x14ac:dyDescent="0.25">
      <c r="E463">
        <v>460</v>
      </c>
      <c r="F463" t="s">
        <v>564</v>
      </c>
      <c r="G463" t="s">
        <v>91</v>
      </c>
      <c r="H463" t="s">
        <v>707</v>
      </c>
      <c r="I463" s="10">
        <v>102178</v>
      </c>
      <c r="J463" s="11">
        <v>34971</v>
      </c>
      <c r="K463" s="10">
        <v>930</v>
      </c>
      <c r="BE463">
        <v>460</v>
      </c>
      <c r="BF463" t="s">
        <v>564</v>
      </c>
      <c r="BG463" t="s">
        <v>707</v>
      </c>
      <c r="BH463" s="10">
        <v>102178</v>
      </c>
      <c r="BI463" s="11">
        <v>34971</v>
      </c>
      <c r="BJ463" t="s">
        <v>91</v>
      </c>
      <c r="BK463" s="10">
        <v>930</v>
      </c>
      <c r="BR463">
        <v>460</v>
      </c>
      <c r="BS463" t="s">
        <v>91</v>
      </c>
      <c r="BT463" s="10">
        <v>102178</v>
      </c>
      <c r="BU463" s="11">
        <v>34971</v>
      </c>
      <c r="BV463" s="10">
        <v>930</v>
      </c>
      <c r="BW463" s="1" t="str">
        <f>IF(BS463=$CA$12,COUNTIF($BS$4:BS463,$CA$12),"")</f>
        <v/>
      </c>
    </row>
    <row r="464" spans="5:75" x14ac:dyDescent="0.25">
      <c r="E464">
        <v>461</v>
      </c>
      <c r="F464" t="s">
        <v>565</v>
      </c>
      <c r="G464" t="s">
        <v>91</v>
      </c>
      <c r="H464" t="s">
        <v>708</v>
      </c>
      <c r="I464" s="10">
        <v>120672</v>
      </c>
      <c r="J464" s="11">
        <v>24971</v>
      </c>
      <c r="K464" s="10">
        <v>2428</v>
      </c>
      <c r="BE464">
        <v>461</v>
      </c>
      <c r="BF464" t="s">
        <v>565</v>
      </c>
      <c r="BG464" t="s">
        <v>708</v>
      </c>
      <c r="BH464" s="10">
        <v>120672</v>
      </c>
      <c r="BI464" s="11">
        <v>24971</v>
      </c>
      <c r="BJ464" t="s">
        <v>91</v>
      </c>
      <c r="BK464" s="10">
        <v>2428</v>
      </c>
      <c r="BR464">
        <v>461</v>
      </c>
      <c r="BS464" t="s">
        <v>91</v>
      </c>
      <c r="BT464" s="10">
        <v>120672</v>
      </c>
      <c r="BU464" s="11">
        <v>24971</v>
      </c>
      <c r="BV464" s="10">
        <v>2428</v>
      </c>
      <c r="BW464" s="1" t="str">
        <f>IF(BS464=$CA$12,COUNTIF($BS$4:BS464,$CA$12),"")</f>
        <v/>
      </c>
    </row>
    <row r="465" spans="5:75" x14ac:dyDescent="0.25">
      <c r="E465">
        <v>462</v>
      </c>
      <c r="F465" t="s">
        <v>566</v>
      </c>
      <c r="G465" t="s">
        <v>91</v>
      </c>
      <c r="H465" t="s">
        <v>709</v>
      </c>
      <c r="I465" s="10">
        <v>38935</v>
      </c>
      <c r="J465" s="11">
        <v>10711</v>
      </c>
      <c r="K465" s="10">
        <v>1060</v>
      </c>
      <c r="BE465">
        <v>462</v>
      </c>
      <c r="BF465" t="s">
        <v>566</v>
      </c>
      <c r="BG465" t="s">
        <v>709</v>
      </c>
      <c r="BH465" s="10">
        <v>38935</v>
      </c>
      <c r="BI465" s="11">
        <v>10711</v>
      </c>
      <c r="BJ465" t="s">
        <v>91</v>
      </c>
      <c r="BK465" s="10">
        <v>1060</v>
      </c>
      <c r="BR465">
        <v>462</v>
      </c>
      <c r="BS465" t="s">
        <v>91</v>
      </c>
      <c r="BT465" s="10">
        <v>38935</v>
      </c>
      <c r="BU465" s="11">
        <v>10711</v>
      </c>
      <c r="BV465" s="10">
        <v>1060</v>
      </c>
      <c r="BW465" s="1" t="str">
        <f>IF(BS465=$CA$12,COUNTIF($BS$4:BS465,$CA$12),"")</f>
        <v/>
      </c>
    </row>
    <row r="466" spans="5:75" x14ac:dyDescent="0.25">
      <c r="E466">
        <v>463</v>
      </c>
      <c r="F466" t="s">
        <v>567</v>
      </c>
      <c r="G466" t="s">
        <v>91</v>
      </c>
      <c r="H466" t="s">
        <v>710</v>
      </c>
      <c r="I466" s="10">
        <v>52514</v>
      </c>
      <c r="J466" s="11">
        <v>15391</v>
      </c>
      <c r="K466" s="10">
        <v>949</v>
      </c>
      <c r="BE466">
        <v>463</v>
      </c>
      <c r="BF466" t="s">
        <v>567</v>
      </c>
      <c r="BG466" t="s">
        <v>710</v>
      </c>
      <c r="BH466" s="10">
        <v>52514</v>
      </c>
      <c r="BI466" s="11">
        <v>15391</v>
      </c>
      <c r="BJ466" t="s">
        <v>91</v>
      </c>
      <c r="BK466" s="10">
        <v>949</v>
      </c>
      <c r="BR466">
        <v>463</v>
      </c>
      <c r="BS466" t="s">
        <v>91</v>
      </c>
      <c r="BT466" s="10">
        <v>52514</v>
      </c>
      <c r="BU466" s="11">
        <v>15391</v>
      </c>
      <c r="BV466" s="10">
        <v>949</v>
      </c>
      <c r="BW466" s="1" t="str">
        <f>IF(BS466=$CA$12,COUNTIF($BS$4:BS466,$CA$12),"")</f>
        <v/>
      </c>
    </row>
    <row r="467" spans="5:75" x14ac:dyDescent="0.25">
      <c r="E467">
        <v>464</v>
      </c>
      <c r="F467" t="s">
        <v>568</v>
      </c>
      <c r="G467" t="s">
        <v>91</v>
      </c>
      <c r="H467" t="s">
        <v>711</v>
      </c>
      <c r="I467" s="10">
        <v>51460</v>
      </c>
      <c r="J467" s="11">
        <v>18842</v>
      </c>
      <c r="K467" s="10">
        <v>29</v>
      </c>
      <c r="BE467">
        <v>464</v>
      </c>
      <c r="BF467" t="s">
        <v>568</v>
      </c>
      <c r="BG467" t="s">
        <v>711</v>
      </c>
      <c r="BH467" s="10">
        <v>51460</v>
      </c>
      <c r="BI467" s="11">
        <v>18842</v>
      </c>
      <c r="BJ467" t="s">
        <v>91</v>
      </c>
      <c r="BK467" s="10">
        <v>29</v>
      </c>
      <c r="BR467">
        <v>464</v>
      </c>
      <c r="BS467" t="s">
        <v>91</v>
      </c>
      <c r="BT467" s="10">
        <v>51460</v>
      </c>
      <c r="BU467" s="11">
        <v>18842</v>
      </c>
      <c r="BV467" s="10">
        <v>29</v>
      </c>
      <c r="BW467" s="1" t="str">
        <f>IF(BS467=$CA$12,COUNTIF($BS$4:BS467,$CA$12),"")</f>
        <v/>
      </c>
    </row>
    <row r="468" spans="5:75" x14ac:dyDescent="0.25">
      <c r="E468">
        <v>465</v>
      </c>
      <c r="F468" t="s">
        <v>569</v>
      </c>
      <c r="G468" t="s">
        <v>91</v>
      </c>
      <c r="H468" t="s">
        <v>712</v>
      </c>
      <c r="I468" s="10">
        <v>56359</v>
      </c>
      <c r="J468" s="11">
        <v>21641</v>
      </c>
      <c r="K468" s="10">
        <v>1962</v>
      </c>
      <c r="BE468">
        <v>465</v>
      </c>
      <c r="BF468" t="s">
        <v>569</v>
      </c>
      <c r="BG468" t="s">
        <v>712</v>
      </c>
      <c r="BH468" s="10">
        <v>56359</v>
      </c>
      <c r="BI468" s="11">
        <v>21641</v>
      </c>
      <c r="BJ468" t="s">
        <v>91</v>
      </c>
      <c r="BK468" s="10">
        <v>1962</v>
      </c>
      <c r="BR468">
        <v>465</v>
      </c>
      <c r="BS468" t="s">
        <v>91</v>
      </c>
      <c r="BT468" s="10">
        <v>56359</v>
      </c>
      <c r="BU468" s="11">
        <v>21641</v>
      </c>
      <c r="BV468" s="10">
        <v>1962</v>
      </c>
      <c r="BW468" s="1" t="str">
        <f>IF(BS468=$CA$12,COUNTIF($BS$4:BS468,$CA$12),"")</f>
        <v/>
      </c>
    </row>
    <row r="469" spans="5:75" x14ac:dyDescent="0.25">
      <c r="E469">
        <v>466</v>
      </c>
      <c r="F469" t="s">
        <v>570</v>
      </c>
      <c r="G469" t="s">
        <v>91</v>
      </c>
      <c r="H469" t="s">
        <v>713</v>
      </c>
      <c r="I469" s="10">
        <v>94703</v>
      </c>
      <c r="J469" s="11">
        <v>29784</v>
      </c>
      <c r="K469" s="10">
        <v>339</v>
      </c>
      <c r="BE469">
        <v>466</v>
      </c>
      <c r="BF469" t="s">
        <v>570</v>
      </c>
      <c r="BG469" t="s">
        <v>713</v>
      </c>
      <c r="BH469" s="10">
        <v>94703</v>
      </c>
      <c r="BI469" s="11">
        <v>29784</v>
      </c>
      <c r="BJ469" t="s">
        <v>91</v>
      </c>
      <c r="BK469" s="10">
        <v>339</v>
      </c>
      <c r="BR469">
        <v>466</v>
      </c>
      <c r="BS469" t="s">
        <v>91</v>
      </c>
      <c r="BT469" s="10">
        <v>94703</v>
      </c>
      <c r="BU469" s="11">
        <v>29784</v>
      </c>
      <c r="BV469" s="10">
        <v>339</v>
      </c>
      <c r="BW469" s="1" t="str">
        <f>IF(BS469=$CA$12,COUNTIF($BS$4:BS469,$CA$12),"")</f>
        <v/>
      </c>
    </row>
    <row r="470" spans="5:75" x14ac:dyDescent="0.25">
      <c r="E470">
        <v>467</v>
      </c>
      <c r="F470" t="s">
        <v>571</v>
      </c>
      <c r="G470" t="s">
        <v>91</v>
      </c>
      <c r="H470" t="s">
        <v>714</v>
      </c>
      <c r="I470" s="10">
        <v>113382</v>
      </c>
      <c r="J470" s="11">
        <v>36766</v>
      </c>
      <c r="K470" s="10">
        <v>1562</v>
      </c>
      <c r="BE470">
        <v>467</v>
      </c>
      <c r="BF470" t="s">
        <v>571</v>
      </c>
      <c r="BG470" t="s">
        <v>714</v>
      </c>
      <c r="BH470" s="10">
        <v>113382</v>
      </c>
      <c r="BI470" s="11">
        <v>36766</v>
      </c>
      <c r="BJ470" t="s">
        <v>91</v>
      </c>
      <c r="BK470" s="10">
        <v>1562</v>
      </c>
      <c r="BR470">
        <v>467</v>
      </c>
      <c r="BS470" t="s">
        <v>91</v>
      </c>
      <c r="BT470" s="10">
        <v>113382</v>
      </c>
      <c r="BU470" s="11">
        <v>36766</v>
      </c>
      <c r="BV470" s="10">
        <v>1562</v>
      </c>
      <c r="BW470" s="1" t="str">
        <f>IF(BS470=$CA$12,COUNTIF($BS$4:BS470,$CA$12),"")</f>
        <v/>
      </c>
    </row>
    <row r="471" spans="5:75" x14ac:dyDescent="0.25">
      <c r="E471">
        <v>468</v>
      </c>
      <c r="F471" t="s">
        <v>572</v>
      </c>
      <c r="G471" t="s">
        <v>91</v>
      </c>
      <c r="H471" t="s">
        <v>715</v>
      </c>
      <c r="I471" s="10">
        <v>129530</v>
      </c>
      <c r="J471" s="11">
        <v>51356</v>
      </c>
      <c r="K471" s="10">
        <v>848</v>
      </c>
      <c r="BE471">
        <v>468</v>
      </c>
      <c r="BF471" t="s">
        <v>572</v>
      </c>
      <c r="BG471" t="s">
        <v>715</v>
      </c>
      <c r="BH471" s="10">
        <v>129530</v>
      </c>
      <c r="BI471" s="11">
        <v>51356</v>
      </c>
      <c r="BJ471" t="s">
        <v>91</v>
      </c>
      <c r="BK471" s="10">
        <v>848</v>
      </c>
      <c r="BR471">
        <v>468</v>
      </c>
      <c r="BS471" t="s">
        <v>91</v>
      </c>
      <c r="BT471" s="10">
        <v>129530</v>
      </c>
      <c r="BU471" s="11">
        <v>51356</v>
      </c>
      <c r="BV471" s="10">
        <v>848</v>
      </c>
      <c r="BW471" s="1" t="str">
        <f>IF(BS471=$CA$12,COUNTIF($BS$4:BS471,$CA$12),"")</f>
        <v/>
      </c>
    </row>
    <row r="472" spans="5:75" x14ac:dyDescent="0.25">
      <c r="E472">
        <v>469</v>
      </c>
      <c r="F472" t="s">
        <v>573</v>
      </c>
      <c r="G472" t="s">
        <v>92</v>
      </c>
      <c r="H472" t="s">
        <v>704</v>
      </c>
      <c r="I472" s="10">
        <v>43046</v>
      </c>
      <c r="J472" s="11">
        <v>11018</v>
      </c>
      <c r="K472" s="10">
        <v>980</v>
      </c>
      <c r="BE472">
        <v>469</v>
      </c>
      <c r="BF472" t="s">
        <v>573</v>
      </c>
      <c r="BG472" t="s">
        <v>704</v>
      </c>
      <c r="BH472" s="10">
        <v>43046</v>
      </c>
      <c r="BI472" s="11">
        <v>11018</v>
      </c>
      <c r="BJ472" t="s">
        <v>92</v>
      </c>
      <c r="BK472" s="10">
        <v>980</v>
      </c>
      <c r="BR472">
        <v>469</v>
      </c>
      <c r="BS472" t="s">
        <v>92</v>
      </c>
      <c r="BT472" s="10">
        <v>43046</v>
      </c>
      <c r="BU472" s="11">
        <v>11018</v>
      </c>
      <c r="BV472" s="10">
        <v>980</v>
      </c>
      <c r="BW472" s="1" t="str">
        <f>IF(BS472=$CA$12,COUNTIF($BS$4:BS472,$CA$12),"")</f>
        <v/>
      </c>
    </row>
    <row r="473" spans="5:75" x14ac:dyDescent="0.25">
      <c r="E473">
        <v>470</v>
      </c>
      <c r="F473" t="s">
        <v>574</v>
      </c>
      <c r="G473" t="s">
        <v>92</v>
      </c>
      <c r="H473" t="s">
        <v>705</v>
      </c>
      <c r="I473" s="10">
        <v>75386</v>
      </c>
      <c r="J473" s="11">
        <v>20700</v>
      </c>
      <c r="K473" s="10">
        <v>274</v>
      </c>
      <c r="BE473">
        <v>470</v>
      </c>
      <c r="BF473" t="s">
        <v>574</v>
      </c>
      <c r="BG473" t="s">
        <v>705</v>
      </c>
      <c r="BH473" s="10">
        <v>75386</v>
      </c>
      <c r="BI473" s="11">
        <v>20700</v>
      </c>
      <c r="BJ473" t="s">
        <v>92</v>
      </c>
      <c r="BK473" s="10">
        <v>274</v>
      </c>
      <c r="BR473">
        <v>470</v>
      </c>
      <c r="BS473" t="s">
        <v>92</v>
      </c>
      <c r="BT473" s="10">
        <v>75386</v>
      </c>
      <c r="BU473" s="11">
        <v>20700</v>
      </c>
      <c r="BV473" s="10">
        <v>274</v>
      </c>
      <c r="BW473" s="1" t="str">
        <f>IF(BS473=$CA$12,COUNTIF($BS$4:BS473,$CA$12),"")</f>
        <v/>
      </c>
    </row>
    <row r="474" spans="5:75" x14ac:dyDescent="0.25">
      <c r="E474">
        <v>471</v>
      </c>
      <c r="F474" t="s">
        <v>575</v>
      </c>
      <c r="G474" t="s">
        <v>92</v>
      </c>
      <c r="H474" t="s">
        <v>706</v>
      </c>
      <c r="I474" s="10">
        <v>136870</v>
      </c>
      <c r="J474" s="11">
        <v>50647</v>
      </c>
      <c r="K474" s="10">
        <v>2411</v>
      </c>
      <c r="BE474">
        <v>471</v>
      </c>
      <c r="BF474" t="s">
        <v>575</v>
      </c>
      <c r="BG474" t="s">
        <v>706</v>
      </c>
      <c r="BH474" s="10">
        <v>136870</v>
      </c>
      <c r="BI474" s="11">
        <v>50647</v>
      </c>
      <c r="BJ474" t="s">
        <v>92</v>
      </c>
      <c r="BK474" s="10">
        <v>2411</v>
      </c>
      <c r="BR474">
        <v>471</v>
      </c>
      <c r="BS474" t="s">
        <v>92</v>
      </c>
      <c r="BT474" s="10">
        <v>136870</v>
      </c>
      <c r="BU474" s="11">
        <v>50647</v>
      </c>
      <c r="BV474" s="10">
        <v>2411</v>
      </c>
      <c r="BW474" s="1" t="str">
        <f>IF(BS474=$CA$12,COUNTIF($BS$4:BS474,$CA$12),"")</f>
        <v/>
      </c>
    </row>
    <row r="475" spans="5:75" x14ac:dyDescent="0.25">
      <c r="E475">
        <v>472</v>
      </c>
      <c r="F475">
        <v>465924413573</v>
      </c>
      <c r="G475" t="s">
        <v>92</v>
      </c>
      <c r="H475" t="s">
        <v>707</v>
      </c>
      <c r="I475" s="10">
        <v>55549</v>
      </c>
      <c r="J475" s="11">
        <v>19142</v>
      </c>
      <c r="K475" s="10">
        <v>981</v>
      </c>
      <c r="BE475">
        <v>472</v>
      </c>
      <c r="BF475">
        <v>465924413573</v>
      </c>
      <c r="BG475" t="s">
        <v>707</v>
      </c>
      <c r="BH475" s="10">
        <v>55549</v>
      </c>
      <c r="BI475" s="11">
        <v>19142</v>
      </c>
      <c r="BJ475" t="s">
        <v>92</v>
      </c>
      <c r="BK475" s="10">
        <v>981</v>
      </c>
      <c r="BR475">
        <v>472</v>
      </c>
      <c r="BS475" t="s">
        <v>92</v>
      </c>
      <c r="BT475" s="10">
        <v>55549</v>
      </c>
      <c r="BU475" s="11">
        <v>19142</v>
      </c>
      <c r="BV475" s="10">
        <v>981</v>
      </c>
      <c r="BW475" s="1" t="str">
        <f>IF(BS475=$CA$12,COUNTIF($BS$4:BS475,$CA$12),"")</f>
        <v/>
      </c>
    </row>
    <row r="476" spans="5:75" x14ac:dyDescent="0.25">
      <c r="E476">
        <v>473</v>
      </c>
      <c r="F476" t="s">
        <v>576</v>
      </c>
      <c r="G476" t="s">
        <v>92</v>
      </c>
      <c r="H476" t="s">
        <v>708</v>
      </c>
      <c r="I476" s="10">
        <v>122896</v>
      </c>
      <c r="J476" s="11">
        <v>41348</v>
      </c>
      <c r="K476" s="10">
        <v>690</v>
      </c>
      <c r="BE476">
        <v>473</v>
      </c>
      <c r="BF476" t="s">
        <v>576</v>
      </c>
      <c r="BG476" t="s">
        <v>708</v>
      </c>
      <c r="BH476" s="10">
        <v>122896</v>
      </c>
      <c r="BI476" s="11">
        <v>41348</v>
      </c>
      <c r="BJ476" t="s">
        <v>92</v>
      </c>
      <c r="BK476" s="10">
        <v>690</v>
      </c>
      <c r="BR476">
        <v>473</v>
      </c>
      <c r="BS476" t="s">
        <v>92</v>
      </c>
      <c r="BT476" s="10">
        <v>122896</v>
      </c>
      <c r="BU476" s="11">
        <v>41348</v>
      </c>
      <c r="BV476" s="10">
        <v>690</v>
      </c>
      <c r="BW476" s="1" t="str">
        <f>IF(BS476=$CA$12,COUNTIF($BS$4:BS476,$CA$12),"")</f>
        <v/>
      </c>
    </row>
    <row r="477" spans="5:75" x14ac:dyDescent="0.25">
      <c r="E477">
        <v>474</v>
      </c>
      <c r="F477" t="s">
        <v>577</v>
      </c>
      <c r="G477" t="s">
        <v>92</v>
      </c>
      <c r="H477" t="s">
        <v>709</v>
      </c>
      <c r="I477" s="10">
        <v>136067</v>
      </c>
      <c r="J477" s="11">
        <v>34293</v>
      </c>
      <c r="K477" s="10">
        <v>779</v>
      </c>
      <c r="BE477">
        <v>474</v>
      </c>
      <c r="BF477" t="s">
        <v>577</v>
      </c>
      <c r="BG477" t="s">
        <v>709</v>
      </c>
      <c r="BH477" s="10">
        <v>136067</v>
      </c>
      <c r="BI477" s="11">
        <v>34293</v>
      </c>
      <c r="BJ477" t="s">
        <v>92</v>
      </c>
      <c r="BK477" s="10">
        <v>779</v>
      </c>
      <c r="BR477">
        <v>474</v>
      </c>
      <c r="BS477" t="s">
        <v>92</v>
      </c>
      <c r="BT477" s="10">
        <v>136067</v>
      </c>
      <c r="BU477" s="11">
        <v>34293</v>
      </c>
      <c r="BV477" s="10">
        <v>779</v>
      </c>
      <c r="BW477" s="1" t="str">
        <f>IF(BS477=$CA$12,COUNTIF($BS$4:BS477,$CA$12),"")</f>
        <v/>
      </c>
    </row>
    <row r="478" spans="5:75" x14ac:dyDescent="0.25">
      <c r="E478">
        <v>475</v>
      </c>
      <c r="F478" t="s">
        <v>578</v>
      </c>
      <c r="G478" t="s">
        <v>92</v>
      </c>
      <c r="H478" t="s">
        <v>710</v>
      </c>
      <c r="I478" s="10">
        <v>40615</v>
      </c>
      <c r="J478" s="11">
        <v>13089</v>
      </c>
      <c r="K478" s="10">
        <v>126</v>
      </c>
      <c r="BE478">
        <v>475</v>
      </c>
      <c r="BF478" t="s">
        <v>578</v>
      </c>
      <c r="BG478" t="s">
        <v>710</v>
      </c>
      <c r="BH478" s="10">
        <v>40615</v>
      </c>
      <c r="BI478" s="11">
        <v>13089</v>
      </c>
      <c r="BJ478" t="s">
        <v>92</v>
      </c>
      <c r="BK478" s="10">
        <v>126</v>
      </c>
      <c r="BR478">
        <v>475</v>
      </c>
      <c r="BS478" t="s">
        <v>92</v>
      </c>
      <c r="BT478" s="10">
        <v>40615</v>
      </c>
      <c r="BU478" s="11">
        <v>13089</v>
      </c>
      <c r="BV478" s="10">
        <v>126</v>
      </c>
      <c r="BW478" s="1" t="str">
        <f>IF(BS478=$CA$12,COUNTIF($BS$4:BS478,$CA$12),"")</f>
        <v/>
      </c>
    </row>
    <row r="479" spans="5:75" x14ac:dyDescent="0.25">
      <c r="E479">
        <v>476</v>
      </c>
      <c r="F479" t="s">
        <v>579</v>
      </c>
      <c r="G479" t="s">
        <v>92</v>
      </c>
      <c r="H479" t="s">
        <v>711</v>
      </c>
      <c r="I479" s="10">
        <v>20956</v>
      </c>
      <c r="J479" s="11">
        <v>7260</v>
      </c>
      <c r="K479" s="10">
        <v>565</v>
      </c>
      <c r="BE479">
        <v>476</v>
      </c>
      <c r="BF479" t="s">
        <v>579</v>
      </c>
      <c r="BG479" t="s">
        <v>711</v>
      </c>
      <c r="BH479" s="10">
        <v>20956</v>
      </c>
      <c r="BI479" s="11">
        <v>7260</v>
      </c>
      <c r="BJ479" t="s">
        <v>92</v>
      </c>
      <c r="BK479" s="10">
        <v>565</v>
      </c>
      <c r="BR479">
        <v>476</v>
      </c>
      <c r="BS479" t="s">
        <v>92</v>
      </c>
      <c r="BT479" s="10">
        <v>20956</v>
      </c>
      <c r="BU479" s="11">
        <v>7260</v>
      </c>
      <c r="BV479" s="10">
        <v>565</v>
      </c>
      <c r="BW479" s="1" t="str">
        <f>IF(BS479=$CA$12,COUNTIF($BS$4:BS479,$CA$12),"")</f>
        <v/>
      </c>
    </row>
    <row r="480" spans="5:75" x14ac:dyDescent="0.25">
      <c r="E480">
        <v>477</v>
      </c>
      <c r="F480" t="s">
        <v>580</v>
      </c>
      <c r="G480" t="s">
        <v>92</v>
      </c>
      <c r="H480" t="s">
        <v>712</v>
      </c>
      <c r="I480" s="10">
        <v>99192</v>
      </c>
      <c r="J480" s="11">
        <v>36770</v>
      </c>
      <c r="K480" s="10">
        <v>3025</v>
      </c>
      <c r="BE480">
        <v>477</v>
      </c>
      <c r="BF480" t="s">
        <v>580</v>
      </c>
      <c r="BG480" t="s">
        <v>712</v>
      </c>
      <c r="BH480" s="10">
        <v>99192</v>
      </c>
      <c r="BI480" s="11">
        <v>36770</v>
      </c>
      <c r="BJ480" t="s">
        <v>92</v>
      </c>
      <c r="BK480" s="10">
        <v>3025</v>
      </c>
      <c r="BR480">
        <v>477</v>
      </c>
      <c r="BS480" t="s">
        <v>92</v>
      </c>
      <c r="BT480" s="10">
        <v>99192</v>
      </c>
      <c r="BU480" s="11">
        <v>36770</v>
      </c>
      <c r="BV480" s="10">
        <v>3025</v>
      </c>
      <c r="BW480" s="1" t="str">
        <f>IF(BS480=$CA$12,COUNTIF($BS$4:BS480,$CA$12),"")</f>
        <v/>
      </c>
    </row>
    <row r="481" spans="5:75" x14ac:dyDescent="0.25">
      <c r="E481">
        <v>478</v>
      </c>
      <c r="F481" t="s">
        <v>581</v>
      </c>
      <c r="G481" t="s">
        <v>92</v>
      </c>
      <c r="H481" t="s">
        <v>713</v>
      </c>
      <c r="I481" s="10">
        <v>127885</v>
      </c>
      <c r="J481" s="11">
        <v>29512</v>
      </c>
      <c r="K481" s="10">
        <v>554</v>
      </c>
      <c r="BE481">
        <v>478</v>
      </c>
      <c r="BF481" t="s">
        <v>581</v>
      </c>
      <c r="BG481" t="s">
        <v>713</v>
      </c>
      <c r="BH481" s="10">
        <v>127885</v>
      </c>
      <c r="BI481" s="11">
        <v>29512</v>
      </c>
      <c r="BJ481" t="s">
        <v>92</v>
      </c>
      <c r="BK481" s="10">
        <v>554</v>
      </c>
      <c r="BR481">
        <v>478</v>
      </c>
      <c r="BS481" t="s">
        <v>92</v>
      </c>
      <c r="BT481" s="10">
        <v>127885</v>
      </c>
      <c r="BU481" s="11">
        <v>29512</v>
      </c>
      <c r="BV481" s="10">
        <v>554</v>
      </c>
      <c r="BW481" s="1" t="str">
        <f>IF(BS481=$CA$12,COUNTIF($BS$4:BS481,$CA$12),"")</f>
        <v/>
      </c>
    </row>
    <row r="482" spans="5:75" x14ac:dyDescent="0.25">
      <c r="E482">
        <v>479</v>
      </c>
      <c r="F482" t="s">
        <v>582</v>
      </c>
      <c r="G482" t="s">
        <v>92</v>
      </c>
      <c r="H482" t="s">
        <v>714</v>
      </c>
      <c r="I482" s="10">
        <v>106196</v>
      </c>
      <c r="J482" s="11">
        <v>27038</v>
      </c>
      <c r="K482" s="10">
        <v>926</v>
      </c>
      <c r="BE482">
        <v>479</v>
      </c>
      <c r="BF482" t="s">
        <v>582</v>
      </c>
      <c r="BG482" t="s">
        <v>714</v>
      </c>
      <c r="BH482" s="10">
        <v>106196</v>
      </c>
      <c r="BI482" s="11">
        <v>27038</v>
      </c>
      <c r="BJ482" t="s">
        <v>92</v>
      </c>
      <c r="BK482" s="10">
        <v>926</v>
      </c>
      <c r="BR482">
        <v>479</v>
      </c>
      <c r="BS482" t="s">
        <v>92</v>
      </c>
      <c r="BT482" s="10">
        <v>106196</v>
      </c>
      <c r="BU482" s="11">
        <v>27038</v>
      </c>
      <c r="BV482" s="10">
        <v>926</v>
      </c>
      <c r="BW482" s="1" t="str">
        <f>IF(BS482=$CA$12,COUNTIF($BS$4:BS482,$CA$12),"")</f>
        <v/>
      </c>
    </row>
    <row r="483" spans="5:75" x14ac:dyDescent="0.25">
      <c r="E483">
        <v>480</v>
      </c>
      <c r="F483" t="s">
        <v>583</v>
      </c>
      <c r="G483" t="s">
        <v>92</v>
      </c>
      <c r="H483" t="s">
        <v>715</v>
      </c>
      <c r="I483" s="10">
        <v>83124</v>
      </c>
      <c r="J483" s="11">
        <v>32028</v>
      </c>
      <c r="K483" s="10">
        <v>659</v>
      </c>
      <c r="BE483">
        <v>480</v>
      </c>
      <c r="BF483" t="s">
        <v>583</v>
      </c>
      <c r="BG483" t="s">
        <v>715</v>
      </c>
      <c r="BH483" s="10">
        <v>83124</v>
      </c>
      <c r="BI483" s="11">
        <v>32028</v>
      </c>
      <c r="BJ483" t="s">
        <v>92</v>
      </c>
      <c r="BK483" s="10">
        <v>659</v>
      </c>
      <c r="BR483">
        <v>480</v>
      </c>
      <c r="BS483" t="s">
        <v>92</v>
      </c>
      <c r="BT483" s="10">
        <v>83124</v>
      </c>
      <c r="BU483" s="11">
        <v>32028</v>
      </c>
      <c r="BV483" s="10">
        <v>659</v>
      </c>
      <c r="BW483" s="1" t="str">
        <f>IF(BS483=$CA$12,COUNTIF($BS$4:BS483,$CA$12),"")</f>
        <v/>
      </c>
    </row>
    <row r="484" spans="5:75" x14ac:dyDescent="0.25">
      <c r="E484">
        <v>481</v>
      </c>
      <c r="F484" t="s">
        <v>584</v>
      </c>
      <c r="G484" t="s">
        <v>93</v>
      </c>
      <c r="H484" t="s">
        <v>704</v>
      </c>
      <c r="I484" s="10">
        <v>101643</v>
      </c>
      <c r="J484" s="11">
        <v>26845</v>
      </c>
      <c r="K484" s="10">
        <v>1423</v>
      </c>
      <c r="BE484">
        <v>481</v>
      </c>
      <c r="BF484" t="s">
        <v>584</v>
      </c>
      <c r="BG484" t="s">
        <v>704</v>
      </c>
      <c r="BH484" s="10">
        <v>101643</v>
      </c>
      <c r="BI484" s="11">
        <v>26845</v>
      </c>
      <c r="BJ484" t="s">
        <v>93</v>
      </c>
      <c r="BK484" s="10">
        <v>1423</v>
      </c>
      <c r="BR484">
        <v>481</v>
      </c>
      <c r="BS484" t="s">
        <v>93</v>
      </c>
      <c r="BT484" s="10">
        <v>101643</v>
      </c>
      <c r="BU484" s="11">
        <v>26845</v>
      </c>
      <c r="BV484" s="10">
        <v>1423</v>
      </c>
      <c r="BW484" s="1" t="str">
        <f>IF(BS484=$CA$12,COUNTIF($BS$4:BS484,$CA$12),"")</f>
        <v/>
      </c>
    </row>
    <row r="485" spans="5:75" x14ac:dyDescent="0.25">
      <c r="E485">
        <v>482</v>
      </c>
      <c r="F485" t="s">
        <v>585</v>
      </c>
      <c r="G485" t="s">
        <v>93</v>
      </c>
      <c r="H485" t="s">
        <v>705</v>
      </c>
      <c r="I485" s="10">
        <v>74732</v>
      </c>
      <c r="J485" s="11">
        <v>26608</v>
      </c>
      <c r="K485" s="10">
        <v>2317</v>
      </c>
      <c r="BE485">
        <v>482</v>
      </c>
      <c r="BF485" t="s">
        <v>585</v>
      </c>
      <c r="BG485" t="s">
        <v>705</v>
      </c>
      <c r="BH485" s="10">
        <v>74732</v>
      </c>
      <c r="BI485" s="11">
        <v>26608</v>
      </c>
      <c r="BJ485" t="s">
        <v>93</v>
      </c>
      <c r="BK485" s="10">
        <v>2317</v>
      </c>
      <c r="BR485">
        <v>482</v>
      </c>
      <c r="BS485" t="s">
        <v>93</v>
      </c>
      <c r="BT485" s="10">
        <v>74732</v>
      </c>
      <c r="BU485" s="11">
        <v>26608</v>
      </c>
      <c r="BV485" s="10">
        <v>2317</v>
      </c>
      <c r="BW485" s="1" t="str">
        <f>IF(BS485=$CA$12,COUNTIF($BS$4:BS485,$CA$12),"")</f>
        <v/>
      </c>
    </row>
    <row r="486" spans="5:75" x14ac:dyDescent="0.25">
      <c r="E486">
        <v>483</v>
      </c>
      <c r="F486" t="s">
        <v>586</v>
      </c>
      <c r="G486" t="s">
        <v>93</v>
      </c>
      <c r="H486" t="s">
        <v>706</v>
      </c>
      <c r="I486" s="10">
        <v>44785</v>
      </c>
      <c r="J486" s="11">
        <v>10281</v>
      </c>
      <c r="K486" s="10">
        <v>298</v>
      </c>
      <c r="BE486">
        <v>483</v>
      </c>
      <c r="BF486" t="s">
        <v>586</v>
      </c>
      <c r="BG486" t="s">
        <v>706</v>
      </c>
      <c r="BH486" s="10">
        <v>44785</v>
      </c>
      <c r="BI486" s="11">
        <v>10281</v>
      </c>
      <c r="BJ486" t="s">
        <v>93</v>
      </c>
      <c r="BK486" s="10">
        <v>298</v>
      </c>
      <c r="BR486">
        <v>483</v>
      </c>
      <c r="BS486" t="s">
        <v>93</v>
      </c>
      <c r="BT486" s="10">
        <v>44785</v>
      </c>
      <c r="BU486" s="11">
        <v>10281</v>
      </c>
      <c r="BV486" s="10">
        <v>298</v>
      </c>
      <c r="BW486" s="1" t="str">
        <f>IF(BS486=$CA$12,COUNTIF($BS$4:BS486,$CA$12),"")</f>
        <v/>
      </c>
    </row>
    <row r="487" spans="5:75" x14ac:dyDescent="0.25">
      <c r="E487">
        <v>484</v>
      </c>
      <c r="F487" t="s">
        <v>587</v>
      </c>
      <c r="G487" t="s">
        <v>93</v>
      </c>
      <c r="H487" t="s">
        <v>707</v>
      </c>
      <c r="I487" s="10">
        <v>46568</v>
      </c>
      <c r="J487" s="11">
        <v>15846</v>
      </c>
      <c r="K487" s="10">
        <v>940</v>
      </c>
      <c r="BE487">
        <v>484</v>
      </c>
      <c r="BF487" t="s">
        <v>587</v>
      </c>
      <c r="BG487" t="s">
        <v>707</v>
      </c>
      <c r="BH487" s="10">
        <v>46568</v>
      </c>
      <c r="BI487" s="11">
        <v>15846</v>
      </c>
      <c r="BJ487" t="s">
        <v>93</v>
      </c>
      <c r="BK487" s="10">
        <v>940</v>
      </c>
      <c r="BR487">
        <v>484</v>
      </c>
      <c r="BS487" t="s">
        <v>93</v>
      </c>
      <c r="BT487" s="10">
        <v>46568</v>
      </c>
      <c r="BU487" s="11">
        <v>15846</v>
      </c>
      <c r="BV487" s="10">
        <v>940</v>
      </c>
      <c r="BW487" s="1" t="str">
        <f>IF(BS487=$CA$12,COUNTIF($BS$4:BS487,$CA$12),"")</f>
        <v/>
      </c>
    </row>
    <row r="488" spans="5:75" x14ac:dyDescent="0.25">
      <c r="E488">
        <v>485</v>
      </c>
      <c r="F488" t="s">
        <v>588</v>
      </c>
      <c r="G488" t="s">
        <v>93</v>
      </c>
      <c r="H488" t="s">
        <v>708</v>
      </c>
      <c r="I488" s="10">
        <v>46599</v>
      </c>
      <c r="J488" s="11">
        <v>14828</v>
      </c>
      <c r="K488" s="10">
        <v>156</v>
      </c>
      <c r="BE488">
        <v>485</v>
      </c>
      <c r="BF488" t="s">
        <v>588</v>
      </c>
      <c r="BG488" t="s">
        <v>708</v>
      </c>
      <c r="BH488" s="10">
        <v>46599</v>
      </c>
      <c r="BI488" s="11">
        <v>14828</v>
      </c>
      <c r="BJ488" t="s">
        <v>93</v>
      </c>
      <c r="BK488" s="10">
        <v>156</v>
      </c>
      <c r="BR488">
        <v>485</v>
      </c>
      <c r="BS488" t="s">
        <v>93</v>
      </c>
      <c r="BT488" s="10">
        <v>46599</v>
      </c>
      <c r="BU488" s="11">
        <v>14828</v>
      </c>
      <c r="BV488" s="10">
        <v>156</v>
      </c>
      <c r="BW488" s="1" t="str">
        <f>IF(BS488=$CA$12,COUNTIF($BS$4:BS488,$CA$12),"")</f>
        <v/>
      </c>
    </row>
    <row r="489" spans="5:75" x14ac:dyDescent="0.25">
      <c r="E489">
        <v>486</v>
      </c>
      <c r="F489" t="s">
        <v>589</v>
      </c>
      <c r="G489" t="s">
        <v>93</v>
      </c>
      <c r="H489" t="s">
        <v>709</v>
      </c>
      <c r="I489" s="10">
        <v>22588</v>
      </c>
      <c r="J489" s="11">
        <v>5601</v>
      </c>
      <c r="K489" s="10">
        <v>167</v>
      </c>
      <c r="BE489">
        <v>486</v>
      </c>
      <c r="BF489" t="s">
        <v>589</v>
      </c>
      <c r="BG489" t="s">
        <v>709</v>
      </c>
      <c r="BH489" s="10">
        <v>22588</v>
      </c>
      <c r="BI489" s="11">
        <v>5601</v>
      </c>
      <c r="BJ489" t="s">
        <v>93</v>
      </c>
      <c r="BK489" s="10">
        <v>167</v>
      </c>
      <c r="BR489">
        <v>486</v>
      </c>
      <c r="BS489" t="s">
        <v>93</v>
      </c>
      <c r="BT489" s="10">
        <v>22588</v>
      </c>
      <c r="BU489" s="11">
        <v>5601</v>
      </c>
      <c r="BV489" s="10">
        <v>167</v>
      </c>
      <c r="BW489" s="1" t="str">
        <f>IF(BS489=$CA$12,COUNTIF($BS$4:BS489,$CA$12),"")</f>
        <v/>
      </c>
    </row>
    <row r="490" spans="5:75" x14ac:dyDescent="0.25">
      <c r="E490">
        <v>487</v>
      </c>
      <c r="F490" t="s">
        <v>590</v>
      </c>
      <c r="G490" t="s">
        <v>93</v>
      </c>
      <c r="H490" t="s">
        <v>710</v>
      </c>
      <c r="I490" s="10">
        <v>10569</v>
      </c>
      <c r="J490" s="11">
        <v>3190</v>
      </c>
      <c r="K490" s="10">
        <v>73</v>
      </c>
      <c r="BE490">
        <v>487</v>
      </c>
      <c r="BF490" t="s">
        <v>590</v>
      </c>
      <c r="BG490" t="s">
        <v>710</v>
      </c>
      <c r="BH490" s="10">
        <v>10569</v>
      </c>
      <c r="BI490" s="11">
        <v>3190</v>
      </c>
      <c r="BJ490" t="s">
        <v>93</v>
      </c>
      <c r="BK490" s="10">
        <v>73</v>
      </c>
      <c r="BR490">
        <v>487</v>
      </c>
      <c r="BS490" t="s">
        <v>93</v>
      </c>
      <c r="BT490" s="10">
        <v>10569</v>
      </c>
      <c r="BU490" s="11">
        <v>3190</v>
      </c>
      <c r="BV490" s="10">
        <v>73</v>
      </c>
      <c r="BW490" s="1" t="str">
        <f>IF(BS490=$CA$12,COUNTIF($BS$4:BS490,$CA$12),"")</f>
        <v/>
      </c>
    </row>
    <row r="491" spans="5:75" x14ac:dyDescent="0.25">
      <c r="E491">
        <v>488</v>
      </c>
      <c r="F491" t="s">
        <v>591</v>
      </c>
      <c r="G491" t="s">
        <v>93</v>
      </c>
      <c r="H491" t="s">
        <v>711</v>
      </c>
      <c r="I491" s="10">
        <v>33958</v>
      </c>
      <c r="J491" s="11">
        <v>11499</v>
      </c>
      <c r="K491" s="10">
        <v>374</v>
      </c>
      <c r="BE491">
        <v>488</v>
      </c>
      <c r="BF491" t="s">
        <v>591</v>
      </c>
      <c r="BG491" t="s">
        <v>711</v>
      </c>
      <c r="BH491" s="10">
        <v>33958</v>
      </c>
      <c r="BI491" s="11">
        <v>11499</v>
      </c>
      <c r="BJ491" t="s">
        <v>93</v>
      </c>
      <c r="BK491" s="10">
        <v>374</v>
      </c>
      <c r="BR491">
        <v>488</v>
      </c>
      <c r="BS491" t="s">
        <v>93</v>
      </c>
      <c r="BT491" s="10">
        <v>33958</v>
      </c>
      <c r="BU491" s="11">
        <v>11499</v>
      </c>
      <c r="BV491" s="10">
        <v>374</v>
      </c>
      <c r="BW491" s="1" t="str">
        <f>IF(BS491=$CA$12,COUNTIF($BS$4:BS491,$CA$12),"")</f>
        <v/>
      </c>
    </row>
    <row r="492" spans="5:75" x14ac:dyDescent="0.25">
      <c r="E492">
        <v>489</v>
      </c>
      <c r="F492" t="s">
        <v>592</v>
      </c>
      <c r="G492" t="s">
        <v>93</v>
      </c>
      <c r="H492" t="s">
        <v>712</v>
      </c>
      <c r="I492" s="10">
        <v>59334</v>
      </c>
      <c r="J492" s="11">
        <v>20846</v>
      </c>
      <c r="K492" s="10">
        <v>139</v>
      </c>
      <c r="BE492">
        <v>489</v>
      </c>
      <c r="BF492" t="s">
        <v>592</v>
      </c>
      <c r="BG492" t="s">
        <v>712</v>
      </c>
      <c r="BH492" s="10">
        <v>59334</v>
      </c>
      <c r="BI492" s="11">
        <v>20846</v>
      </c>
      <c r="BJ492" t="s">
        <v>93</v>
      </c>
      <c r="BK492" s="10">
        <v>139</v>
      </c>
      <c r="BR492">
        <v>489</v>
      </c>
      <c r="BS492" t="s">
        <v>93</v>
      </c>
      <c r="BT492" s="10">
        <v>59334</v>
      </c>
      <c r="BU492" s="11">
        <v>20846</v>
      </c>
      <c r="BV492" s="10">
        <v>139</v>
      </c>
      <c r="BW492" s="1" t="str">
        <f>IF(BS492=$CA$12,COUNTIF($BS$4:BS492,$CA$12),"")</f>
        <v/>
      </c>
    </row>
    <row r="493" spans="5:75" x14ac:dyDescent="0.25">
      <c r="E493">
        <v>490</v>
      </c>
      <c r="F493" t="s">
        <v>593</v>
      </c>
      <c r="G493" t="s">
        <v>93</v>
      </c>
      <c r="H493" t="s">
        <v>713</v>
      </c>
      <c r="I493" s="10">
        <v>146945</v>
      </c>
      <c r="J493" s="11">
        <v>56093</v>
      </c>
      <c r="K493" s="10">
        <v>3330</v>
      </c>
      <c r="BE493">
        <v>490</v>
      </c>
      <c r="BF493" t="s">
        <v>593</v>
      </c>
      <c r="BG493" t="s">
        <v>713</v>
      </c>
      <c r="BH493" s="10">
        <v>146945</v>
      </c>
      <c r="BI493" s="11">
        <v>56093</v>
      </c>
      <c r="BJ493" t="s">
        <v>93</v>
      </c>
      <c r="BK493" s="10">
        <v>3330</v>
      </c>
      <c r="BR493">
        <v>490</v>
      </c>
      <c r="BS493" t="s">
        <v>93</v>
      </c>
      <c r="BT493" s="10">
        <v>146945</v>
      </c>
      <c r="BU493" s="11">
        <v>56093</v>
      </c>
      <c r="BV493" s="10">
        <v>3330</v>
      </c>
      <c r="BW493" s="1" t="str">
        <f>IF(BS493=$CA$12,COUNTIF($BS$4:BS493,$CA$12),"")</f>
        <v/>
      </c>
    </row>
    <row r="494" spans="5:75" x14ac:dyDescent="0.25">
      <c r="E494">
        <v>491</v>
      </c>
      <c r="F494" t="s">
        <v>594</v>
      </c>
      <c r="G494" t="s">
        <v>93</v>
      </c>
      <c r="H494" t="s">
        <v>714</v>
      </c>
      <c r="I494" s="10">
        <v>22795</v>
      </c>
      <c r="J494" s="11">
        <v>5944</v>
      </c>
      <c r="K494" s="10">
        <v>76</v>
      </c>
      <c r="BE494">
        <v>491</v>
      </c>
      <c r="BF494" t="s">
        <v>594</v>
      </c>
      <c r="BG494" t="s">
        <v>714</v>
      </c>
      <c r="BH494" s="10">
        <v>22795</v>
      </c>
      <c r="BI494" s="11">
        <v>5944</v>
      </c>
      <c r="BJ494" t="s">
        <v>93</v>
      </c>
      <c r="BK494" s="10">
        <v>76</v>
      </c>
      <c r="BR494">
        <v>491</v>
      </c>
      <c r="BS494" t="s">
        <v>93</v>
      </c>
      <c r="BT494" s="10">
        <v>22795</v>
      </c>
      <c r="BU494" s="11">
        <v>5944</v>
      </c>
      <c r="BV494" s="10">
        <v>76</v>
      </c>
      <c r="BW494" s="1" t="str">
        <f>IF(BS494=$CA$12,COUNTIF($BS$4:BS494,$CA$12),"")</f>
        <v/>
      </c>
    </row>
    <row r="495" spans="5:75" x14ac:dyDescent="0.25">
      <c r="E495">
        <v>492</v>
      </c>
      <c r="F495" t="s">
        <v>595</v>
      </c>
      <c r="G495" t="s">
        <v>93</v>
      </c>
      <c r="H495" t="s">
        <v>715</v>
      </c>
      <c r="I495" s="10">
        <v>14895</v>
      </c>
      <c r="J495" s="11">
        <v>4009</v>
      </c>
      <c r="K495" s="10">
        <v>207</v>
      </c>
      <c r="BE495">
        <v>492</v>
      </c>
      <c r="BF495" t="s">
        <v>595</v>
      </c>
      <c r="BG495" t="s">
        <v>715</v>
      </c>
      <c r="BH495" s="10">
        <v>14895</v>
      </c>
      <c r="BI495" s="11">
        <v>4009</v>
      </c>
      <c r="BJ495" t="s">
        <v>93</v>
      </c>
      <c r="BK495" s="10">
        <v>207</v>
      </c>
      <c r="BR495">
        <v>492</v>
      </c>
      <c r="BS495" t="s">
        <v>93</v>
      </c>
      <c r="BT495" s="10">
        <v>14895</v>
      </c>
      <c r="BU495" s="11">
        <v>4009</v>
      </c>
      <c r="BV495" s="10">
        <v>207</v>
      </c>
      <c r="BW495" s="1" t="str">
        <f>IF(BS495=$CA$12,COUNTIF($BS$4:BS495,$CA$12),"")</f>
        <v/>
      </c>
    </row>
    <row r="496" spans="5:75" x14ac:dyDescent="0.25">
      <c r="E496">
        <v>493</v>
      </c>
      <c r="F496" t="s">
        <v>596</v>
      </c>
      <c r="G496" t="s">
        <v>94</v>
      </c>
      <c r="H496" t="s">
        <v>704</v>
      </c>
      <c r="I496" s="10">
        <v>116428</v>
      </c>
      <c r="J496" s="11">
        <v>43484</v>
      </c>
      <c r="K496" s="10">
        <v>1541</v>
      </c>
      <c r="BE496">
        <v>493</v>
      </c>
      <c r="BF496" t="s">
        <v>596</v>
      </c>
      <c r="BG496" t="s">
        <v>704</v>
      </c>
      <c r="BH496" s="10">
        <v>116428</v>
      </c>
      <c r="BI496" s="11">
        <v>43484</v>
      </c>
      <c r="BJ496" t="s">
        <v>94</v>
      </c>
      <c r="BK496" s="10">
        <v>1541</v>
      </c>
      <c r="BR496">
        <v>493</v>
      </c>
      <c r="BS496" t="s">
        <v>94</v>
      </c>
      <c r="BT496" s="10">
        <v>116428</v>
      </c>
      <c r="BU496" s="11">
        <v>43484</v>
      </c>
      <c r="BV496" s="10">
        <v>1541</v>
      </c>
      <c r="BW496" s="1" t="str">
        <f>IF(BS496=$CA$12,COUNTIF($BS$4:BS496,$CA$12),"")</f>
        <v/>
      </c>
    </row>
    <row r="497" spans="5:75" x14ac:dyDescent="0.25">
      <c r="E497">
        <v>494</v>
      </c>
      <c r="F497" t="s">
        <v>597</v>
      </c>
      <c r="G497" t="s">
        <v>94</v>
      </c>
      <c r="H497" t="s">
        <v>705</v>
      </c>
      <c r="I497" s="10">
        <v>36195</v>
      </c>
      <c r="J497" s="11">
        <v>10967</v>
      </c>
      <c r="K497" s="10">
        <v>1047</v>
      </c>
      <c r="BE497">
        <v>494</v>
      </c>
      <c r="BF497" t="s">
        <v>597</v>
      </c>
      <c r="BG497" t="s">
        <v>705</v>
      </c>
      <c r="BH497" s="10">
        <v>36195</v>
      </c>
      <c r="BI497" s="11">
        <v>10967</v>
      </c>
      <c r="BJ497" t="s">
        <v>94</v>
      </c>
      <c r="BK497" s="10">
        <v>1047</v>
      </c>
      <c r="BR497">
        <v>494</v>
      </c>
      <c r="BS497" t="s">
        <v>94</v>
      </c>
      <c r="BT497" s="10">
        <v>36195</v>
      </c>
      <c r="BU497" s="11">
        <v>10967</v>
      </c>
      <c r="BV497" s="10">
        <v>1047</v>
      </c>
      <c r="BW497" s="1" t="str">
        <f>IF(BS497=$CA$12,COUNTIF($BS$4:BS497,$CA$12),"")</f>
        <v/>
      </c>
    </row>
    <row r="498" spans="5:75" x14ac:dyDescent="0.25">
      <c r="E498">
        <v>495</v>
      </c>
      <c r="F498" t="s">
        <v>598</v>
      </c>
      <c r="G498" t="s">
        <v>94</v>
      </c>
      <c r="H498" t="s">
        <v>706</v>
      </c>
      <c r="I498" s="10">
        <v>131699</v>
      </c>
      <c r="J498" s="11">
        <v>41367</v>
      </c>
      <c r="K498" s="10">
        <v>916</v>
      </c>
      <c r="BE498">
        <v>495</v>
      </c>
      <c r="BF498" t="s">
        <v>598</v>
      </c>
      <c r="BG498" t="s">
        <v>706</v>
      </c>
      <c r="BH498" s="10">
        <v>131699</v>
      </c>
      <c r="BI498" s="11">
        <v>41367</v>
      </c>
      <c r="BJ498" t="s">
        <v>94</v>
      </c>
      <c r="BK498" s="10">
        <v>916</v>
      </c>
      <c r="BR498">
        <v>495</v>
      </c>
      <c r="BS498" t="s">
        <v>94</v>
      </c>
      <c r="BT498" s="10">
        <v>131699</v>
      </c>
      <c r="BU498" s="11">
        <v>41367</v>
      </c>
      <c r="BV498" s="10">
        <v>916</v>
      </c>
      <c r="BW498" s="1" t="str">
        <f>IF(BS498=$CA$12,COUNTIF($BS$4:BS498,$CA$12),"")</f>
        <v/>
      </c>
    </row>
    <row r="499" spans="5:75" x14ac:dyDescent="0.25">
      <c r="E499">
        <v>496</v>
      </c>
      <c r="F499" t="s">
        <v>599</v>
      </c>
      <c r="G499" t="s">
        <v>94</v>
      </c>
      <c r="H499" t="s">
        <v>707</v>
      </c>
      <c r="I499" s="10">
        <v>60669</v>
      </c>
      <c r="J499" s="11">
        <v>20018</v>
      </c>
      <c r="K499" s="10">
        <v>1121</v>
      </c>
      <c r="BE499">
        <v>496</v>
      </c>
      <c r="BF499" t="s">
        <v>599</v>
      </c>
      <c r="BG499" t="s">
        <v>707</v>
      </c>
      <c r="BH499" s="10">
        <v>60669</v>
      </c>
      <c r="BI499" s="11">
        <v>20018</v>
      </c>
      <c r="BJ499" t="s">
        <v>94</v>
      </c>
      <c r="BK499" s="10">
        <v>1121</v>
      </c>
      <c r="BR499">
        <v>496</v>
      </c>
      <c r="BS499" t="s">
        <v>94</v>
      </c>
      <c r="BT499" s="10">
        <v>60669</v>
      </c>
      <c r="BU499" s="11">
        <v>20018</v>
      </c>
      <c r="BV499" s="10">
        <v>1121</v>
      </c>
      <c r="BW499" s="1" t="str">
        <f>IF(BS499=$CA$12,COUNTIF($BS$4:BS499,$CA$12),"")</f>
        <v/>
      </c>
    </row>
    <row r="500" spans="5:75" x14ac:dyDescent="0.25">
      <c r="E500">
        <v>497</v>
      </c>
      <c r="F500" t="s">
        <v>600</v>
      </c>
      <c r="G500" t="s">
        <v>94</v>
      </c>
      <c r="H500" t="s">
        <v>708</v>
      </c>
      <c r="I500" s="10">
        <v>22522</v>
      </c>
      <c r="J500" s="11">
        <v>5165</v>
      </c>
      <c r="K500" s="10">
        <v>361</v>
      </c>
      <c r="BE500">
        <v>497</v>
      </c>
      <c r="BF500" t="s">
        <v>600</v>
      </c>
      <c r="BG500" t="s">
        <v>708</v>
      </c>
      <c r="BH500" s="10">
        <v>22522</v>
      </c>
      <c r="BI500" s="11">
        <v>5165</v>
      </c>
      <c r="BJ500" t="s">
        <v>94</v>
      </c>
      <c r="BK500" s="10">
        <v>361</v>
      </c>
      <c r="BR500">
        <v>497</v>
      </c>
      <c r="BS500" t="s">
        <v>94</v>
      </c>
      <c r="BT500" s="10">
        <v>22522</v>
      </c>
      <c r="BU500" s="11">
        <v>5165</v>
      </c>
      <c r="BV500" s="10">
        <v>361</v>
      </c>
      <c r="BW500" s="1" t="str">
        <f>IF(BS500=$CA$12,COUNTIF($BS$4:BS500,$CA$12),"")</f>
        <v/>
      </c>
    </row>
    <row r="501" spans="5:75" x14ac:dyDescent="0.25">
      <c r="E501">
        <v>498</v>
      </c>
      <c r="F501" t="s">
        <v>601</v>
      </c>
      <c r="G501" t="s">
        <v>94</v>
      </c>
      <c r="H501" t="s">
        <v>709</v>
      </c>
      <c r="I501" s="10">
        <v>56979</v>
      </c>
      <c r="J501" s="11">
        <v>17228</v>
      </c>
      <c r="K501" s="10">
        <v>1236</v>
      </c>
      <c r="BE501">
        <v>498</v>
      </c>
      <c r="BF501" t="s">
        <v>601</v>
      </c>
      <c r="BG501" t="s">
        <v>709</v>
      </c>
      <c r="BH501" s="10">
        <v>56979</v>
      </c>
      <c r="BI501" s="11">
        <v>17228</v>
      </c>
      <c r="BJ501" t="s">
        <v>94</v>
      </c>
      <c r="BK501" s="10">
        <v>1236</v>
      </c>
      <c r="BR501">
        <v>498</v>
      </c>
      <c r="BS501" t="s">
        <v>94</v>
      </c>
      <c r="BT501" s="10">
        <v>56979</v>
      </c>
      <c r="BU501" s="11">
        <v>17228</v>
      </c>
      <c r="BV501" s="10">
        <v>1236</v>
      </c>
      <c r="BW501" s="1" t="str">
        <f>IF(BS501=$CA$12,COUNTIF($BS$4:BS501,$CA$12),"")</f>
        <v/>
      </c>
    </row>
    <row r="502" spans="5:75" x14ac:dyDescent="0.25">
      <c r="E502">
        <v>499</v>
      </c>
      <c r="F502" t="s">
        <v>602</v>
      </c>
      <c r="G502" t="s">
        <v>94</v>
      </c>
      <c r="H502" t="s">
        <v>710</v>
      </c>
      <c r="I502" s="10">
        <v>87882</v>
      </c>
      <c r="J502" s="11">
        <v>25567</v>
      </c>
      <c r="K502" s="10">
        <v>320</v>
      </c>
      <c r="BE502">
        <v>499</v>
      </c>
      <c r="BF502" t="s">
        <v>602</v>
      </c>
      <c r="BG502" t="s">
        <v>710</v>
      </c>
      <c r="BH502" s="10">
        <v>87882</v>
      </c>
      <c r="BI502" s="11">
        <v>25567</v>
      </c>
      <c r="BJ502" t="s">
        <v>94</v>
      </c>
      <c r="BK502" s="10">
        <v>320</v>
      </c>
      <c r="BR502">
        <v>499</v>
      </c>
      <c r="BS502" t="s">
        <v>94</v>
      </c>
      <c r="BT502" s="10">
        <v>87882</v>
      </c>
      <c r="BU502" s="11">
        <v>25567</v>
      </c>
      <c r="BV502" s="10">
        <v>320</v>
      </c>
      <c r="BW502" s="1" t="str">
        <f>IF(BS502=$CA$12,COUNTIF($BS$4:BS502,$CA$12),"")</f>
        <v/>
      </c>
    </row>
    <row r="503" spans="5:75" x14ac:dyDescent="0.25">
      <c r="E503">
        <v>500</v>
      </c>
      <c r="F503" t="s">
        <v>603</v>
      </c>
      <c r="G503" t="s">
        <v>94</v>
      </c>
      <c r="H503" t="s">
        <v>711</v>
      </c>
      <c r="I503" s="10">
        <v>94972</v>
      </c>
      <c r="J503" s="11">
        <v>19831</v>
      </c>
      <c r="K503" s="10">
        <v>102</v>
      </c>
      <c r="BE503">
        <v>500</v>
      </c>
      <c r="BF503" t="s">
        <v>603</v>
      </c>
      <c r="BG503" t="s">
        <v>711</v>
      </c>
      <c r="BH503" s="10">
        <v>94972</v>
      </c>
      <c r="BI503" s="11">
        <v>19831</v>
      </c>
      <c r="BJ503" t="s">
        <v>94</v>
      </c>
      <c r="BK503" s="10">
        <v>102</v>
      </c>
      <c r="BR503">
        <v>500</v>
      </c>
      <c r="BS503" t="s">
        <v>94</v>
      </c>
      <c r="BT503" s="10">
        <v>94972</v>
      </c>
      <c r="BU503" s="11">
        <v>19831</v>
      </c>
      <c r="BV503" s="10">
        <v>102</v>
      </c>
      <c r="BW503" s="1" t="str">
        <f>IF(BS503=$CA$12,COUNTIF($BS$4:BS503,$CA$12),"")</f>
        <v/>
      </c>
    </row>
    <row r="504" spans="5:75" x14ac:dyDescent="0.25">
      <c r="E504">
        <v>501</v>
      </c>
      <c r="F504" t="s">
        <v>604</v>
      </c>
      <c r="G504" t="s">
        <v>94</v>
      </c>
      <c r="H504" t="s">
        <v>712</v>
      </c>
      <c r="I504" s="10">
        <v>74892</v>
      </c>
      <c r="J504" s="11">
        <v>15442</v>
      </c>
      <c r="K504" s="10">
        <v>209</v>
      </c>
      <c r="BE504">
        <v>501</v>
      </c>
      <c r="BF504" t="s">
        <v>604</v>
      </c>
      <c r="BG504" t="s">
        <v>712</v>
      </c>
      <c r="BH504" s="10">
        <v>74892</v>
      </c>
      <c r="BI504" s="11">
        <v>15442</v>
      </c>
      <c r="BJ504" t="s">
        <v>94</v>
      </c>
      <c r="BK504" s="10">
        <v>209</v>
      </c>
      <c r="BR504">
        <v>501</v>
      </c>
      <c r="BS504" t="s">
        <v>94</v>
      </c>
      <c r="BT504" s="10">
        <v>74892</v>
      </c>
      <c r="BU504" s="11">
        <v>15442</v>
      </c>
      <c r="BV504" s="10">
        <v>209</v>
      </c>
      <c r="BW504" s="1" t="str">
        <f>IF(BS504=$CA$12,COUNTIF($BS$4:BS504,$CA$12),"")</f>
        <v/>
      </c>
    </row>
    <row r="505" spans="5:75" x14ac:dyDescent="0.25">
      <c r="E505">
        <v>502</v>
      </c>
      <c r="F505" t="s">
        <v>605</v>
      </c>
      <c r="G505" t="s">
        <v>94</v>
      </c>
      <c r="H505" t="s">
        <v>713</v>
      </c>
      <c r="I505" s="10">
        <v>126217</v>
      </c>
      <c r="J505" s="11">
        <v>47991</v>
      </c>
      <c r="K505" s="10">
        <v>1985</v>
      </c>
      <c r="BE505">
        <v>502</v>
      </c>
      <c r="BF505" t="s">
        <v>605</v>
      </c>
      <c r="BG505" t="s">
        <v>713</v>
      </c>
      <c r="BH505" s="10">
        <v>126217</v>
      </c>
      <c r="BI505" s="11">
        <v>47991</v>
      </c>
      <c r="BJ505" t="s">
        <v>94</v>
      </c>
      <c r="BK505" s="10">
        <v>1985</v>
      </c>
      <c r="BR505">
        <v>502</v>
      </c>
      <c r="BS505" t="s">
        <v>94</v>
      </c>
      <c r="BT505" s="10">
        <v>126217</v>
      </c>
      <c r="BU505" s="11">
        <v>47991</v>
      </c>
      <c r="BV505" s="10">
        <v>1985</v>
      </c>
      <c r="BW505" s="1" t="str">
        <f>IF(BS505=$CA$12,COUNTIF($BS$4:BS505,$CA$12),"")</f>
        <v/>
      </c>
    </row>
    <row r="506" spans="5:75" x14ac:dyDescent="0.25">
      <c r="E506">
        <v>503</v>
      </c>
      <c r="F506" t="s">
        <v>606</v>
      </c>
      <c r="G506" t="s">
        <v>94</v>
      </c>
      <c r="H506" t="s">
        <v>714</v>
      </c>
      <c r="I506" s="10">
        <v>43228</v>
      </c>
      <c r="J506" s="11">
        <v>16128</v>
      </c>
      <c r="K506" s="10">
        <v>873</v>
      </c>
      <c r="BE506">
        <v>503</v>
      </c>
      <c r="BF506" t="s">
        <v>606</v>
      </c>
      <c r="BG506" t="s">
        <v>714</v>
      </c>
      <c r="BH506" s="10">
        <v>43228</v>
      </c>
      <c r="BI506" s="11">
        <v>16128</v>
      </c>
      <c r="BJ506" t="s">
        <v>94</v>
      </c>
      <c r="BK506" s="10">
        <v>873</v>
      </c>
      <c r="BR506">
        <v>503</v>
      </c>
      <c r="BS506" t="s">
        <v>94</v>
      </c>
      <c r="BT506" s="10">
        <v>43228</v>
      </c>
      <c r="BU506" s="11">
        <v>16128</v>
      </c>
      <c r="BV506" s="10">
        <v>873</v>
      </c>
      <c r="BW506" s="1" t="str">
        <f>IF(BS506=$CA$12,COUNTIF($BS$4:BS506,$CA$12),"")</f>
        <v/>
      </c>
    </row>
    <row r="507" spans="5:75" x14ac:dyDescent="0.25">
      <c r="E507">
        <v>504</v>
      </c>
      <c r="F507" t="s">
        <v>607</v>
      </c>
      <c r="G507" t="s">
        <v>94</v>
      </c>
      <c r="H507" t="s">
        <v>715</v>
      </c>
      <c r="I507" s="10">
        <v>68210</v>
      </c>
      <c r="J507" s="11">
        <v>13844</v>
      </c>
      <c r="K507" s="10">
        <v>564</v>
      </c>
      <c r="BE507">
        <v>504</v>
      </c>
      <c r="BF507" t="s">
        <v>607</v>
      </c>
      <c r="BG507" t="s">
        <v>715</v>
      </c>
      <c r="BH507" s="10">
        <v>68210</v>
      </c>
      <c r="BI507" s="11">
        <v>13844</v>
      </c>
      <c r="BJ507" t="s">
        <v>94</v>
      </c>
      <c r="BK507" s="10">
        <v>564</v>
      </c>
      <c r="BR507">
        <v>504</v>
      </c>
      <c r="BS507" t="s">
        <v>94</v>
      </c>
      <c r="BT507" s="10">
        <v>68210</v>
      </c>
      <c r="BU507" s="11">
        <v>13844</v>
      </c>
      <c r="BV507" s="10">
        <v>564</v>
      </c>
      <c r="BW507" s="1" t="str">
        <f>IF(BS507=$CA$12,COUNTIF($BS$4:BS507,$CA$12),"")</f>
        <v/>
      </c>
    </row>
    <row r="508" spans="5:75" x14ac:dyDescent="0.25">
      <c r="E508">
        <v>505</v>
      </c>
      <c r="F508" t="s">
        <v>608</v>
      </c>
      <c r="G508" t="s">
        <v>95</v>
      </c>
      <c r="H508" t="s">
        <v>704</v>
      </c>
      <c r="I508" s="10">
        <v>45604</v>
      </c>
      <c r="J508" s="11">
        <v>11425</v>
      </c>
      <c r="K508" s="10">
        <v>515</v>
      </c>
      <c r="BE508">
        <v>505</v>
      </c>
      <c r="BF508" t="s">
        <v>608</v>
      </c>
      <c r="BG508" t="s">
        <v>704</v>
      </c>
      <c r="BH508" s="10">
        <v>45604</v>
      </c>
      <c r="BI508" s="11">
        <v>11425</v>
      </c>
      <c r="BJ508" t="s">
        <v>95</v>
      </c>
      <c r="BK508" s="10">
        <v>515</v>
      </c>
      <c r="BR508">
        <v>505</v>
      </c>
      <c r="BS508" t="s">
        <v>95</v>
      </c>
      <c r="BT508" s="10">
        <v>45604</v>
      </c>
      <c r="BU508" s="11">
        <v>11425</v>
      </c>
      <c r="BV508" s="10">
        <v>515</v>
      </c>
      <c r="BW508" s="1" t="str">
        <f>IF(BS508=$CA$12,COUNTIF($BS$4:BS508,$CA$12),"")</f>
        <v/>
      </c>
    </row>
    <row r="509" spans="5:75" x14ac:dyDescent="0.25">
      <c r="E509">
        <v>506</v>
      </c>
      <c r="F509" t="s">
        <v>609</v>
      </c>
      <c r="G509" t="s">
        <v>95</v>
      </c>
      <c r="H509" t="s">
        <v>705</v>
      </c>
      <c r="I509" s="10">
        <v>82011</v>
      </c>
      <c r="J509" s="11">
        <v>24993</v>
      </c>
      <c r="K509" s="10">
        <v>1564</v>
      </c>
      <c r="BE509">
        <v>506</v>
      </c>
      <c r="BF509" t="s">
        <v>609</v>
      </c>
      <c r="BG509" t="s">
        <v>705</v>
      </c>
      <c r="BH509" s="10">
        <v>82011</v>
      </c>
      <c r="BI509" s="11">
        <v>24993</v>
      </c>
      <c r="BJ509" t="s">
        <v>95</v>
      </c>
      <c r="BK509" s="10">
        <v>1564</v>
      </c>
      <c r="BR509">
        <v>506</v>
      </c>
      <c r="BS509" t="s">
        <v>95</v>
      </c>
      <c r="BT509" s="10">
        <v>82011</v>
      </c>
      <c r="BU509" s="11">
        <v>24993</v>
      </c>
      <c r="BV509" s="10">
        <v>1564</v>
      </c>
      <c r="BW509" s="1" t="str">
        <f>IF(BS509=$CA$12,COUNTIF($BS$4:BS509,$CA$12),"")</f>
        <v/>
      </c>
    </row>
    <row r="510" spans="5:75" x14ac:dyDescent="0.25">
      <c r="E510">
        <v>507</v>
      </c>
      <c r="F510" t="s">
        <v>610</v>
      </c>
      <c r="G510" t="s">
        <v>95</v>
      </c>
      <c r="H510" t="s">
        <v>706</v>
      </c>
      <c r="I510" s="10">
        <v>96814</v>
      </c>
      <c r="J510" s="11">
        <v>22449</v>
      </c>
      <c r="K510" s="10">
        <v>1680</v>
      </c>
      <c r="BE510">
        <v>507</v>
      </c>
      <c r="BF510" t="s">
        <v>610</v>
      </c>
      <c r="BG510" t="s">
        <v>706</v>
      </c>
      <c r="BH510" s="10">
        <v>96814</v>
      </c>
      <c r="BI510" s="11">
        <v>22449</v>
      </c>
      <c r="BJ510" t="s">
        <v>95</v>
      </c>
      <c r="BK510" s="10">
        <v>1680</v>
      </c>
      <c r="BR510">
        <v>507</v>
      </c>
      <c r="BS510" t="s">
        <v>95</v>
      </c>
      <c r="BT510" s="10">
        <v>96814</v>
      </c>
      <c r="BU510" s="11">
        <v>22449</v>
      </c>
      <c r="BV510" s="10">
        <v>1680</v>
      </c>
      <c r="BW510" s="1" t="str">
        <f>IF(BS510=$CA$12,COUNTIF($BS$4:BS510,$CA$12),"")</f>
        <v/>
      </c>
    </row>
    <row r="511" spans="5:75" x14ac:dyDescent="0.25">
      <c r="E511">
        <v>508</v>
      </c>
      <c r="F511" t="s">
        <v>611</v>
      </c>
      <c r="G511" t="s">
        <v>95</v>
      </c>
      <c r="H511" t="s">
        <v>707</v>
      </c>
      <c r="I511" s="10">
        <v>35587</v>
      </c>
      <c r="J511" s="11">
        <v>11471</v>
      </c>
      <c r="K511" s="10">
        <v>876</v>
      </c>
      <c r="BE511">
        <v>508</v>
      </c>
      <c r="BF511" t="s">
        <v>611</v>
      </c>
      <c r="BG511" t="s">
        <v>707</v>
      </c>
      <c r="BH511" s="10">
        <v>35587</v>
      </c>
      <c r="BI511" s="11">
        <v>11471</v>
      </c>
      <c r="BJ511" t="s">
        <v>95</v>
      </c>
      <c r="BK511" s="10">
        <v>876</v>
      </c>
      <c r="BR511">
        <v>508</v>
      </c>
      <c r="BS511" t="s">
        <v>95</v>
      </c>
      <c r="BT511" s="10">
        <v>35587</v>
      </c>
      <c r="BU511" s="11">
        <v>11471</v>
      </c>
      <c r="BV511" s="10">
        <v>876</v>
      </c>
      <c r="BW511" s="1" t="str">
        <f>IF(BS511=$CA$12,COUNTIF($BS$4:BS511,$CA$12),"")</f>
        <v/>
      </c>
    </row>
    <row r="512" spans="5:75" x14ac:dyDescent="0.25">
      <c r="E512">
        <v>509</v>
      </c>
      <c r="F512" t="s">
        <v>612</v>
      </c>
      <c r="G512" t="s">
        <v>95</v>
      </c>
      <c r="H512" t="s">
        <v>708</v>
      </c>
      <c r="I512" s="10">
        <v>41372</v>
      </c>
      <c r="J512" s="11">
        <v>9194</v>
      </c>
      <c r="K512" s="10">
        <v>235</v>
      </c>
      <c r="BE512">
        <v>509</v>
      </c>
      <c r="BF512" t="s">
        <v>612</v>
      </c>
      <c r="BG512" t="s">
        <v>708</v>
      </c>
      <c r="BH512" s="10">
        <v>41372</v>
      </c>
      <c r="BI512" s="11">
        <v>9194</v>
      </c>
      <c r="BJ512" t="s">
        <v>95</v>
      </c>
      <c r="BK512" s="10">
        <v>235</v>
      </c>
      <c r="BR512">
        <v>509</v>
      </c>
      <c r="BS512" t="s">
        <v>95</v>
      </c>
      <c r="BT512" s="10">
        <v>41372</v>
      </c>
      <c r="BU512" s="11">
        <v>9194</v>
      </c>
      <c r="BV512" s="10">
        <v>235</v>
      </c>
      <c r="BW512" s="1" t="str">
        <f>IF(BS512=$CA$12,COUNTIF($BS$4:BS512,$CA$12),"")</f>
        <v/>
      </c>
    </row>
    <row r="513" spans="5:75" x14ac:dyDescent="0.25">
      <c r="E513">
        <v>510</v>
      </c>
      <c r="F513" t="s">
        <v>613</v>
      </c>
      <c r="G513" t="s">
        <v>95</v>
      </c>
      <c r="H513" t="s">
        <v>709</v>
      </c>
      <c r="I513" s="10">
        <v>85107</v>
      </c>
      <c r="J513" s="11">
        <v>19382</v>
      </c>
      <c r="K513" s="10">
        <v>1711</v>
      </c>
      <c r="BE513">
        <v>510</v>
      </c>
      <c r="BF513" t="s">
        <v>613</v>
      </c>
      <c r="BG513" t="s">
        <v>709</v>
      </c>
      <c r="BH513" s="10">
        <v>85107</v>
      </c>
      <c r="BI513" s="11">
        <v>19382</v>
      </c>
      <c r="BJ513" t="s">
        <v>95</v>
      </c>
      <c r="BK513" s="10">
        <v>1711</v>
      </c>
      <c r="BR513">
        <v>510</v>
      </c>
      <c r="BS513" t="s">
        <v>95</v>
      </c>
      <c r="BT513" s="10">
        <v>85107</v>
      </c>
      <c r="BU513" s="11">
        <v>19382</v>
      </c>
      <c r="BV513" s="10">
        <v>1711</v>
      </c>
      <c r="BW513" s="1" t="str">
        <f>IF(BS513=$CA$12,COUNTIF($BS$4:BS513,$CA$12),"")</f>
        <v/>
      </c>
    </row>
    <row r="514" spans="5:75" x14ac:dyDescent="0.25">
      <c r="E514">
        <v>511</v>
      </c>
      <c r="F514" t="s">
        <v>614</v>
      </c>
      <c r="G514" t="s">
        <v>95</v>
      </c>
      <c r="H514" t="s">
        <v>710</v>
      </c>
      <c r="I514" s="10">
        <v>54851</v>
      </c>
      <c r="J514" s="11">
        <v>20495</v>
      </c>
      <c r="K514" s="10">
        <v>536</v>
      </c>
      <c r="BE514">
        <v>511</v>
      </c>
      <c r="BF514" t="s">
        <v>614</v>
      </c>
      <c r="BG514" t="s">
        <v>710</v>
      </c>
      <c r="BH514" s="10">
        <v>54851</v>
      </c>
      <c r="BI514" s="11">
        <v>20495</v>
      </c>
      <c r="BJ514" t="s">
        <v>95</v>
      </c>
      <c r="BK514" s="10">
        <v>536</v>
      </c>
      <c r="BR514">
        <v>511</v>
      </c>
      <c r="BS514" t="s">
        <v>95</v>
      </c>
      <c r="BT514" s="10">
        <v>54851</v>
      </c>
      <c r="BU514" s="11">
        <v>20495</v>
      </c>
      <c r="BV514" s="10">
        <v>536</v>
      </c>
      <c r="BW514" s="1" t="str">
        <f>IF(BS514=$CA$12,COUNTIF($BS$4:BS514,$CA$12),"")</f>
        <v/>
      </c>
    </row>
    <row r="515" spans="5:75" x14ac:dyDescent="0.25">
      <c r="E515">
        <v>512</v>
      </c>
      <c r="F515" t="s">
        <v>615</v>
      </c>
      <c r="G515" t="s">
        <v>95</v>
      </c>
      <c r="H515" t="s">
        <v>711</v>
      </c>
      <c r="I515" s="10">
        <v>37749</v>
      </c>
      <c r="J515" s="11">
        <v>10385</v>
      </c>
      <c r="K515" s="10">
        <v>39</v>
      </c>
      <c r="BE515">
        <v>512</v>
      </c>
      <c r="BF515" t="s">
        <v>615</v>
      </c>
      <c r="BG515" t="s">
        <v>711</v>
      </c>
      <c r="BH515" s="10">
        <v>37749</v>
      </c>
      <c r="BI515" s="11">
        <v>10385</v>
      </c>
      <c r="BJ515" t="s">
        <v>95</v>
      </c>
      <c r="BK515" s="10">
        <v>39</v>
      </c>
      <c r="BR515">
        <v>512</v>
      </c>
      <c r="BS515" t="s">
        <v>95</v>
      </c>
      <c r="BT515" s="10">
        <v>37749</v>
      </c>
      <c r="BU515" s="11">
        <v>10385</v>
      </c>
      <c r="BV515" s="10">
        <v>39</v>
      </c>
      <c r="BW515" s="1" t="str">
        <f>IF(BS515=$CA$12,COUNTIF($BS$4:BS515,$CA$12),"")</f>
        <v/>
      </c>
    </row>
    <row r="516" spans="5:75" x14ac:dyDescent="0.25">
      <c r="E516">
        <v>513</v>
      </c>
      <c r="F516" t="s">
        <v>616</v>
      </c>
      <c r="G516" t="s">
        <v>95</v>
      </c>
      <c r="H516" t="s">
        <v>712</v>
      </c>
      <c r="I516" s="10">
        <v>67958</v>
      </c>
      <c r="J516" s="11">
        <v>24097</v>
      </c>
      <c r="K516" s="10">
        <v>1610</v>
      </c>
      <c r="BE516">
        <v>513</v>
      </c>
      <c r="BF516" t="s">
        <v>616</v>
      </c>
      <c r="BG516" t="s">
        <v>712</v>
      </c>
      <c r="BH516" s="10">
        <v>67958</v>
      </c>
      <c r="BI516" s="11">
        <v>24097</v>
      </c>
      <c r="BJ516" t="s">
        <v>95</v>
      </c>
      <c r="BK516" s="10">
        <v>1610</v>
      </c>
      <c r="BR516">
        <v>513</v>
      </c>
      <c r="BS516" t="s">
        <v>95</v>
      </c>
      <c r="BT516" s="10">
        <v>67958</v>
      </c>
      <c r="BU516" s="11">
        <v>24097</v>
      </c>
      <c r="BV516" s="10">
        <v>1610</v>
      </c>
      <c r="BW516" s="1" t="str">
        <f>IF(BS516=$CA$12,COUNTIF($BS$4:BS516,$CA$12),"")</f>
        <v/>
      </c>
    </row>
    <row r="517" spans="5:75" x14ac:dyDescent="0.25">
      <c r="E517">
        <v>514</v>
      </c>
      <c r="F517" t="s">
        <v>617</v>
      </c>
      <c r="G517" t="s">
        <v>95</v>
      </c>
      <c r="H517" t="s">
        <v>713</v>
      </c>
      <c r="I517" s="10">
        <v>132289</v>
      </c>
      <c r="J517" s="11">
        <v>32890</v>
      </c>
      <c r="K517" s="10">
        <v>782</v>
      </c>
      <c r="BE517">
        <v>514</v>
      </c>
      <c r="BF517" t="s">
        <v>617</v>
      </c>
      <c r="BG517" t="s">
        <v>713</v>
      </c>
      <c r="BH517" s="10">
        <v>132289</v>
      </c>
      <c r="BI517" s="11">
        <v>32890</v>
      </c>
      <c r="BJ517" t="s">
        <v>95</v>
      </c>
      <c r="BK517" s="10">
        <v>782</v>
      </c>
      <c r="BR517">
        <v>514</v>
      </c>
      <c r="BS517" t="s">
        <v>95</v>
      </c>
      <c r="BT517" s="10">
        <v>132289</v>
      </c>
      <c r="BU517" s="11">
        <v>32890</v>
      </c>
      <c r="BV517" s="10">
        <v>782</v>
      </c>
      <c r="BW517" s="1" t="str">
        <f>IF(BS517=$CA$12,COUNTIF($BS$4:BS517,$CA$12),"")</f>
        <v/>
      </c>
    </row>
    <row r="518" spans="5:75" x14ac:dyDescent="0.25">
      <c r="E518">
        <v>515</v>
      </c>
      <c r="F518" t="s">
        <v>618</v>
      </c>
      <c r="G518" t="s">
        <v>95</v>
      </c>
      <c r="H518" t="s">
        <v>714</v>
      </c>
      <c r="I518" s="10">
        <v>43420</v>
      </c>
      <c r="J518" s="11">
        <v>17221</v>
      </c>
      <c r="K518" s="10">
        <v>716</v>
      </c>
      <c r="BE518">
        <v>515</v>
      </c>
      <c r="BF518" t="s">
        <v>618</v>
      </c>
      <c r="BG518" t="s">
        <v>714</v>
      </c>
      <c r="BH518" s="10">
        <v>43420</v>
      </c>
      <c r="BI518" s="11">
        <v>17221</v>
      </c>
      <c r="BJ518" t="s">
        <v>95</v>
      </c>
      <c r="BK518" s="10">
        <v>716</v>
      </c>
      <c r="BR518">
        <v>515</v>
      </c>
      <c r="BS518" t="s">
        <v>95</v>
      </c>
      <c r="BT518" s="10">
        <v>43420</v>
      </c>
      <c r="BU518" s="11">
        <v>17221</v>
      </c>
      <c r="BV518" s="10">
        <v>716</v>
      </c>
      <c r="BW518" s="1" t="str">
        <f>IF(BS518=$CA$12,COUNTIF($BS$4:BS518,$CA$12),"")</f>
        <v/>
      </c>
    </row>
    <row r="519" spans="5:75" x14ac:dyDescent="0.25">
      <c r="E519">
        <v>516</v>
      </c>
      <c r="F519" t="s">
        <v>619</v>
      </c>
      <c r="G519" t="s">
        <v>95</v>
      </c>
      <c r="H519" t="s">
        <v>715</v>
      </c>
      <c r="I519" s="10">
        <v>99974</v>
      </c>
      <c r="J519" s="11">
        <v>22148</v>
      </c>
      <c r="K519" s="10">
        <v>1456</v>
      </c>
      <c r="BE519">
        <v>516</v>
      </c>
      <c r="BF519" t="s">
        <v>619</v>
      </c>
      <c r="BG519" t="s">
        <v>715</v>
      </c>
      <c r="BH519" s="10">
        <v>99974</v>
      </c>
      <c r="BI519" s="11">
        <v>22148</v>
      </c>
      <c r="BJ519" t="s">
        <v>95</v>
      </c>
      <c r="BK519" s="10">
        <v>1456</v>
      </c>
      <c r="BR519">
        <v>516</v>
      </c>
      <c r="BS519" t="s">
        <v>95</v>
      </c>
      <c r="BT519" s="10">
        <v>99974</v>
      </c>
      <c r="BU519" s="11">
        <v>22148</v>
      </c>
      <c r="BV519" s="10">
        <v>1456</v>
      </c>
      <c r="BW519" s="1" t="str">
        <f>IF(BS519=$CA$12,COUNTIF($BS$4:BS519,$CA$12),"")</f>
        <v/>
      </c>
    </row>
    <row r="520" spans="5:75" x14ac:dyDescent="0.25">
      <c r="E520">
        <v>517</v>
      </c>
      <c r="F520" t="s">
        <v>620</v>
      </c>
      <c r="G520" t="s">
        <v>96</v>
      </c>
      <c r="H520" t="s">
        <v>704</v>
      </c>
      <c r="I520" s="10">
        <v>55228</v>
      </c>
      <c r="J520" s="11">
        <v>15762</v>
      </c>
      <c r="K520" s="10">
        <v>1566</v>
      </c>
      <c r="BE520">
        <v>517</v>
      </c>
      <c r="BF520" t="s">
        <v>620</v>
      </c>
      <c r="BG520" t="s">
        <v>704</v>
      </c>
      <c r="BH520" s="10">
        <v>55228</v>
      </c>
      <c r="BI520" s="11">
        <v>15762</v>
      </c>
      <c r="BJ520" t="s">
        <v>96</v>
      </c>
      <c r="BK520" s="10">
        <v>1566</v>
      </c>
      <c r="BR520">
        <v>517</v>
      </c>
      <c r="BS520" t="s">
        <v>96</v>
      </c>
      <c r="BT520" s="10">
        <v>55228</v>
      </c>
      <c r="BU520" s="11">
        <v>15762</v>
      </c>
      <c r="BV520" s="10">
        <v>1566</v>
      </c>
      <c r="BW520" s="1" t="str">
        <f>IF(BS520=$CA$12,COUNTIF($BS$4:BS520,$CA$12),"")</f>
        <v/>
      </c>
    </row>
    <row r="521" spans="5:75" x14ac:dyDescent="0.25">
      <c r="E521">
        <v>518</v>
      </c>
      <c r="F521" t="s">
        <v>621</v>
      </c>
      <c r="G521" t="s">
        <v>96</v>
      </c>
      <c r="H521" t="s">
        <v>705</v>
      </c>
      <c r="I521" s="10">
        <v>86927</v>
      </c>
      <c r="J521" s="11">
        <v>31406</v>
      </c>
      <c r="K521" s="10">
        <v>1675</v>
      </c>
      <c r="BE521">
        <v>518</v>
      </c>
      <c r="BF521" t="s">
        <v>621</v>
      </c>
      <c r="BG521" t="s">
        <v>705</v>
      </c>
      <c r="BH521" s="10">
        <v>86927</v>
      </c>
      <c r="BI521" s="11">
        <v>31406</v>
      </c>
      <c r="BJ521" t="s">
        <v>96</v>
      </c>
      <c r="BK521" s="10">
        <v>1675</v>
      </c>
      <c r="BR521">
        <v>518</v>
      </c>
      <c r="BS521" t="s">
        <v>96</v>
      </c>
      <c r="BT521" s="10">
        <v>86927</v>
      </c>
      <c r="BU521" s="11">
        <v>31406</v>
      </c>
      <c r="BV521" s="10">
        <v>1675</v>
      </c>
      <c r="BW521" s="1" t="str">
        <f>IF(BS521=$CA$12,COUNTIF($BS$4:BS521,$CA$12),"")</f>
        <v/>
      </c>
    </row>
    <row r="522" spans="5:75" x14ac:dyDescent="0.25">
      <c r="E522">
        <v>519</v>
      </c>
      <c r="F522" t="s">
        <v>622</v>
      </c>
      <c r="G522" t="s">
        <v>96</v>
      </c>
      <c r="H522" t="s">
        <v>706</v>
      </c>
      <c r="I522" s="10">
        <v>11270</v>
      </c>
      <c r="J522" s="11">
        <v>2864</v>
      </c>
      <c r="K522" s="10">
        <v>268</v>
      </c>
      <c r="BE522">
        <v>519</v>
      </c>
      <c r="BF522" t="s">
        <v>622</v>
      </c>
      <c r="BG522" t="s">
        <v>706</v>
      </c>
      <c r="BH522" s="10">
        <v>11270</v>
      </c>
      <c r="BI522" s="11">
        <v>2864</v>
      </c>
      <c r="BJ522" t="s">
        <v>96</v>
      </c>
      <c r="BK522" s="10">
        <v>268</v>
      </c>
      <c r="BR522">
        <v>519</v>
      </c>
      <c r="BS522" t="s">
        <v>96</v>
      </c>
      <c r="BT522" s="10">
        <v>11270</v>
      </c>
      <c r="BU522" s="11">
        <v>2864</v>
      </c>
      <c r="BV522" s="10">
        <v>268</v>
      </c>
      <c r="BW522" s="1" t="str">
        <f>IF(BS522=$CA$12,COUNTIF($BS$4:BS522,$CA$12),"")</f>
        <v/>
      </c>
    </row>
    <row r="523" spans="5:75" x14ac:dyDescent="0.25">
      <c r="E523">
        <v>520</v>
      </c>
      <c r="F523" t="s">
        <v>623</v>
      </c>
      <c r="G523" t="s">
        <v>96</v>
      </c>
      <c r="H523" t="s">
        <v>707</v>
      </c>
      <c r="I523" s="10">
        <v>149316</v>
      </c>
      <c r="J523" s="11">
        <v>46107</v>
      </c>
      <c r="K523" s="10">
        <v>887</v>
      </c>
      <c r="BE523">
        <v>520</v>
      </c>
      <c r="BF523" t="s">
        <v>623</v>
      </c>
      <c r="BG523" t="s">
        <v>707</v>
      </c>
      <c r="BH523" s="10">
        <v>149316</v>
      </c>
      <c r="BI523" s="11">
        <v>46107</v>
      </c>
      <c r="BJ523" t="s">
        <v>96</v>
      </c>
      <c r="BK523" s="10">
        <v>887</v>
      </c>
      <c r="BR523">
        <v>520</v>
      </c>
      <c r="BS523" t="s">
        <v>96</v>
      </c>
      <c r="BT523" s="10">
        <v>149316</v>
      </c>
      <c r="BU523" s="11">
        <v>46107</v>
      </c>
      <c r="BV523" s="10">
        <v>887</v>
      </c>
      <c r="BW523" s="1" t="str">
        <f>IF(BS523=$CA$12,COUNTIF($BS$4:BS523,$CA$12),"")</f>
        <v/>
      </c>
    </row>
    <row r="524" spans="5:75" x14ac:dyDescent="0.25">
      <c r="E524">
        <v>521</v>
      </c>
      <c r="F524" t="s">
        <v>624</v>
      </c>
      <c r="G524" t="s">
        <v>96</v>
      </c>
      <c r="H524" t="s">
        <v>708</v>
      </c>
      <c r="I524" s="10">
        <v>133071</v>
      </c>
      <c r="J524" s="11">
        <v>32252</v>
      </c>
      <c r="K524" s="10">
        <v>2976</v>
      </c>
      <c r="BE524">
        <v>521</v>
      </c>
      <c r="BF524" t="s">
        <v>624</v>
      </c>
      <c r="BG524" t="s">
        <v>708</v>
      </c>
      <c r="BH524" s="10">
        <v>133071</v>
      </c>
      <c r="BI524" s="11">
        <v>32252</v>
      </c>
      <c r="BJ524" t="s">
        <v>96</v>
      </c>
      <c r="BK524" s="10">
        <v>2976</v>
      </c>
      <c r="BR524">
        <v>521</v>
      </c>
      <c r="BS524" t="s">
        <v>96</v>
      </c>
      <c r="BT524" s="10">
        <v>133071</v>
      </c>
      <c r="BU524" s="11">
        <v>32252</v>
      </c>
      <c r="BV524" s="10">
        <v>2976</v>
      </c>
      <c r="BW524" s="1" t="str">
        <f>IF(BS524=$CA$12,COUNTIF($BS$4:BS524,$CA$12),"")</f>
        <v/>
      </c>
    </row>
    <row r="525" spans="5:75" x14ac:dyDescent="0.25">
      <c r="E525">
        <v>522</v>
      </c>
      <c r="F525" t="s">
        <v>625</v>
      </c>
      <c r="G525" t="s">
        <v>96</v>
      </c>
      <c r="H525" t="s">
        <v>709</v>
      </c>
      <c r="I525" s="10">
        <v>114417</v>
      </c>
      <c r="J525" s="11">
        <v>23662</v>
      </c>
      <c r="K525" s="10">
        <v>203</v>
      </c>
      <c r="BE525">
        <v>522</v>
      </c>
      <c r="BF525" t="s">
        <v>625</v>
      </c>
      <c r="BG525" t="s">
        <v>709</v>
      </c>
      <c r="BH525" s="10">
        <v>114417</v>
      </c>
      <c r="BI525" s="11">
        <v>23662</v>
      </c>
      <c r="BJ525" t="s">
        <v>96</v>
      </c>
      <c r="BK525" s="10">
        <v>203</v>
      </c>
      <c r="BR525">
        <v>522</v>
      </c>
      <c r="BS525" t="s">
        <v>96</v>
      </c>
      <c r="BT525" s="10">
        <v>114417</v>
      </c>
      <c r="BU525" s="11">
        <v>23662</v>
      </c>
      <c r="BV525" s="10">
        <v>203</v>
      </c>
      <c r="BW525" s="1" t="str">
        <f>IF(BS525=$CA$12,COUNTIF($BS$4:BS525,$CA$12),"")</f>
        <v/>
      </c>
    </row>
    <row r="526" spans="5:75" x14ac:dyDescent="0.25">
      <c r="E526">
        <v>523</v>
      </c>
      <c r="F526" t="s">
        <v>626</v>
      </c>
      <c r="G526" t="s">
        <v>96</v>
      </c>
      <c r="H526" t="s">
        <v>710</v>
      </c>
      <c r="I526" s="10">
        <v>149954</v>
      </c>
      <c r="J526" s="11">
        <v>46144</v>
      </c>
      <c r="K526" s="10">
        <v>760</v>
      </c>
      <c r="BE526">
        <v>523</v>
      </c>
      <c r="BF526" t="s">
        <v>626</v>
      </c>
      <c r="BG526" t="s">
        <v>710</v>
      </c>
      <c r="BH526" s="10">
        <v>149954</v>
      </c>
      <c r="BI526" s="11">
        <v>46144</v>
      </c>
      <c r="BJ526" t="s">
        <v>96</v>
      </c>
      <c r="BK526" s="10">
        <v>760</v>
      </c>
      <c r="BR526">
        <v>523</v>
      </c>
      <c r="BS526" t="s">
        <v>96</v>
      </c>
      <c r="BT526" s="10">
        <v>149954</v>
      </c>
      <c r="BU526" s="11">
        <v>46144</v>
      </c>
      <c r="BV526" s="10">
        <v>760</v>
      </c>
      <c r="BW526" s="1" t="str">
        <f>IF(BS526=$CA$12,COUNTIF($BS$4:BS526,$CA$12),"")</f>
        <v/>
      </c>
    </row>
    <row r="527" spans="5:75" x14ac:dyDescent="0.25">
      <c r="E527">
        <v>524</v>
      </c>
      <c r="F527" t="s">
        <v>627</v>
      </c>
      <c r="G527" t="s">
        <v>96</v>
      </c>
      <c r="H527" t="s">
        <v>711</v>
      </c>
      <c r="I527" s="10">
        <v>22173</v>
      </c>
      <c r="J527" s="11">
        <v>8456</v>
      </c>
      <c r="K527" s="10">
        <v>144</v>
      </c>
      <c r="BE527">
        <v>524</v>
      </c>
      <c r="BF527" t="s">
        <v>627</v>
      </c>
      <c r="BG527" t="s">
        <v>711</v>
      </c>
      <c r="BH527" s="10">
        <v>22173</v>
      </c>
      <c r="BI527" s="11">
        <v>8456</v>
      </c>
      <c r="BJ527" t="s">
        <v>96</v>
      </c>
      <c r="BK527" s="10">
        <v>144</v>
      </c>
      <c r="BR527">
        <v>524</v>
      </c>
      <c r="BS527" t="s">
        <v>96</v>
      </c>
      <c r="BT527" s="10">
        <v>22173</v>
      </c>
      <c r="BU527" s="11">
        <v>8456</v>
      </c>
      <c r="BV527" s="10">
        <v>144</v>
      </c>
      <c r="BW527" s="1" t="str">
        <f>IF(BS527=$CA$12,COUNTIF($BS$4:BS527,$CA$12),"")</f>
        <v/>
      </c>
    </row>
    <row r="528" spans="5:75" x14ac:dyDescent="0.25">
      <c r="E528">
        <v>525</v>
      </c>
      <c r="F528" t="s">
        <v>628</v>
      </c>
      <c r="G528" t="s">
        <v>96</v>
      </c>
      <c r="H528" t="s">
        <v>712</v>
      </c>
      <c r="I528" s="10">
        <v>84918</v>
      </c>
      <c r="J528" s="11">
        <v>19964</v>
      </c>
      <c r="K528" s="10">
        <v>1021</v>
      </c>
      <c r="BE528">
        <v>525</v>
      </c>
      <c r="BF528" t="s">
        <v>628</v>
      </c>
      <c r="BG528" t="s">
        <v>712</v>
      </c>
      <c r="BH528" s="10">
        <v>84918</v>
      </c>
      <c r="BI528" s="11">
        <v>19964</v>
      </c>
      <c r="BJ528" t="s">
        <v>96</v>
      </c>
      <c r="BK528" s="10">
        <v>1021</v>
      </c>
      <c r="BR528">
        <v>525</v>
      </c>
      <c r="BS528" t="s">
        <v>96</v>
      </c>
      <c r="BT528" s="10">
        <v>84918</v>
      </c>
      <c r="BU528" s="11">
        <v>19964</v>
      </c>
      <c r="BV528" s="10">
        <v>1021</v>
      </c>
      <c r="BW528" s="1" t="str">
        <f>IF(BS528=$CA$12,COUNTIF($BS$4:BS528,$CA$12),"")</f>
        <v/>
      </c>
    </row>
    <row r="529" spans="5:75" x14ac:dyDescent="0.25">
      <c r="E529">
        <v>526</v>
      </c>
      <c r="F529" t="s">
        <v>629</v>
      </c>
      <c r="G529" t="s">
        <v>96</v>
      </c>
      <c r="H529" t="s">
        <v>713</v>
      </c>
      <c r="I529" s="10">
        <v>61124</v>
      </c>
      <c r="J529" s="11">
        <v>21856</v>
      </c>
      <c r="K529" s="10">
        <v>603</v>
      </c>
      <c r="BE529">
        <v>526</v>
      </c>
      <c r="BF529" t="s">
        <v>629</v>
      </c>
      <c r="BG529" t="s">
        <v>713</v>
      </c>
      <c r="BH529" s="10">
        <v>61124</v>
      </c>
      <c r="BI529" s="11">
        <v>21856</v>
      </c>
      <c r="BJ529" t="s">
        <v>96</v>
      </c>
      <c r="BK529" s="10">
        <v>603</v>
      </c>
      <c r="BR529">
        <v>526</v>
      </c>
      <c r="BS529" t="s">
        <v>96</v>
      </c>
      <c r="BT529" s="10">
        <v>61124</v>
      </c>
      <c r="BU529" s="11">
        <v>21856</v>
      </c>
      <c r="BV529" s="10">
        <v>603</v>
      </c>
      <c r="BW529" s="1" t="str">
        <f>IF(BS529=$CA$12,COUNTIF($BS$4:BS529,$CA$12),"")</f>
        <v/>
      </c>
    </row>
    <row r="530" spans="5:75" x14ac:dyDescent="0.25">
      <c r="E530">
        <v>527</v>
      </c>
      <c r="F530" t="s">
        <v>630</v>
      </c>
      <c r="G530" t="s">
        <v>96</v>
      </c>
      <c r="H530" t="s">
        <v>714</v>
      </c>
      <c r="I530" s="10">
        <v>16468</v>
      </c>
      <c r="J530" s="11">
        <v>5386</v>
      </c>
      <c r="K530" s="10">
        <v>474</v>
      </c>
      <c r="BE530">
        <v>527</v>
      </c>
      <c r="BF530" t="s">
        <v>630</v>
      </c>
      <c r="BG530" t="s">
        <v>714</v>
      </c>
      <c r="BH530" s="10">
        <v>16468</v>
      </c>
      <c r="BI530" s="11">
        <v>5386</v>
      </c>
      <c r="BJ530" t="s">
        <v>96</v>
      </c>
      <c r="BK530" s="10">
        <v>474</v>
      </c>
      <c r="BR530">
        <v>527</v>
      </c>
      <c r="BS530" t="s">
        <v>96</v>
      </c>
      <c r="BT530" s="10">
        <v>16468</v>
      </c>
      <c r="BU530" s="11">
        <v>5386</v>
      </c>
      <c r="BV530" s="10">
        <v>474</v>
      </c>
      <c r="BW530" s="1" t="str">
        <f>IF(BS530=$CA$12,COUNTIF($BS$4:BS530,$CA$12),"")</f>
        <v/>
      </c>
    </row>
    <row r="531" spans="5:75" x14ac:dyDescent="0.25">
      <c r="E531">
        <v>528</v>
      </c>
      <c r="F531" t="s">
        <v>631</v>
      </c>
      <c r="G531" t="s">
        <v>96</v>
      </c>
      <c r="H531" t="s">
        <v>715</v>
      </c>
      <c r="I531" s="10">
        <v>37819</v>
      </c>
      <c r="J531" s="11">
        <v>12916</v>
      </c>
      <c r="K531" s="10">
        <v>774</v>
      </c>
      <c r="BE531">
        <v>528</v>
      </c>
      <c r="BF531" t="s">
        <v>631</v>
      </c>
      <c r="BG531" t="s">
        <v>715</v>
      </c>
      <c r="BH531" s="10">
        <v>37819</v>
      </c>
      <c r="BI531" s="11">
        <v>12916</v>
      </c>
      <c r="BJ531" t="s">
        <v>96</v>
      </c>
      <c r="BK531" s="10">
        <v>774</v>
      </c>
      <c r="BR531">
        <v>528</v>
      </c>
      <c r="BS531" t="s">
        <v>96</v>
      </c>
      <c r="BT531" s="10">
        <v>37819</v>
      </c>
      <c r="BU531" s="11">
        <v>12916</v>
      </c>
      <c r="BV531" s="10">
        <v>774</v>
      </c>
      <c r="BW531" s="1" t="str">
        <f>IF(BS531=$CA$12,COUNTIF($BS$4:BS531,$CA$12),"")</f>
        <v/>
      </c>
    </row>
    <row r="532" spans="5:75" x14ac:dyDescent="0.25">
      <c r="E532">
        <v>529</v>
      </c>
      <c r="F532" t="s">
        <v>632</v>
      </c>
      <c r="G532" t="s">
        <v>97</v>
      </c>
      <c r="H532" t="s">
        <v>704</v>
      </c>
      <c r="I532" s="10">
        <v>42913</v>
      </c>
      <c r="J532" s="11">
        <v>14802</v>
      </c>
      <c r="K532" s="10">
        <v>1251</v>
      </c>
      <c r="BE532">
        <v>529</v>
      </c>
      <c r="BF532" t="s">
        <v>632</v>
      </c>
      <c r="BG532" t="s">
        <v>704</v>
      </c>
      <c r="BH532" s="10">
        <v>42913</v>
      </c>
      <c r="BI532" s="11">
        <v>14802</v>
      </c>
      <c r="BJ532" t="s">
        <v>97</v>
      </c>
      <c r="BK532" s="10">
        <v>1251</v>
      </c>
      <c r="BR532">
        <v>529</v>
      </c>
      <c r="BS532" t="s">
        <v>97</v>
      </c>
      <c r="BT532" s="10">
        <v>42913</v>
      </c>
      <c r="BU532" s="11">
        <v>14802</v>
      </c>
      <c r="BV532" s="10">
        <v>1251</v>
      </c>
      <c r="BW532" s="1" t="str">
        <f>IF(BS532=$CA$12,COUNTIF($BS$4:BS532,$CA$12),"")</f>
        <v/>
      </c>
    </row>
    <row r="533" spans="5:75" x14ac:dyDescent="0.25">
      <c r="E533">
        <v>530</v>
      </c>
      <c r="F533" t="s">
        <v>633</v>
      </c>
      <c r="G533" t="s">
        <v>97</v>
      </c>
      <c r="H533" t="s">
        <v>705</v>
      </c>
      <c r="I533" s="10">
        <v>64160</v>
      </c>
      <c r="J533" s="11">
        <v>22859</v>
      </c>
      <c r="K533" s="10">
        <v>850</v>
      </c>
      <c r="BE533">
        <v>530</v>
      </c>
      <c r="BF533" t="s">
        <v>633</v>
      </c>
      <c r="BG533" t="s">
        <v>705</v>
      </c>
      <c r="BH533" s="10">
        <v>64160</v>
      </c>
      <c r="BI533" s="11">
        <v>22859</v>
      </c>
      <c r="BJ533" t="s">
        <v>97</v>
      </c>
      <c r="BK533" s="10">
        <v>850</v>
      </c>
      <c r="BR533">
        <v>530</v>
      </c>
      <c r="BS533" t="s">
        <v>97</v>
      </c>
      <c r="BT533" s="10">
        <v>64160</v>
      </c>
      <c r="BU533" s="11">
        <v>22859</v>
      </c>
      <c r="BV533" s="10">
        <v>850</v>
      </c>
      <c r="BW533" s="1" t="str">
        <f>IF(BS533=$CA$12,COUNTIF($BS$4:BS533,$CA$12),"")</f>
        <v/>
      </c>
    </row>
    <row r="534" spans="5:75" x14ac:dyDescent="0.25">
      <c r="E534">
        <v>531</v>
      </c>
      <c r="F534" t="s">
        <v>634</v>
      </c>
      <c r="G534" t="s">
        <v>97</v>
      </c>
      <c r="H534" t="s">
        <v>706</v>
      </c>
      <c r="I534" s="10">
        <v>115994</v>
      </c>
      <c r="J534" s="11">
        <v>40975</v>
      </c>
      <c r="K534" s="10">
        <v>2500</v>
      </c>
      <c r="BE534">
        <v>531</v>
      </c>
      <c r="BF534" t="s">
        <v>634</v>
      </c>
      <c r="BG534" t="s">
        <v>706</v>
      </c>
      <c r="BH534" s="10">
        <v>115994</v>
      </c>
      <c r="BI534" s="11">
        <v>40975</v>
      </c>
      <c r="BJ534" t="s">
        <v>97</v>
      </c>
      <c r="BK534" s="10">
        <v>2500</v>
      </c>
      <c r="BR534">
        <v>531</v>
      </c>
      <c r="BS534" t="s">
        <v>97</v>
      </c>
      <c r="BT534" s="10">
        <v>115994</v>
      </c>
      <c r="BU534" s="11">
        <v>40975</v>
      </c>
      <c r="BV534" s="10">
        <v>2500</v>
      </c>
      <c r="BW534" s="1" t="str">
        <f>IF(BS534=$CA$12,COUNTIF($BS$4:BS534,$CA$12),"")</f>
        <v/>
      </c>
    </row>
    <row r="535" spans="5:75" x14ac:dyDescent="0.25">
      <c r="E535">
        <v>532</v>
      </c>
      <c r="F535" t="s">
        <v>635</v>
      </c>
      <c r="G535" t="s">
        <v>97</v>
      </c>
      <c r="H535" t="s">
        <v>707</v>
      </c>
      <c r="I535" s="10">
        <v>20979</v>
      </c>
      <c r="J535" s="11">
        <v>7833</v>
      </c>
      <c r="K535" s="10">
        <v>280</v>
      </c>
      <c r="BE535">
        <v>532</v>
      </c>
      <c r="BF535" t="s">
        <v>635</v>
      </c>
      <c r="BG535" t="s">
        <v>707</v>
      </c>
      <c r="BH535" s="10">
        <v>20979</v>
      </c>
      <c r="BI535" s="11">
        <v>7833</v>
      </c>
      <c r="BJ535" t="s">
        <v>97</v>
      </c>
      <c r="BK535" s="10">
        <v>280</v>
      </c>
      <c r="BR535">
        <v>532</v>
      </c>
      <c r="BS535" t="s">
        <v>97</v>
      </c>
      <c r="BT535" s="10">
        <v>20979</v>
      </c>
      <c r="BU535" s="11">
        <v>7833</v>
      </c>
      <c r="BV535" s="10">
        <v>280</v>
      </c>
      <c r="BW535" s="1" t="str">
        <f>IF(BS535=$CA$12,COUNTIF($BS$4:BS535,$CA$12),"")</f>
        <v/>
      </c>
    </row>
    <row r="536" spans="5:75" x14ac:dyDescent="0.25">
      <c r="E536">
        <v>533</v>
      </c>
      <c r="F536" t="s">
        <v>636</v>
      </c>
      <c r="G536" t="s">
        <v>97</v>
      </c>
      <c r="H536" t="s">
        <v>708</v>
      </c>
      <c r="I536" s="10">
        <v>84771</v>
      </c>
      <c r="J536" s="11">
        <v>24090</v>
      </c>
      <c r="K536" s="10">
        <v>803</v>
      </c>
      <c r="BE536">
        <v>533</v>
      </c>
      <c r="BF536" t="s">
        <v>636</v>
      </c>
      <c r="BG536" t="s">
        <v>708</v>
      </c>
      <c r="BH536" s="10">
        <v>84771</v>
      </c>
      <c r="BI536" s="11">
        <v>24090</v>
      </c>
      <c r="BJ536" t="s">
        <v>97</v>
      </c>
      <c r="BK536" s="10">
        <v>803</v>
      </c>
      <c r="BR536">
        <v>533</v>
      </c>
      <c r="BS536" t="s">
        <v>97</v>
      </c>
      <c r="BT536" s="10">
        <v>84771</v>
      </c>
      <c r="BU536" s="11">
        <v>24090</v>
      </c>
      <c r="BV536" s="10">
        <v>803</v>
      </c>
      <c r="BW536" s="1" t="str">
        <f>IF(BS536=$CA$12,COUNTIF($BS$4:BS536,$CA$12),"")</f>
        <v/>
      </c>
    </row>
    <row r="537" spans="5:75" x14ac:dyDescent="0.25">
      <c r="E537">
        <v>534</v>
      </c>
      <c r="F537" t="s">
        <v>637</v>
      </c>
      <c r="G537" t="s">
        <v>97</v>
      </c>
      <c r="H537" t="s">
        <v>709</v>
      </c>
      <c r="I537" s="10">
        <v>80166</v>
      </c>
      <c r="J537" s="11">
        <v>20754</v>
      </c>
      <c r="K537" s="10">
        <v>1286</v>
      </c>
      <c r="BE537">
        <v>534</v>
      </c>
      <c r="BF537" t="s">
        <v>637</v>
      </c>
      <c r="BG537" t="s">
        <v>709</v>
      </c>
      <c r="BH537" s="10">
        <v>80166</v>
      </c>
      <c r="BI537" s="11">
        <v>20754</v>
      </c>
      <c r="BJ537" t="s">
        <v>97</v>
      </c>
      <c r="BK537" s="10">
        <v>1286</v>
      </c>
      <c r="BR537">
        <v>534</v>
      </c>
      <c r="BS537" t="s">
        <v>97</v>
      </c>
      <c r="BT537" s="10">
        <v>80166</v>
      </c>
      <c r="BU537" s="11">
        <v>20754</v>
      </c>
      <c r="BV537" s="10">
        <v>1286</v>
      </c>
      <c r="BW537" s="1" t="str">
        <f>IF(BS537=$CA$12,COUNTIF($BS$4:BS537,$CA$12),"")</f>
        <v/>
      </c>
    </row>
    <row r="538" spans="5:75" x14ac:dyDescent="0.25">
      <c r="E538">
        <v>535</v>
      </c>
      <c r="F538" t="s">
        <v>638</v>
      </c>
      <c r="G538" t="s">
        <v>97</v>
      </c>
      <c r="H538" t="s">
        <v>710</v>
      </c>
      <c r="I538" s="10">
        <v>22718</v>
      </c>
      <c r="J538" s="11">
        <v>6945</v>
      </c>
      <c r="K538" s="10">
        <v>227</v>
      </c>
      <c r="BE538">
        <v>535</v>
      </c>
      <c r="BF538" t="s">
        <v>638</v>
      </c>
      <c r="BG538" t="s">
        <v>710</v>
      </c>
      <c r="BH538" s="10">
        <v>22718</v>
      </c>
      <c r="BI538" s="11">
        <v>6945</v>
      </c>
      <c r="BJ538" t="s">
        <v>97</v>
      </c>
      <c r="BK538" s="10">
        <v>227</v>
      </c>
      <c r="BR538">
        <v>535</v>
      </c>
      <c r="BS538" t="s">
        <v>97</v>
      </c>
      <c r="BT538" s="10">
        <v>22718</v>
      </c>
      <c r="BU538" s="11">
        <v>6945</v>
      </c>
      <c r="BV538" s="10">
        <v>227</v>
      </c>
      <c r="BW538" s="1" t="str">
        <f>IF(BS538=$CA$12,COUNTIF($BS$4:BS538,$CA$12),"")</f>
        <v/>
      </c>
    </row>
    <row r="539" spans="5:75" x14ac:dyDescent="0.25">
      <c r="E539">
        <v>536</v>
      </c>
      <c r="F539" t="s">
        <v>639</v>
      </c>
      <c r="G539" t="s">
        <v>97</v>
      </c>
      <c r="H539" t="s">
        <v>711</v>
      </c>
      <c r="I539" s="10">
        <v>138440</v>
      </c>
      <c r="J539" s="11">
        <v>50215</v>
      </c>
      <c r="K539" s="10">
        <v>4467</v>
      </c>
      <c r="BE539">
        <v>536</v>
      </c>
      <c r="BF539" t="s">
        <v>639</v>
      </c>
      <c r="BG539" t="s">
        <v>711</v>
      </c>
      <c r="BH539" s="10">
        <v>138440</v>
      </c>
      <c r="BI539" s="11">
        <v>50215</v>
      </c>
      <c r="BJ539" t="s">
        <v>97</v>
      </c>
      <c r="BK539" s="10">
        <v>4467</v>
      </c>
      <c r="BR539">
        <v>536</v>
      </c>
      <c r="BS539" t="s">
        <v>97</v>
      </c>
      <c r="BT539" s="10">
        <v>138440</v>
      </c>
      <c r="BU539" s="11">
        <v>50215</v>
      </c>
      <c r="BV539" s="10">
        <v>4467</v>
      </c>
      <c r="BW539" s="1" t="str">
        <f>IF(BS539=$CA$12,COUNTIF($BS$4:BS539,$CA$12),"")</f>
        <v/>
      </c>
    </row>
    <row r="540" spans="5:75" x14ac:dyDescent="0.25">
      <c r="E540">
        <v>537</v>
      </c>
      <c r="F540" t="s">
        <v>640</v>
      </c>
      <c r="G540" t="s">
        <v>97</v>
      </c>
      <c r="H540" t="s">
        <v>712</v>
      </c>
      <c r="I540" s="10">
        <v>16231</v>
      </c>
      <c r="J540" s="11">
        <v>3978</v>
      </c>
      <c r="K540" s="10">
        <v>73</v>
      </c>
      <c r="BE540">
        <v>537</v>
      </c>
      <c r="BF540" t="s">
        <v>640</v>
      </c>
      <c r="BG540" t="s">
        <v>712</v>
      </c>
      <c r="BH540" s="10">
        <v>16231</v>
      </c>
      <c r="BI540" s="11">
        <v>3978</v>
      </c>
      <c r="BJ540" t="s">
        <v>97</v>
      </c>
      <c r="BK540" s="10">
        <v>73</v>
      </c>
      <c r="BR540">
        <v>537</v>
      </c>
      <c r="BS540" t="s">
        <v>97</v>
      </c>
      <c r="BT540" s="10">
        <v>16231</v>
      </c>
      <c r="BU540" s="11">
        <v>3978</v>
      </c>
      <c r="BV540" s="10">
        <v>73</v>
      </c>
      <c r="BW540" s="1" t="str">
        <f>IF(BS540=$CA$12,COUNTIF($BS$4:BS540,$CA$12),"")</f>
        <v/>
      </c>
    </row>
    <row r="541" spans="5:75" x14ac:dyDescent="0.25">
      <c r="E541">
        <v>538</v>
      </c>
      <c r="F541" t="s">
        <v>641</v>
      </c>
      <c r="G541" t="s">
        <v>97</v>
      </c>
      <c r="H541" t="s">
        <v>713</v>
      </c>
      <c r="I541" s="10">
        <v>67106</v>
      </c>
      <c r="J541" s="11">
        <v>25502</v>
      </c>
      <c r="K541" s="10">
        <v>2208</v>
      </c>
      <c r="BE541">
        <v>538</v>
      </c>
      <c r="BF541" t="s">
        <v>641</v>
      </c>
      <c r="BG541" t="s">
        <v>713</v>
      </c>
      <c r="BH541" s="10">
        <v>67106</v>
      </c>
      <c r="BI541" s="11">
        <v>25502</v>
      </c>
      <c r="BJ541" t="s">
        <v>97</v>
      </c>
      <c r="BK541" s="10">
        <v>2208</v>
      </c>
      <c r="BR541">
        <v>538</v>
      </c>
      <c r="BS541" t="s">
        <v>97</v>
      </c>
      <c r="BT541" s="10">
        <v>67106</v>
      </c>
      <c r="BU541" s="11">
        <v>25502</v>
      </c>
      <c r="BV541" s="10">
        <v>2208</v>
      </c>
      <c r="BW541" s="1" t="str">
        <f>IF(BS541=$CA$12,COUNTIF($BS$4:BS541,$CA$12),"")</f>
        <v/>
      </c>
    </row>
    <row r="542" spans="5:75" x14ac:dyDescent="0.25">
      <c r="E542">
        <v>539</v>
      </c>
      <c r="F542" t="s">
        <v>642</v>
      </c>
      <c r="G542" t="s">
        <v>97</v>
      </c>
      <c r="H542" t="s">
        <v>714</v>
      </c>
      <c r="I542" s="10">
        <v>146633</v>
      </c>
      <c r="J542" s="11">
        <v>34144</v>
      </c>
      <c r="K542" s="10">
        <v>355</v>
      </c>
      <c r="BE542">
        <v>539</v>
      </c>
      <c r="BF542" t="s">
        <v>642</v>
      </c>
      <c r="BG542" t="s">
        <v>714</v>
      </c>
      <c r="BH542" s="10">
        <v>146633</v>
      </c>
      <c r="BI542" s="11">
        <v>34144</v>
      </c>
      <c r="BJ542" t="s">
        <v>97</v>
      </c>
      <c r="BK542" s="10">
        <v>355</v>
      </c>
      <c r="BR542">
        <v>539</v>
      </c>
      <c r="BS542" t="s">
        <v>97</v>
      </c>
      <c r="BT542" s="10">
        <v>146633</v>
      </c>
      <c r="BU542" s="11">
        <v>34144</v>
      </c>
      <c r="BV542" s="10">
        <v>355</v>
      </c>
      <c r="BW542" s="1" t="str">
        <f>IF(BS542=$CA$12,COUNTIF($BS$4:BS542,$CA$12),"")</f>
        <v/>
      </c>
    </row>
    <row r="543" spans="5:75" x14ac:dyDescent="0.25">
      <c r="E543">
        <v>540</v>
      </c>
      <c r="F543" t="s">
        <v>643</v>
      </c>
      <c r="G543" t="s">
        <v>97</v>
      </c>
      <c r="H543" t="s">
        <v>715</v>
      </c>
      <c r="I543" s="10">
        <v>53412</v>
      </c>
      <c r="J543" s="11">
        <v>17831</v>
      </c>
      <c r="K543" s="10">
        <v>1389</v>
      </c>
      <c r="BE543">
        <v>540</v>
      </c>
      <c r="BF543" t="s">
        <v>643</v>
      </c>
      <c r="BG543" t="s">
        <v>715</v>
      </c>
      <c r="BH543" s="10">
        <v>53412</v>
      </c>
      <c r="BI543" s="11">
        <v>17831</v>
      </c>
      <c r="BJ543" t="s">
        <v>97</v>
      </c>
      <c r="BK543" s="10">
        <v>1389</v>
      </c>
      <c r="BR543">
        <v>540</v>
      </c>
      <c r="BS543" t="s">
        <v>97</v>
      </c>
      <c r="BT543" s="10">
        <v>53412</v>
      </c>
      <c r="BU543" s="11">
        <v>17831</v>
      </c>
      <c r="BV543" s="10">
        <v>1389</v>
      </c>
      <c r="BW543" s="1" t="str">
        <f>IF(BS543=$CA$12,COUNTIF($BS$4:BS543,$CA$12),"")</f>
        <v/>
      </c>
    </row>
    <row r="544" spans="5:75" x14ac:dyDescent="0.25">
      <c r="E544">
        <v>541</v>
      </c>
      <c r="F544" t="s">
        <v>644</v>
      </c>
      <c r="G544" t="s">
        <v>98</v>
      </c>
      <c r="H544" t="s">
        <v>704</v>
      </c>
      <c r="I544" s="10">
        <v>135167</v>
      </c>
      <c r="J544" s="11">
        <v>34511</v>
      </c>
      <c r="K544" s="10">
        <v>2147</v>
      </c>
      <c r="BE544">
        <v>541</v>
      </c>
      <c r="BF544" t="s">
        <v>644</v>
      </c>
      <c r="BG544" t="s">
        <v>704</v>
      </c>
      <c r="BH544" s="10">
        <v>135167</v>
      </c>
      <c r="BI544" s="11">
        <v>34511</v>
      </c>
      <c r="BJ544" t="s">
        <v>98</v>
      </c>
      <c r="BK544" s="10">
        <v>2147</v>
      </c>
      <c r="BR544">
        <v>541</v>
      </c>
      <c r="BS544" t="s">
        <v>98</v>
      </c>
      <c r="BT544" s="10">
        <v>135167</v>
      </c>
      <c r="BU544" s="11">
        <v>34511</v>
      </c>
      <c r="BV544" s="10">
        <v>2147</v>
      </c>
      <c r="BW544" s="1" t="str">
        <f>IF(BS544=$CA$12,COUNTIF($BS$4:BS544,$CA$12),"")</f>
        <v/>
      </c>
    </row>
    <row r="545" spans="5:75" x14ac:dyDescent="0.25">
      <c r="E545">
        <v>542</v>
      </c>
      <c r="F545" t="s">
        <v>645</v>
      </c>
      <c r="G545" t="s">
        <v>98</v>
      </c>
      <c r="H545" t="s">
        <v>705</v>
      </c>
      <c r="I545" s="10">
        <v>130692</v>
      </c>
      <c r="J545" s="11">
        <v>40502</v>
      </c>
      <c r="K545" s="10">
        <v>3182</v>
      </c>
      <c r="BE545">
        <v>542</v>
      </c>
      <c r="BF545" t="s">
        <v>645</v>
      </c>
      <c r="BG545" t="s">
        <v>705</v>
      </c>
      <c r="BH545" s="10">
        <v>130692</v>
      </c>
      <c r="BI545" s="11">
        <v>40502</v>
      </c>
      <c r="BJ545" t="s">
        <v>98</v>
      </c>
      <c r="BK545" s="10">
        <v>3182</v>
      </c>
      <c r="BR545">
        <v>542</v>
      </c>
      <c r="BS545" t="s">
        <v>98</v>
      </c>
      <c r="BT545" s="10">
        <v>130692</v>
      </c>
      <c r="BU545" s="11">
        <v>40502</v>
      </c>
      <c r="BV545" s="10">
        <v>3182</v>
      </c>
      <c r="BW545" s="1" t="str">
        <f>IF(BS545=$CA$12,COUNTIF($BS$4:BS545,$CA$12),"")</f>
        <v/>
      </c>
    </row>
    <row r="546" spans="5:75" x14ac:dyDescent="0.25">
      <c r="E546">
        <v>543</v>
      </c>
      <c r="F546" t="s">
        <v>646</v>
      </c>
      <c r="G546" t="s">
        <v>98</v>
      </c>
      <c r="H546" t="s">
        <v>706</v>
      </c>
      <c r="I546" s="10">
        <v>92350</v>
      </c>
      <c r="J546" s="11">
        <v>23923</v>
      </c>
      <c r="K546" s="10">
        <v>146</v>
      </c>
      <c r="BE546">
        <v>543</v>
      </c>
      <c r="BF546" t="s">
        <v>646</v>
      </c>
      <c r="BG546" t="s">
        <v>706</v>
      </c>
      <c r="BH546" s="10">
        <v>92350</v>
      </c>
      <c r="BI546" s="11">
        <v>23923</v>
      </c>
      <c r="BJ546" t="s">
        <v>98</v>
      </c>
      <c r="BK546" s="10">
        <v>146</v>
      </c>
      <c r="BR546">
        <v>543</v>
      </c>
      <c r="BS546" t="s">
        <v>98</v>
      </c>
      <c r="BT546" s="10">
        <v>92350</v>
      </c>
      <c r="BU546" s="11">
        <v>23923</v>
      </c>
      <c r="BV546" s="10">
        <v>146</v>
      </c>
      <c r="BW546" s="1" t="str">
        <f>IF(BS546=$CA$12,COUNTIF($BS$4:BS546,$CA$12),"")</f>
        <v/>
      </c>
    </row>
    <row r="547" spans="5:75" x14ac:dyDescent="0.25">
      <c r="E547">
        <v>544</v>
      </c>
      <c r="F547" t="s">
        <v>647</v>
      </c>
      <c r="G547" t="s">
        <v>98</v>
      </c>
      <c r="H547" t="s">
        <v>707</v>
      </c>
      <c r="I547" s="10">
        <v>65995</v>
      </c>
      <c r="J547" s="11">
        <v>20254</v>
      </c>
      <c r="K547" s="10">
        <v>1213</v>
      </c>
      <c r="BE547">
        <v>544</v>
      </c>
      <c r="BF547" t="s">
        <v>647</v>
      </c>
      <c r="BG547" t="s">
        <v>707</v>
      </c>
      <c r="BH547" s="10">
        <v>65995</v>
      </c>
      <c r="BI547" s="11">
        <v>20254</v>
      </c>
      <c r="BJ547" t="s">
        <v>98</v>
      </c>
      <c r="BK547" s="10">
        <v>1213</v>
      </c>
      <c r="BR547">
        <v>544</v>
      </c>
      <c r="BS547" t="s">
        <v>98</v>
      </c>
      <c r="BT547" s="10">
        <v>65995</v>
      </c>
      <c r="BU547" s="11">
        <v>20254</v>
      </c>
      <c r="BV547" s="10">
        <v>1213</v>
      </c>
      <c r="BW547" s="1" t="str">
        <f>IF(BS547=$CA$12,COUNTIF($BS$4:BS547,$CA$12),"")</f>
        <v/>
      </c>
    </row>
    <row r="548" spans="5:75" x14ac:dyDescent="0.25">
      <c r="E548">
        <v>545</v>
      </c>
      <c r="F548" t="s">
        <v>648</v>
      </c>
      <c r="G548" t="s">
        <v>98</v>
      </c>
      <c r="H548" t="s">
        <v>708</v>
      </c>
      <c r="I548" s="10">
        <v>74543</v>
      </c>
      <c r="J548" s="11">
        <v>15085</v>
      </c>
      <c r="K548" s="10">
        <v>1343</v>
      </c>
      <c r="BE548">
        <v>545</v>
      </c>
      <c r="BF548" t="s">
        <v>648</v>
      </c>
      <c r="BG548" t="s">
        <v>708</v>
      </c>
      <c r="BH548" s="10">
        <v>74543</v>
      </c>
      <c r="BI548" s="11">
        <v>15085</v>
      </c>
      <c r="BJ548" t="s">
        <v>98</v>
      </c>
      <c r="BK548" s="10">
        <v>1343</v>
      </c>
      <c r="BR548">
        <v>545</v>
      </c>
      <c r="BS548" t="s">
        <v>98</v>
      </c>
      <c r="BT548" s="10">
        <v>74543</v>
      </c>
      <c r="BU548" s="11">
        <v>15085</v>
      </c>
      <c r="BV548" s="10">
        <v>1343</v>
      </c>
      <c r="BW548" s="1" t="str">
        <f>IF(BS548=$CA$12,COUNTIF($BS$4:BS548,$CA$12),"")</f>
        <v/>
      </c>
    </row>
    <row r="549" spans="5:75" x14ac:dyDescent="0.25">
      <c r="E549">
        <v>546</v>
      </c>
      <c r="F549" t="s">
        <v>649</v>
      </c>
      <c r="G549" t="s">
        <v>98</v>
      </c>
      <c r="H549" t="s">
        <v>709</v>
      </c>
      <c r="I549" s="10">
        <v>109278</v>
      </c>
      <c r="J549" s="11">
        <v>42251</v>
      </c>
      <c r="K549" s="10">
        <v>4218</v>
      </c>
      <c r="BE549">
        <v>546</v>
      </c>
      <c r="BF549" t="s">
        <v>649</v>
      </c>
      <c r="BG549" t="s">
        <v>709</v>
      </c>
      <c r="BH549" s="10">
        <v>109278</v>
      </c>
      <c r="BI549" s="11">
        <v>42251</v>
      </c>
      <c r="BJ549" t="s">
        <v>98</v>
      </c>
      <c r="BK549" s="10">
        <v>4218</v>
      </c>
      <c r="BR549">
        <v>546</v>
      </c>
      <c r="BS549" t="s">
        <v>98</v>
      </c>
      <c r="BT549" s="10">
        <v>109278</v>
      </c>
      <c r="BU549" s="11">
        <v>42251</v>
      </c>
      <c r="BV549" s="10">
        <v>4218</v>
      </c>
      <c r="BW549" s="1" t="str">
        <f>IF(BS549=$CA$12,COUNTIF($BS$4:BS549,$CA$12),"")</f>
        <v/>
      </c>
    </row>
    <row r="550" spans="5:75" x14ac:dyDescent="0.25">
      <c r="E550">
        <v>547</v>
      </c>
      <c r="F550" t="s">
        <v>650</v>
      </c>
      <c r="G550" t="s">
        <v>98</v>
      </c>
      <c r="H550" t="s">
        <v>710</v>
      </c>
      <c r="I550" s="10">
        <v>84384</v>
      </c>
      <c r="J550" s="11">
        <v>28912</v>
      </c>
      <c r="K550" s="10">
        <v>1321</v>
      </c>
      <c r="BE550">
        <v>547</v>
      </c>
      <c r="BF550" t="s">
        <v>650</v>
      </c>
      <c r="BG550" t="s">
        <v>710</v>
      </c>
      <c r="BH550" s="10">
        <v>84384</v>
      </c>
      <c r="BI550" s="11">
        <v>28912</v>
      </c>
      <c r="BJ550" t="s">
        <v>98</v>
      </c>
      <c r="BK550" s="10">
        <v>1321</v>
      </c>
      <c r="BR550">
        <v>547</v>
      </c>
      <c r="BS550" t="s">
        <v>98</v>
      </c>
      <c r="BT550" s="10">
        <v>84384</v>
      </c>
      <c r="BU550" s="11">
        <v>28912</v>
      </c>
      <c r="BV550" s="10">
        <v>1321</v>
      </c>
      <c r="BW550" s="1" t="str">
        <f>IF(BS550=$CA$12,COUNTIF($BS$4:BS550,$CA$12),"")</f>
        <v/>
      </c>
    </row>
    <row r="551" spans="5:75" x14ac:dyDescent="0.25">
      <c r="E551">
        <v>548</v>
      </c>
      <c r="F551" t="s">
        <v>651</v>
      </c>
      <c r="G551" t="s">
        <v>98</v>
      </c>
      <c r="H551" t="s">
        <v>711</v>
      </c>
      <c r="I551" s="10">
        <v>80746</v>
      </c>
      <c r="J551" s="11">
        <v>20361</v>
      </c>
      <c r="K551" s="10">
        <v>1448</v>
      </c>
      <c r="BE551">
        <v>548</v>
      </c>
      <c r="BF551" t="s">
        <v>651</v>
      </c>
      <c r="BG551" t="s">
        <v>711</v>
      </c>
      <c r="BH551" s="10">
        <v>80746</v>
      </c>
      <c r="BI551" s="11">
        <v>20361</v>
      </c>
      <c r="BJ551" t="s">
        <v>98</v>
      </c>
      <c r="BK551" s="10">
        <v>1448</v>
      </c>
      <c r="BR551">
        <v>548</v>
      </c>
      <c r="BS551" t="s">
        <v>98</v>
      </c>
      <c r="BT551" s="10">
        <v>80746</v>
      </c>
      <c r="BU551" s="11">
        <v>20361</v>
      </c>
      <c r="BV551" s="10">
        <v>1448</v>
      </c>
      <c r="BW551" s="1" t="str">
        <f>IF(BS551=$CA$12,COUNTIF($BS$4:BS551,$CA$12),"")</f>
        <v/>
      </c>
    </row>
    <row r="552" spans="5:75" x14ac:dyDescent="0.25">
      <c r="E552">
        <v>549</v>
      </c>
      <c r="F552" t="s">
        <v>652</v>
      </c>
      <c r="G552" t="s">
        <v>98</v>
      </c>
      <c r="H552" t="s">
        <v>712</v>
      </c>
      <c r="I552" s="10">
        <v>93462</v>
      </c>
      <c r="J552" s="11">
        <v>20124</v>
      </c>
      <c r="K552" s="10">
        <v>1112</v>
      </c>
      <c r="BE552">
        <v>549</v>
      </c>
      <c r="BF552" t="s">
        <v>652</v>
      </c>
      <c r="BG552" t="s">
        <v>712</v>
      </c>
      <c r="BH552" s="10">
        <v>93462</v>
      </c>
      <c r="BI552" s="11">
        <v>20124</v>
      </c>
      <c r="BJ552" t="s">
        <v>98</v>
      </c>
      <c r="BK552" s="10">
        <v>1112</v>
      </c>
      <c r="BR552">
        <v>549</v>
      </c>
      <c r="BS552" t="s">
        <v>98</v>
      </c>
      <c r="BT552" s="10">
        <v>93462</v>
      </c>
      <c r="BU552" s="11">
        <v>20124</v>
      </c>
      <c r="BV552" s="10">
        <v>1112</v>
      </c>
      <c r="BW552" s="1" t="str">
        <f>IF(BS552=$CA$12,COUNTIF($BS$4:BS552,$CA$12),"")</f>
        <v/>
      </c>
    </row>
    <row r="553" spans="5:75" x14ac:dyDescent="0.25">
      <c r="E553">
        <v>550</v>
      </c>
      <c r="F553" t="s">
        <v>653</v>
      </c>
      <c r="G553" t="s">
        <v>98</v>
      </c>
      <c r="H553" t="s">
        <v>713</v>
      </c>
      <c r="I553" s="10">
        <v>42056</v>
      </c>
      <c r="J553" s="11">
        <v>10746</v>
      </c>
      <c r="K553" s="10">
        <v>176</v>
      </c>
      <c r="BE553">
        <v>550</v>
      </c>
      <c r="BF553" t="s">
        <v>653</v>
      </c>
      <c r="BG553" t="s">
        <v>713</v>
      </c>
      <c r="BH553" s="10">
        <v>42056</v>
      </c>
      <c r="BI553" s="11">
        <v>10746</v>
      </c>
      <c r="BJ553" t="s">
        <v>98</v>
      </c>
      <c r="BK553" s="10">
        <v>176</v>
      </c>
      <c r="BR553">
        <v>550</v>
      </c>
      <c r="BS553" t="s">
        <v>98</v>
      </c>
      <c r="BT553" s="10">
        <v>42056</v>
      </c>
      <c r="BU553" s="11">
        <v>10746</v>
      </c>
      <c r="BV553" s="10">
        <v>176</v>
      </c>
      <c r="BW553" s="1" t="str">
        <f>IF(BS553=$CA$12,COUNTIF($BS$4:BS553,$CA$12),"")</f>
        <v/>
      </c>
    </row>
    <row r="554" spans="5:75" x14ac:dyDescent="0.25">
      <c r="E554">
        <v>551</v>
      </c>
      <c r="F554" t="s">
        <v>654</v>
      </c>
      <c r="G554" t="s">
        <v>98</v>
      </c>
      <c r="H554" t="s">
        <v>714</v>
      </c>
      <c r="I554" s="10">
        <v>84224</v>
      </c>
      <c r="J554" s="11">
        <v>32079</v>
      </c>
      <c r="K554" s="10">
        <v>786</v>
      </c>
      <c r="BE554">
        <v>551</v>
      </c>
      <c r="BF554" t="s">
        <v>654</v>
      </c>
      <c r="BG554" t="s">
        <v>714</v>
      </c>
      <c r="BH554" s="10">
        <v>84224</v>
      </c>
      <c r="BI554" s="11">
        <v>32079</v>
      </c>
      <c r="BJ554" t="s">
        <v>98</v>
      </c>
      <c r="BK554" s="10">
        <v>786</v>
      </c>
      <c r="BR554">
        <v>551</v>
      </c>
      <c r="BS554" t="s">
        <v>98</v>
      </c>
      <c r="BT554" s="10">
        <v>84224</v>
      </c>
      <c r="BU554" s="11">
        <v>32079</v>
      </c>
      <c r="BV554" s="10">
        <v>786</v>
      </c>
      <c r="BW554" s="1" t="str">
        <f>IF(BS554=$CA$12,COUNTIF($BS$4:BS554,$CA$12),"")</f>
        <v/>
      </c>
    </row>
    <row r="555" spans="5:75" x14ac:dyDescent="0.25">
      <c r="E555">
        <v>552</v>
      </c>
      <c r="F555" t="s">
        <v>655</v>
      </c>
      <c r="G555" t="s">
        <v>98</v>
      </c>
      <c r="H555" t="s">
        <v>715</v>
      </c>
      <c r="I555" s="10">
        <v>102999</v>
      </c>
      <c r="J555" s="11">
        <v>21612</v>
      </c>
      <c r="K555" s="10">
        <v>577</v>
      </c>
      <c r="BE555">
        <v>552</v>
      </c>
      <c r="BF555" t="s">
        <v>655</v>
      </c>
      <c r="BG555" t="s">
        <v>715</v>
      </c>
      <c r="BH555" s="10">
        <v>102999</v>
      </c>
      <c r="BI555" s="11">
        <v>21612</v>
      </c>
      <c r="BJ555" t="s">
        <v>98</v>
      </c>
      <c r="BK555" s="10">
        <v>577</v>
      </c>
      <c r="BR555">
        <v>552</v>
      </c>
      <c r="BS555" t="s">
        <v>98</v>
      </c>
      <c r="BT555" s="10">
        <v>102999</v>
      </c>
      <c r="BU555" s="11">
        <v>21612</v>
      </c>
      <c r="BV555" s="10">
        <v>577</v>
      </c>
      <c r="BW555" s="1" t="str">
        <f>IF(BS555=$CA$12,COUNTIF($BS$4:BS555,$CA$12),"")</f>
        <v/>
      </c>
    </row>
    <row r="556" spans="5:75" x14ac:dyDescent="0.25">
      <c r="E556">
        <v>553</v>
      </c>
      <c r="F556" t="s">
        <v>656</v>
      </c>
      <c r="G556" t="s">
        <v>99</v>
      </c>
      <c r="H556" t="s">
        <v>704</v>
      </c>
      <c r="I556" s="10">
        <v>95453</v>
      </c>
      <c r="J556" s="11">
        <v>25973</v>
      </c>
      <c r="K556" s="10">
        <v>749</v>
      </c>
      <c r="BE556">
        <v>553</v>
      </c>
      <c r="BF556" t="s">
        <v>656</v>
      </c>
      <c r="BG556" t="s">
        <v>704</v>
      </c>
      <c r="BH556" s="10">
        <v>95453</v>
      </c>
      <c r="BI556" s="11">
        <v>25973</v>
      </c>
      <c r="BJ556" t="s">
        <v>99</v>
      </c>
      <c r="BK556" s="10">
        <v>749</v>
      </c>
      <c r="BR556">
        <v>553</v>
      </c>
      <c r="BS556" t="s">
        <v>99</v>
      </c>
      <c r="BT556" s="10">
        <v>95453</v>
      </c>
      <c r="BU556" s="11">
        <v>25973</v>
      </c>
      <c r="BV556" s="10">
        <v>749</v>
      </c>
      <c r="BW556" s="1" t="str">
        <f>IF(BS556=$CA$12,COUNTIF($BS$4:BS556,$CA$12),"")</f>
        <v/>
      </c>
    </row>
    <row r="557" spans="5:75" x14ac:dyDescent="0.25">
      <c r="E557">
        <v>554</v>
      </c>
      <c r="F557" t="s">
        <v>657</v>
      </c>
      <c r="G557" t="s">
        <v>99</v>
      </c>
      <c r="H557" t="s">
        <v>705</v>
      </c>
      <c r="I557" s="10">
        <v>83117</v>
      </c>
      <c r="J557" s="11">
        <v>20696</v>
      </c>
      <c r="K557" s="10">
        <v>999</v>
      </c>
      <c r="BE557">
        <v>554</v>
      </c>
      <c r="BF557" t="s">
        <v>657</v>
      </c>
      <c r="BG557" t="s">
        <v>705</v>
      </c>
      <c r="BH557" s="10">
        <v>83117</v>
      </c>
      <c r="BI557" s="11">
        <v>20696</v>
      </c>
      <c r="BJ557" t="s">
        <v>99</v>
      </c>
      <c r="BK557" s="10">
        <v>999</v>
      </c>
      <c r="BR557">
        <v>554</v>
      </c>
      <c r="BS557" t="s">
        <v>99</v>
      </c>
      <c r="BT557" s="10">
        <v>83117</v>
      </c>
      <c r="BU557" s="11">
        <v>20696</v>
      </c>
      <c r="BV557" s="10">
        <v>999</v>
      </c>
      <c r="BW557" s="1" t="str">
        <f>IF(BS557=$CA$12,COUNTIF($BS$4:BS557,$CA$12),"")</f>
        <v/>
      </c>
    </row>
    <row r="558" spans="5:75" x14ac:dyDescent="0.25">
      <c r="E558">
        <v>555</v>
      </c>
      <c r="F558" t="s">
        <v>658</v>
      </c>
      <c r="G558" t="s">
        <v>99</v>
      </c>
      <c r="H558" t="s">
        <v>706</v>
      </c>
      <c r="I558" s="10">
        <v>93393</v>
      </c>
      <c r="J558" s="11">
        <v>31559</v>
      </c>
      <c r="K558" s="10">
        <v>1636</v>
      </c>
      <c r="BE558">
        <v>555</v>
      </c>
      <c r="BF558" t="s">
        <v>658</v>
      </c>
      <c r="BG558" t="s">
        <v>706</v>
      </c>
      <c r="BH558" s="10">
        <v>93393</v>
      </c>
      <c r="BI558" s="11">
        <v>31559</v>
      </c>
      <c r="BJ558" t="s">
        <v>99</v>
      </c>
      <c r="BK558" s="10">
        <v>1636</v>
      </c>
      <c r="BR558">
        <v>555</v>
      </c>
      <c r="BS558" t="s">
        <v>99</v>
      </c>
      <c r="BT558" s="10">
        <v>93393</v>
      </c>
      <c r="BU558" s="11">
        <v>31559</v>
      </c>
      <c r="BV558" s="10">
        <v>1636</v>
      </c>
      <c r="BW558" s="1" t="str">
        <f>IF(BS558=$CA$12,COUNTIF($BS$4:BS558,$CA$12),"")</f>
        <v/>
      </c>
    </row>
    <row r="559" spans="5:75" x14ac:dyDescent="0.25">
      <c r="E559">
        <v>556</v>
      </c>
      <c r="F559" t="s">
        <v>659</v>
      </c>
      <c r="G559" t="s">
        <v>99</v>
      </c>
      <c r="H559" t="s">
        <v>707</v>
      </c>
      <c r="I559" s="10">
        <v>59482</v>
      </c>
      <c r="J559" s="11">
        <v>19251</v>
      </c>
      <c r="K559" s="10">
        <v>1292</v>
      </c>
      <c r="BE559">
        <v>556</v>
      </c>
      <c r="BF559" t="s">
        <v>659</v>
      </c>
      <c r="BG559" t="s">
        <v>707</v>
      </c>
      <c r="BH559" s="10">
        <v>59482</v>
      </c>
      <c r="BI559" s="11">
        <v>19251</v>
      </c>
      <c r="BJ559" t="s">
        <v>99</v>
      </c>
      <c r="BK559" s="10">
        <v>1292</v>
      </c>
      <c r="BR559">
        <v>556</v>
      </c>
      <c r="BS559" t="s">
        <v>99</v>
      </c>
      <c r="BT559" s="10">
        <v>59482</v>
      </c>
      <c r="BU559" s="11">
        <v>19251</v>
      </c>
      <c r="BV559" s="10">
        <v>1292</v>
      </c>
      <c r="BW559" s="1" t="str">
        <f>IF(BS559=$CA$12,COUNTIF($BS$4:BS559,$CA$12),"")</f>
        <v/>
      </c>
    </row>
    <row r="560" spans="5:75" x14ac:dyDescent="0.25">
      <c r="E560">
        <v>557</v>
      </c>
      <c r="F560" t="s">
        <v>660</v>
      </c>
      <c r="G560" t="s">
        <v>99</v>
      </c>
      <c r="H560" t="s">
        <v>708</v>
      </c>
      <c r="I560" s="10">
        <v>57212</v>
      </c>
      <c r="J560" s="11">
        <v>16142</v>
      </c>
      <c r="K560" s="10">
        <v>466</v>
      </c>
      <c r="BE560">
        <v>557</v>
      </c>
      <c r="BF560" t="s">
        <v>660</v>
      </c>
      <c r="BG560" t="s">
        <v>708</v>
      </c>
      <c r="BH560" s="10">
        <v>57212</v>
      </c>
      <c r="BI560" s="11">
        <v>16142</v>
      </c>
      <c r="BJ560" t="s">
        <v>99</v>
      </c>
      <c r="BK560" s="10">
        <v>466</v>
      </c>
      <c r="BR560">
        <v>557</v>
      </c>
      <c r="BS560" t="s">
        <v>99</v>
      </c>
      <c r="BT560" s="10">
        <v>57212</v>
      </c>
      <c r="BU560" s="11">
        <v>16142</v>
      </c>
      <c r="BV560" s="10">
        <v>466</v>
      </c>
      <c r="BW560" s="1" t="str">
        <f>IF(BS560=$CA$12,COUNTIF($BS$4:BS560,$CA$12),"")</f>
        <v/>
      </c>
    </row>
    <row r="561" spans="5:75" x14ac:dyDescent="0.25">
      <c r="E561">
        <v>558</v>
      </c>
      <c r="F561" t="s">
        <v>661</v>
      </c>
      <c r="G561" t="s">
        <v>99</v>
      </c>
      <c r="H561" t="s">
        <v>709</v>
      </c>
      <c r="I561" s="10">
        <v>32645</v>
      </c>
      <c r="J561" s="11">
        <v>11215</v>
      </c>
      <c r="K561" s="10">
        <v>1044</v>
      </c>
      <c r="BE561">
        <v>558</v>
      </c>
      <c r="BF561" t="s">
        <v>661</v>
      </c>
      <c r="BG561" t="s">
        <v>709</v>
      </c>
      <c r="BH561" s="10">
        <v>32645</v>
      </c>
      <c r="BI561" s="11">
        <v>11215</v>
      </c>
      <c r="BJ561" t="s">
        <v>99</v>
      </c>
      <c r="BK561" s="10">
        <v>1044</v>
      </c>
      <c r="BR561">
        <v>558</v>
      </c>
      <c r="BS561" t="s">
        <v>99</v>
      </c>
      <c r="BT561" s="10">
        <v>32645</v>
      </c>
      <c r="BU561" s="11">
        <v>11215</v>
      </c>
      <c r="BV561" s="10">
        <v>1044</v>
      </c>
      <c r="BW561" s="1" t="str">
        <f>IF(BS561=$CA$12,COUNTIF($BS$4:BS561,$CA$12),"")</f>
        <v/>
      </c>
    </row>
    <row r="562" spans="5:75" x14ac:dyDescent="0.25">
      <c r="E562">
        <v>559</v>
      </c>
      <c r="F562" t="s">
        <v>662</v>
      </c>
      <c r="G562" t="s">
        <v>99</v>
      </c>
      <c r="H562" t="s">
        <v>710</v>
      </c>
      <c r="I562" s="10">
        <v>19538</v>
      </c>
      <c r="J562" s="11">
        <v>7717</v>
      </c>
      <c r="K562" s="10">
        <v>266</v>
      </c>
      <c r="BE562">
        <v>559</v>
      </c>
      <c r="BF562" t="s">
        <v>662</v>
      </c>
      <c r="BG562" t="s">
        <v>710</v>
      </c>
      <c r="BH562" s="10">
        <v>19538</v>
      </c>
      <c r="BI562" s="11">
        <v>7717</v>
      </c>
      <c r="BJ562" t="s">
        <v>99</v>
      </c>
      <c r="BK562" s="10">
        <v>266</v>
      </c>
      <c r="BR562">
        <v>559</v>
      </c>
      <c r="BS562" t="s">
        <v>99</v>
      </c>
      <c r="BT562" s="10">
        <v>19538</v>
      </c>
      <c r="BU562" s="11">
        <v>7717</v>
      </c>
      <c r="BV562" s="10">
        <v>266</v>
      </c>
      <c r="BW562" s="1" t="str">
        <f>IF(BS562=$CA$12,COUNTIF($BS$4:BS562,$CA$12),"")</f>
        <v/>
      </c>
    </row>
    <row r="563" spans="5:75" x14ac:dyDescent="0.25">
      <c r="E563">
        <v>560</v>
      </c>
      <c r="F563" t="s">
        <v>663</v>
      </c>
      <c r="G563" t="s">
        <v>99</v>
      </c>
      <c r="H563" t="s">
        <v>711</v>
      </c>
      <c r="I563" s="10">
        <v>105428</v>
      </c>
      <c r="J563" s="11">
        <v>28811</v>
      </c>
      <c r="K563" s="10">
        <v>2175</v>
      </c>
      <c r="BE563">
        <v>560</v>
      </c>
      <c r="BF563" t="s">
        <v>663</v>
      </c>
      <c r="BG563" t="s">
        <v>711</v>
      </c>
      <c r="BH563" s="10">
        <v>105428</v>
      </c>
      <c r="BI563" s="11">
        <v>28811</v>
      </c>
      <c r="BJ563" t="s">
        <v>99</v>
      </c>
      <c r="BK563" s="10">
        <v>2175</v>
      </c>
      <c r="BR563">
        <v>560</v>
      </c>
      <c r="BS563" t="s">
        <v>99</v>
      </c>
      <c r="BT563" s="10">
        <v>105428</v>
      </c>
      <c r="BU563" s="11">
        <v>28811</v>
      </c>
      <c r="BV563" s="10">
        <v>2175</v>
      </c>
      <c r="BW563" s="1" t="str">
        <f>IF(BS563=$CA$12,COUNTIF($BS$4:BS563,$CA$12),"")</f>
        <v/>
      </c>
    </row>
    <row r="564" spans="5:75" x14ac:dyDescent="0.25">
      <c r="E564">
        <v>561</v>
      </c>
      <c r="F564" t="s">
        <v>664</v>
      </c>
      <c r="G564" t="s">
        <v>99</v>
      </c>
      <c r="H564" t="s">
        <v>712</v>
      </c>
      <c r="I564" s="10">
        <v>62302</v>
      </c>
      <c r="J564" s="11">
        <v>16265</v>
      </c>
      <c r="K564" s="10">
        <v>384</v>
      </c>
      <c r="BE564">
        <v>561</v>
      </c>
      <c r="BF564" t="s">
        <v>664</v>
      </c>
      <c r="BG564" t="s">
        <v>712</v>
      </c>
      <c r="BH564" s="10">
        <v>62302</v>
      </c>
      <c r="BI564" s="11">
        <v>16265</v>
      </c>
      <c r="BJ564" t="s">
        <v>99</v>
      </c>
      <c r="BK564" s="10">
        <v>384</v>
      </c>
      <c r="BR564">
        <v>561</v>
      </c>
      <c r="BS564" t="s">
        <v>99</v>
      </c>
      <c r="BT564" s="10">
        <v>62302</v>
      </c>
      <c r="BU564" s="11">
        <v>16265</v>
      </c>
      <c r="BV564" s="10">
        <v>384</v>
      </c>
      <c r="BW564" s="1" t="str">
        <f>IF(BS564=$CA$12,COUNTIF($BS$4:BS564,$CA$12),"")</f>
        <v/>
      </c>
    </row>
    <row r="565" spans="5:75" x14ac:dyDescent="0.25">
      <c r="E565">
        <v>562</v>
      </c>
      <c r="F565" t="s">
        <v>665</v>
      </c>
      <c r="G565" t="s">
        <v>99</v>
      </c>
      <c r="H565" t="s">
        <v>713</v>
      </c>
      <c r="I565" s="10">
        <v>107723</v>
      </c>
      <c r="J565" s="11">
        <v>24671</v>
      </c>
      <c r="K565" s="10">
        <v>277</v>
      </c>
      <c r="BE565">
        <v>562</v>
      </c>
      <c r="BF565" t="s">
        <v>665</v>
      </c>
      <c r="BG565" t="s">
        <v>713</v>
      </c>
      <c r="BH565" s="10">
        <v>107723</v>
      </c>
      <c r="BI565" s="11">
        <v>24671</v>
      </c>
      <c r="BJ565" t="s">
        <v>99</v>
      </c>
      <c r="BK565" s="10">
        <v>277</v>
      </c>
      <c r="BR565">
        <v>562</v>
      </c>
      <c r="BS565" t="s">
        <v>99</v>
      </c>
      <c r="BT565" s="10">
        <v>107723</v>
      </c>
      <c r="BU565" s="11">
        <v>24671</v>
      </c>
      <c r="BV565" s="10">
        <v>277</v>
      </c>
      <c r="BW565" s="1" t="str">
        <f>IF(BS565=$CA$12,COUNTIF($BS$4:BS565,$CA$12),"")</f>
        <v/>
      </c>
    </row>
    <row r="566" spans="5:75" x14ac:dyDescent="0.25">
      <c r="E566">
        <v>563</v>
      </c>
      <c r="F566" t="s">
        <v>666</v>
      </c>
      <c r="G566" t="s">
        <v>99</v>
      </c>
      <c r="H566" t="s">
        <v>714</v>
      </c>
      <c r="I566" s="10">
        <v>59435</v>
      </c>
      <c r="J566" s="11">
        <v>21374</v>
      </c>
      <c r="K566" s="10">
        <v>812</v>
      </c>
      <c r="BE566">
        <v>563</v>
      </c>
      <c r="BF566" t="s">
        <v>666</v>
      </c>
      <c r="BG566" t="s">
        <v>714</v>
      </c>
      <c r="BH566" s="10">
        <v>59435</v>
      </c>
      <c r="BI566" s="11">
        <v>21374</v>
      </c>
      <c r="BJ566" t="s">
        <v>99</v>
      </c>
      <c r="BK566" s="10">
        <v>812</v>
      </c>
      <c r="BR566">
        <v>563</v>
      </c>
      <c r="BS566" t="s">
        <v>99</v>
      </c>
      <c r="BT566" s="10">
        <v>59435</v>
      </c>
      <c r="BU566" s="11">
        <v>21374</v>
      </c>
      <c r="BV566" s="10">
        <v>812</v>
      </c>
      <c r="BW566" s="1" t="str">
        <f>IF(BS566=$CA$12,COUNTIF($BS$4:BS566,$CA$12),"")</f>
        <v/>
      </c>
    </row>
    <row r="567" spans="5:75" x14ac:dyDescent="0.25">
      <c r="E567">
        <v>564</v>
      </c>
      <c r="F567" t="s">
        <v>667</v>
      </c>
      <c r="G567" t="s">
        <v>99</v>
      </c>
      <c r="H567" t="s">
        <v>715</v>
      </c>
      <c r="I567" s="10">
        <v>26999</v>
      </c>
      <c r="J567" s="11">
        <v>6317</v>
      </c>
      <c r="K567" s="10">
        <v>391</v>
      </c>
      <c r="BE567">
        <v>564</v>
      </c>
      <c r="BF567" t="s">
        <v>667</v>
      </c>
      <c r="BG567" t="s">
        <v>715</v>
      </c>
      <c r="BH567" s="10">
        <v>26999</v>
      </c>
      <c r="BI567" s="11">
        <v>6317</v>
      </c>
      <c r="BJ567" t="s">
        <v>99</v>
      </c>
      <c r="BK567" s="10">
        <v>391</v>
      </c>
      <c r="BR567">
        <v>564</v>
      </c>
      <c r="BS567" t="s">
        <v>99</v>
      </c>
      <c r="BT567" s="10">
        <v>26999</v>
      </c>
      <c r="BU567" s="11">
        <v>6317</v>
      </c>
      <c r="BV567" s="10">
        <v>391</v>
      </c>
      <c r="BW567" s="1" t="str">
        <f>IF(BS567=$CA$12,COUNTIF($BS$4:BS567,$CA$12),"")</f>
        <v/>
      </c>
    </row>
    <row r="568" spans="5:75" x14ac:dyDescent="0.25">
      <c r="E568">
        <v>565</v>
      </c>
      <c r="F568" t="s">
        <v>668</v>
      </c>
      <c r="G568" t="s">
        <v>100</v>
      </c>
      <c r="H568" t="s">
        <v>704</v>
      </c>
      <c r="I568" s="10">
        <v>114890</v>
      </c>
      <c r="J568" s="11">
        <v>38139</v>
      </c>
      <c r="K568" s="10">
        <v>538</v>
      </c>
      <c r="BE568">
        <v>565</v>
      </c>
      <c r="BF568" t="s">
        <v>668</v>
      </c>
      <c r="BG568" t="s">
        <v>704</v>
      </c>
      <c r="BH568" s="10">
        <v>114890</v>
      </c>
      <c r="BI568" s="11">
        <v>38139</v>
      </c>
      <c r="BJ568" t="s">
        <v>100</v>
      </c>
      <c r="BK568" s="10">
        <v>538</v>
      </c>
      <c r="BR568">
        <v>565</v>
      </c>
      <c r="BS568" t="s">
        <v>100</v>
      </c>
      <c r="BT568" s="10">
        <v>114890</v>
      </c>
      <c r="BU568" s="11">
        <v>38139</v>
      </c>
      <c r="BV568" s="10">
        <v>538</v>
      </c>
      <c r="BW568" s="1" t="str">
        <f>IF(BS568=$CA$12,COUNTIF($BS$4:BS568,$CA$12),"")</f>
        <v/>
      </c>
    </row>
    <row r="569" spans="5:75" x14ac:dyDescent="0.25">
      <c r="E569">
        <v>566</v>
      </c>
      <c r="F569" t="s">
        <v>669</v>
      </c>
      <c r="G569" t="s">
        <v>100</v>
      </c>
      <c r="H569" t="s">
        <v>705</v>
      </c>
      <c r="I569" s="10">
        <v>138559</v>
      </c>
      <c r="J569" s="11">
        <v>34885</v>
      </c>
      <c r="K569" s="10">
        <v>1199</v>
      </c>
      <c r="BE569">
        <v>566</v>
      </c>
      <c r="BF569" t="s">
        <v>669</v>
      </c>
      <c r="BG569" t="s">
        <v>705</v>
      </c>
      <c r="BH569" s="10">
        <v>138559</v>
      </c>
      <c r="BI569" s="11">
        <v>34885</v>
      </c>
      <c r="BJ569" t="s">
        <v>100</v>
      </c>
      <c r="BK569" s="10">
        <v>1199</v>
      </c>
      <c r="BR569">
        <v>566</v>
      </c>
      <c r="BS569" t="s">
        <v>100</v>
      </c>
      <c r="BT569" s="10">
        <v>138559</v>
      </c>
      <c r="BU569" s="11">
        <v>34885</v>
      </c>
      <c r="BV569" s="10">
        <v>1199</v>
      </c>
      <c r="BW569" s="1" t="str">
        <f>IF(BS569=$CA$12,COUNTIF($BS$4:BS569,$CA$12),"")</f>
        <v/>
      </c>
    </row>
    <row r="570" spans="5:75" x14ac:dyDescent="0.25">
      <c r="E570">
        <v>567</v>
      </c>
      <c r="F570" t="s">
        <v>670</v>
      </c>
      <c r="G570" t="s">
        <v>100</v>
      </c>
      <c r="H570" t="s">
        <v>706</v>
      </c>
      <c r="I570" s="10">
        <v>45687</v>
      </c>
      <c r="J570" s="11">
        <v>11250</v>
      </c>
      <c r="K570" s="10">
        <v>501</v>
      </c>
      <c r="BE570">
        <v>567</v>
      </c>
      <c r="BF570" t="s">
        <v>670</v>
      </c>
      <c r="BG570" t="s">
        <v>706</v>
      </c>
      <c r="BH570" s="10">
        <v>45687</v>
      </c>
      <c r="BI570" s="11">
        <v>11250</v>
      </c>
      <c r="BJ570" t="s">
        <v>100</v>
      </c>
      <c r="BK570" s="10">
        <v>501</v>
      </c>
      <c r="BR570">
        <v>567</v>
      </c>
      <c r="BS570" t="s">
        <v>100</v>
      </c>
      <c r="BT570" s="10">
        <v>45687</v>
      </c>
      <c r="BU570" s="11">
        <v>11250</v>
      </c>
      <c r="BV570" s="10">
        <v>501</v>
      </c>
      <c r="BW570" s="1" t="str">
        <f>IF(BS570=$CA$12,COUNTIF($BS$4:BS570,$CA$12),"")</f>
        <v/>
      </c>
    </row>
    <row r="571" spans="5:75" x14ac:dyDescent="0.25">
      <c r="E571">
        <v>568</v>
      </c>
      <c r="F571" t="s">
        <v>671</v>
      </c>
      <c r="G571" t="s">
        <v>100</v>
      </c>
      <c r="H571" t="s">
        <v>707</v>
      </c>
      <c r="I571" s="10">
        <v>19448</v>
      </c>
      <c r="J571" s="11">
        <v>7073</v>
      </c>
      <c r="K571" s="10">
        <v>34</v>
      </c>
      <c r="BE571">
        <v>568</v>
      </c>
      <c r="BF571" t="s">
        <v>671</v>
      </c>
      <c r="BG571" t="s">
        <v>707</v>
      </c>
      <c r="BH571" s="10">
        <v>19448</v>
      </c>
      <c r="BI571" s="11">
        <v>7073</v>
      </c>
      <c r="BJ571" t="s">
        <v>100</v>
      </c>
      <c r="BK571" s="10">
        <v>34</v>
      </c>
      <c r="BR571">
        <v>568</v>
      </c>
      <c r="BS571" t="s">
        <v>100</v>
      </c>
      <c r="BT571" s="10">
        <v>19448</v>
      </c>
      <c r="BU571" s="11">
        <v>7073</v>
      </c>
      <c r="BV571" s="10">
        <v>34</v>
      </c>
      <c r="BW571" s="1" t="str">
        <f>IF(BS571=$CA$12,COUNTIF($BS$4:BS571,$CA$12),"")</f>
        <v/>
      </c>
    </row>
    <row r="572" spans="5:75" x14ac:dyDescent="0.25">
      <c r="E572">
        <v>569</v>
      </c>
      <c r="F572" t="s">
        <v>672</v>
      </c>
      <c r="G572" t="s">
        <v>100</v>
      </c>
      <c r="H572" t="s">
        <v>708</v>
      </c>
      <c r="I572" s="10">
        <v>109714</v>
      </c>
      <c r="J572" s="11">
        <v>42643</v>
      </c>
      <c r="K572" s="10">
        <v>3766</v>
      </c>
      <c r="BE572">
        <v>569</v>
      </c>
      <c r="BF572" t="s">
        <v>672</v>
      </c>
      <c r="BG572" t="s">
        <v>708</v>
      </c>
      <c r="BH572" s="10">
        <v>109714</v>
      </c>
      <c r="BI572" s="11">
        <v>42643</v>
      </c>
      <c r="BJ572" t="s">
        <v>100</v>
      </c>
      <c r="BK572" s="10">
        <v>3766</v>
      </c>
      <c r="BR572">
        <v>569</v>
      </c>
      <c r="BS572" t="s">
        <v>100</v>
      </c>
      <c r="BT572" s="10">
        <v>109714</v>
      </c>
      <c r="BU572" s="11">
        <v>42643</v>
      </c>
      <c r="BV572" s="10">
        <v>3766</v>
      </c>
      <c r="BW572" s="1" t="str">
        <f>IF(BS572=$CA$12,COUNTIF($BS$4:BS572,$CA$12),"")</f>
        <v/>
      </c>
    </row>
    <row r="573" spans="5:75" x14ac:dyDescent="0.25">
      <c r="E573">
        <v>570</v>
      </c>
      <c r="F573" t="s">
        <v>673</v>
      </c>
      <c r="G573" t="s">
        <v>100</v>
      </c>
      <c r="H573" t="s">
        <v>709</v>
      </c>
      <c r="I573" s="10">
        <v>66558</v>
      </c>
      <c r="J573" s="11">
        <v>24906</v>
      </c>
      <c r="K573" s="10">
        <v>1862</v>
      </c>
      <c r="BE573">
        <v>570</v>
      </c>
      <c r="BF573" t="s">
        <v>673</v>
      </c>
      <c r="BG573" t="s">
        <v>709</v>
      </c>
      <c r="BH573" s="10">
        <v>66558</v>
      </c>
      <c r="BI573" s="11">
        <v>24906</v>
      </c>
      <c r="BJ573" t="s">
        <v>100</v>
      </c>
      <c r="BK573" s="10">
        <v>1862</v>
      </c>
      <c r="BR573">
        <v>570</v>
      </c>
      <c r="BS573" t="s">
        <v>100</v>
      </c>
      <c r="BT573" s="10">
        <v>66558</v>
      </c>
      <c r="BU573" s="11">
        <v>24906</v>
      </c>
      <c r="BV573" s="10">
        <v>1862</v>
      </c>
      <c r="BW573" s="1" t="str">
        <f>IF(BS573=$CA$12,COUNTIF($BS$4:BS573,$CA$12),"")</f>
        <v/>
      </c>
    </row>
    <row r="574" spans="5:75" x14ac:dyDescent="0.25">
      <c r="E574">
        <v>571</v>
      </c>
      <c r="F574" t="s">
        <v>674</v>
      </c>
      <c r="G574" t="s">
        <v>100</v>
      </c>
      <c r="H574" t="s">
        <v>710</v>
      </c>
      <c r="I574" s="10">
        <v>40756</v>
      </c>
      <c r="J574" s="11">
        <v>12844</v>
      </c>
      <c r="K574" s="10">
        <v>342</v>
      </c>
      <c r="BE574">
        <v>571</v>
      </c>
      <c r="BF574" t="s">
        <v>674</v>
      </c>
      <c r="BG574" t="s">
        <v>710</v>
      </c>
      <c r="BH574" s="10">
        <v>40756</v>
      </c>
      <c r="BI574" s="11">
        <v>12844</v>
      </c>
      <c r="BJ574" t="s">
        <v>100</v>
      </c>
      <c r="BK574" s="10">
        <v>342</v>
      </c>
      <c r="BR574">
        <v>571</v>
      </c>
      <c r="BS574" t="s">
        <v>100</v>
      </c>
      <c r="BT574" s="10">
        <v>40756</v>
      </c>
      <c r="BU574" s="11">
        <v>12844</v>
      </c>
      <c r="BV574" s="10">
        <v>342</v>
      </c>
      <c r="BW574" s="1" t="str">
        <f>IF(BS574=$CA$12,COUNTIF($BS$4:BS574,$CA$12),"")</f>
        <v/>
      </c>
    </row>
    <row r="575" spans="5:75" x14ac:dyDescent="0.25">
      <c r="E575">
        <v>572</v>
      </c>
      <c r="F575" t="s">
        <v>675</v>
      </c>
      <c r="G575" t="s">
        <v>100</v>
      </c>
      <c r="H575" t="s">
        <v>711</v>
      </c>
      <c r="I575" s="10">
        <v>98351</v>
      </c>
      <c r="J575" s="11">
        <v>33275</v>
      </c>
      <c r="K575" s="10">
        <v>384</v>
      </c>
      <c r="BE575">
        <v>572</v>
      </c>
      <c r="BF575" t="s">
        <v>675</v>
      </c>
      <c r="BG575" t="s">
        <v>711</v>
      </c>
      <c r="BH575" s="10">
        <v>98351</v>
      </c>
      <c r="BI575" s="11">
        <v>33275</v>
      </c>
      <c r="BJ575" t="s">
        <v>100</v>
      </c>
      <c r="BK575" s="10">
        <v>384</v>
      </c>
      <c r="BR575">
        <v>572</v>
      </c>
      <c r="BS575" t="s">
        <v>100</v>
      </c>
      <c r="BT575" s="10">
        <v>98351</v>
      </c>
      <c r="BU575" s="11">
        <v>33275</v>
      </c>
      <c r="BV575" s="10">
        <v>384</v>
      </c>
      <c r="BW575" s="1" t="str">
        <f>IF(BS575=$CA$12,COUNTIF($BS$4:BS575,$CA$12),"")</f>
        <v/>
      </c>
    </row>
    <row r="576" spans="5:75" x14ac:dyDescent="0.25">
      <c r="E576">
        <v>573</v>
      </c>
      <c r="F576" t="s">
        <v>676</v>
      </c>
      <c r="G576" t="s">
        <v>100</v>
      </c>
      <c r="H576" t="s">
        <v>712</v>
      </c>
      <c r="I576" s="10">
        <v>97214</v>
      </c>
      <c r="J576" s="11">
        <v>20931</v>
      </c>
      <c r="K576" s="10">
        <v>626</v>
      </c>
      <c r="BE576">
        <v>573</v>
      </c>
      <c r="BF576" t="s">
        <v>676</v>
      </c>
      <c r="BG576" t="s">
        <v>712</v>
      </c>
      <c r="BH576" s="10">
        <v>97214</v>
      </c>
      <c r="BI576" s="11">
        <v>20931</v>
      </c>
      <c r="BJ576" t="s">
        <v>100</v>
      </c>
      <c r="BK576" s="10">
        <v>626</v>
      </c>
      <c r="BR576">
        <v>573</v>
      </c>
      <c r="BS576" t="s">
        <v>100</v>
      </c>
      <c r="BT576" s="10">
        <v>97214</v>
      </c>
      <c r="BU576" s="11">
        <v>20931</v>
      </c>
      <c r="BV576" s="10">
        <v>626</v>
      </c>
      <c r="BW576" s="1" t="str">
        <f>IF(BS576=$CA$12,COUNTIF($BS$4:BS576,$CA$12),"")</f>
        <v/>
      </c>
    </row>
    <row r="577" spans="5:75" x14ac:dyDescent="0.25">
      <c r="E577">
        <v>574</v>
      </c>
      <c r="F577" t="s">
        <v>677</v>
      </c>
      <c r="G577" t="s">
        <v>100</v>
      </c>
      <c r="H577" t="s">
        <v>713</v>
      </c>
      <c r="I577" s="10">
        <v>126749</v>
      </c>
      <c r="J577" s="11">
        <v>33080</v>
      </c>
      <c r="K577" s="10">
        <v>2749</v>
      </c>
      <c r="BE577">
        <v>574</v>
      </c>
      <c r="BF577" t="s">
        <v>677</v>
      </c>
      <c r="BG577" t="s">
        <v>713</v>
      </c>
      <c r="BH577" s="10">
        <v>126749</v>
      </c>
      <c r="BI577" s="11">
        <v>33080</v>
      </c>
      <c r="BJ577" t="s">
        <v>100</v>
      </c>
      <c r="BK577" s="10">
        <v>2749</v>
      </c>
      <c r="BR577">
        <v>574</v>
      </c>
      <c r="BS577" t="s">
        <v>100</v>
      </c>
      <c r="BT577" s="10">
        <v>126749</v>
      </c>
      <c r="BU577" s="11">
        <v>33080</v>
      </c>
      <c r="BV577" s="10">
        <v>2749</v>
      </c>
      <c r="BW577" s="1" t="str">
        <f>IF(BS577=$CA$12,COUNTIF($BS$4:BS577,$CA$12),"")</f>
        <v/>
      </c>
    </row>
    <row r="578" spans="5:75" x14ac:dyDescent="0.25">
      <c r="E578">
        <v>575</v>
      </c>
      <c r="F578" t="s">
        <v>678</v>
      </c>
      <c r="G578" t="s">
        <v>100</v>
      </c>
      <c r="H578" t="s">
        <v>714</v>
      </c>
      <c r="I578" s="10">
        <v>137444</v>
      </c>
      <c r="J578" s="11">
        <v>46684</v>
      </c>
      <c r="K578" s="10">
        <v>244</v>
      </c>
      <c r="BE578">
        <v>575</v>
      </c>
      <c r="BF578" t="s">
        <v>678</v>
      </c>
      <c r="BG578" t="s">
        <v>714</v>
      </c>
      <c r="BH578" s="10">
        <v>137444</v>
      </c>
      <c r="BI578" s="11">
        <v>46684</v>
      </c>
      <c r="BJ578" t="s">
        <v>100</v>
      </c>
      <c r="BK578" s="10">
        <v>244</v>
      </c>
      <c r="BR578">
        <v>575</v>
      </c>
      <c r="BS578" t="s">
        <v>100</v>
      </c>
      <c r="BT578" s="10">
        <v>137444</v>
      </c>
      <c r="BU578" s="11">
        <v>46684</v>
      </c>
      <c r="BV578" s="10">
        <v>244</v>
      </c>
      <c r="BW578" s="1" t="str">
        <f>IF(BS578=$CA$12,COUNTIF($BS$4:BS578,$CA$12),"")</f>
        <v/>
      </c>
    </row>
    <row r="579" spans="5:75" x14ac:dyDescent="0.25">
      <c r="E579">
        <v>576</v>
      </c>
      <c r="F579" t="s">
        <v>679</v>
      </c>
      <c r="G579" t="s">
        <v>100</v>
      </c>
      <c r="H579" t="s">
        <v>715</v>
      </c>
      <c r="I579" s="10">
        <v>92981</v>
      </c>
      <c r="J579" s="11">
        <v>33796</v>
      </c>
      <c r="K579" s="10">
        <v>2908</v>
      </c>
      <c r="BE579">
        <v>576</v>
      </c>
      <c r="BF579" t="s">
        <v>679</v>
      </c>
      <c r="BG579" t="s">
        <v>715</v>
      </c>
      <c r="BH579" s="10">
        <v>92981</v>
      </c>
      <c r="BI579" s="11">
        <v>33796</v>
      </c>
      <c r="BJ579" t="s">
        <v>100</v>
      </c>
      <c r="BK579" s="10">
        <v>2908</v>
      </c>
      <c r="BR579">
        <v>576</v>
      </c>
      <c r="BS579" t="s">
        <v>100</v>
      </c>
      <c r="BT579" s="10">
        <v>92981</v>
      </c>
      <c r="BU579" s="11">
        <v>33796</v>
      </c>
      <c r="BV579" s="10">
        <v>2908</v>
      </c>
      <c r="BW579" s="1" t="str">
        <f>IF(BS579=$CA$12,COUNTIF($BS$4:BS579,$CA$12),"")</f>
        <v/>
      </c>
    </row>
    <row r="580" spans="5:75" x14ac:dyDescent="0.25">
      <c r="E580">
        <v>577</v>
      </c>
      <c r="F580" t="s">
        <v>680</v>
      </c>
      <c r="G580" t="s">
        <v>101</v>
      </c>
      <c r="H580" t="s">
        <v>704</v>
      </c>
      <c r="I580" s="10">
        <v>107207</v>
      </c>
      <c r="J580" s="11">
        <v>24061</v>
      </c>
      <c r="K580" s="10">
        <v>1315</v>
      </c>
      <c r="BE580">
        <v>577</v>
      </c>
      <c r="BF580" t="s">
        <v>680</v>
      </c>
      <c r="BG580" t="s">
        <v>704</v>
      </c>
      <c r="BH580" s="10">
        <v>107207</v>
      </c>
      <c r="BI580" s="11">
        <v>24061</v>
      </c>
      <c r="BJ580" t="s">
        <v>101</v>
      </c>
      <c r="BK580" s="10">
        <v>1315</v>
      </c>
      <c r="BR580">
        <v>577</v>
      </c>
      <c r="BS580" t="s">
        <v>101</v>
      </c>
      <c r="BT580" s="10">
        <v>107207</v>
      </c>
      <c r="BU580" s="11">
        <v>24061</v>
      </c>
      <c r="BV580" s="10">
        <v>1315</v>
      </c>
      <c r="BW580" s="1" t="str">
        <f>IF(BS580=$CA$12,COUNTIF($BS$4:BS580,$CA$12),"")</f>
        <v/>
      </c>
    </row>
    <row r="581" spans="5:75" x14ac:dyDescent="0.25">
      <c r="E581">
        <v>578</v>
      </c>
      <c r="F581" t="s">
        <v>681</v>
      </c>
      <c r="G581" t="s">
        <v>101</v>
      </c>
      <c r="H581" t="s">
        <v>705</v>
      </c>
      <c r="I581" s="10">
        <v>91834</v>
      </c>
      <c r="J581" s="11">
        <v>23241</v>
      </c>
      <c r="K581" s="10">
        <v>1216</v>
      </c>
      <c r="BE581">
        <v>578</v>
      </c>
      <c r="BF581" t="s">
        <v>681</v>
      </c>
      <c r="BG581" t="s">
        <v>705</v>
      </c>
      <c r="BH581" s="10">
        <v>91834</v>
      </c>
      <c r="BI581" s="11">
        <v>23241</v>
      </c>
      <c r="BJ581" t="s">
        <v>101</v>
      </c>
      <c r="BK581" s="10">
        <v>1216</v>
      </c>
      <c r="BR581">
        <v>578</v>
      </c>
      <c r="BS581" t="s">
        <v>101</v>
      </c>
      <c r="BT581" s="10">
        <v>91834</v>
      </c>
      <c r="BU581" s="11">
        <v>23241</v>
      </c>
      <c r="BV581" s="10">
        <v>1216</v>
      </c>
      <c r="BW581" s="1" t="str">
        <f>IF(BS581=$CA$12,COUNTIF($BS$4:BS581,$CA$12),"")</f>
        <v/>
      </c>
    </row>
    <row r="582" spans="5:75" x14ac:dyDescent="0.25">
      <c r="E582">
        <v>579</v>
      </c>
      <c r="F582" t="s">
        <v>682</v>
      </c>
      <c r="G582" t="s">
        <v>101</v>
      </c>
      <c r="H582" t="s">
        <v>706</v>
      </c>
      <c r="I582" s="10">
        <v>95287</v>
      </c>
      <c r="J582" s="11">
        <v>28687</v>
      </c>
      <c r="K582" s="10">
        <v>798</v>
      </c>
      <c r="BE582">
        <v>579</v>
      </c>
      <c r="BF582" t="s">
        <v>682</v>
      </c>
      <c r="BG582" t="s">
        <v>706</v>
      </c>
      <c r="BH582" s="10">
        <v>95287</v>
      </c>
      <c r="BI582" s="11">
        <v>28687</v>
      </c>
      <c r="BJ582" t="s">
        <v>101</v>
      </c>
      <c r="BK582" s="10">
        <v>798</v>
      </c>
      <c r="BR582">
        <v>579</v>
      </c>
      <c r="BS582" t="s">
        <v>101</v>
      </c>
      <c r="BT582" s="10">
        <v>95287</v>
      </c>
      <c r="BU582" s="11">
        <v>28687</v>
      </c>
      <c r="BV582" s="10">
        <v>798</v>
      </c>
      <c r="BW582" s="1" t="str">
        <f>IF(BS582=$CA$12,COUNTIF($BS$4:BS582,$CA$12),"")</f>
        <v/>
      </c>
    </row>
    <row r="583" spans="5:75" x14ac:dyDescent="0.25">
      <c r="E583">
        <v>580</v>
      </c>
      <c r="F583" t="s">
        <v>683</v>
      </c>
      <c r="G583" t="s">
        <v>101</v>
      </c>
      <c r="H583" t="s">
        <v>707</v>
      </c>
      <c r="I583" s="10">
        <v>59175</v>
      </c>
      <c r="J583" s="11">
        <v>20643</v>
      </c>
      <c r="K583" s="10">
        <v>1834</v>
      </c>
      <c r="BE583">
        <v>580</v>
      </c>
      <c r="BF583" t="s">
        <v>683</v>
      </c>
      <c r="BG583" t="s">
        <v>707</v>
      </c>
      <c r="BH583" s="10">
        <v>59175</v>
      </c>
      <c r="BI583" s="11">
        <v>20643</v>
      </c>
      <c r="BJ583" t="s">
        <v>101</v>
      </c>
      <c r="BK583" s="10">
        <v>1834</v>
      </c>
      <c r="BR583">
        <v>580</v>
      </c>
      <c r="BS583" t="s">
        <v>101</v>
      </c>
      <c r="BT583" s="10">
        <v>59175</v>
      </c>
      <c r="BU583" s="11">
        <v>20643</v>
      </c>
      <c r="BV583" s="10">
        <v>1834</v>
      </c>
      <c r="BW583" s="1" t="str">
        <f>IF(BS583=$CA$12,COUNTIF($BS$4:BS583,$CA$12),"")</f>
        <v/>
      </c>
    </row>
    <row r="584" spans="5:75" x14ac:dyDescent="0.25">
      <c r="E584">
        <v>581</v>
      </c>
      <c r="F584" t="s">
        <v>684</v>
      </c>
      <c r="G584" t="s">
        <v>101</v>
      </c>
      <c r="H584" t="s">
        <v>708</v>
      </c>
      <c r="I584" s="10">
        <v>74440</v>
      </c>
      <c r="J584" s="11">
        <v>21461</v>
      </c>
      <c r="K584" s="10">
        <v>616</v>
      </c>
      <c r="BE584">
        <v>581</v>
      </c>
      <c r="BF584" t="s">
        <v>684</v>
      </c>
      <c r="BG584" t="s">
        <v>708</v>
      </c>
      <c r="BH584" s="10">
        <v>74440</v>
      </c>
      <c r="BI584" s="11">
        <v>21461</v>
      </c>
      <c r="BJ584" t="s">
        <v>101</v>
      </c>
      <c r="BK584" s="10">
        <v>616</v>
      </c>
      <c r="BR584">
        <v>581</v>
      </c>
      <c r="BS584" t="s">
        <v>101</v>
      </c>
      <c r="BT584" s="10">
        <v>74440</v>
      </c>
      <c r="BU584" s="11">
        <v>21461</v>
      </c>
      <c r="BV584" s="10">
        <v>616</v>
      </c>
      <c r="BW584" s="1" t="str">
        <f>IF(BS584=$CA$12,COUNTIF($BS$4:BS584,$CA$12),"")</f>
        <v/>
      </c>
    </row>
    <row r="585" spans="5:75" x14ac:dyDescent="0.25">
      <c r="E585">
        <v>582</v>
      </c>
      <c r="F585" t="s">
        <v>685</v>
      </c>
      <c r="G585" t="s">
        <v>101</v>
      </c>
      <c r="H585" t="s">
        <v>709</v>
      </c>
      <c r="I585" s="10">
        <v>98742</v>
      </c>
      <c r="J585" s="11">
        <v>20448</v>
      </c>
      <c r="K585" s="10">
        <v>1289</v>
      </c>
      <c r="BE585">
        <v>582</v>
      </c>
      <c r="BF585" t="s">
        <v>685</v>
      </c>
      <c r="BG585" t="s">
        <v>709</v>
      </c>
      <c r="BH585" s="10">
        <v>98742</v>
      </c>
      <c r="BI585" s="11">
        <v>20448</v>
      </c>
      <c r="BJ585" t="s">
        <v>101</v>
      </c>
      <c r="BK585" s="10">
        <v>1289</v>
      </c>
      <c r="BR585">
        <v>582</v>
      </c>
      <c r="BS585" t="s">
        <v>101</v>
      </c>
      <c r="BT585" s="10">
        <v>98742</v>
      </c>
      <c r="BU585" s="11">
        <v>20448</v>
      </c>
      <c r="BV585" s="10">
        <v>1289</v>
      </c>
      <c r="BW585" s="1" t="str">
        <f>IF(BS585=$CA$12,COUNTIF($BS$4:BS585,$CA$12),"")</f>
        <v/>
      </c>
    </row>
    <row r="586" spans="5:75" x14ac:dyDescent="0.25">
      <c r="E586">
        <v>583</v>
      </c>
      <c r="F586" t="s">
        <v>686</v>
      </c>
      <c r="G586" t="s">
        <v>101</v>
      </c>
      <c r="H586" t="s">
        <v>710</v>
      </c>
      <c r="I586" s="10">
        <v>115930</v>
      </c>
      <c r="J586" s="11">
        <v>28688</v>
      </c>
      <c r="K586" s="10">
        <v>2270</v>
      </c>
      <c r="BE586">
        <v>583</v>
      </c>
      <c r="BF586" t="s">
        <v>686</v>
      </c>
      <c r="BG586" t="s">
        <v>710</v>
      </c>
      <c r="BH586" s="10">
        <v>115930</v>
      </c>
      <c r="BI586" s="11">
        <v>28688</v>
      </c>
      <c r="BJ586" t="s">
        <v>101</v>
      </c>
      <c r="BK586" s="10">
        <v>2270</v>
      </c>
      <c r="BR586">
        <v>583</v>
      </c>
      <c r="BS586" t="s">
        <v>101</v>
      </c>
      <c r="BT586" s="10">
        <v>115930</v>
      </c>
      <c r="BU586" s="11">
        <v>28688</v>
      </c>
      <c r="BV586" s="10">
        <v>2270</v>
      </c>
      <c r="BW586" s="1" t="str">
        <f>IF(BS586=$CA$12,COUNTIF($BS$4:BS586,$CA$12),"")</f>
        <v/>
      </c>
    </row>
    <row r="587" spans="5:75" x14ac:dyDescent="0.25">
      <c r="E587">
        <v>584</v>
      </c>
      <c r="F587" t="s">
        <v>687</v>
      </c>
      <c r="G587" t="s">
        <v>101</v>
      </c>
      <c r="H587" t="s">
        <v>711</v>
      </c>
      <c r="I587" s="10">
        <v>145060</v>
      </c>
      <c r="J587" s="11">
        <v>56953</v>
      </c>
      <c r="K587" s="10">
        <v>2695</v>
      </c>
      <c r="BE587">
        <v>584</v>
      </c>
      <c r="BF587" t="s">
        <v>687</v>
      </c>
      <c r="BG587" t="s">
        <v>711</v>
      </c>
      <c r="BH587" s="10">
        <v>145060</v>
      </c>
      <c r="BI587" s="11">
        <v>56953</v>
      </c>
      <c r="BJ587" t="s">
        <v>101</v>
      </c>
      <c r="BK587" s="10">
        <v>2695</v>
      </c>
      <c r="BR587">
        <v>584</v>
      </c>
      <c r="BS587" t="s">
        <v>101</v>
      </c>
      <c r="BT587" s="10">
        <v>145060</v>
      </c>
      <c r="BU587" s="11">
        <v>56953</v>
      </c>
      <c r="BV587" s="10">
        <v>2695</v>
      </c>
      <c r="BW587" s="1" t="str">
        <f>IF(BS587=$CA$12,COUNTIF($BS$4:BS587,$CA$12),"")</f>
        <v/>
      </c>
    </row>
    <row r="588" spans="5:75" x14ac:dyDescent="0.25">
      <c r="E588">
        <v>585</v>
      </c>
      <c r="F588" t="s">
        <v>688</v>
      </c>
      <c r="G588" t="s">
        <v>101</v>
      </c>
      <c r="H588" t="s">
        <v>712</v>
      </c>
      <c r="I588" s="10">
        <v>104632</v>
      </c>
      <c r="J588" s="11">
        <v>27777</v>
      </c>
      <c r="K588" s="10">
        <v>598</v>
      </c>
      <c r="BE588">
        <v>585</v>
      </c>
      <c r="BF588" t="s">
        <v>688</v>
      </c>
      <c r="BG588" t="s">
        <v>712</v>
      </c>
      <c r="BH588" s="10">
        <v>104632</v>
      </c>
      <c r="BI588" s="11">
        <v>27777</v>
      </c>
      <c r="BJ588" t="s">
        <v>101</v>
      </c>
      <c r="BK588" s="10">
        <v>598</v>
      </c>
      <c r="BR588">
        <v>585</v>
      </c>
      <c r="BS588" t="s">
        <v>101</v>
      </c>
      <c r="BT588" s="10">
        <v>104632</v>
      </c>
      <c r="BU588" s="11">
        <v>27777</v>
      </c>
      <c r="BV588" s="10">
        <v>598</v>
      </c>
      <c r="BW588" s="1" t="str">
        <f>IF(BS588=$CA$12,COUNTIF($BS$4:BS588,$CA$12),"")</f>
        <v/>
      </c>
    </row>
    <row r="589" spans="5:75" x14ac:dyDescent="0.25">
      <c r="E589">
        <v>586</v>
      </c>
      <c r="F589" t="s">
        <v>689</v>
      </c>
      <c r="G589" t="s">
        <v>101</v>
      </c>
      <c r="H589" t="s">
        <v>713</v>
      </c>
      <c r="I589" s="10">
        <v>60266</v>
      </c>
      <c r="J589" s="11">
        <v>19660</v>
      </c>
      <c r="K589" s="10">
        <v>182</v>
      </c>
      <c r="BE589">
        <v>586</v>
      </c>
      <c r="BF589" t="s">
        <v>689</v>
      </c>
      <c r="BG589" t="s">
        <v>713</v>
      </c>
      <c r="BH589" s="10">
        <v>60266</v>
      </c>
      <c r="BI589" s="11">
        <v>19660</v>
      </c>
      <c r="BJ589" t="s">
        <v>101</v>
      </c>
      <c r="BK589" s="10">
        <v>182</v>
      </c>
      <c r="BR589">
        <v>586</v>
      </c>
      <c r="BS589" t="s">
        <v>101</v>
      </c>
      <c r="BT589" s="10">
        <v>60266</v>
      </c>
      <c r="BU589" s="11">
        <v>19660</v>
      </c>
      <c r="BV589" s="10">
        <v>182</v>
      </c>
      <c r="BW589" s="1" t="str">
        <f>IF(BS589=$CA$12,COUNTIF($BS$4:BS589,$CA$12),"")</f>
        <v/>
      </c>
    </row>
    <row r="590" spans="5:75" x14ac:dyDescent="0.25">
      <c r="E590">
        <v>587</v>
      </c>
      <c r="F590" t="s">
        <v>690</v>
      </c>
      <c r="G590" t="s">
        <v>101</v>
      </c>
      <c r="H590" t="s">
        <v>714</v>
      </c>
      <c r="I590" s="10">
        <v>35116</v>
      </c>
      <c r="J590" s="11">
        <v>8339</v>
      </c>
      <c r="K590" s="10">
        <v>252</v>
      </c>
      <c r="BE590">
        <v>587</v>
      </c>
      <c r="BF590" t="s">
        <v>690</v>
      </c>
      <c r="BG590" t="s">
        <v>714</v>
      </c>
      <c r="BH590" s="10">
        <v>35116</v>
      </c>
      <c r="BI590" s="11">
        <v>8339</v>
      </c>
      <c r="BJ590" t="s">
        <v>101</v>
      </c>
      <c r="BK590" s="10">
        <v>252</v>
      </c>
      <c r="BR590">
        <v>587</v>
      </c>
      <c r="BS590" t="s">
        <v>101</v>
      </c>
      <c r="BT590" s="10">
        <v>35116</v>
      </c>
      <c r="BU590" s="11">
        <v>8339</v>
      </c>
      <c r="BV590" s="10">
        <v>252</v>
      </c>
      <c r="BW590" s="1" t="str">
        <f>IF(BS590=$CA$12,COUNTIF($BS$4:BS590,$CA$12),"")</f>
        <v/>
      </c>
    </row>
    <row r="591" spans="5:75" x14ac:dyDescent="0.25">
      <c r="E591">
        <v>588</v>
      </c>
      <c r="F591" t="s">
        <v>691</v>
      </c>
      <c r="G591" t="s">
        <v>101</v>
      </c>
      <c r="H591" t="s">
        <v>715</v>
      </c>
      <c r="I591" s="10">
        <v>43089</v>
      </c>
      <c r="J591" s="11">
        <v>9025</v>
      </c>
      <c r="K591" s="10">
        <v>111</v>
      </c>
      <c r="BE591">
        <v>588</v>
      </c>
      <c r="BF591" t="s">
        <v>691</v>
      </c>
      <c r="BG591" t="s">
        <v>715</v>
      </c>
      <c r="BH591" s="10">
        <v>43089</v>
      </c>
      <c r="BI591" s="11">
        <v>9025</v>
      </c>
      <c r="BJ591" t="s">
        <v>101</v>
      </c>
      <c r="BK591" s="10">
        <v>111</v>
      </c>
      <c r="BR591">
        <v>588</v>
      </c>
      <c r="BS591" t="s">
        <v>101</v>
      </c>
      <c r="BT591" s="10">
        <v>43089</v>
      </c>
      <c r="BU591" s="11">
        <v>9025</v>
      </c>
      <c r="BV591" s="10">
        <v>111</v>
      </c>
      <c r="BW591" s="1" t="str">
        <f>IF(BS591=$CA$12,COUNTIF($BS$4:BS591,$CA$12),"")</f>
        <v/>
      </c>
    </row>
    <row r="592" spans="5:75" x14ac:dyDescent="0.25">
      <c r="E592">
        <v>589</v>
      </c>
      <c r="F592" t="s">
        <v>692</v>
      </c>
      <c r="G592" t="s">
        <v>102</v>
      </c>
      <c r="H592" t="s">
        <v>704</v>
      </c>
      <c r="I592" s="10">
        <v>29288</v>
      </c>
      <c r="J592" s="11">
        <v>8789</v>
      </c>
      <c r="K592" s="10">
        <v>272</v>
      </c>
      <c r="BE592">
        <v>589</v>
      </c>
      <c r="BF592" t="s">
        <v>692</v>
      </c>
      <c r="BG592" t="s">
        <v>704</v>
      </c>
      <c r="BH592" s="10">
        <v>29288</v>
      </c>
      <c r="BI592" s="11">
        <v>8789</v>
      </c>
      <c r="BJ592" t="s">
        <v>102</v>
      </c>
      <c r="BK592" s="10">
        <v>272</v>
      </c>
      <c r="BR592">
        <v>589</v>
      </c>
      <c r="BS592" t="s">
        <v>102</v>
      </c>
      <c r="BT592" s="10">
        <v>29288</v>
      </c>
      <c r="BU592" s="11">
        <v>8789</v>
      </c>
      <c r="BV592" s="10">
        <v>272</v>
      </c>
      <c r="BW592" s="1" t="str">
        <f>IF(BS592=$CA$12,COUNTIF($BS$4:BS592,$CA$12),"")</f>
        <v/>
      </c>
    </row>
    <row r="593" spans="5:75" x14ac:dyDescent="0.25">
      <c r="E593">
        <v>590</v>
      </c>
      <c r="F593" t="s">
        <v>693</v>
      </c>
      <c r="G593" t="s">
        <v>102</v>
      </c>
      <c r="H593" t="s">
        <v>705</v>
      </c>
      <c r="I593" s="10">
        <v>101957</v>
      </c>
      <c r="J593" s="11">
        <v>23113</v>
      </c>
      <c r="K593" s="10">
        <v>1041</v>
      </c>
      <c r="BE593">
        <v>590</v>
      </c>
      <c r="BF593" t="s">
        <v>693</v>
      </c>
      <c r="BG593" t="s">
        <v>705</v>
      </c>
      <c r="BH593" s="10">
        <v>101957</v>
      </c>
      <c r="BI593" s="11">
        <v>23113</v>
      </c>
      <c r="BJ593" t="s">
        <v>102</v>
      </c>
      <c r="BK593" s="10">
        <v>1041</v>
      </c>
      <c r="BR593">
        <v>590</v>
      </c>
      <c r="BS593" t="s">
        <v>102</v>
      </c>
      <c r="BT593" s="10">
        <v>101957</v>
      </c>
      <c r="BU593" s="11">
        <v>23113</v>
      </c>
      <c r="BV593" s="10">
        <v>1041</v>
      </c>
      <c r="BW593" s="1" t="str">
        <f>IF(BS593=$CA$12,COUNTIF($BS$4:BS593,$CA$12),"")</f>
        <v/>
      </c>
    </row>
    <row r="594" spans="5:75" x14ac:dyDescent="0.25">
      <c r="E594">
        <v>591</v>
      </c>
      <c r="F594" t="s">
        <v>694</v>
      </c>
      <c r="G594" t="s">
        <v>102</v>
      </c>
      <c r="H594" t="s">
        <v>706</v>
      </c>
      <c r="I594" s="10">
        <v>53672</v>
      </c>
      <c r="J594" s="11">
        <v>13943</v>
      </c>
      <c r="K594" s="10">
        <v>1175</v>
      </c>
      <c r="BE594">
        <v>591</v>
      </c>
      <c r="BF594" t="s">
        <v>694</v>
      </c>
      <c r="BG594" t="s">
        <v>706</v>
      </c>
      <c r="BH594" s="10">
        <v>53672</v>
      </c>
      <c r="BI594" s="11">
        <v>13943</v>
      </c>
      <c r="BJ594" t="s">
        <v>102</v>
      </c>
      <c r="BK594" s="10">
        <v>1175</v>
      </c>
      <c r="BR594">
        <v>591</v>
      </c>
      <c r="BS594" t="s">
        <v>102</v>
      </c>
      <c r="BT594" s="10">
        <v>53672</v>
      </c>
      <c r="BU594" s="11">
        <v>13943</v>
      </c>
      <c r="BV594" s="10">
        <v>1175</v>
      </c>
      <c r="BW594" s="1" t="str">
        <f>IF(BS594=$CA$12,COUNTIF($BS$4:BS594,$CA$12),"")</f>
        <v/>
      </c>
    </row>
    <row r="595" spans="5:75" x14ac:dyDescent="0.25">
      <c r="E595">
        <v>592</v>
      </c>
      <c r="F595" t="s">
        <v>695</v>
      </c>
      <c r="G595" t="s">
        <v>102</v>
      </c>
      <c r="H595" t="s">
        <v>707</v>
      </c>
      <c r="I595" s="10">
        <v>87730</v>
      </c>
      <c r="J595" s="11">
        <v>30906</v>
      </c>
      <c r="K595" s="10">
        <v>1874</v>
      </c>
      <c r="BE595">
        <v>592</v>
      </c>
      <c r="BF595" t="s">
        <v>695</v>
      </c>
      <c r="BG595" t="s">
        <v>707</v>
      </c>
      <c r="BH595" s="10">
        <v>87730</v>
      </c>
      <c r="BI595" s="11">
        <v>30906</v>
      </c>
      <c r="BJ595" t="s">
        <v>102</v>
      </c>
      <c r="BK595" s="10">
        <v>1874</v>
      </c>
      <c r="BR595">
        <v>592</v>
      </c>
      <c r="BS595" t="s">
        <v>102</v>
      </c>
      <c r="BT595" s="10">
        <v>87730</v>
      </c>
      <c r="BU595" s="11">
        <v>30906</v>
      </c>
      <c r="BV595" s="10">
        <v>1874</v>
      </c>
      <c r="BW595" s="1" t="str">
        <f>IF(BS595=$CA$12,COUNTIF($BS$4:BS595,$CA$12),"")</f>
        <v/>
      </c>
    </row>
    <row r="596" spans="5:75" x14ac:dyDescent="0.25">
      <c r="E596">
        <v>593</v>
      </c>
      <c r="F596" t="s">
        <v>696</v>
      </c>
      <c r="G596" t="s">
        <v>102</v>
      </c>
      <c r="H596" t="s">
        <v>708</v>
      </c>
      <c r="I596" s="10">
        <v>97704</v>
      </c>
      <c r="J596" s="11">
        <v>23506</v>
      </c>
      <c r="K596" s="10">
        <v>1775</v>
      </c>
      <c r="BE596">
        <v>593</v>
      </c>
      <c r="BF596" t="s">
        <v>696</v>
      </c>
      <c r="BG596" t="s">
        <v>708</v>
      </c>
      <c r="BH596" s="10">
        <v>97704</v>
      </c>
      <c r="BI596" s="11">
        <v>23506</v>
      </c>
      <c r="BJ596" t="s">
        <v>102</v>
      </c>
      <c r="BK596" s="10">
        <v>1775</v>
      </c>
      <c r="BR596">
        <v>593</v>
      </c>
      <c r="BS596" t="s">
        <v>102</v>
      </c>
      <c r="BT596" s="10">
        <v>97704</v>
      </c>
      <c r="BU596" s="11">
        <v>23506</v>
      </c>
      <c r="BV596" s="10">
        <v>1775</v>
      </c>
      <c r="BW596" s="1" t="str">
        <f>IF(BS596=$CA$12,COUNTIF($BS$4:BS596,$CA$12),"")</f>
        <v/>
      </c>
    </row>
    <row r="597" spans="5:75" x14ac:dyDescent="0.25">
      <c r="E597">
        <v>594</v>
      </c>
      <c r="F597" t="s">
        <v>697</v>
      </c>
      <c r="G597" t="s">
        <v>102</v>
      </c>
      <c r="H597" t="s">
        <v>709</v>
      </c>
      <c r="I597" s="10">
        <v>64126</v>
      </c>
      <c r="J597" s="11">
        <v>13720</v>
      </c>
      <c r="K597" s="10">
        <v>197</v>
      </c>
      <c r="BE597">
        <v>594</v>
      </c>
      <c r="BF597" t="s">
        <v>697</v>
      </c>
      <c r="BG597" t="s">
        <v>709</v>
      </c>
      <c r="BH597" s="10">
        <v>64126</v>
      </c>
      <c r="BI597" s="11">
        <v>13720</v>
      </c>
      <c r="BJ597" t="s">
        <v>102</v>
      </c>
      <c r="BK597" s="10">
        <v>197</v>
      </c>
      <c r="BR597">
        <v>594</v>
      </c>
      <c r="BS597" t="s">
        <v>102</v>
      </c>
      <c r="BT597" s="10">
        <v>64126</v>
      </c>
      <c r="BU597" s="11">
        <v>13720</v>
      </c>
      <c r="BV597" s="10">
        <v>197</v>
      </c>
      <c r="BW597" s="1" t="str">
        <f>IF(BS597=$CA$12,COUNTIF($BS$4:BS597,$CA$12),"")</f>
        <v/>
      </c>
    </row>
    <row r="598" spans="5:75" x14ac:dyDescent="0.25">
      <c r="E598">
        <v>595</v>
      </c>
      <c r="F598" t="s">
        <v>698</v>
      </c>
      <c r="G598" t="s">
        <v>102</v>
      </c>
      <c r="H598" t="s">
        <v>710</v>
      </c>
      <c r="I598" s="10">
        <v>25263</v>
      </c>
      <c r="J598" s="11">
        <v>5975</v>
      </c>
      <c r="K598" s="10">
        <v>59</v>
      </c>
      <c r="BE598">
        <v>595</v>
      </c>
      <c r="BF598" t="s">
        <v>698</v>
      </c>
      <c r="BG598" t="s">
        <v>710</v>
      </c>
      <c r="BH598" s="10">
        <v>25263</v>
      </c>
      <c r="BI598" s="11">
        <v>5975</v>
      </c>
      <c r="BJ598" t="s">
        <v>102</v>
      </c>
      <c r="BK598" s="10">
        <v>59</v>
      </c>
      <c r="BR598">
        <v>595</v>
      </c>
      <c r="BS598" t="s">
        <v>102</v>
      </c>
      <c r="BT598" s="10">
        <v>25263</v>
      </c>
      <c r="BU598" s="11">
        <v>5975</v>
      </c>
      <c r="BV598" s="10">
        <v>59</v>
      </c>
      <c r="BW598" s="1" t="str">
        <f>IF(BS598=$CA$12,COUNTIF($BS$4:BS598,$CA$12),"")</f>
        <v/>
      </c>
    </row>
    <row r="599" spans="5:75" x14ac:dyDescent="0.25">
      <c r="E599">
        <v>596</v>
      </c>
      <c r="F599" t="s">
        <v>699</v>
      </c>
      <c r="G599" t="s">
        <v>102</v>
      </c>
      <c r="H599" t="s">
        <v>711</v>
      </c>
      <c r="I599" s="10">
        <v>149678</v>
      </c>
      <c r="J599" s="11">
        <v>50863</v>
      </c>
      <c r="K599" s="10">
        <v>4108</v>
      </c>
      <c r="BE599">
        <v>596</v>
      </c>
      <c r="BF599" t="s">
        <v>699</v>
      </c>
      <c r="BG599" t="s">
        <v>711</v>
      </c>
      <c r="BH599" s="10">
        <v>149678</v>
      </c>
      <c r="BI599" s="11">
        <v>50863</v>
      </c>
      <c r="BJ599" t="s">
        <v>102</v>
      </c>
      <c r="BK599" s="10">
        <v>4108</v>
      </c>
      <c r="BR599">
        <v>596</v>
      </c>
      <c r="BS599" t="s">
        <v>102</v>
      </c>
      <c r="BT599" s="10">
        <v>149678</v>
      </c>
      <c r="BU599" s="11">
        <v>50863</v>
      </c>
      <c r="BV599" s="10">
        <v>4108</v>
      </c>
      <c r="BW599" s="1" t="str">
        <f>IF(BS599=$CA$12,COUNTIF($BS$4:BS599,$CA$12),"")</f>
        <v/>
      </c>
    </row>
    <row r="600" spans="5:75" x14ac:dyDescent="0.25">
      <c r="E600">
        <v>597</v>
      </c>
      <c r="F600" t="s">
        <v>700</v>
      </c>
      <c r="G600" t="s">
        <v>102</v>
      </c>
      <c r="H600" t="s">
        <v>712</v>
      </c>
      <c r="I600" s="10">
        <v>41018</v>
      </c>
      <c r="J600" s="11">
        <v>16264</v>
      </c>
      <c r="K600" s="10">
        <v>301</v>
      </c>
      <c r="BE600">
        <v>597</v>
      </c>
      <c r="BF600" t="s">
        <v>700</v>
      </c>
      <c r="BG600" t="s">
        <v>712</v>
      </c>
      <c r="BH600" s="10">
        <v>41018</v>
      </c>
      <c r="BI600" s="11">
        <v>16264</v>
      </c>
      <c r="BJ600" t="s">
        <v>102</v>
      </c>
      <c r="BK600" s="10">
        <v>301</v>
      </c>
      <c r="BR600">
        <v>597</v>
      </c>
      <c r="BS600" t="s">
        <v>102</v>
      </c>
      <c r="BT600" s="10">
        <v>41018</v>
      </c>
      <c r="BU600" s="11">
        <v>16264</v>
      </c>
      <c r="BV600" s="10">
        <v>301</v>
      </c>
      <c r="BW600" s="1" t="str">
        <f>IF(BS600=$CA$12,COUNTIF($BS$4:BS600,$CA$12),"")</f>
        <v/>
      </c>
    </row>
    <row r="601" spans="5:75" x14ac:dyDescent="0.25">
      <c r="E601">
        <v>598</v>
      </c>
      <c r="F601" t="s">
        <v>701</v>
      </c>
      <c r="G601" t="s">
        <v>102</v>
      </c>
      <c r="H601" t="s">
        <v>713</v>
      </c>
      <c r="I601" s="10">
        <v>82181</v>
      </c>
      <c r="J601" s="11">
        <v>22842</v>
      </c>
      <c r="K601" s="10">
        <v>335</v>
      </c>
      <c r="BE601">
        <v>598</v>
      </c>
      <c r="BF601" t="s">
        <v>701</v>
      </c>
      <c r="BG601" t="s">
        <v>713</v>
      </c>
      <c r="BH601" s="10">
        <v>82181</v>
      </c>
      <c r="BI601" s="11">
        <v>22842</v>
      </c>
      <c r="BJ601" t="s">
        <v>102</v>
      </c>
      <c r="BK601" s="10">
        <v>335</v>
      </c>
      <c r="BR601">
        <v>598</v>
      </c>
      <c r="BS601" t="s">
        <v>102</v>
      </c>
      <c r="BT601" s="10">
        <v>82181</v>
      </c>
      <c r="BU601" s="11">
        <v>22842</v>
      </c>
      <c r="BV601" s="10">
        <v>335</v>
      </c>
      <c r="BW601" s="1" t="str">
        <f>IF(BS601=$CA$12,COUNTIF($BS$4:BS601,$CA$12),"")</f>
        <v/>
      </c>
    </row>
    <row r="602" spans="5:75" x14ac:dyDescent="0.25">
      <c r="E602">
        <v>599</v>
      </c>
      <c r="F602" t="s">
        <v>702</v>
      </c>
      <c r="G602" t="s">
        <v>102</v>
      </c>
      <c r="H602" t="s">
        <v>714</v>
      </c>
      <c r="I602" s="10">
        <v>74731</v>
      </c>
      <c r="J602" s="11">
        <v>27231</v>
      </c>
      <c r="K602" s="10">
        <v>1600</v>
      </c>
      <c r="BE602">
        <v>599</v>
      </c>
      <c r="BF602" t="s">
        <v>702</v>
      </c>
      <c r="BG602" t="s">
        <v>714</v>
      </c>
      <c r="BH602" s="10">
        <v>74731</v>
      </c>
      <c r="BI602" s="11">
        <v>27231</v>
      </c>
      <c r="BJ602" t="s">
        <v>102</v>
      </c>
      <c r="BK602" s="10">
        <v>1600</v>
      </c>
      <c r="BR602">
        <v>599</v>
      </c>
      <c r="BS602" t="s">
        <v>102</v>
      </c>
      <c r="BT602" s="10">
        <v>74731</v>
      </c>
      <c r="BU602" s="11">
        <v>27231</v>
      </c>
      <c r="BV602" s="10">
        <v>1600</v>
      </c>
      <c r="BW602" s="1" t="str">
        <f>IF(BS602=$CA$12,COUNTIF($BS$4:BS602,$CA$12),"")</f>
        <v/>
      </c>
    </row>
    <row r="603" spans="5:75" ht="15.75" thickBot="1" x14ac:dyDescent="0.3">
      <c r="E603" s="8">
        <v>600</v>
      </c>
      <c r="F603" s="8" t="s">
        <v>703</v>
      </c>
      <c r="G603" s="8" t="s">
        <v>102</v>
      </c>
      <c r="H603" s="8" t="s">
        <v>715</v>
      </c>
      <c r="I603" s="12">
        <v>41678</v>
      </c>
      <c r="J603" s="13">
        <v>8794</v>
      </c>
      <c r="K603" s="12">
        <v>27</v>
      </c>
      <c r="BE603" s="8">
        <v>600</v>
      </c>
      <c r="BF603" s="8" t="s">
        <v>703</v>
      </c>
      <c r="BG603" s="8" t="s">
        <v>715</v>
      </c>
      <c r="BH603" s="12">
        <v>41678</v>
      </c>
      <c r="BI603" s="13">
        <v>8794</v>
      </c>
      <c r="BJ603" s="8" t="s">
        <v>102</v>
      </c>
      <c r="BK603" s="12">
        <v>27</v>
      </c>
      <c r="BR603" s="8">
        <v>600</v>
      </c>
      <c r="BS603" s="8" t="s">
        <v>102</v>
      </c>
      <c r="BT603" s="12">
        <v>41678</v>
      </c>
      <c r="BU603" s="13">
        <v>8794</v>
      </c>
      <c r="BV603" s="12">
        <v>27</v>
      </c>
      <c r="BW603" s="1" t="str">
        <f>IF(BS603=$CA$12,COUNTIF($BS$4:BS603,$CA$12),"")</f>
        <v/>
      </c>
    </row>
  </sheetData>
  <sortState ref="E4:K603">
    <sortCondition ref="E4:E603"/>
  </sortState>
  <phoneticPr fontId="6" type="noConversion"/>
  <conditionalFormatting sqref="BF1:BF1048576 AW4">
    <cfRule type="duplicateValues" dxfId="1" priority="2"/>
  </conditionalFormatting>
  <conditionalFormatting sqref="F1:F1048576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L7"/>
  <sheetViews>
    <sheetView showGridLines="0" workbookViewId="0">
      <selection activeCell="H27" sqref="H27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2" x14ac:dyDescent="0.25">
      <c r="D7" s="5" t="s">
        <v>0</v>
      </c>
      <c r="E7" s="4"/>
      <c r="F7" s="4"/>
      <c r="G7" s="4"/>
      <c r="H7" s="4"/>
      <c r="I7" s="4"/>
      <c r="J7" s="4"/>
      <c r="K7" s="4"/>
      <c r="L7" s="4"/>
    </row>
  </sheetData>
  <hyperlinks>
    <hyperlink ref="D7" r:id="rId1" display="Синтаксис и применение функций даты и время из официального источника" xr:uid="{D17CFD40-8FB7-4BBD-8461-660396C6CE0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Тема урока</vt:lpstr>
      <vt:lpstr>Выполнить</vt:lpstr>
      <vt:lpstr>Партнеры</vt:lpstr>
      <vt:lpstr>Отчет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2026-03-11T12:04:25Z</dcterms:modified>
</cp:coreProperties>
</file>